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13_ncr:1_{3EC899C8-70A2-45EA-8C33-3376D626EA3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ENSO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CENSO!$A$1:$BG$2912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353" i="1" l="1"/>
  <c r="G1504" i="1"/>
  <c r="G1503" i="1"/>
  <c r="G1502" i="1"/>
  <c r="G1501" i="1"/>
  <c r="G566" i="1"/>
  <c r="G526" i="1"/>
  <c r="G2417" i="1"/>
  <c r="G575" i="1"/>
  <c r="G2274" i="1"/>
  <c r="G2277" i="1"/>
  <c r="G2272" i="1"/>
  <c r="G2287" i="1"/>
  <c r="G2285" i="1"/>
  <c r="G2288" i="1"/>
  <c r="G1703" i="1"/>
  <c r="G1702" i="1"/>
  <c r="G1701" i="1"/>
  <c r="G1551" i="1"/>
  <c r="G662" i="1"/>
  <c r="G2885" i="1"/>
  <c r="G2884" i="1"/>
  <c r="G2145" i="1"/>
  <c r="G2144" i="1"/>
  <c r="G2143" i="1"/>
  <c r="G2173" i="1"/>
  <c r="G2150" i="1"/>
  <c r="G2172" i="1"/>
  <c r="G2205" i="1"/>
  <c r="G2204" i="1"/>
  <c r="G2136" i="1"/>
  <c r="G2135" i="1"/>
  <c r="G2203" i="1"/>
  <c r="G2134" i="1"/>
  <c r="G2171" i="1"/>
  <c r="G2007" i="1"/>
  <c r="G2006" i="1"/>
  <c r="G2005" i="1"/>
  <c r="G2004" i="1"/>
  <c r="G2003" i="1"/>
  <c r="G2002" i="1"/>
  <c r="G2038" i="1"/>
  <c r="G1989" i="1"/>
  <c r="G1984" i="1"/>
  <c r="G1985" i="1"/>
  <c r="G1986" i="1"/>
  <c r="G1987" i="1"/>
  <c r="G1988" i="1"/>
  <c r="G1990" i="1"/>
  <c r="G1991" i="1"/>
  <c r="G1992" i="1"/>
  <c r="G1993" i="1"/>
  <c r="G1994" i="1"/>
  <c r="G1995" i="1"/>
  <c r="G1996" i="1"/>
  <c r="G1997" i="1"/>
  <c r="G1998" i="1"/>
  <c r="G1999" i="1"/>
  <c r="G1983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745" i="1"/>
  <c r="G2763" i="1"/>
  <c r="G2731" i="1"/>
  <c r="G2716" i="1"/>
  <c r="G2711" i="1"/>
  <c r="G2613" i="1"/>
  <c r="G2612" i="1"/>
  <c r="G2611" i="1"/>
  <c r="G2427" i="1" l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234" i="1" l="1"/>
  <c r="G2389" i="1"/>
  <c r="G2396" i="1"/>
  <c r="G2258" i="1"/>
  <c r="G2424" i="1"/>
  <c r="G2423" i="1"/>
  <c r="G2364" i="1"/>
  <c r="G2124" i="1"/>
  <c r="G2119" i="1"/>
  <c r="G2120" i="1"/>
  <c r="G2121" i="1"/>
  <c r="G2122" i="1"/>
  <c r="G2123" i="1"/>
  <c r="G2118" i="1"/>
  <c r="G2117" i="1"/>
  <c r="G2116" i="1"/>
  <c r="G1869" i="1"/>
  <c r="G1784" i="1"/>
  <c r="G1785" i="1"/>
  <c r="G1783" i="1"/>
  <c r="G1782" i="1"/>
  <c r="G1766" i="1" l="1"/>
  <c r="G1741" i="1"/>
  <c r="G1647" i="1"/>
  <c r="G1740" i="1"/>
  <c r="G1739" i="1"/>
  <c r="G1738" i="1"/>
  <c r="G1757" i="1"/>
  <c r="G1737" i="1"/>
  <c r="G1736" i="1"/>
  <c r="G1704" i="1"/>
  <c r="G1708" i="1"/>
  <c r="G1604" i="1"/>
  <c r="G1629" i="1"/>
  <c r="G1628" i="1"/>
  <c r="G1548" i="1"/>
  <c r="G1549" i="1"/>
  <c r="G1483" i="1"/>
  <c r="G1545" i="1"/>
  <c r="G1544" i="1"/>
  <c r="G1546" i="1"/>
  <c r="G1543" i="1"/>
  <c r="G1542" i="1"/>
  <c r="G1488" i="1"/>
  <c r="G1253" i="1"/>
  <c r="G1336" i="1"/>
  <c r="G1181" i="1"/>
  <c r="G1193" i="1"/>
  <c r="G904" i="1"/>
  <c r="G960" i="1"/>
  <c r="G796" i="1"/>
  <c r="G805" i="1"/>
  <c r="G804" i="1"/>
  <c r="G803" i="1"/>
  <c r="G802" i="1"/>
  <c r="G801" i="1"/>
  <c r="G800" i="1"/>
  <c r="G799" i="1"/>
  <c r="G875" i="1"/>
  <c r="G867" i="1"/>
  <c r="G690" i="1"/>
  <c r="G747" i="1"/>
  <c r="G746" i="1"/>
  <c r="G648" i="1"/>
  <c r="G705" i="1"/>
  <c r="G683" i="1"/>
  <c r="G711" i="1"/>
  <c r="G745" i="1"/>
  <c r="G797" i="1"/>
  <c r="G353" i="1"/>
  <c r="G587" i="1"/>
  <c r="G525" i="1"/>
  <c r="G298" i="1"/>
  <c r="G286" i="1"/>
  <c r="G212" i="1"/>
  <c r="G186" i="1"/>
  <c r="G897" i="1" l="1"/>
  <c r="G7" i="1"/>
  <c r="G580" i="1"/>
  <c r="G1774" i="1"/>
  <c r="G1773" i="1"/>
  <c r="G1772" i="1"/>
  <c r="G1541" i="1"/>
  <c r="G1482" i="1"/>
  <c r="G959" i="1"/>
  <c r="G958" i="1"/>
  <c r="G957" i="1"/>
  <c r="G348" i="1"/>
  <c r="G289" i="1"/>
  <c r="G1247" i="1"/>
  <c r="G297" i="1"/>
  <c r="G296" i="1"/>
  <c r="G295" i="1"/>
  <c r="G288" i="1"/>
  <c r="G217" i="1"/>
  <c r="G185" i="1"/>
  <c r="G184" i="1"/>
  <c r="G183" i="1"/>
  <c r="G2351" i="1"/>
  <c r="G15" i="1"/>
  <c r="G2710" i="1"/>
  <c r="G2687" i="1"/>
  <c r="G2566" i="1"/>
  <c r="G2395" i="1"/>
  <c r="G2422" i="1"/>
  <c r="G2363" i="1"/>
  <c r="G2362" i="1"/>
  <c r="G2109" i="1"/>
  <c r="G1735" i="1"/>
  <c r="G1734" i="1"/>
  <c r="G1733" i="1"/>
  <c r="G1732" i="1"/>
  <c r="G1731" i="1"/>
  <c r="G1758" i="1"/>
  <c r="G1756" i="1"/>
  <c r="G1663" i="1"/>
  <c r="G908" i="1"/>
  <c r="G907" i="1"/>
  <c r="G306" i="1"/>
  <c r="G304" i="1"/>
  <c r="G287" i="1"/>
  <c r="G182" i="1"/>
  <c r="G181" i="1"/>
  <c r="G269" i="1"/>
  <c r="G2416" i="1"/>
  <c r="G2415" i="1"/>
  <c r="G2414" i="1"/>
  <c r="G2413" i="1"/>
  <c r="G611" i="1"/>
  <c r="G2891" i="1"/>
  <c r="G2133" i="1"/>
  <c r="G2132" i="1"/>
  <c r="G2130" i="1"/>
  <c r="G2778" i="1"/>
  <c r="G2358" i="1"/>
  <c r="G2357" i="1"/>
  <c r="G2356" i="1"/>
  <c r="G2115" i="1"/>
  <c r="G2114" i="1"/>
  <c r="G2113" i="1"/>
  <c r="G2112" i="1"/>
  <c r="G1982" i="1"/>
  <c r="G1868" i="1"/>
  <c r="G1870" i="1"/>
  <c r="G1867" i="1"/>
  <c r="G1753" i="1"/>
  <c r="G1662" i="1"/>
  <c r="G1661" i="1"/>
  <c r="G1057" i="1" l="1"/>
  <c r="G1056" i="1"/>
  <c r="G945" i="1"/>
  <c r="G944" i="1"/>
  <c r="G333" i="1"/>
  <c r="G202" i="1"/>
  <c r="G201" i="1"/>
  <c r="G35" i="1"/>
  <c r="G334" i="1"/>
  <c r="G33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8" i="1"/>
  <c r="G869" i="1"/>
  <c r="G870" i="1"/>
  <c r="G871" i="1"/>
  <c r="G872" i="1"/>
  <c r="G873" i="1"/>
  <c r="G874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8" i="1"/>
  <c r="G806" i="1"/>
  <c r="G2890" i="1"/>
  <c r="G2876" i="1"/>
  <c r="G2355" i="1"/>
  <c r="G1976" i="1"/>
  <c r="G1660" i="1"/>
  <c r="G1659" i="1"/>
  <c r="G1580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2" i="1"/>
  <c r="G1191" i="1"/>
  <c r="G1190" i="1"/>
  <c r="G1189" i="1"/>
  <c r="G1188" i="1"/>
  <c r="G1187" i="1"/>
  <c r="G1186" i="1"/>
  <c r="G1185" i="1"/>
  <c r="G1184" i="1"/>
  <c r="G1183" i="1"/>
  <c r="G1182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5" i="1"/>
  <c r="G199" i="1"/>
  <c r="G34" i="1"/>
  <c r="G609" i="1"/>
  <c r="G321" i="1"/>
  <c r="G335" i="1"/>
  <c r="G322" i="1"/>
  <c r="G336" i="1"/>
  <c r="G327" i="1"/>
  <c r="G328" i="1"/>
  <c r="G175" i="1"/>
  <c r="G22" i="1"/>
  <c r="G2694" i="1"/>
  <c r="G1842" i="1"/>
  <c r="G1841" i="1"/>
  <c r="G346" i="1"/>
  <c r="G1840" i="1"/>
  <c r="G1837" i="1"/>
  <c r="G1838" i="1"/>
  <c r="G1839" i="1"/>
  <c r="G1836" i="1"/>
  <c r="G1835" i="1"/>
  <c r="G1834" i="1"/>
  <c r="G1833" i="1"/>
  <c r="G1832" i="1"/>
  <c r="G1831" i="1"/>
  <c r="G2873" i="1"/>
  <c r="G2872" i="1"/>
  <c r="G2131" i="1"/>
  <c r="G2129" i="1"/>
  <c r="G2128" i="1"/>
  <c r="G1978" i="1"/>
  <c r="G1979" i="1"/>
  <c r="G1980" i="1"/>
  <c r="G1981" i="1"/>
  <c r="G276" i="1"/>
  <c r="G275" i="1"/>
  <c r="G302" i="1"/>
  <c r="G301" i="1"/>
  <c r="G300" i="1"/>
  <c r="G2127" i="1"/>
  <c r="G2137" i="1"/>
  <c r="G2138" i="1"/>
  <c r="G2139" i="1"/>
  <c r="G2140" i="1"/>
  <c r="G2141" i="1"/>
  <c r="G2142" i="1"/>
  <c r="G2146" i="1"/>
  <c r="G2147" i="1"/>
  <c r="G2148" i="1"/>
  <c r="G2149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6" i="1"/>
  <c r="G2126" i="1"/>
  <c r="G1675" i="1" l="1"/>
  <c r="G1674" i="1" l="1"/>
  <c r="G1665" i="1"/>
  <c r="G1666" i="1"/>
  <c r="G1667" i="1"/>
  <c r="G1668" i="1"/>
  <c r="G1669" i="1"/>
  <c r="G1670" i="1"/>
  <c r="G1671" i="1"/>
  <c r="G1672" i="1"/>
  <c r="G1673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5" i="1"/>
  <c r="G1706" i="1"/>
  <c r="G1707" i="1"/>
  <c r="G1709" i="1"/>
  <c r="G1664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10" i="1"/>
  <c r="G2111" i="1"/>
  <c r="G2125" i="1"/>
  <c r="G2088" i="1"/>
  <c r="G2892" i="1" l="1"/>
  <c r="G2889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1" i="1"/>
  <c r="G1780" i="1"/>
  <c r="G1779" i="1"/>
  <c r="G1778" i="1"/>
  <c r="G1777" i="1"/>
  <c r="G613" i="1"/>
  <c r="G1246" i="1"/>
  <c r="G744" i="1"/>
  <c r="G743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9" i="1"/>
  <c r="G2008" i="1"/>
  <c r="G2009" i="1"/>
  <c r="G2010" i="1"/>
  <c r="G2011" i="1"/>
  <c r="G2012" i="1"/>
  <c r="G1771" i="1"/>
  <c r="G1748" i="1"/>
  <c r="G1582" i="1"/>
  <c r="G285" i="1"/>
  <c r="G2001" i="1"/>
  <c r="G2000" i="1"/>
  <c r="G610" i="1"/>
  <c r="G1744" i="1"/>
  <c r="G1743" i="1"/>
  <c r="G1762" i="1"/>
  <c r="G1742" i="1"/>
  <c r="G2744" i="1" l="1"/>
  <c r="G2743" i="1"/>
  <c r="G790" i="1"/>
  <c r="G1646" i="1" l="1"/>
  <c r="G1648" i="1"/>
  <c r="G602" i="1"/>
  <c r="G595" i="1"/>
  <c r="G606" i="1"/>
  <c r="G607" i="1"/>
  <c r="G541" i="1"/>
  <c r="G542" i="1"/>
  <c r="G543" i="1"/>
  <c r="G544" i="1"/>
  <c r="G540" i="1"/>
  <c r="G539" i="1"/>
  <c r="G530" i="1"/>
  <c r="G2916" i="1"/>
  <c r="G2915" i="1"/>
  <c r="G585" i="1"/>
  <c r="G567" i="1"/>
  <c r="G568" i="1"/>
  <c r="G569" i="1"/>
  <c r="G570" i="1"/>
  <c r="G571" i="1"/>
  <c r="G572" i="1"/>
  <c r="G573" i="1"/>
  <c r="G574" i="1"/>
  <c r="G576" i="1"/>
  <c r="G577" i="1"/>
  <c r="G578" i="1"/>
  <c r="G579" i="1"/>
  <c r="G581" i="1"/>
  <c r="G582" i="1"/>
  <c r="G583" i="1"/>
  <c r="G584" i="1"/>
  <c r="G521" i="1"/>
  <c r="G120" i="1"/>
  <c r="G3" i="1"/>
  <c r="G605" i="1"/>
  <c r="G608" i="1"/>
  <c r="G601" i="1"/>
  <c r="G598" i="1"/>
  <c r="G597" i="1"/>
  <c r="G596" i="1"/>
  <c r="G594" i="1"/>
  <c r="G126" i="1"/>
  <c r="G125" i="1"/>
  <c r="G514" i="1"/>
  <c r="G403" i="1"/>
  <c r="G2713" i="1"/>
  <c r="G2714" i="1"/>
  <c r="G2715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2" i="1"/>
  <c r="G2733" i="1"/>
  <c r="G2734" i="1"/>
  <c r="G2735" i="1"/>
  <c r="G2736" i="1"/>
  <c r="G2737" i="1"/>
  <c r="G2738" i="1"/>
  <c r="G2739" i="1"/>
  <c r="G2740" i="1"/>
  <c r="G2741" i="1"/>
  <c r="G2742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612" i="1"/>
  <c r="G604" i="1"/>
  <c r="G2901" i="1"/>
  <c r="G2900" i="1"/>
  <c r="G1251" i="1"/>
  <c r="G1250" i="1"/>
  <c r="G1249" i="1"/>
  <c r="G1248" i="1"/>
  <c r="G1245" i="1"/>
  <c r="G795" i="1"/>
  <c r="G794" i="1"/>
  <c r="G793" i="1"/>
  <c r="G792" i="1"/>
  <c r="G791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0" i="1"/>
  <c r="G709" i="1"/>
  <c r="G708" i="1"/>
  <c r="G707" i="1"/>
  <c r="G706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89" i="1"/>
  <c r="G688" i="1"/>
  <c r="G687" i="1"/>
  <c r="G686" i="1"/>
  <c r="G685" i="1"/>
  <c r="G684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1752" i="1"/>
  <c r="G1759" i="1"/>
  <c r="G1751" i="1"/>
  <c r="G1760" i="1"/>
  <c r="G1649" i="1"/>
  <c r="G1650" i="1"/>
  <c r="G1651" i="1"/>
  <c r="G1652" i="1"/>
  <c r="G1653" i="1"/>
  <c r="G1654" i="1"/>
  <c r="G1655" i="1"/>
  <c r="G1656" i="1"/>
  <c r="G1657" i="1"/>
  <c r="G1658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45" i="1"/>
  <c r="G1746" i="1"/>
  <c r="G1747" i="1"/>
  <c r="G1749" i="1"/>
  <c r="G1750" i="1"/>
  <c r="G1754" i="1"/>
  <c r="G1755" i="1"/>
  <c r="G1761" i="1"/>
  <c r="G1763" i="1"/>
  <c r="G1764" i="1"/>
  <c r="G1765" i="1"/>
  <c r="G1767" i="1"/>
  <c r="G1768" i="1"/>
  <c r="G1769" i="1"/>
  <c r="G1770" i="1"/>
  <c r="G1775" i="1"/>
  <c r="G2560" i="1"/>
  <c r="G2561" i="1"/>
  <c r="G2562" i="1"/>
  <c r="G2563" i="1"/>
  <c r="G2564" i="1"/>
  <c r="G2565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8" i="1"/>
  <c r="G2689" i="1"/>
  <c r="G2690" i="1"/>
  <c r="G2691" i="1"/>
  <c r="G2692" i="1"/>
  <c r="G2693" i="1"/>
  <c r="G2695" i="1"/>
  <c r="G2559" i="1"/>
  <c r="G204" i="1"/>
  <c r="G211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18" i="1"/>
  <c r="G219" i="1"/>
  <c r="G220" i="1"/>
  <c r="G221" i="1"/>
  <c r="G222" i="1"/>
  <c r="G206" i="1"/>
  <c r="G207" i="1"/>
  <c r="G208" i="1"/>
  <c r="G209" i="1"/>
  <c r="G210" i="1"/>
  <c r="G213" i="1"/>
  <c r="G214" i="1"/>
  <c r="G215" i="1"/>
  <c r="G216" i="1"/>
  <c r="G196" i="1"/>
  <c r="G197" i="1"/>
  <c r="G198" i="1"/>
  <c r="G200" i="1"/>
  <c r="G203" i="1"/>
  <c r="G205" i="1"/>
  <c r="G192" i="1"/>
  <c r="G193" i="1"/>
  <c r="G194" i="1"/>
  <c r="G195" i="1"/>
  <c r="G511" i="1"/>
  <c r="G533" i="1"/>
  <c r="G513" i="1"/>
  <c r="G563" i="1"/>
  <c r="G1776" i="1"/>
  <c r="G131" i="1"/>
  <c r="G128" i="1"/>
  <c r="G129" i="1"/>
  <c r="G130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6" i="1"/>
  <c r="G177" i="1"/>
  <c r="G178" i="1"/>
  <c r="G179" i="1"/>
  <c r="G180" i="1"/>
  <c r="G187" i="1"/>
  <c r="G188" i="1"/>
  <c r="G189" i="1"/>
  <c r="G190" i="1"/>
  <c r="G191" i="1"/>
  <c r="G127" i="1"/>
  <c r="G2425" i="1"/>
  <c r="G428" i="1"/>
  <c r="G323" i="1"/>
  <c r="G315" i="1"/>
  <c r="G320" i="1"/>
  <c r="G344" i="1"/>
  <c r="G365" i="1"/>
  <c r="G512" i="1"/>
  <c r="G303" i="1"/>
  <c r="G305" i="1"/>
  <c r="G307" i="1"/>
  <c r="G308" i="1"/>
  <c r="G309" i="1"/>
  <c r="G310" i="1"/>
  <c r="G311" i="1"/>
  <c r="G312" i="1"/>
  <c r="G313" i="1"/>
  <c r="G314" i="1"/>
  <c r="G316" i="1"/>
  <c r="G317" i="1"/>
  <c r="G318" i="1"/>
  <c r="G319" i="1"/>
  <c r="G324" i="1"/>
  <c r="G325" i="1"/>
  <c r="G326" i="1"/>
  <c r="G329" i="1"/>
  <c r="G330" i="1"/>
  <c r="G331" i="1"/>
  <c r="G332" i="1"/>
  <c r="G337" i="1"/>
  <c r="G338" i="1"/>
  <c r="G339" i="1"/>
  <c r="G340" i="1"/>
  <c r="G341" i="1"/>
  <c r="G342" i="1"/>
  <c r="G343" i="1"/>
  <c r="G345" i="1"/>
  <c r="G347" i="1"/>
  <c r="G349" i="1"/>
  <c r="G350" i="1"/>
  <c r="G351" i="1"/>
  <c r="G352" i="1"/>
  <c r="G354" i="1"/>
  <c r="G355" i="1"/>
  <c r="G356" i="1"/>
  <c r="G357" i="1"/>
  <c r="G358" i="1"/>
  <c r="G359" i="1"/>
  <c r="G360" i="1"/>
  <c r="G361" i="1"/>
  <c r="G362" i="1"/>
  <c r="G363" i="1"/>
  <c r="G364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5" i="1"/>
  <c r="G516" i="1"/>
  <c r="G517" i="1"/>
  <c r="G518" i="1"/>
  <c r="G519" i="1"/>
  <c r="G520" i="1"/>
  <c r="G522" i="1"/>
  <c r="G523" i="1"/>
  <c r="G524" i="1"/>
  <c r="G527" i="1"/>
  <c r="G528" i="1"/>
  <c r="G529" i="1"/>
  <c r="G531" i="1"/>
  <c r="G532" i="1"/>
  <c r="G534" i="1"/>
  <c r="G535" i="1"/>
  <c r="G536" i="1"/>
  <c r="G537" i="1"/>
  <c r="G538" i="1"/>
  <c r="G545" i="1"/>
  <c r="G546" i="1"/>
  <c r="G547" i="1"/>
  <c r="G548" i="1"/>
  <c r="G549" i="1"/>
  <c r="G550" i="1"/>
  <c r="G551" i="1"/>
  <c r="G552" i="1"/>
  <c r="G553" i="1"/>
  <c r="G554" i="1"/>
  <c r="G555" i="1"/>
  <c r="G561" i="1"/>
  <c r="G562" i="1"/>
  <c r="G564" i="1"/>
  <c r="G565" i="1"/>
  <c r="G586" i="1"/>
  <c r="G589" i="1"/>
  <c r="G590" i="1"/>
  <c r="G591" i="1"/>
  <c r="G592" i="1"/>
  <c r="G593" i="1"/>
  <c r="G239" i="1" l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70" i="1"/>
  <c r="G271" i="1"/>
  <c r="G272" i="1"/>
  <c r="G273" i="1"/>
  <c r="G274" i="1"/>
  <c r="G277" i="1"/>
  <c r="G278" i="1"/>
  <c r="G279" i="1"/>
  <c r="G280" i="1"/>
  <c r="G281" i="1"/>
  <c r="G282" i="1"/>
  <c r="G283" i="1"/>
  <c r="G284" i="1"/>
  <c r="G290" i="1"/>
  <c r="G291" i="1"/>
  <c r="G292" i="1"/>
  <c r="G293" i="1"/>
  <c r="G294" i="1"/>
  <c r="G299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1" i="1"/>
  <c r="G122" i="1"/>
  <c r="G123" i="1"/>
  <c r="G124" i="1"/>
  <c r="G27" i="1"/>
  <c r="G28" i="1"/>
  <c r="G29" i="1"/>
  <c r="G30" i="1"/>
  <c r="G31" i="1"/>
  <c r="G32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" i="1"/>
  <c r="G8" i="1"/>
  <c r="G9" i="1"/>
  <c r="G10" i="1"/>
  <c r="G11" i="1"/>
  <c r="G12" i="1"/>
  <c r="G13" i="1"/>
  <c r="G14" i="1"/>
  <c r="G16" i="1"/>
  <c r="G17" i="1"/>
  <c r="G18" i="1"/>
  <c r="G19" i="1"/>
  <c r="G20" i="1"/>
  <c r="G21" i="1"/>
  <c r="G23" i="1"/>
  <c r="G24" i="1"/>
  <c r="G25" i="1"/>
  <c r="G26" i="1"/>
  <c r="G4" i="1"/>
  <c r="G5" i="1"/>
  <c r="G2" i="1"/>
  <c r="G2883" i="1" l="1"/>
  <c r="G2882" i="1"/>
  <c r="G2881" i="1"/>
  <c r="G2880" i="1"/>
  <c r="G2879" i="1"/>
  <c r="G2878" i="1"/>
  <c r="G2877" i="1"/>
  <c r="G2875" i="1"/>
  <c r="G2874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697" i="1"/>
  <c r="G2696" i="1"/>
  <c r="G2426" i="1"/>
  <c r="G2712" i="1" l="1"/>
  <c r="G2709" i="1"/>
  <c r="G2708" i="1"/>
  <c r="G2707" i="1"/>
  <c r="G2706" i="1"/>
  <c r="G2705" i="1"/>
  <c r="G2704" i="1"/>
  <c r="G2703" i="1"/>
  <c r="G2702" i="1"/>
  <c r="G2701" i="1"/>
  <c r="G2700" i="1"/>
  <c r="G2699" i="1"/>
  <c r="G2421" i="1" l="1"/>
  <c r="G2420" i="1"/>
  <c r="G2419" i="1"/>
  <c r="G2418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4" i="1"/>
  <c r="G2393" i="1"/>
  <c r="G2392" i="1"/>
  <c r="G2391" i="1"/>
  <c r="G2390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1" i="1"/>
  <c r="G2360" i="1"/>
  <c r="G2359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6" i="1"/>
  <c r="G2284" i="1"/>
  <c r="G2283" i="1"/>
  <c r="G2282" i="1"/>
  <c r="G2281" i="1"/>
  <c r="G2280" i="1"/>
  <c r="G2279" i="1"/>
  <c r="G2278" i="1"/>
  <c r="G2276" i="1"/>
  <c r="G2275" i="1"/>
  <c r="G2273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1977" i="1" l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645" i="1" l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3" i="1"/>
  <c r="G1602" i="1"/>
  <c r="G1601" i="1"/>
  <c r="G1600" i="1"/>
  <c r="G1599" i="1"/>
  <c r="G1598" i="1"/>
  <c r="G1597" i="1"/>
  <c r="G1596" i="1"/>
  <c r="G1595" i="1"/>
  <c r="G1594" i="1"/>
  <c r="G1588" i="1"/>
  <c r="G1587" i="1"/>
  <c r="G1586" i="1"/>
  <c r="G1585" i="1"/>
  <c r="G1584" i="1"/>
  <c r="G1583" i="1"/>
  <c r="G1581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0" i="1"/>
  <c r="G1547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7" i="1"/>
  <c r="G1486" i="1"/>
  <c r="G1485" i="1"/>
  <c r="G1484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37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2" i="1"/>
  <c r="G1052" i="1" l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56" i="1"/>
  <c r="G955" i="1"/>
  <c r="G954" i="1"/>
  <c r="G953" i="1"/>
  <c r="G952" i="1"/>
  <c r="G951" i="1"/>
  <c r="G950" i="1"/>
  <c r="G949" i="1"/>
  <c r="G948" i="1"/>
  <c r="G947" i="1"/>
  <c r="G946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6" i="1"/>
  <c r="G905" i="1"/>
  <c r="G903" i="1"/>
  <c r="G902" i="1"/>
  <c r="G901" i="1"/>
  <c r="G900" i="1"/>
  <c r="G899" i="1"/>
</calcChain>
</file>

<file path=xl/sharedStrings.xml><?xml version="1.0" encoding="utf-8"?>
<sst xmlns="http://schemas.openxmlformats.org/spreadsheetml/2006/main" count="49275" uniqueCount="9792">
  <si>
    <t>DEPARTAMENTO</t>
  </si>
  <si>
    <t>MUNICIPIO</t>
  </si>
  <si>
    <t>CODIGO DIVIPOLA DPTO</t>
  </si>
  <si>
    <t xml:space="preserve"> CODIGO DIVIPOLA MUNICIPIO</t>
  </si>
  <si>
    <t xml:space="preserve">RAZON SOCIAL </t>
  </si>
  <si>
    <t xml:space="preserve">NOMBRE COMERCIAL </t>
  </si>
  <si>
    <t>INSCRIPCION</t>
  </si>
  <si>
    <t>REPRESENTANTE LEGAL O PROPIETARIO</t>
  </si>
  <si>
    <t>NIT O CEDULA</t>
  </si>
  <si>
    <t xml:space="preserve">DIRECCION </t>
  </si>
  <si>
    <t>AREA</t>
  </si>
  <si>
    <t>TELEFONO</t>
  </si>
  <si>
    <t>CORREO ELECTRÓNICO</t>
  </si>
  <si>
    <t xml:space="preserve">TIPOS DE SUJETOS </t>
  </si>
  <si>
    <t>TIPOS DE ESTABLECIMIENTOS</t>
  </si>
  <si>
    <t>TIPO DE RIESGO</t>
  </si>
  <si>
    <t>FECHA DE VISITA ACTUAL</t>
  </si>
  <si>
    <t>PORCENTAJE DE CUMPLIMENTO</t>
  </si>
  <si>
    <t>CONCEPTO SANITARIO EMITIDO</t>
  </si>
  <si>
    <t xml:space="preserve">FUNCIONARIOS QUE REALIZAN LA VISITA </t>
  </si>
  <si>
    <t xml:space="preserve">OBJETIVO DE LA VISITA </t>
  </si>
  <si>
    <t>FECHA DE VISITA ANTERIOR</t>
  </si>
  <si>
    <t>DENUNCIAS</t>
  </si>
  <si>
    <t>ETA</t>
  </si>
  <si>
    <t>PORCENTAJE DE CUMPLIMIENTO</t>
  </si>
  <si>
    <t>OBJETIVO DE LA VISTA</t>
  </si>
  <si>
    <t xml:space="preserve">DENUNCIAS </t>
  </si>
  <si>
    <t>ETAS</t>
  </si>
  <si>
    <t>MOTIVO DE LA VISITA</t>
  </si>
  <si>
    <t xml:space="preserve">FECHA ULTIMA VISITA </t>
  </si>
  <si>
    <t>CONCEPTO SANITARIO</t>
  </si>
  <si>
    <t xml:space="preserve">MOTIVO DE LA VISITA </t>
  </si>
  <si>
    <t>ESTADO</t>
  </si>
  <si>
    <t>CUENTA CON AUTORIZACION SANITARIA DEFINITIVA DECRETO 1500 Y SUS REGLAMENTARIOS</t>
  </si>
  <si>
    <t xml:space="preserve">NÚMERO Y FECHA DE LA RESOLUCION DE  AUTORIZACION SANITARIA </t>
  </si>
  <si>
    <t>EL ESTABLECIMIENTO SE LE HA APLICADO MEDIDA SANITARIA DE SEGURIDAD (MSS)?</t>
  </si>
  <si>
    <t>TIPO DE MSS APLICADA AL ESTABLECIMIENTO</t>
  </si>
  <si>
    <t>MSS a Objetos, Equipos y/o Productos</t>
  </si>
  <si>
    <t>OBSERVACIONES</t>
  </si>
  <si>
    <t xml:space="preserve">SUCRE </t>
  </si>
  <si>
    <t>BUENAVISTA</t>
  </si>
  <si>
    <t xml:space="preserve">SALON DE RECREACION EL ARROYITO </t>
  </si>
  <si>
    <t xml:space="preserve">ATILIO SERPA </t>
  </si>
  <si>
    <t>CALLE 8#3B-60</t>
  </si>
  <si>
    <t>URBANA</t>
  </si>
  <si>
    <t>NO REGISTRA</t>
  </si>
  <si>
    <t xml:space="preserve">PREPARACION DE ALIMENTOS </t>
  </si>
  <si>
    <t>RESTAURANTE</t>
  </si>
  <si>
    <t>ALTO</t>
  </si>
  <si>
    <t>FAVORABLE CON REQUERIMIENTOS</t>
  </si>
  <si>
    <t xml:space="preserve">PROGRAMACION </t>
  </si>
  <si>
    <t>NO</t>
  </si>
  <si>
    <t xml:space="preserve">NO </t>
  </si>
  <si>
    <t>ACTIVO</t>
  </si>
  <si>
    <t xml:space="preserve">BUENAVISTA </t>
  </si>
  <si>
    <t xml:space="preserve">RESTAURANTE EL CARMEN </t>
  </si>
  <si>
    <t xml:space="preserve">MARIA DEL CARMEN ARRIETA HERRERA </t>
  </si>
  <si>
    <t xml:space="preserve">CALLE 11#5-18 </t>
  </si>
  <si>
    <t>29/04/2024</t>
  </si>
  <si>
    <t>LUIS FERNANDO ARRIETA TAPIA</t>
  </si>
  <si>
    <t>PROGRAMACION</t>
  </si>
  <si>
    <t xml:space="preserve">RESTAURANTE CHINA ORIENTAL </t>
  </si>
  <si>
    <t xml:space="preserve">YONEY BARRETO </t>
  </si>
  <si>
    <t>CALLE 9 #12-06</t>
  </si>
  <si>
    <t>DIAZMARY1989@HOTMAIL.COM</t>
  </si>
  <si>
    <t xml:space="preserve">RESTAURANTE APURATE </t>
  </si>
  <si>
    <t xml:space="preserve">INELDA ISABEL CORREA SALCEDO </t>
  </si>
  <si>
    <t>CALLE 9 # 8 - 25</t>
  </si>
  <si>
    <t>Jhonnymbs20@gmail.com</t>
  </si>
  <si>
    <t xml:space="preserve">FAVORABLE CON REQUERIMIENTO </t>
  </si>
  <si>
    <t>28/10/2023</t>
  </si>
  <si>
    <t xml:space="preserve"> RESTAURANTE EL TOTUMAZO</t>
  </si>
  <si>
    <t>Jonny Manuel Bolaños soto</t>
  </si>
  <si>
    <t>CALLE 8 #13-05</t>
  </si>
  <si>
    <t xml:space="preserve">FAVORABLE CON REQUERIMIENTOS </t>
  </si>
  <si>
    <t>LUIS FERNANDI ARRIETA TAPIA</t>
  </si>
  <si>
    <t xml:space="preserve">PANADERIA Y PASTELERIA MIL RICURAS </t>
  </si>
  <si>
    <t xml:space="preserve">Anuar Eugenio meneses Gonzáles </t>
  </si>
  <si>
    <t>Calle 9#9-54</t>
  </si>
  <si>
    <t>Anuarmenesesj7@gmail.com</t>
  </si>
  <si>
    <t>MEDIO</t>
  </si>
  <si>
    <t>77.5%</t>
  </si>
  <si>
    <t>15/7/2024</t>
  </si>
  <si>
    <t>RESTAURANTE EL CORRIENTAZO</t>
  </si>
  <si>
    <t>CIELO DEL CARMEN VERGARIN MENCO</t>
  </si>
  <si>
    <t>CALLE 8 # 12-5</t>
  </si>
  <si>
    <t>29/11/2023</t>
  </si>
  <si>
    <t xml:space="preserve">FABORABLE CON REQUERIMIENTO </t>
  </si>
  <si>
    <t>PANADERIA EVER</t>
  </si>
  <si>
    <t>EVER FRANCISCO  AGUAS PATERNINA</t>
  </si>
  <si>
    <t>CALLE 5 # 7-49</t>
  </si>
  <si>
    <t>NO TREGISTRA</t>
  </si>
  <si>
    <t xml:space="preserve">PANADERIA RICO PAN </t>
  </si>
  <si>
    <t xml:space="preserve">Elena del Carmen Garrido Díaz </t>
  </si>
  <si>
    <t>Calle 8 #11-33</t>
  </si>
  <si>
    <t xml:space="preserve">No registra </t>
  </si>
  <si>
    <t>15/10/2023</t>
  </si>
  <si>
    <t>TROPICAL PICNIC</t>
  </si>
  <si>
    <t xml:space="preserve">Juan Carlos Pérez Pérez </t>
  </si>
  <si>
    <t>Calle 8#4-4</t>
  </si>
  <si>
    <t>Juank2227@gmail.com</t>
  </si>
  <si>
    <t xml:space="preserve">COMIDAS RAPIDAS </t>
  </si>
  <si>
    <t xml:space="preserve">ALTO </t>
  </si>
  <si>
    <t>LOS CARRETEROS DEL SABOR</t>
  </si>
  <si>
    <t>FADEL ACUÑA MENCO</t>
  </si>
  <si>
    <t>CALLE 9 #08-28</t>
  </si>
  <si>
    <t>FADELACUÑAMENCO1603@GMAIL.COM</t>
  </si>
  <si>
    <t>LUIS FERNANDO ARRIERA TAPIA</t>
  </si>
  <si>
    <t>22/06/2024</t>
  </si>
  <si>
    <t>LA LOCURA DEL SABOR</t>
  </si>
  <si>
    <t>FANY GARCIA PEREZ</t>
  </si>
  <si>
    <t>CALLE 8 # 4 - 12</t>
  </si>
  <si>
    <t>perezgarciafanny1607@gmail,com</t>
  </si>
  <si>
    <t>71.5%</t>
  </si>
  <si>
    <t>EL PALACIO DE LA PICADA</t>
  </si>
  <si>
    <t>CARLOA A. MORENO MOIRA</t>
  </si>
  <si>
    <t>CALLE 9 # 6 -90</t>
  </si>
  <si>
    <t>caarmomo03@hotmail.com</t>
  </si>
  <si>
    <t>17/05/2024</t>
  </si>
  <si>
    <t>CAFÉ CULTURAL MI MACONDO</t>
  </si>
  <si>
    <t>KELLY AGUILERA TORRES</t>
  </si>
  <si>
    <t>CALLE 9 # 8 -70</t>
  </si>
  <si>
    <t xml:space="preserve">FUNDACION PARA EL DESARROLLO SOSTENIBLE DE LA REGION CARIBE </t>
  </si>
  <si>
    <t>ARNOVIS ANDRES ANAYA HERNANDEZ</t>
  </si>
  <si>
    <t>900267815-7</t>
  </si>
  <si>
    <t>BARRIO SAN JOSE</t>
  </si>
  <si>
    <t>FUNREGIONCARIBE@GMAIL.COM</t>
  </si>
  <si>
    <t>COMEDORES</t>
  </si>
  <si>
    <t>3/272024</t>
  </si>
  <si>
    <t>27/7/2023</t>
  </si>
  <si>
    <t xml:space="preserve">ASOCIACION COMUNITARIA DE BIENESTAR SANTA MARTA </t>
  </si>
  <si>
    <t>MARIA ALEJANDRA HERNANDEZ</t>
  </si>
  <si>
    <t>VEREDA LAS CHICHAS</t>
  </si>
  <si>
    <t>RURAL</t>
  </si>
  <si>
    <t>28/07/2023</t>
  </si>
  <si>
    <t>FABORABLE CON REQUERIMIENTO</t>
  </si>
  <si>
    <t xml:space="preserve">HOGAR DE BIENESTAR PEQUEÑIN </t>
  </si>
  <si>
    <t>CR 12 # 7-48</t>
  </si>
  <si>
    <t>73.5%</t>
  </si>
  <si>
    <t>FAVORABLE CON REQUERIMIENTO</t>
  </si>
  <si>
    <t>HOGAR DE BIENESTAR LOS PITUFOS # 2</t>
  </si>
  <si>
    <t>CALLE 5 # 8-36</t>
  </si>
  <si>
    <t>72.5%</t>
  </si>
  <si>
    <t>13/6/2024</t>
  </si>
  <si>
    <t xml:space="preserve">HOGAR DE BIENESTAR LOS PITUFOS #3 </t>
  </si>
  <si>
    <t>CALL 9 #4-24</t>
  </si>
  <si>
    <t>84.5%</t>
  </si>
  <si>
    <t>31/7/2024</t>
  </si>
  <si>
    <t>18/8/2023</t>
  </si>
  <si>
    <t xml:space="preserve">HOGAR DE BIENESTAR LOS INQUIETOS </t>
  </si>
  <si>
    <t>MARIA ALEJANDRA HERNANDEZ HERRERA</t>
  </si>
  <si>
    <t>823000732-7</t>
  </si>
  <si>
    <t xml:space="preserve">CALLE 11#7 -52 </t>
  </si>
  <si>
    <t>asosantamarta@gmail.com</t>
  </si>
  <si>
    <t>24/05/2024</t>
  </si>
  <si>
    <t xml:space="preserve">HOGAR DE BIENESTAR LOS CHIQUITIN </t>
  </si>
  <si>
    <t>CALLE 12 #6-66</t>
  </si>
  <si>
    <t>21/08/2024</t>
  </si>
  <si>
    <t>21/02/22</t>
  </si>
  <si>
    <t>HOGAR DE BIENESTAR LA ARDILLITA</t>
  </si>
  <si>
    <t>MARIBEL SIERRA OSORIO</t>
  </si>
  <si>
    <t>CLL 7 N 1B- 05</t>
  </si>
  <si>
    <t>M.SIERRA29,1@GMAIL.COM</t>
  </si>
  <si>
    <t>24/6/2024</t>
  </si>
  <si>
    <t>INACTIVO</t>
  </si>
  <si>
    <t>HOGAR DE BIENESTAR DULCE NOMBRE DE JESUS</t>
  </si>
  <si>
    <t>CR 13 # 72</t>
  </si>
  <si>
    <t>80.5%</t>
  </si>
  <si>
    <t>LUISFERNANDO ARRIETA TAPIA</t>
  </si>
  <si>
    <t>24/11/2022</t>
  </si>
  <si>
    <t>HOGAR DE BIENESTAR DIVINO NIÑO</t>
  </si>
  <si>
    <t>CALLE12 # 6-88 BARRIO DIVINO NIÑO</t>
  </si>
  <si>
    <t>30/10/2024</t>
  </si>
  <si>
    <t>FABORABLE</t>
  </si>
  <si>
    <t>HOGAR DE BIENESTAR CARRUSEL DE LA ALEGRIA</t>
  </si>
  <si>
    <t>CALLE 6#7-17</t>
  </si>
  <si>
    <t>81.5%</t>
  </si>
  <si>
    <t>29/7/2024</t>
  </si>
  <si>
    <t>22/11/2023</t>
  </si>
  <si>
    <t xml:space="preserve">HOGAR COMUNITARIO MI SONRISA </t>
  </si>
  <si>
    <t>823000732-9</t>
  </si>
  <si>
    <t xml:space="preserve">BARRIO EL CARMEN </t>
  </si>
  <si>
    <t>23/08/2024</t>
  </si>
  <si>
    <t>17/05/2023</t>
  </si>
  <si>
    <t xml:space="preserve">HOGAR COMUNITARIO LA HORMIGITA </t>
  </si>
  <si>
    <t>CALLE 3 #10-42</t>
  </si>
  <si>
    <t>85.5%</t>
  </si>
  <si>
    <t>30/7/2024</t>
  </si>
  <si>
    <t>16/8/2023</t>
  </si>
  <si>
    <t xml:space="preserve">HOGAR COMUNITARIO LOS BULLISIOSOS </t>
  </si>
  <si>
    <t>MARTA LUZ JIMENEZ MENDOZA</t>
  </si>
  <si>
    <t>VERDA PROVIDENCIA</t>
  </si>
  <si>
    <t xml:space="preserve">RURAL </t>
  </si>
  <si>
    <t xml:space="preserve">NO REGISTRA </t>
  </si>
  <si>
    <t>LUIS FERNANDO ARRIERTA TAPIA</t>
  </si>
  <si>
    <t>PROGRAMACIÓN</t>
  </si>
  <si>
    <t>LOGISTICA Y GESTIONES BENITO SAS</t>
  </si>
  <si>
    <t>INSTITUCION EDUCATIVA COSTA RICA SEDE LOS ANONES</t>
  </si>
  <si>
    <t>901748431-0</t>
  </si>
  <si>
    <t>VEREDA LOS ANONES</t>
  </si>
  <si>
    <t>LOGISTICAYGESTIONESBENITO@GMAIL.COM</t>
  </si>
  <si>
    <t>78.5%</t>
  </si>
  <si>
    <t xml:space="preserve">HOGAR DE BIENESTAR RAYITO DE LUZ </t>
  </si>
  <si>
    <t>79.5%</t>
  </si>
  <si>
    <t>COMEDOR NUESTRA SEÑORA SEDE SAN FRANCISCO</t>
  </si>
  <si>
    <t>EIVANA RAMIREZ</t>
  </si>
  <si>
    <t>CALLE 8 # 3B-57</t>
  </si>
  <si>
    <t>ASENDEMOS@OUTLOOK.ES</t>
  </si>
  <si>
    <t>COMEDOR ESCOLAR SEDE SAN FRANCISCO DE ASIS</t>
  </si>
  <si>
    <t xml:space="preserve">IVAN CASTILLA RODRIGUEZ </t>
  </si>
  <si>
    <t>FAVORABLE</t>
  </si>
  <si>
    <t>COMEDOR ESCOLAR SEDE NUESTRA SEÑORA DEL ROSARIO</t>
  </si>
  <si>
    <t xml:space="preserve">COMEDOR ESCOLAR SEDE MARIA AUXILIADORA </t>
  </si>
  <si>
    <t xml:space="preserve">BARRIO LA CRUZ </t>
  </si>
  <si>
    <t>JOSE ANTONIO SANTANA RAMOS</t>
  </si>
  <si>
    <t>COMEDOR ESCOLAR INSTITUCION EDUCATIVA DE BUENAVISTA SEDE BACHILLERATO</t>
  </si>
  <si>
    <t>CALLE 7 #3B-61</t>
  </si>
  <si>
    <t>CDI LA BENDICION</t>
  </si>
  <si>
    <t>823001508-1</t>
  </si>
  <si>
    <t>CLL 9 KR 8-69</t>
  </si>
  <si>
    <t>ASOPADRESCUIBA@GMAIL.COM</t>
  </si>
  <si>
    <t>68.5%</t>
  </si>
  <si>
    <t xml:space="preserve">CDI EN MEDIO FAMILIAR </t>
  </si>
  <si>
    <t xml:space="preserve">ANA LUCIA VALENCIA SEVILLA 
</t>
  </si>
  <si>
    <t xml:space="preserve">CALLE 7 BARRIO EL CARMEN </t>
  </si>
  <si>
    <t>CDI BUENAVISTA URBANO</t>
  </si>
  <si>
    <t>CLL 8#3B 61</t>
  </si>
  <si>
    <t>61.5%</t>
  </si>
  <si>
    <t xml:space="preserve"> HOGAR DE BIENESTAR  MI HERMANITO </t>
  </si>
  <si>
    <t>CALLE 11 # 8 -83</t>
  </si>
  <si>
    <t>URBANO</t>
  </si>
  <si>
    <t xml:space="preserve">LUIS FERNANDO ARRIETA </t>
  </si>
  <si>
    <t xml:space="preserve">ASOCIACION DE BIENESTAR SANTA MARTA </t>
  </si>
  <si>
    <t>HOGAR DE BIENESTAR LOS ANGELITOS #3</t>
  </si>
  <si>
    <t>CR 5  #9-40 EL CARMEN</t>
  </si>
  <si>
    <t>SOBEIDADAVILA19@GMAIL.COM</t>
  </si>
  <si>
    <t>26/08/2024</t>
  </si>
  <si>
    <t>18/05/2023</t>
  </si>
  <si>
    <t>ASOCIACION COMUNITARIA SANTA MARTA</t>
  </si>
  <si>
    <t>HOGAR DE BIENESTAR LOS ANGELITOS 1</t>
  </si>
  <si>
    <t>CALLE 10 #6-39</t>
  </si>
  <si>
    <t>22/08/2024</t>
  </si>
  <si>
    <t>HOGAR DE BIENESTAR BUENOS AIRES</t>
  </si>
  <si>
    <t>CALLE 6#12A-130</t>
  </si>
  <si>
    <t xml:space="preserve">HOGAR DE BIENESTAR LOS AMIGUITOS </t>
  </si>
  <si>
    <t xml:space="preserve">CALLE 12 JESUS DE LA BUENA ESPERANZA </t>
  </si>
  <si>
    <t xml:space="preserve">URBANO </t>
  </si>
  <si>
    <t>74.5%</t>
  </si>
  <si>
    <t xml:space="preserve">MIS PEQUEÑOS GATICOS </t>
  </si>
  <si>
    <t>CALLE 10 -8 #30</t>
  </si>
  <si>
    <t>JIMENEZPATERNINAISABEL@GMAIL.COM</t>
  </si>
  <si>
    <t>NI</t>
  </si>
  <si>
    <t>900722227-8</t>
  </si>
  <si>
    <t>BARRIO EL CARMEN</t>
  </si>
  <si>
    <t xml:space="preserve"> HOGAR DE BIENESTAR  EL PATITO </t>
  </si>
  <si>
    <t>MARIA CAMILA PEREZ</t>
  </si>
  <si>
    <t>CR 10 # 12-65</t>
  </si>
  <si>
    <t xml:space="preserve">TIENDA Y VARIEDADES LA FE </t>
  </si>
  <si>
    <t>CALLE 17#5-72</t>
  </si>
  <si>
    <t>EXPENDIO DE ALIMENTOS</t>
  </si>
  <si>
    <t>EXPENDIO</t>
  </si>
  <si>
    <t>BAJO</t>
  </si>
  <si>
    <t xml:space="preserve">TIENDA SURTIANA </t>
  </si>
  <si>
    <t xml:space="preserve">ANA REGINA ATENCIA </t>
  </si>
  <si>
    <t>CR 10 #11-33</t>
  </si>
  <si>
    <t xml:space="preserve">TIENDA SAN MARTIN </t>
  </si>
  <si>
    <t xml:space="preserve">DAISY ZABALETA </t>
  </si>
  <si>
    <t>CR 13 #5-33</t>
  </si>
  <si>
    <t>TIENDA MAS X MENOS</t>
  </si>
  <si>
    <t>CELIA SALCEDO ATENCIA</t>
  </si>
  <si>
    <t>CALLE 7 #16-14</t>
  </si>
  <si>
    <t>TIENDA LA MOJANERA</t>
  </si>
  <si>
    <t>DAMARIS MARIA ATENCIA LOPEZ</t>
  </si>
  <si>
    <t>BRISAS DEL PARAISO SALIDA A GRANADA</t>
  </si>
  <si>
    <t xml:space="preserve">URNANO </t>
  </si>
  <si>
    <t xml:space="preserve">EXPENDIO </t>
  </si>
  <si>
    <t xml:space="preserve">BAJO </t>
  </si>
  <si>
    <t>TIENDA LOS MELLOS</t>
  </si>
  <si>
    <t>JOSE DAVID CORREA</t>
  </si>
  <si>
    <t>CALLE 11 #7</t>
  </si>
  <si>
    <t xml:space="preserve">TIENDA LOS MANGOS </t>
  </si>
  <si>
    <t xml:space="preserve">JOHAN RODRIGUEZ </t>
  </si>
  <si>
    <t>CALLE 82-45</t>
  </si>
  <si>
    <t>TIENDA LAS TRES HERMANAS</t>
  </si>
  <si>
    <t>DENIS CORREA DE DIAZ</t>
  </si>
  <si>
    <t xml:space="preserve">33237335
</t>
  </si>
  <si>
    <t>CALLE 12 # 6 -03</t>
  </si>
  <si>
    <t xml:space="preserve">TIENDA LAS ALEJANDRAS </t>
  </si>
  <si>
    <t xml:space="preserve">LEOPOLDO AMELL AGUILERA </t>
  </si>
  <si>
    <t>CALLE 13 #13-10</t>
  </si>
  <si>
    <t>TIENDA LA CHIROLLA</t>
  </si>
  <si>
    <t>CALLE 8 # 3 A 40</t>
  </si>
  <si>
    <t>31/10/2024</t>
  </si>
  <si>
    <t xml:space="preserve">TIENDA LA NUEVA JERUSALEN </t>
  </si>
  <si>
    <t xml:space="preserve">JAIRO ALBERTO RODRIGUEZ </t>
  </si>
  <si>
    <t>CR 10#4-25</t>
  </si>
  <si>
    <t xml:space="preserve">TIENDA LA FE </t>
  </si>
  <si>
    <t xml:space="preserve">MANUEL ARIZA </t>
  </si>
  <si>
    <t>CALLE 12 #5-72</t>
  </si>
  <si>
    <t>30/4/2024</t>
  </si>
  <si>
    <t>LUIS FERNANDO ARRIETA</t>
  </si>
  <si>
    <t>24/10/2023</t>
  </si>
  <si>
    <t xml:space="preserve">TIENDA LA BENDICION DE DIOS </t>
  </si>
  <si>
    <t>JUAN ALFREDO CASTRO</t>
  </si>
  <si>
    <t>CALLE 13 # 14-61</t>
  </si>
  <si>
    <t xml:space="preserve">TIENDA LA ANTIOQUEÑA </t>
  </si>
  <si>
    <t xml:space="preserve">GLADYS FRANCO ARIZTIZABAL </t>
  </si>
  <si>
    <t xml:space="preserve">CALLE 9 # 06-08  </t>
  </si>
  <si>
    <t xml:space="preserve">TIENDA LA 13 </t>
  </si>
  <si>
    <t xml:space="preserve">JHONNY JOSE CARPIO SALCEDO </t>
  </si>
  <si>
    <t>CALLE 9 # 14-42</t>
  </si>
  <si>
    <t xml:space="preserve">TIENDA EL CARMEN </t>
  </si>
  <si>
    <t xml:space="preserve">MIGUEL ANTONIO DURAN DOMINGEZ </t>
  </si>
  <si>
    <t>CALLE 8 # 13-17</t>
  </si>
  <si>
    <t>ANTONIO.XP1981@GMAIL.COM</t>
  </si>
  <si>
    <t>16/11/2023</t>
  </si>
  <si>
    <t>TIENDA JHONVIC</t>
  </si>
  <si>
    <t>JHONI BOLAÑOS SOTO</t>
  </si>
  <si>
    <t xml:space="preserve">CALLE 12 # 5-30
</t>
  </si>
  <si>
    <t xml:space="preserve">FAVORABLE </t>
  </si>
  <si>
    <t xml:space="preserve">TIENDA ELEIDY </t>
  </si>
  <si>
    <t>ANGELICA HERNANDEZ NAVARRO</t>
  </si>
  <si>
    <t>CALLE 7 # 14-10</t>
  </si>
  <si>
    <t>TIENDA EL PAISA</t>
  </si>
  <si>
    <t xml:space="preserve">FRANCISCO ANTONIO ZULUAGA </t>
  </si>
  <si>
    <t>CALLE 9# 05-07</t>
  </si>
  <si>
    <t xml:space="preserve">TIENDA EL MEJOR PUNTO </t>
  </si>
  <si>
    <t>7011033239001-5</t>
  </si>
  <si>
    <t>33239001-5</t>
  </si>
  <si>
    <t>CALLE 7 # 12-05</t>
  </si>
  <si>
    <t>19/10/2023</t>
  </si>
  <si>
    <t xml:space="preserve">TIENDA EL ESTADIO </t>
  </si>
  <si>
    <t xml:space="preserve">JHONNY MANUEL BOLAÑO SOTO </t>
  </si>
  <si>
    <t>CALLLER 12 #5-80</t>
  </si>
  <si>
    <t>22/11/2024</t>
  </si>
  <si>
    <t>75,75%</t>
  </si>
  <si>
    <t>LUIS FERNANO ARRIETA TAPIA</t>
  </si>
  <si>
    <t>TIENDA DONDE IRIS</t>
  </si>
  <si>
    <t>IRIS ARGELIA JUMENEZ DAVILA</t>
  </si>
  <si>
    <t>CALLE 8 # 5-53</t>
  </si>
  <si>
    <t>20/10/2024</t>
  </si>
  <si>
    <t>TIENDA EL CUENTECITO</t>
  </si>
  <si>
    <t xml:space="preserve">DELCY ESTER SALCEDO ATENCIA </t>
  </si>
  <si>
    <t>CALLE 8 #16-04</t>
  </si>
  <si>
    <t>28/04/2023</t>
  </si>
  <si>
    <t xml:space="preserve">TIENDA DONDE GOYO </t>
  </si>
  <si>
    <t xml:space="preserve">JOSE ZABALETA </t>
  </si>
  <si>
    <t>CALLE 5 #11-33</t>
  </si>
  <si>
    <t>18/11/2024</t>
  </si>
  <si>
    <t xml:space="preserve">TIENDA DONDE ESTEBAN </t>
  </si>
  <si>
    <t xml:space="preserve">ESTEBAN GARIZADO ARRIETA </t>
  </si>
  <si>
    <t>CALLE 8 # 1C-25</t>
  </si>
  <si>
    <t xml:space="preserve">TIENDA DONDE CHIROLLA </t>
  </si>
  <si>
    <t>JOSE CORREA SACO</t>
  </si>
  <si>
    <t>CALLE 10 # 3A-40</t>
  </si>
  <si>
    <t xml:space="preserve">TIENDA DONDE ANDRES </t>
  </si>
  <si>
    <t xml:space="preserve">ANDRES GONZALEZ PEREZ </t>
  </si>
  <si>
    <t>CR 6 CALLE10 #50</t>
  </si>
  <si>
    <t>26/22/2024</t>
  </si>
  <si>
    <t>LUIS FERNANO ARRIETA</t>
  </si>
  <si>
    <t xml:space="preserve">TIENDA DON PEPE </t>
  </si>
  <si>
    <t xml:space="preserve">LUIS CARLOS TAPIA </t>
  </si>
  <si>
    <t>CALLE 11 CR 8</t>
  </si>
  <si>
    <t>TIENDA D1</t>
  </si>
  <si>
    <t xml:space="preserve">FERNANDO GONZALEZ SOMOZA </t>
  </si>
  <si>
    <t>CALLE 8 # 8-70</t>
  </si>
  <si>
    <t>TIENDA ALVAREZ</t>
  </si>
  <si>
    <t xml:space="preserve">HERNANDO ALVAREZ </t>
  </si>
  <si>
    <t>CALLE 5#9-30</t>
  </si>
  <si>
    <t>19/11/2024</t>
  </si>
  <si>
    <t>26/102021</t>
  </si>
  <si>
    <t>TIENDA DONDE LEO</t>
  </si>
  <si>
    <t>LEONARDO MIGUEL ZABAALETA</t>
  </si>
  <si>
    <t>VEREDA PROVIDENCIA</t>
  </si>
  <si>
    <t xml:space="preserve">SUPERTIENDA EL REBAJON </t>
  </si>
  <si>
    <t xml:space="preserve">MARLON DAVID CAMPO ATENCIA </t>
  </si>
  <si>
    <t>CALLE 8# 06-114</t>
  </si>
  <si>
    <t>MARLONJOCAMPO2020@GMAIL.COM</t>
  </si>
  <si>
    <t>27/11/2024</t>
  </si>
  <si>
    <t>GRANERO EL COSTEÑO</t>
  </si>
  <si>
    <t>MARCOS FIDEL ACUÑA SIERRA</t>
  </si>
  <si>
    <t>CARRERA 4 # 12-12</t>
  </si>
  <si>
    <t>21/11/2024</t>
  </si>
  <si>
    <t xml:space="preserve">SUPERTIENDA EL PAISA </t>
  </si>
  <si>
    <t xml:space="preserve">YAFER GONZALEZ ANAYA </t>
  </si>
  <si>
    <t xml:space="preserve">CALLE 10 ESQUINA </t>
  </si>
  <si>
    <t xml:space="preserve">SUPERTIENDA EL BARATON </t>
  </si>
  <si>
    <t>LUCIA MARIA MARIN</t>
  </si>
  <si>
    <t>CALLE 10 # 9-48</t>
  </si>
  <si>
    <t>SALSAMENTARIA J.E.</t>
  </si>
  <si>
    <t>EDY JOSE RETAMOZA</t>
  </si>
  <si>
    <t>CALLE 9 #12-29</t>
  </si>
  <si>
    <t>EDYRETAMOZA@GMAIL.COM</t>
  </si>
  <si>
    <t>29/4/2024</t>
  </si>
  <si>
    <t>LUIS FERNANDO ARRIETA TAOIA</t>
  </si>
  <si>
    <t>17/4/2023</t>
  </si>
  <si>
    <t xml:space="preserve">MERKATODO BUENAVISTA </t>
  </si>
  <si>
    <t xml:space="preserve">TATIANA CORREA BOHORQUEZ </t>
  </si>
  <si>
    <t>CALLE 8 #8-03</t>
  </si>
  <si>
    <t>MERCADO 7 DE AGOSTO</t>
  </si>
  <si>
    <t xml:space="preserve">ALCIDEZ MEZA MOLINA </t>
  </si>
  <si>
    <t>CALLE 9 # 3A - 18</t>
  </si>
  <si>
    <t xml:space="preserve">GRANERO SALOME </t>
  </si>
  <si>
    <t>VERONICA CASTRO</t>
  </si>
  <si>
    <t>CR 13 # 8-25</t>
  </si>
  <si>
    <t>GRANERO EL ANTIOQUEÑO DEL SANTUARIO</t>
  </si>
  <si>
    <t xml:space="preserve">DAVID ZALAZAR </t>
  </si>
  <si>
    <t>CALLE 9 # 6-06</t>
  </si>
  <si>
    <t xml:space="preserve">PROGRAMACIÓN </t>
  </si>
  <si>
    <t>20/11/2023</t>
  </si>
  <si>
    <t>FRUTAS Y VARIEDADES EL PAISITA</t>
  </si>
  <si>
    <t xml:space="preserve">JUAN GUILLERMO GIRALDO CARDENAS </t>
  </si>
  <si>
    <t>CR 13 # 9- 59</t>
  </si>
  <si>
    <t xml:space="preserve">ESTADERO DONDE LIBIA </t>
  </si>
  <si>
    <t xml:space="preserve">LIBIA CORREA PAYARES </t>
  </si>
  <si>
    <t>CR9 # 11-45</t>
  </si>
  <si>
    <t>DULCERIA SWEET</t>
  </si>
  <si>
    <t>YERLIS RAMIREZ AGUAS</t>
  </si>
  <si>
    <t>CALLE 8 # 10 - 63</t>
  </si>
  <si>
    <t>DULCERIA LA SEÑORA MARINA</t>
  </si>
  <si>
    <t>MARINA AGUAS PATERNINA</t>
  </si>
  <si>
    <t>CALLE 8 KR 11</t>
  </si>
  <si>
    <t>YERLYRAMIREZ@HOTMAIL.COM</t>
  </si>
  <si>
    <t>DEPOSITO MEDELLIN # 2</t>
  </si>
  <si>
    <t xml:space="preserve">JOSE GALLO ARISTIZABAL </t>
  </si>
  <si>
    <t>CALLE 8#4 - 120</t>
  </si>
  <si>
    <t>DULCES Y MEKATOS</t>
  </si>
  <si>
    <t>YERLIS DEL CARMEN RAMIREZ AGUAS</t>
  </si>
  <si>
    <t>CALLE 9 #11-02</t>
  </si>
  <si>
    <t>25/11/2024</t>
  </si>
  <si>
    <t xml:space="preserve">TODO LICORES </t>
  </si>
  <si>
    <t>CR 9 # 9-18</t>
  </si>
  <si>
    <t>EXPENDIO DE BEBIDAS ALCOHOLICAS</t>
  </si>
  <si>
    <t>STRAGOS DISCO BAR</t>
  </si>
  <si>
    <t>LUIS FELIPE CERRO AMELL</t>
  </si>
  <si>
    <t>CALLE 8 # 8 -57</t>
  </si>
  <si>
    <t xml:space="preserve">LICORES SANTA LUCIA </t>
  </si>
  <si>
    <t>TERESA RAQUEL AVILA MANJARES</t>
  </si>
  <si>
    <t>CALLE 10# 9 -31</t>
  </si>
  <si>
    <t>LICORES PUNTO ROAKY</t>
  </si>
  <si>
    <t>CALLE 8#9-41</t>
  </si>
  <si>
    <t>LICORES EL CARMEN</t>
  </si>
  <si>
    <t>PEDRO ACOSTA SALCEDO</t>
  </si>
  <si>
    <t>CALLE 10 # 6 - 34</t>
  </si>
  <si>
    <t>LICORERA TAWFIQ 1</t>
  </si>
  <si>
    <t>ERMIDES LOZANO</t>
  </si>
  <si>
    <t>CALLE 8 #14- 1</t>
  </si>
  <si>
    <t>LA PLAYITA</t>
  </si>
  <si>
    <t>ENRRIQUE CARLOS ARRIETA</t>
  </si>
  <si>
    <t xml:space="preserve">LA FIRMA DISCO BAR BUENAVISTA </t>
  </si>
  <si>
    <t xml:space="preserve">JHON ALEX TORRES TAPIA </t>
  </si>
  <si>
    <t>18762390-2</t>
  </si>
  <si>
    <t>CALLE 8 - 10 - 62</t>
  </si>
  <si>
    <t>JHONTORRES05@HOTMAIL.COM</t>
  </si>
  <si>
    <t>23/10/23</t>
  </si>
  <si>
    <t xml:space="preserve">LA FAMA PLUS </t>
  </si>
  <si>
    <t>MARTHA REGINA AMELL</t>
  </si>
  <si>
    <t>CR9 CALLE 8-14</t>
  </si>
  <si>
    <t xml:space="preserve">ESTADERO Y BILLARES LA CURVA </t>
  </si>
  <si>
    <t>CR 4 CALLE 10-158</t>
  </si>
  <si>
    <t>ESTADERO LA TERRAZA DONDE LILA</t>
  </si>
  <si>
    <t>LILA GONZALEZ GONZALEZ</t>
  </si>
  <si>
    <t>CARRERA 12 # 7-32</t>
  </si>
  <si>
    <t>LILAFGONZALEZ@HOTMAIIL.COM</t>
  </si>
  <si>
    <t>LUIS GERNADO ARRIETA TAPIA</t>
  </si>
  <si>
    <t>20/4/2023</t>
  </si>
  <si>
    <t>ESTADERO H.G.</t>
  </si>
  <si>
    <t xml:space="preserve">HUMBERTO GALVAN TAPIA </t>
  </si>
  <si>
    <t>CALLE 12 #8-5</t>
  </si>
  <si>
    <t>CLUB CAMPESTRE TARDES DE VERANO</t>
  </si>
  <si>
    <t>JESUS DAVID MERCADO</t>
  </si>
  <si>
    <t>CALLE 8 #16-45</t>
  </si>
  <si>
    <t>CLUBCAMPESTRETARDESDEVERANO@GMAIL.COM</t>
  </si>
  <si>
    <t>28/11/2024</t>
  </si>
  <si>
    <t xml:space="preserve">BOMBILLO ROJO </t>
  </si>
  <si>
    <t>ISARAEL CORREA</t>
  </si>
  <si>
    <t>CALLE 5# 17-83</t>
  </si>
  <si>
    <t>KEVIN ARIZA</t>
  </si>
  <si>
    <t>CR 4.CALLE 11</t>
  </si>
  <si>
    <t xml:space="preserve">BILLARES EL PLATANAL </t>
  </si>
  <si>
    <t xml:space="preserve">RODRIGO RODRIGUEZ CARPIO </t>
  </si>
  <si>
    <t>CR 1D #6A-20</t>
  </si>
  <si>
    <t xml:space="preserve">BILLARES DONDE ALBE </t>
  </si>
  <si>
    <t xml:space="preserve">TOMAS ZABALETA SERPA </t>
  </si>
  <si>
    <t>CALLE 5# 11-33</t>
  </si>
  <si>
    <t xml:space="preserve">BILLAR MADRID </t>
  </si>
  <si>
    <t xml:space="preserve">EMILIO AGUILERA </t>
  </si>
  <si>
    <t xml:space="preserve">CR4 CALLE 10 </t>
  </si>
  <si>
    <t xml:space="preserve">BAR EL CANARIO </t>
  </si>
  <si>
    <t xml:space="preserve">MARIO JOSE SALCEDO ATENCIA </t>
  </si>
  <si>
    <t>CALLE 9-16</t>
  </si>
  <si>
    <t>BAR AQUI ESTA LO TUYO</t>
  </si>
  <si>
    <t xml:space="preserve">MILADYS GUZMAN SERNA </t>
  </si>
  <si>
    <t>CALLE 5# 17-77</t>
  </si>
  <si>
    <t xml:space="preserve">KARNICERIA EL K'NECO </t>
  </si>
  <si>
    <t xml:space="preserve">EMILIO RODRIGUEZ GONZALEZ </t>
  </si>
  <si>
    <t>CALLE 9 # 7-29</t>
  </si>
  <si>
    <t xml:space="preserve">CARNICERIA LOS MELLOS </t>
  </si>
  <si>
    <t xml:space="preserve">SAUL TAPIA ALDANA </t>
  </si>
  <si>
    <t>CALLE 11#8-25</t>
  </si>
  <si>
    <t xml:space="preserve">CARNICERIA LOS 4 HERMANOS </t>
  </si>
  <si>
    <t xml:space="preserve">ENEVIL HERNANDEZ DAVILA </t>
  </si>
  <si>
    <t>CALLE 9 CR 9 #9-113</t>
  </si>
  <si>
    <t>CARNICERIA DONDE ALEX</t>
  </si>
  <si>
    <t>GREGORIA BENAVIDES ZABALETA</t>
  </si>
  <si>
    <t>SUCRE</t>
  </si>
  <si>
    <t>CAIMITO</t>
  </si>
  <si>
    <t> </t>
  </si>
  <si>
    <t>TIENDA SAN VICENTE FERRER</t>
  </si>
  <si>
    <t>ALIRIO CAMPO AVILEZ</t>
  </si>
  <si>
    <t>11040823-6</t>
  </si>
  <si>
    <t>CARRERA 12 CALLE 12</t>
  </si>
  <si>
    <t>26/03/2024</t>
  </si>
  <si>
    <t>GRANERO EL CENTRAL</t>
  </si>
  <si>
    <t>RAFAEL CORONADO BENITEZ</t>
  </si>
  <si>
    <t>CRA 12N CALLE 12- 1</t>
  </si>
  <si>
    <t>19/07/2024</t>
  </si>
  <si>
    <t>15/12/2022</t>
  </si>
  <si>
    <t>CARBÓN Y SABOR</t>
  </si>
  <si>
    <t>JOHAN GUERRERO GAIBAO</t>
  </si>
  <si>
    <t>CALLE 13#14-76</t>
  </si>
  <si>
    <t>COMIDAS RAPIDAS</t>
  </si>
  <si>
    <t>20/03/2024</t>
  </si>
  <si>
    <t>15/11/2023</t>
  </si>
  <si>
    <t>ESTADERO FUENTE DE SODA</t>
  </si>
  <si>
    <t>MARIA FAUSTINA PULIDO ARRAEZ</t>
  </si>
  <si>
    <t>AV. ALFONSO LÓPEZ, SECTOR LA SANTA.</t>
  </si>
  <si>
    <t>26/10/2023</t>
  </si>
  <si>
    <t>10//11/2022</t>
  </si>
  <si>
    <t xml:space="preserve">TIENDA EL VIEJO </t>
  </si>
  <si>
    <t>FABIAN JOSE GONZALEZ</t>
  </si>
  <si>
    <t>18877588-8</t>
  </si>
  <si>
    <t>CR 18 # 31-74</t>
  </si>
  <si>
    <t>ANDREAGONZALEZU29@GMIAL.COM</t>
  </si>
  <si>
    <t>27/08/2025</t>
  </si>
  <si>
    <t xml:space="preserve">JULIA MEZA </t>
  </si>
  <si>
    <t>EL PATACÓN DEL CHESPI. MULTISERVICIOS.</t>
  </si>
  <si>
    <t>MARIA ANDREA VEGA VEGA</t>
  </si>
  <si>
    <t>CALLE LOS ESTUDIANTES. SECTOR CÉNTRICO</t>
  </si>
  <si>
    <t>16/08/2023</t>
  </si>
  <si>
    <t>14/09/2022</t>
  </si>
  <si>
    <t>COMIDAS RÁPIDAS LA 13</t>
  </si>
  <si>
    <t>ISAÍAS DAVID RODRÍGUEZ CERVERA</t>
  </si>
  <si>
    <t>CALKE 13#13-40</t>
  </si>
  <si>
    <t>SABOR TODO RICO</t>
  </si>
  <si>
    <t>CARLOS MANUEL ESCOBAR VÁSQUEZ</t>
  </si>
  <si>
    <t>CRA 10#12-32</t>
  </si>
  <si>
    <t>24/11/2023</t>
  </si>
  <si>
    <t>ESTADERO Y BILLARES JUNIOR</t>
  </si>
  <si>
    <t>EMERSON RODRIGUEZ GUERRERO</t>
  </si>
  <si>
    <t>CALLE 14 #7-9</t>
  </si>
  <si>
    <t>27/03/2024</t>
  </si>
  <si>
    <t>15/07/2023</t>
  </si>
  <si>
    <t>31/03/2022</t>
  </si>
  <si>
    <t>ESTADERO SATURNO</t>
  </si>
  <si>
    <t xml:space="preserve">WILLIAM JOSE GUERRERO </t>
  </si>
  <si>
    <t>CR 16 #10-29</t>
  </si>
  <si>
    <t>13/07/2023</t>
  </si>
  <si>
    <t>20/05/2022</t>
  </si>
  <si>
    <t xml:space="preserve">FRUTAS Y VERDURAS LA MINORISTA </t>
  </si>
  <si>
    <t>MARIANA MARIN FRANCO</t>
  </si>
  <si>
    <t xml:space="preserve">CALLE DEL COMERCIO </t>
  </si>
  <si>
    <t>18/07/2023</t>
  </si>
  <si>
    <t>19/06/2019</t>
  </si>
  <si>
    <t xml:space="preserve">GRANERO EL PUMA </t>
  </si>
  <si>
    <t xml:space="preserve">JUAN PABLO ZULUAGA VELEZ </t>
  </si>
  <si>
    <t xml:space="preserve">SAN VICENTE </t>
  </si>
  <si>
    <t xml:space="preserve">TIENDA LA FORTALEZA </t>
  </si>
  <si>
    <t>ALCIRA CALY FORTICH</t>
  </si>
  <si>
    <t>CALLE 12 # 14-21</t>
  </si>
  <si>
    <t>27/07/2023</t>
  </si>
  <si>
    <t>PAUSA BEER DISCO  BAR</t>
  </si>
  <si>
    <t xml:space="preserve">ANDRES GÓMEZ ESPINOZA </t>
  </si>
  <si>
    <t xml:space="preserve">FRENTE LA PLAZA PRINCIPAL </t>
  </si>
  <si>
    <t>15/04/2024</t>
  </si>
  <si>
    <t>TIENDA EL RETORNO</t>
  </si>
  <si>
    <t xml:space="preserve">LEOVIJILDO VERGARA MADERA </t>
  </si>
  <si>
    <t>CR 10# 12-3</t>
  </si>
  <si>
    <t>22/03/2024</t>
  </si>
  <si>
    <t>TIENDA AVENIDA EL PARAISO</t>
  </si>
  <si>
    <t xml:space="preserve">BERTA BARRAGAN BARRIOS </t>
  </si>
  <si>
    <t>CALLE 10 AV LAS GUADUAS</t>
  </si>
  <si>
    <t>21/11/2023</t>
  </si>
  <si>
    <t>TIENDA EMA</t>
  </si>
  <si>
    <t>ELYS GARCIA DE MOYA</t>
  </si>
  <si>
    <t xml:space="preserve">AV. ALFONSO LÓPEZ </t>
  </si>
  <si>
    <t>14/06/2022</t>
  </si>
  <si>
    <t>MINIMARKET SALSAS Y CARNES FRIAS</t>
  </si>
  <si>
    <t>CARLOS MONTES AGUAS</t>
  </si>
  <si>
    <t xml:space="preserve">CRA 12 CALLE 12-94 </t>
  </si>
  <si>
    <t xml:space="preserve">RESTAURANTE RANCHO GRANDE </t>
  </si>
  <si>
    <t>YANETH DIAZ TEJADA</t>
  </si>
  <si>
    <t>CR 13-27</t>
  </si>
  <si>
    <t>18/10/2023</t>
  </si>
  <si>
    <t>ESTADERO BILLARES EL MOYE</t>
  </si>
  <si>
    <t>OSCAR RODRÍGUEZ VEGA</t>
  </si>
  <si>
    <t>ÁVENIDA PRINCIPAL</t>
  </si>
  <si>
    <t xml:space="preserve">CARNICERIA PRINCIPAL </t>
  </si>
  <si>
    <t>ANTONIO TOVAR MADERA</t>
  </si>
  <si>
    <t>13/08/2024</t>
  </si>
  <si>
    <t>30/06/2022</t>
  </si>
  <si>
    <t>CARNICERIA ALVAREZ</t>
  </si>
  <si>
    <t xml:space="preserve">JOHANA SIERRA  SARMIENTO </t>
  </si>
  <si>
    <t>18/10/2024</t>
  </si>
  <si>
    <t>20/10/2021</t>
  </si>
  <si>
    <t>RESTAURANTE CAIMITO PLAZA</t>
  </si>
  <si>
    <t>AV. ALFONSO LOPEZ</t>
  </si>
  <si>
    <t>30/08/2024</t>
  </si>
  <si>
    <t>19/07/2023</t>
  </si>
  <si>
    <t>16/06/2022</t>
  </si>
  <si>
    <t>TIENDA EL ORIENTE</t>
  </si>
  <si>
    <t>BAIBER ALFONSO VERGARA</t>
  </si>
  <si>
    <t>KR 9 # 14-38</t>
  </si>
  <si>
    <t>29/08/2023</t>
  </si>
  <si>
    <t>24/05/2022</t>
  </si>
  <si>
    <t> ASOCIACION DE PADRES DE FAMILIA - CAIMITO</t>
  </si>
  <si>
    <t xml:space="preserve"> LOS ESTUDIANTES </t>
  </si>
  <si>
    <t xml:space="preserve">DANIELA DAVILA CARDOZO </t>
  </si>
  <si>
    <t>CALLE 11 CR 13-19</t>
  </si>
  <si>
    <t>KAVAHERE@GMAIL.COM</t>
  </si>
  <si>
    <t>23/07/2025</t>
  </si>
  <si>
    <t>81,50%</t>
  </si>
  <si>
    <t xml:space="preserve">JULIA  MEZA </t>
  </si>
  <si>
    <t>25/07/2024</t>
  </si>
  <si>
    <t>20/12/2023</t>
  </si>
  <si>
    <t>0/01/1900</t>
  </si>
  <si>
    <t>TIENDA MANANTIAL</t>
  </si>
  <si>
    <t>VANESA CARDENAS CAMPO</t>
  </si>
  <si>
    <t>1102874807-8</t>
  </si>
  <si>
    <t>CALLE 13 # 11-20</t>
  </si>
  <si>
    <t>21/04/2023</t>
  </si>
  <si>
    <t xml:space="preserve">ASOPADRES - HOGAR DE BIENESTAR  AGRUPADO CAIMITO </t>
  </si>
  <si>
    <t xml:space="preserve">CALLE 8 KR 11 </t>
  </si>
  <si>
    <t>20/08/2024</t>
  </si>
  <si>
    <t>28/09/2023</t>
  </si>
  <si>
    <t>17/06/2022</t>
  </si>
  <si>
    <t xml:space="preserve">CENTRO DE VIDA CANITAS CON AMOR </t>
  </si>
  <si>
    <t xml:space="preserve">VICTOR HUGO GOEZ DIAZ </t>
  </si>
  <si>
    <t>CALLE 11 # 11-17</t>
  </si>
  <si>
    <t>31/07/2024</t>
  </si>
  <si>
    <t>28/05/2018</t>
  </si>
  <si>
    <t>ESTADERO XY</t>
  </si>
  <si>
    <t xml:space="preserve">ALBA LUZ CARDOZO VILORIA </t>
  </si>
  <si>
    <t>CALLE 10#11-7</t>
  </si>
  <si>
    <t>30/07/2024</t>
  </si>
  <si>
    <t>24/10/2019</t>
  </si>
  <si>
    <t>PUERTO CUBA # 1</t>
  </si>
  <si>
    <t xml:space="preserve">ARNOBIS CORONADO ROMERO </t>
  </si>
  <si>
    <t>CALLE 4 CR 3-19-14</t>
  </si>
  <si>
    <t>27/06/2023</t>
  </si>
  <si>
    <t>27/04/2022</t>
  </si>
  <si>
    <t>COMIDAS RAPIDAS DON CANDIDO</t>
  </si>
  <si>
    <t>AUDENIS HERNANDEZ</t>
  </si>
  <si>
    <t>19/05/2022</t>
  </si>
  <si>
    <t xml:space="preserve">URBAN PIZZA </t>
  </si>
  <si>
    <t>ALEJANDRA CARDOZO PEÑA</t>
  </si>
  <si>
    <t>1100250188-1</t>
  </si>
  <si>
    <t xml:space="preserve">CALLE LA PALMA </t>
  </si>
  <si>
    <t>23/01/2023</t>
  </si>
  <si>
    <t>PANADERIA Y RESPOTERIA RAPIPAN</t>
  </si>
  <si>
    <t>CALLE 13 AV ALFONSO LOPEZ</t>
  </si>
  <si>
    <t xml:space="preserve">DISLICORES LA 13 </t>
  </si>
  <si>
    <t>YISELTH SANCHEZ</t>
  </si>
  <si>
    <t>CALLE 13 CARRERA 13-48</t>
  </si>
  <si>
    <t xml:space="preserve">HCBF LOS LAURELES </t>
  </si>
  <si>
    <t>823002828-6</t>
  </si>
  <si>
    <t>24/04/2025</t>
  </si>
  <si>
    <t>24/03/2023</t>
  </si>
  <si>
    <t>RESTAURANTE EL TAMBO</t>
  </si>
  <si>
    <t>CLL 8 CRA 8-28</t>
  </si>
  <si>
    <t>malky_29@gmail.com</t>
  </si>
  <si>
    <t>19/04/2024</t>
  </si>
  <si>
    <t xml:space="preserve">GRANERO EL CARMEN </t>
  </si>
  <si>
    <t xml:space="preserve">ARNEL LAMBRAÑO </t>
  </si>
  <si>
    <t>22/02/2024</t>
  </si>
  <si>
    <t>TIENDA ADONAY</t>
  </si>
  <si>
    <t xml:space="preserve">CRISTIAN CRUZ HOYOS </t>
  </si>
  <si>
    <t>CALLE 11 - 12-90</t>
  </si>
  <si>
    <t>19/08/2022</t>
  </si>
  <si>
    <t xml:space="preserve">TIENDA BERACA </t>
  </si>
  <si>
    <t xml:space="preserve">HERNAN RIVERA ALVAREZ </t>
  </si>
  <si>
    <t xml:space="preserve">BARRIO EL PORVENIR </t>
  </si>
  <si>
    <t>19/12/2022</t>
  </si>
  <si>
    <t xml:space="preserve">LEGUMBRES LA ABUNDANCIA </t>
  </si>
  <si>
    <t>MARIA UPARELA</t>
  </si>
  <si>
    <t>CALLE 13 #13-28</t>
  </si>
  <si>
    <t>22/10/2024</t>
  </si>
  <si>
    <t>FULL PARRILLADAS</t>
  </si>
  <si>
    <t xml:space="preserve">JAIME COTERA GUZMAN </t>
  </si>
  <si>
    <t xml:space="preserve">CALLE13 ALFONSOLOPEZ </t>
  </si>
  <si>
    <t>ESTADERO Y BILLARES GUARINO</t>
  </si>
  <si>
    <t xml:space="preserve">ANA GUERRERO </t>
  </si>
  <si>
    <t xml:space="preserve">AVENIDA GUARAMO </t>
  </si>
  <si>
    <t>JEISON EXPRESS</t>
  </si>
  <si>
    <t>MARY LUZ PEREZ OCAMPO</t>
  </si>
  <si>
    <t>CL 17 N 7-52</t>
  </si>
  <si>
    <t>31/05/2024</t>
  </si>
  <si>
    <t>25/07/2022</t>
  </si>
  <si>
    <t xml:space="preserve">PANADERIA SHALOM </t>
  </si>
  <si>
    <t>JOSE RINCON RUIZ</t>
  </si>
  <si>
    <t xml:space="preserve">CALLE SAN JOSE -CENTRO </t>
  </si>
  <si>
    <t xml:space="preserve">UNION TEMPORAL POR UNA VEJEZ CON DIGNIDAD SUCRE 2023 </t>
  </si>
  <si>
    <t>CENTRO DE VIDA LAS PALMAS</t>
  </si>
  <si>
    <t>GIOVANNI CARDONELL FERRER</t>
  </si>
  <si>
    <t>901767658-6</t>
  </si>
  <si>
    <t>CR 2 4-141</t>
  </si>
  <si>
    <t xml:space="preserve">ASOCIACION DE PADRES DE FAMILIA SOLERA AGUILAR </t>
  </si>
  <si>
    <t>HCBF MI BELLO JARDIN</t>
  </si>
  <si>
    <t>CR 1 CALLE 1-10 TANGA SOLA</t>
  </si>
  <si>
    <t>COMEDOR ESCOLAR INSTUTUCION EDUCATIVA SIETE PALMAS (SEDE PRINCIPAL)</t>
  </si>
  <si>
    <t>ANYI LISETH TORRADO PAEZ</t>
  </si>
  <si>
    <t xml:space="preserve">CALLE PRINCIPAL AL LADO DE LA PLAZA PUBLICA </t>
  </si>
  <si>
    <t>27/03/2025</t>
  </si>
  <si>
    <t>ASOCIACION DE PADRES DE FAMILIA SOLERA</t>
  </si>
  <si>
    <t xml:space="preserve">AGUILAR HCBF GOTITAS DE AMOR </t>
  </si>
  <si>
    <t>JUAN CARLOS MERCADO DIAZ</t>
  </si>
  <si>
    <t>823000886- 4</t>
  </si>
  <si>
    <t xml:space="preserve">CALLE 12 CR 13 </t>
  </si>
  <si>
    <t>CENTRO EDUCATIVO LA MEJIA</t>
  </si>
  <si>
    <t>PLAZA PRINCIPAL LA MEJIA</t>
  </si>
  <si>
    <t>LOGISTICAYGESTIONES@GMAIL.COM</t>
  </si>
  <si>
    <t>25/03/2025</t>
  </si>
  <si>
    <t>JULIA MEZA</t>
  </si>
  <si>
    <t>PROGRMACION</t>
  </si>
  <si>
    <t>29/09/2022</t>
  </si>
  <si>
    <t>CENTRO EDUCATIVO NUEVA ESTACION</t>
  </si>
  <si>
    <t>CALLE PRINCIPAL CORREGIMIENTO NUEVA ESTACION</t>
  </si>
  <si>
    <t>28/03/2025</t>
  </si>
  <si>
    <t>CALLE PRINCIPAL CORREGIMIENTO TOFEME</t>
  </si>
  <si>
    <t>26/03/2025</t>
  </si>
  <si>
    <t>20/09/2022</t>
  </si>
  <si>
    <t>CALLE PRINCIPAL CORREGIMIENTO LOS CAYITOS</t>
  </si>
  <si>
    <t>85,50%</t>
  </si>
  <si>
    <t>22/09/2022</t>
  </si>
  <si>
    <t>INSTITUCIOJN EDUCATIVA NUEVA ESTRELLA</t>
  </si>
  <si>
    <t>CALLE PRINCIPAL CORREGIMIENTONUEVA ESTRELLA</t>
  </si>
  <si>
    <t>23/09/2022</t>
  </si>
  <si>
    <t xml:space="preserve">ASOCIACION DE PADRES DE CAIMITO </t>
  </si>
  <si>
    <t>CARITA FELIZ</t>
  </si>
  <si>
    <t>CALLE 1 #2-29 VERDA PUEBLO NUEVO</t>
  </si>
  <si>
    <t>JOVANNISDELGADOLUNA@GMAIL.COM</t>
  </si>
  <si>
    <t>13/05/2025</t>
  </si>
  <si>
    <t>MANITAS TIERNAS</t>
  </si>
  <si>
    <t>CARERRA 2 CALLE 3-14CORREGIMIENTO NUEVA ESTACION</t>
  </si>
  <si>
    <t>21/05/2025</t>
  </si>
  <si>
    <t>76,50%</t>
  </si>
  <si>
    <t>ASOCIACION DE PADRES DE FAMILIA HCBF</t>
  </si>
  <si>
    <t>LOS AMIGUITOS</t>
  </si>
  <si>
    <t>823000886-0</t>
  </si>
  <si>
    <t>CRA 8 CLLAE 5-37 VEREDA SIETE PALMAS</t>
  </si>
  <si>
    <t>ASOPADRESDERAGUILAR@GMAIL.COM</t>
  </si>
  <si>
    <t>20/07/2025</t>
  </si>
  <si>
    <t>MI PEQUEÑO MUNDO</t>
  </si>
  <si>
    <t>823000886-4</t>
  </si>
  <si>
    <t>CALLE 3#5-56 CORREGIMIENTO DE SIETE PALMAS</t>
  </si>
  <si>
    <t>27/06/2025</t>
  </si>
  <si>
    <t>28/05/2024</t>
  </si>
  <si>
    <t>LOS BULLICIOSOS</t>
  </si>
  <si>
    <t>CALLE 10 #6-24</t>
  </si>
  <si>
    <t>30/07/2025</t>
  </si>
  <si>
    <t>27/08/2024</t>
  </si>
  <si>
    <t>HCBF EL DIVINO NIÑO</t>
  </si>
  <si>
    <t>25/04/2025</t>
  </si>
  <si>
    <t>CHALÁN</t>
  </si>
  <si>
    <t>ASOCIACION MI COLOMBIA</t>
  </si>
  <si>
    <t>900084881-7</t>
  </si>
  <si>
    <t>24/07/2024</t>
  </si>
  <si>
    <t>LUIS ROJAS</t>
  </si>
  <si>
    <t>INSPECCION,VIGILANCIA Y CONTROL</t>
  </si>
  <si>
    <t>93,50%</t>
  </si>
  <si>
    <t xml:space="preserve">INSPECCION, VIGILANCIA Y CONTROL </t>
  </si>
  <si>
    <t xml:space="preserve">BROSTY POLLO ASADERO PARRILLA BAR </t>
  </si>
  <si>
    <t xml:space="preserve">CARLOS ZULUAGA GIRALDO </t>
  </si>
  <si>
    <t>KR 3 #5A-28</t>
  </si>
  <si>
    <t xml:space="preserve">INSPECCION,VIGILANCIA Y CONTROL </t>
  </si>
  <si>
    <t>25/02/2022</t>
  </si>
  <si>
    <t>23/06/2023</t>
  </si>
  <si>
    <t>CARNICERIA, LEGUMBRERIA Y
 ABARROTES MEDELLIN</t>
  </si>
  <si>
    <t>CR 3 # 5A-28</t>
  </si>
  <si>
    <t>CORPODESUCRE@GMAIL.COM</t>
  </si>
  <si>
    <t xml:space="preserve">EXPENDIO DE ALIMENTOS </t>
  </si>
  <si>
    <t>18/09/2024</t>
  </si>
  <si>
    <t>85,75%</t>
  </si>
  <si>
    <t>77,25%</t>
  </si>
  <si>
    <t>CORPORACION PARA LA GESTION PROGRESO Y DESARROLLO DE SUCRE</t>
  </si>
  <si>
    <t xml:space="preserve">CENTRO DE VIDA MIS AÑOS DORADOS </t>
  </si>
  <si>
    <t>MARIA PAULA REYES CORE</t>
  </si>
  <si>
    <t>CRA 4P # 5-35</t>
  </si>
  <si>
    <t>LOGISTICAYGESTIONESBENITO@GMAL.COM</t>
  </si>
  <si>
    <t>29/07/2025</t>
  </si>
  <si>
    <t>CENTRO EDUCATIVO EL CIELO SEDE LA ESTELLA</t>
  </si>
  <si>
    <t>VEREDA LA ESTRELLA</t>
  </si>
  <si>
    <t>13/06/2025</t>
  </si>
  <si>
    <t>CENTRO EDUCATIVO EL CIELO SEDE POLICARPA SALAVARRIETA</t>
  </si>
  <si>
    <t>VEREDA ALEMANIA</t>
  </si>
  <si>
    <t>87,50%</t>
  </si>
  <si>
    <t>CENTRO EDUCATIVO EL CIELO SEDE SAN RAFAEL</t>
  </si>
  <si>
    <t>CORREGIMIENTO LA CEIBA</t>
  </si>
  <si>
    <t>89,50%</t>
  </si>
  <si>
    <t xml:space="preserve">FUNDACION NACIONAL PARA EL DESARROLLO INTEGRAL SOCIAL </t>
  </si>
  <si>
    <t>CDI SEMILLAS DE CHALAN</t>
  </si>
  <si>
    <t>WILLIAN MARTINEZ PEREZ</t>
  </si>
  <si>
    <t>823002720-1</t>
  </si>
  <si>
    <t>CL 6 KR 3-59</t>
  </si>
  <si>
    <t>95,50%</t>
  </si>
  <si>
    <t xml:space="preserve">ASOACIACION MI COLOMBIA </t>
  </si>
  <si>
    <t>HOGAR COMUNITARIO MI MUNDO #2</t>
  </si>
  <si>
    <t>823001984-2</t>
  </si>
  <si>
    <t xml:space="preserve">LUIS FERNANDO ROJAS </t>
  </si>
  <si>
    <t>15/07/2025</t>
  </si>
  <si>
    <t xml:space="preserve">ELISABETH MONTERROZA </t>
  </si>
  <si>
    <t xml:space="preserve">ESTADERO FUENTE DEL CIELO  </t>
  </si>
  <si>
    <t>CALLE 6 CR 3-53</t>
  </si>
  <si>
    <t>30/06/2023</t>
  </si>
  <si>
    <t>75,50%</t>
  </si>
  <si>
    <t xml:space="preserve">LILIANA DEL SOCORRO CALDERON </t>
  </si>
  <si>
    <t xml:space="preserve">EXPENDIO MARTIN ELIAS </t>
  </si>
  <si>
    <t>CR 6 CALLE 3-41</t>
  </si>
  <si>
    <t xml:space="preserve">GALLETAS CHALANERAS NELLYS </t>
  </si>
  <si>
    <t xml:space="preserve">IBETH LOPEZ </t>
  </si>
  <si>
    <t>23176127-6</t>
  </si>
  <si>
    <t>KR 4 CALLE 4A-34</t>
  </si>
  <si>
    <t>16/05/2023</t>
  </si>
  <si>
    <t>27/05/2022</t>
  </si>
  <si>
    <t>30/10/2023</t>
  </si>
  <si>
    <t>82,50%</t>
  </si>
  <si>
    <t xml:space="preserve">GRANERO LA ABUNDANCIA </t>
  </si>
  <si>
    <t xml:space="preserve">MATEO ZULUAGA DIAZ </t>
  </si>
  <si>
    <t>CALLE 6 CR 4-18</t>
  </si>
  <si>
    <t>MATEZUGO27@HOTMAIL.COM</t>
  </si>
  <si>
    <t>21/08/2025</t>
  </si>
  <si>
    <t>ASOCIACION GESTORA Y ASESORA PARA EL DESARROLLO - ASENDEMOS</t>
  </si>
  <si>
    <t>INSTITUCION EDUCATIVA CHALAN SEDE GABRIELA MISTRAL</t>
  </si>
  <si>
    <t xml:space="preserve">EIVANA ROSA RAMIREZ DAVILA </t>
  </si>
  <si>
    <t>830507103-9</t>
  </si>
  <si>
    <t>KR 5 #6 - 28</t>
  </si>
  <si>
    <t>PANADERIA ADONAY</t>
  </si>
  <si>
    <t xml:space="preserve">SURLAY SEQUEA SIERRA </t>
  </si>
  <si>
    <t xml:space="preserve">KR 3 CALLE 4-2 BR LAS BRISAS </t>
  </si>
  <si>
    <t>LEIDYSCAMENZA@GMAIL.COM</t>
  </si>
  <si>
    <t>25/05/2022</t>
  </si>
  <si>
    <t>23/05/2023</t>
  </si>
  <si>
    <t xml:space="preserve">PANADERIA V Y N </t>
  </si>
  <si>
    <t>ILEANA VALLE PATERNINA</t>
  </si>
  <si>
    <t>CLL 1B 3B -5</t>
  </si>
  <si>
    <t>VALLE719@HOTMAIL.OM</t>
  </si>
  <si>
    <t>24/04/204</t>
  </si>
  <si>
    <t>RESTAURANTE DONDE CARMENZA HUERTAS</t>
  </si>
  <si>
    <t>LIDYS CARMENZA HUERTAS BLANCO</t>
  </si>
  <si>
    <t>64450132-7</t>
  </si>
  <si>
    <t xml:space="preserve">CR 3 - 6A - 54 </t>
  </si>
  <si>
    <t>LIDYSCARMENZA@GMAIL.COM</t>
  </si>
  <si>
    <t>19/08/2025</t>
  </si>
  <si>
    <t>RESTAURANTE EN SU PUNTO</t>
  </si>
  <si>
    <t xml:space="preserve">MARICEL NARVAEZ DIAZ </t>
  </si>
  <si>
    <t>SEQUEAJAMILE@GMAIL.COM</t>
  </si>
  <si>
    <t>23/07/2024</t>
  </si>
  <si>
    <t>26/11/2020</t>
  </si>
  <si>
    <t xml:space="preserve">RESTAURANTE LA CHINA </t>
  </si>
  <si>
    <t xml:space="preserve">JAMILE SEQUEA SIERRA </t>
  </si>
  <si>
    <t>CR 3 CALLE 2B-162</t>
  </si>
  <si>
    <t>21/04/2022</t>
  </si>
  <si>
    <t>27/08/2021</t>
  </si>
  <si>
    <t>88,50%</t>
  </si>
  <si>
    <t xml:space="preserve">RESTAURANTE LA ESQUINA DEL SABOR Y EL SASON </t>
  </si>
  <si>
    <t xml:space="preserve">MARIA TORRES MEDINA </t>
  </si>
  <si>
    <t>CR 3# 8-131</t>
  </si>
  <si>
    <t>26/04/2021</t>
  </si>
  <si>
    <t xml:space="preserve">SUPERTIENDA LA FE EN DIOS </t>
  </si>
  <si>
    <t xml:space="preserve">LUZ DARYS DIAZ </t>
  </si>
  <si>
    <t>CR 6 CALLE 2 SUR 10</t>
  </si>
  <si>
    <t>87,75%</t>
  </si>
  <si>
    <t>28/08/2023</t>
  </si>
  <si>
    <t>77,50%</t>
  </si>
  <si>
    <t xml:space="preserve">SUPERTIENDA LA UNION </t>
  </si>
  <si>
    <t xml:space="preserve">SEFINSON LUIS GOMEZ CASTILLO </t>
  </si>
  <si>
    <t>CALLE 5 CR 4A-68</t>
  </si>
  <si>
    <t xml:space="preserve">TIENDA DIOS ES GRANDE </t>
  </si>
  <si>
    <t xml:space="preserve">JADID ARNULFO SALGADO </t>
  </si>
  <si>
    <t>CALLE 2 CR 8 -16</t>
  </si>
  <si>
    <t>75,25%</t>
  </si>
  <si>
    <t>DAMARYS NAVARRO BARRETO</t>
  </si>
  <si>
    <t>TIENDA DONDE DAMARYS</t>
  </si>
  <si>
    <t>CR 3#8-131</t>
  </si>
  <si>
    <t>79,50%</t>
  </si>
  <si>
    <t>83,75%</t>
  </si>
  <si>
    <t>25/10/2023</t>
  </si>
  <si>
    <t>80,50%</t>
  </si>
  <si>
    <t xml:space="preserve">MAIRA ALEJANDRA RIVERA BUELVAS </t>
  </si>
  <si>
    <t xml:space="preserve">TIENDA DONDE MAIRA </t>
  </si>
  <si>
    <t>CALLE 5 CR 2C-23</t>
  </si>
  <si>
    <t>22/10/2021</t>
  </si>
  <si>
    <t>30/08/2023</t>
  </si>
  <si>
    <t>PEDRO CHICA VEGA</t>
  </si>
  <si>
    <t>TIENDA DONDE PEDRO</t>
  </si>
  <si>
    <t>CR 7 CALLE 1 #92</t>
  </si>
  <si>
    <t>JOSE GREGORIO TOVAR BARRIOS</t>
  </si>
  <si>
    <t xml:space="preserve">TIENDA EL BARATON </t>
  </si>
  <si>
    <t>CR 7 CALLE 1-157</t>
  </si>
  <si>
    <t>26/08/2022</t>
  </si>
  <si>
    <t>70,75%</t>
  </si>
  <si>
    <t xml:space="preserve">TIENDA EL LAUREL J.C </t>
  </si>
  <si>
    <t>JAIRO CASTILLO</t>
  </si>
  <si>
    <t>CR 3 CALLE 5-4</t>
  </si>
  <si>
    <t>19/04/2022</t>
  </si>
  <si>
    <t>23/04/2021</t>
  </si>
  <si>
    <t>20/10/2020</t>
  </si>
  <si>
    <t>ARMANDO BARRIOS DIAZ</t>
  </si>
  <si>
    <t>92070453-7</t>
  </si>
  <si>
    <t>BARRIO NUEVO</t>
  </si>
  <si>
    <t>ARMANDOJOSE@HOTMAIL.COM</t>
  </si>
  <si>
    <t>19/11/2025</t>
  </si>
  <si>
    <t>26/11/2021</t>
  </si>
  <si>
    <t>29/09/2020</t>
  </si>
  <si>
    <t>78,50%</t>
  </si>
  <si>
    <t xml:space="preserve">OLGA MARINA CHAMORRO </t>
  </si>
  <si>
    <t xml:space="preserve">TIENDA LA AMISTAD </t>
  </si>
  <si>
    <t>CR 3 CALLE 12-12</t>
  </si>
  <si>
    <t>83,50%</t>
  </si>
  <si>
    <t>14/08/2023</t>
  </si>
  <si>
    <t>73,75%</t>
  </si>
  <si>
    <t>KAREN RODRIGUEZ</t>
  </si>
  <si>
    <t>15/09/2022</t>
  </si>
  <si>
    <t>15/07/2021</t>
  </si>
  <si>
    <t>31/08/2023</t>
  </si>
  <si>
    <t xml:space="preserve">FIDEL ANTONIO BENITEZ PORTO </t>
  </si>
  <si>
    <t xml:space="preserve">TIENDA LA CENTRAL </t>
  </si>
  <si>
    <t>CR 3 CALLE 7-86</t>
  </si>
  <si>
    <t xml:space="preserve">TIENDA LA ESPERANZA DE CHALAN </t>
  </si>
  <si>
    <t>29/10/2020</t>
  </si>
  <si>
    <t>21/02/2022</t>
  </si>
  <si>
    <t xml:space="preserve">GLADIS MENDEZ </t>
  </si>
  <si>
    <t xml:space="preserve">TIENDA LA MEJOR ESQUINA </t>
  </si>
  <si>
    <t>BARRIO LOS ALMENDROS
CALLE 5 CR 3-96</t>
  </si>
  <si>
    <t xml:space="preserve">GUILLERMINA DE AVILA </t>
  </si>
  <si>
    <t xml:space="preserve">TIENDA LAS COLINAS </t>
  </si>
  <si>
    <t xml:space="preserve">2 CALLE SALIDA A OVEJAS </t>
  </si>
  <si>
    <t xml:space="preserve">LILIANA MARGARITA OSORIO </t>
  </si>
  <si>
    <t xml:space="preserve">TIENDA LILI </t>
  </si>
  <si>
    <t>CR 3 CALLE 10-134</t>
  </si>
  <si>
    <t xml:space="preserve">SANDRA MILENA BARRETO </t>
  </si>
  <si>
    <t xml:space="preserve">TIENDA LOS COSTEÑOS </t>
  </si>
  <si>
    <t>CR 1 4B-10</t>
  </si>
  <si>
    <t>90,50%</t>
  </si>
  <si>
    <t>18/06/2021</t>
  </si>
  <si>
    <t>81,75%</t>
  </si>
  <si>
    <t xml:space="preserve">MARIBEL PEÑA SALAS </t>
  </si>
  <si>
    <t xml:space="preserve">TIENDA MOISES </t>
  </si>
  <si>
    <t>CALLE 46 #1-98</t>
  </si>
  <si>
    <t>21/09/2022</t>
  </si>
  <si>
    <t>30/07/2021</t>
  </si>
  <si>
    <t>80,25%</t>
  </si>
  <si>
    <t>25/07/2023</t>
  </si>
  <si>
    <t>73,25%</t>
  </si>
  <si>
    <t>ERIK RODRIGUEZ</t>
  </si>
  <si>
    <t>TIENDA SUPER ANTOJOS</t>
  </si>
  <si>
    <t>73211678-4</t>
  </si>
  <si>
    <t>CR 7 CALLE 1-197
- CALLE REAL BARRIO ABAJO</t>
  </si>
  <si>
    <t xml:space="preserve">JUSTON JOSE RIVERA </t>
  </si>
  <si>
    <t xml:space="preserve">TIENDA Y&amp;J </t>
  </si>
  <si>
    <t>CALLE 3B-29</t>
  </si>
  <si>
    <t>COLOSÓ</t>
  </si>
  <si>
    <t>EXPENDIO DE CARNES EL CAMPO</t>
  </si>
  <si>
    <t>EDER PUENTE ORTEGA</t>
  </si>
  <si>
    <t>EL ESTABLO BURGER</t>
  </si>
  <si>
    <t xml:space="preserve">JHON NARVAREZ </t>
  </si>
  <si>
    <t xml:space="preserve">BARRIO CALLE REAL </t>
  </si>
  <si>
    <t xml:space="preserve">TIENDA MARIA CLAUDIA </t>
  </si>
  <si>
    <t xml:space="preserve">MARIA PELUFFO CARDENAS </t>
  </si>
  <si>
    <t>CR5 # CALLE 5</t>
  </si>
  <si>
    <t xml:space="preserve">CUATRO ESQUINAS </t>
  </si>
  <si>
    <t xml:space="preserve">ALEXIS JOSE VILLALBA BURGOS </t>
  </si>
  <si>
    <t>CRA 8.  13. 105</t>
  </si>
  <si>
    <t xml:space="preserve">TIENDA EL MANA </t>
  </si>
  <si>
    <t xml:space="preserve">IDINA BELTRAN RIVERA </t>
  </si>
  <si>
    <t xml:space="preserve">BARRIO PALMOLIVE </t>
  </si>
  <si>
    <t xml:space="preserve">TIENDA CALIFORNIA </t>
  </si>
  <si>
    <t xml:space="preserve">ELOY SALAS PUCHE </t>
  </si>
  <si>
    <t xml:space="preserve">BARRIO LAS DELICIAS </t>
  </si>
  <si>
    <t>DULCERIA EL GRAN HAROLD</t>
  </si>
  <si>
    <t xml:space="preserve">ANUAR PUCHE MARTINEZ </t>
  </si>
  <si>
    <t>DIAG 5# 9-218</t>
  </si>
  <si>
    <t>TIENDA J.Y</t>
  </si>
  <si>
    <t xml:space="preserve">ANA PEÑATA PUCHE </t>
  </si>
  <si>
    <t>1010000098-9</t>
  </si>
  <si>
    <t>KR 7 #12-36</t>
  </si>
  <si>
    <t>18/11/2022</t>
  </si>
  <si>
    <t xml:space="preserve">LEGUMBRES Y ABARROTES LOS PAISITAS </t>
  </si>
  <si>
    <t xml:space="preserve">MAYCOL MUÑOZ LOZANO </t>
  </si>
  <si>
    <t xml:space="preserve">PLAZA PRINCIPAL </t>
  </si>
  <si>
    <t>24/06/2022</t>
  </si>
  <si>
    <t xml:space="preserve">VISTA HERMOSA </t>
  </si>
  <si>
    <t>NERYS ALQUERQUI</t>
  </si>
  <si>
    <t xml:space="preserve">VILLA MARIA </t>
  </si>
  <si>
    <t>TIENDA VIVERES GEOVA GIRETH</t>
  </si>
  <si>
    <t xml:space="preserve">ADRIAN SALAS PEREZ </t>
  </si>
  <si>
    <t>TIENDA VIVERES</t>
  </si>
  <si>
    <t>101098-9</t>
  </si>
  <si>
    <t>CALLE NUEVA</t>
  </si>
  <si>
    <t xml:space="preserve">TIENDA VIVERES JORDAN </t>
  </si>
  <si>
    <t xml:space="preserve">JULIO GIRALDO </t>
  </si>
  <si>
    <t>CR 9-33</t>
  </si>
  <si>
    <t xml:space="preserve">TIENDA MONTESION </t>
  </si>
  <si>
    <t>JEISON ZARZA VERBEL</t>
  </si>
  <si>
    <t xml:space="preserve">CALLE NUEVA </t>
  </si>
  <si>
    <t xml:space="preserve">DEPOSITO EL REGRESO </t>
  </si>
  <si>
    <t xml:space="preserve">ADALGIZA BARRIO DE DIAZ </t>
  </si>
  <si>
    <t xml:space="preserve">CALLE REAL </t>
  </si>
  <si>
    <t xml:space="preserve">TIENDA VIVERES LA FE </t>
  </si>
  <si>
    <t xml:space="preserve">MARIA HERNANDEZ LORA </t>
  </si>
  <si>
    <t>CALLE 15# 7-26</t>
  </si>
  <si>
    <t xml:space="preserve">TIENDA VIVERES POR QUE QUIERES </t>
  </si>
  <si>
    <t xml:space="preserve">HERMES SALGADO </t>
  </si>
  <si>
    <t xml:space="preserve">TIENDA COMINITARIA BAJO DON JUAN </t>
  </si>
  <si>
    <t>SANDRA ESTRADA NAVARRO</t>
  </si>
  <si>
    <t xml:space="preserve">BAJO DON JUAN </t>
  </si>
  <si>
    <t xml:space="preserve">TIENDA PUNTO FRIO </t>
  </si>
  <si>
    <t xml:space="preserve">ALBER JOSE CHAVEZ MARTINEZ </t>
  </si>
  <si>
    <t>CR 5 CALLE 4</t>
  </si>
  <si>
    <t xml:space="preserve">TIENDA AMIRA </t>
  </si>
  <si>
    <t>ANTONIO CASTRO ANGULO</t>
  </si>
  <si>
    <t xml:space="preserve">CALLE 7 CRA 9 </t>
  </si>
  <si>
    <t xml:space="preserve">BILLARES EL TROPEZON </t>
  </si>
  <si>
    <t>IRIS MADERA CARRASCAL</t>
  </si>
  <si>
    <t>BILLARES EL GRAN YIMY</t>
  </si>
  <si>
    <t xml:space="preserve">JAIME PEÑATA SALAS </t>
  </si>
  <si>
    <t>CALLE 5#5-40</t>
  </si>
  <si>
    <t>BILLAR ESTADERO LA SINCAR</t>
  </si>
  <si>
    <t xml:space="preserve">JOSE HERAZO MOSQUERA </t>
  </si>
  <si>
    <t xml:space="preserve">BARRIO 6 DE ENERO </t>
  </si>
  <si>
    <t xml:space="preserve">CLUB AMIGOS DEL VALLENATO </t>
  </si>
  <si>
    <t xml:space="preserve">OSMAN CONTRERAS RODRIGUEZ </t>
  </si>
  <si>
    <t xml:space="preserve">LICORES PUNTO FRIO </t>
  </si>
  <si>
    <t xml:space="preserve">JORGE DAVID RUIZ BARBERO </t>
  </si>
  <si>
    <t>AVENIDA 6 DE ENERO</t>
  </si>
  <si>
    <t>DISCOBAR</t>
  </si>
  <si>
    <t>EVERLIDES FERNANDEZ CARRASCAL</t>
  </si>
  <si>
    <t xml:space="preserve">PUNTO FRIO LOS HERMANOS VEGA </t>
  </si>
  <si>
    <t>MAYRA SALCEDO HERNANDEZ</t>
  </si>
  <si>
    <t xml:space="preserve">BARRIO SAN MIGUEL </t>
  </si>
  <si>
    <t xml:space="preserve">LOS RECUERDOS DE ELLA </t>
  </si>
  <si>
    <t xml:space="preserve">ENITH QUIROZ RODRIGUEZ </t>
  </si>
  <si>
    <t>EL RECUERDO RH</t>
  </si>
  <si>
    <t xml:space="preserve">WENDY HERNANDEZ TOVAR </t>
  </si>
  <si>
    <t xml:space="preserve">CR 2# 12-20 </t>
  </si>
  <si>
    <t>PANADERIA EL JORDAN</t>
  </si>
  <si>
    <t>JULIO CESAR GIRALDO HINCAPIE</t>
  </si>
  <si>
    <t>RUBERT ARROYO PATERNINA</t>
  </si>
  <si>
    <t>20/10/2022</t>
  </si>
  <si>
    <t xml:space="preserve">MI JARDINCITO </t>
  </si>
  <si>
    <t>900072094-1</t>
  </si>
  <si>
    <t>CALLE 15 9-70</t>
  </si>
  <si>
    <t>RUBERT ARROLLO PATERNINA</t>
  </si>
  <si>
    <t xml:space="preserve">HOGARES DE BIENESTAR FAMILIAR MI PEQUEÑO  MUNDO </t>
  </si>
  <si>
    <t xml:space="preserve">LILIANA SUAREZ GONZALEZ </t>
  </si>
  <si>
    <t>90072094-5</t>
  </si>
  <si>
    <t xml:space="preserve">BARRIO EL RECUERDO </t>
  </si>
  <si>
    <t xml:space="preserve">C.D. I. FORJANDO SUEÑOS </t>
  </si>
  <si>
    <t xml:space="preserve">DEIVIS CARRASCAL NARVAEZ </t>
  </si>
  <si>
    <t>CALLE 13 # 7-57</t>
  </si>
  <si>
    <t xml:space="preserve">HOGARES DE BIENESTAR FAMILIAR MI PEQUEÑO MUNDO </t>
  </si>
  <si>
    <t xml:space="preserve">VEREDA EL OJITO </t>
  </si>
  <si>
    <t>MARELVIG1826@GMAIL.COM</t>
  </si>
  <si>
    <t xml:space="preserve">RUBERT ARROYO PATERNINA </t>
  </si>
  <si>
    <t xml:space="preserve">COMEDOR ESCOLAR I.E. VICTOR ZUBIRIA </t>
  </si>
  <si>
    <t>JOSE SANTANA RAMOS</t>
  </si>
  <si>
    <t>900511056-1</t>
  </si>
  <si>
    <t xml:space="preserve">ANYI LISETH TORRADO </t>
  </si>
  <si>
    <t>JAKELINE PEREZ TORRES</t>
  </si>
  <si>
    <t xml:space="preserve">CORREGIMIENTO DE CHINULITO </t>
  </si>
  <si>
    <t>JADETO1707@GMAIL.COM</t>
  </si>
  <si>
    <t>87.5%</t>
  </si>
  <si>
    <t>RUBERT ARROYO PATERNIANA</t>
  </si>
  <si>
    <t xml:space="preserve">FUNDACION LOS FLAMINGOS </t>
  </si>
  <si>
    <t>HCBF EL PARAISO</t>
  </si>
  <si>
    <t xml:space="preserve">VEREDA  LA CEIBA </t>
  </si>
  <si>
    <t>FUNLOSFLAMINGOS@GMAIL.COM</t>
  </si>
  <si>
    <t xml:space="preserve">VEREDA LA ESTACION </t>
  </si>
  <si>
    <t xml:space="preserve">FUNFACION LOS FLAMINGOS </t>
  </si>
  <si>
    <t xml:space="preserve">VEREDA CALLE LARGA </t>
  </si>
  <si>
    <t xml:space="preserve">CORREGIMIENTO BAJO DON JUAN </t>
  </si>
  <si>
    <t xml:space="preserve">FUNDACION RENACER SOCIAL </t>
  </si>
  <si>
    <t>CDI MARIA HILDA MONTE</t>
  </si>
  <si>
    <t>CALLE 9 5-42</t>
  </si>
  <si>
    <t>ASOMICOLOMBIA@GMAIL.COM</t>
  </si>
  <si>
    <t>94.5%</t>
  </si>
  <si>
    <t xml:space="preserve">RUBERT ARROYO PATERNINA-ANDRES GUERRA ROMERO </t>
  </si>
  <si>
    <t>24/10/2022</t>
  </si>
  <si>
    <t>MI PEQUEÑA SOLEDAD</t>
  </si>
  <si>
    <t>CARRERA7   #11- 50</t>
  </si>
  <si>
    <t>88.5%</t>
  </si>
  <si>
    <t>900072094-5</t>
  </si>
  <si>
    <t>CALLE 13 #8-65</t>
  </si>
  <si>
    <t xml:space="preserve">RESTAURANTE MI CABAÑA </t>
  </si>
  <si>
    <t xml:space="preserve">MARISOL PUCHE ROMERO </t>
  </si>
  <si>
    <t xml:space="preserve">RESTAURANTE EL ALMENDRO </t>
  </si>
  <si>
    <t xml:space="preserve">EL CORRAL ASADERO DE POLLO </t>
  </si>
  <si>
    <t xml:space="preserve">MADELINE MENDEZ MERCADO </t>
  </si>
  <si>
    <t xml:space="preserve">ENTRETENEDORES Y SABORES </t>
  </si>
  <si>
    <t xml:space="preserve">JORGE ELIAS GONZALEZ GARCIA </t>
  </si>
  <si>
    <t xml:space="preserve">LLANERA EL PORVENIR </t>
  </si>
  <si>
    <t xml:space="preserve">FREDY CHIMA GENEY </t>
  </si>
  <si>
    <t>COROZAL</t>
  </si>
  <si>
    <t xml:space="preserve">HOGAR DE BIENESTAR FAMILIAR  MI RINCONCITO </t>
  </si>
  <si>
    <t>LISETH GUTIERREZ</t>
  </si>
  <si>
    <t>823000353-0</t>
  </si>
  <si>
    <t>22/04/2025</t>
  </si>
  <si>
    <t xml:space="preserve">YULENA GUERRA </t>
  </si>
  <si>
    <t>HOGAR DE BIENESTAR FAMILIAR  MI BELLO MUNDO</t>
  </si>
  <si>
    <t>LISETH YOHANA GUTIERREZ BALSEIRO</t>
  </si>
  <si>
    <t>ASOCIACIONMULTISECTORIALAHINCO@GMAIL.COM</t>
  </si>
  <si>
    <t>ELVIRA MARTINEZ</t>
  </si>
  <si>
    <t>27/8/2024</t>
  </si>
  <si>
    <t>20/6/2023</t>
  </si>
  <si>
    <t>75,5%</t>
  </si>
  <si>
    <t>HOGAR DE BIENESTAR FAMILIAR  LOS REYESITOS</t>
  </si>
  <si>
    <t>19/06/2023</t>
  </si>
  <si>
    <t>HOGAR DE BIENESTAR FAMILIAR  LOS AMIGITOS</t>
  </si>
  <si>
    <t>BARRIOS DULCE NOMBRE DE JESUS</t>
  </si>
  <si>
    <t>ASOCIACIONMULTISECTORIALAHINCO@.COM</t>
  </si>
  <si>
    <t>YULENA GUERRA</t>
  </si>
  <si>
    <t>HOGAR DE BIENESTAR FAMILAR NIÑOS DEL FUTURO</t>
  </si>
  <si>
    <t>800228669-9</t>
  </si>
  <si>
    <t>HOGAR COMUNUTARIO  DIVINO NIÑO JESUS</t>
  </si>
  <si>
    <t>CARRERA 34#33-75</t>
  </si>
  <si>
    <t>GILBERTO CAUSIL</t>
  </si>
  <si>
    <t>17/11/2023</t>
  </si>
  <si>
    <t>HOGAR COMUNITARIO MI PEQUEÑO ROSAL</t>
  </si>
  <si>
    <t xml:space="preserve">LIZETH HERNANDEZ </t>
  </si>
  <si>
    <t>800220869-9</t>
  </si>
  <si>
    <t>CLL 45 N° 21 -33</t>
  </si>
  <si>
    <t>ASOCIACIONCREAMOSFUTURO2023@GMAIL.COM</t>
  </si>
  <si>
    <t>14/9/2023</t>
  </si>
  <si>
    <t>HOGAR COMUNITARIO MI PEQUEÑO MUNDO</t>
  </si>
  <si>
    <t>CALLE 45 # 21H-27</t>
  </si>
  <si>
    <t>29/05/2024</t>
  </si>
  <si>
    <t xml:space="preserve">ASOCIACION CREAMOS FUTURO </t>
  </si>
  <si>
    <t>HOGAR COMUNITARIO MI DULCE DESPERTAR</t>
  </si>
  <si>
    <t xml:space="preserve">LIZETH PAOLA HERNANDEZ </t>
  </si>
  <si>
    <t xml:space="preserve">GILBERTO CAUSIL </t>
  </si>
  <si>
    <t>ESTABLECIMIENTO DE RECLUSION ESPECIAL "ERECOR"</t>
  </si>
  <si>
    <t xml:space="preserve">CARMEN ROCIO NAVARRO </t>
  </si>
  <si>
    <t>CR 26 # 31-59</t>
  </si>
  <si>
    <t xml:space="preserve"> HOGAR EL ROSAL</t>
  </si>
  <si>
    <t>PAOLA SALGADO</t>
  </si>
  <si>
    <t>KR 21 F 44 A 31 B LAS BRISAS</t>
  </si>
  <si>
    <t xml:space="preserve">HOGAR COMUNITARIO DULCE HOGAR </t>
  </si>
  <si>
    <t xml:space="preserve"> HOGAR DIVINO NIÑO</t>
  </si>
  <si>
    <t>LUZ SALGADO</t>
  </si>
  <si>
    <t>CL 23 26 40 SAN FRANCISCO</t>
  </si>
  <si>
    <t xml:space="preserve">ASOCIACION CREAMOR FUTURO </t>
  </si>
  <si>
    <t xml:space="preserve"> HOGAR COMUNITARIO  DIOS ES AMOR 1</t>
  </si>
  <si>
    <t xml:space="preserve">LZETH PAOLA HERNANDEZ HENRIQUE </t>
  </si>
  <si>
    <t>CALLE 12 # 27-9</t>
  </si>
  <si>
    <t xml:space="preserve"> HOGAR CORAZON DE JESUS </t>
  </si>
  <si>
    <t>LIZETH PAOLA HERNANDEZ HENRIQUE</t>
  </si>
  <si>
    <t>CL 30 40 -675 SAGRADO CORAZON JESUS</t>
  </si>
  <si>
    <t>ASOCACIONCREAMOSFUTURO2023@GMAIL.COM</t>
  </si>
  <si>
    <t xml:space="preserve">GILBERTO GIL </t>
  </si>
  <si>
    <t>14/08/2024</t>
  </si>
  <si>
    <t xml:space="preserve">HOGAR COMUNITARIO LOS AMIGUITOS </t>
  </si>
  <si>
    <t>YAQUELINE RODRIGUEZ PEREZ</t>
  </si>
  <si>
    <t>BARRIO SINAI</t>
  </si>
  <si>
    <t>30/8/2024</t>
  </si>
  <si>
    <t>GILBERTO CAUSIIL</t>
  </si>
  <si>
    <t xml:space="preserve">HOGAR COMUNITARIO SONRISITAS </t>
  </si>
  <si>
    <t xml:space="preserve">CRA 3 Cll 2-18 LA PLAZA </t>
  </si>
  <si>
    <t xml:space="preserve">HOGAR COMUNITARIO MI JARDINCITO </t>
  </si>
  <si>
    <t xml:space="preserve">CRA 2 N° 61 CHAPINERO </t>
  </si>
  <si>
    <t>COMISION DE ALIMENTACION BATALLON DE INFANTERIA DE MARINA</t>
  </si>
  <si>
    <t>TRONCAL OCCIDENTE KM 2</t>
  </si>
  <si>
    <t>IVAN GAMARRA</t>
  </si>
  <si>
    <t>823002765-0</t>
  </si>
  <si>
    <t>CENTRO</t>
  </si>
  <si>
    <t>19/07/2025</t>
  </si>
  <si>
    <t>86,50%</t>
  </si>
  <si>
    <t>19/7/2024</t>
  </si>
  <si>
    <t>FUNSALSINCELEJO@GMAIL.COM</t>
  </si>
  <si>
    <t xml:space="preserve">COMEDOR ESCOLAR  I.E. CARMELO PERCY VERGARA SEDE 7 DE AGOSTO </t>
  </si>
  <si>
    <t>COMEDOR ESCOLAR  I.E. CARMELO PERCY VERGARA SEDE LAS BRUJAS</t>
  </si>
  <si>
    <t>VEREDA LAS BRUJAS</t>
  </si>
  <si>
    <t>20/03/2025</t>
  </si>
  <si>
    <t xml:space="preserve">BARRIO SAN IGNACIO </t>
  </si>
  <si>
    <t xml:space="preserve"> INSTITUCION EDUCATIVA TECNICO AGROPECUARIO DE HATO NUEVO</t>
  </si>
  <si>
    <t xml:space="preserve">ANYI LISETH TORRADO PAEZ </t>
  </si>
  <si>
    <t>CORREGIMIENTO DE HATO NUEVO</t>
  </si>
  <si>
    <t>19/03/2025</t>
  </si>
  <si>
    <t>LA TRONCAL</t>
  </si>
  <si>
    <t>COMEDOR ESCOLAR I.E PIO XII SEDE EL CARABINERITO</t>
  </si>
  <si>
    <t>COMEDOR ESCOLAR I.E. CARMELO PERCY  SEDE IGNACIO MUÑOZ</t>
  </si>
  <si>
    <t xml:space="preserve">INSTITUCION EDUCATIVA LICEO CARMELO PERCY VERGARA SEDE LAS BRUJAS </t>
  </si>
  <si>
    <t>23/05/2024</t>
  </si>
  <si>
    <t xml:space="preserve">FAVORABLE CON REQUERIMIRNTO </t>
  </si>
  <si>
    <t>CALLE 41B # 21H-19</t>
  </si>
  <si>
    <t>23/05/2022</t>
  </si>
  <si>
    <t xml:space="preserve">CENTRO DE VIDA HOGAR DE MARIA </t>
  </si>
  <si>
    <t>CALLE 23 CR 26-35</t>
  </si>
  <si>
    <t>CABILDOPILETONZENU@HOTMAIL.COM</t>
  </si>
  <si>
    <t>ADRIAN MORALES/CARLOS ACOSTA</t>
  </si>
  <si>
    <t xml:space="preserve">CDI EL CERRITO </t>
  </si>
  <si>
    <t>CR 21 40C-12</t>
  </si>
  <si>
    <t xml:space="preserve">CDI DIVINO NIÑO JESUS </t>
  </si>
  <si>
    <t>CDI EL MAMON</t>
  </si>
  <si>
    <t>CR 5 CLL 4-160 EL MAMON</t>
  </si>
  <si>
    <t>ANDRES GUERRA</t>
  </si>
  <si>
    <t xml:space="preserve"> HOGAR CARITA FELIZ</t>
  </si>
  <si>
    <t>JOSEFINA DOMINGUEZ</t>
  </si>
  <si>
    <t>KR 21 B 45 80 BARRIO LAS BRISAS</t>
  </si>
  <si>
    <t xml:space="preserve">ACTIVO </t>
  </si>
  <si>
    <t xml:space="preserve">HOGAR COMUNITARIO GARABATOS </t>
  </si>
  <si>
    <t xml:space="preserve">LIZETH PAOLA  HERNANDEZ </t>
  </si>
  <si>
    <t>CALLE 21 N°26-110 APT 2</t>
  </si>
  <si>
    <t>MELANY LOPEZ DIAZ</t>
  </si>
  <si>
    <t xml:space="preserve">HOGAR COMUNITARIO DIOS ES AMOR </t>
  </si>
  <si>
    <t>ASOACIONCREAMOSFUTURO2023@GMAIL.COM</t>
  </si>
  <si>
    <t xml:space="preserve"> HOGAR DE BIENESTAR ANGELITOS FELICES</t>
  </si>
  <si>
    <t>CRA 20 43A- 06</t>
  </si>
  <si>
    <t>ASOCIACION MULTISECTORIALAHINCO@GMAIL.COM</t>
  </si>
  <si>
    <t xml:space="preserve">CORREGIMIENTO DE DON ALONSO </t>
  </si>
  <si>
    <t>CALLE 30 # 40-395</t>
  </si>
  <si>
    <t>21/6/2024</t>
  </si>
  <si>
    <t>823000323-0</t>
  </si>
  <si>
    <t xml:space="preserve">CARTAGENA DE INDAS </t>
  </si>
  <si>
    <t>ASOCIACION MULTISECTORIAL AHINCO</t>
  </si>
  <si>
    <t>LUZ MARLENYS SALGADO SOLORZANO</t>
  </si>
  <si>
    <t>CALLE 23 # 26A-40</t>
  </si>
  <si>
    <t xml:space="preserve"> HOGAR DE BIENESTAR FAMILIAR CHIQUITIN</t>
  </si>
  <si>
    <t>KETY  PACHECO LORA</t>
  </si>
  <si>
    <t>CALLE 23 # 26A-89</t>
  </si>
  <si>
    <t xml:space="preserve">HOGAR COMUNITARIO LOS PAYASITOS </t>
  </si>
  <si>
    <t>CALLE 14 N° 22B 07</t>
  </si>
  <si>
    <t>30/04/2024</t>
  </si>
  <si>
    <t>TIENDAS ISIMO M18</t>
  </si>
  <si>
    <t>SERGIO JOSE BARAKE KAPPAZ</t>
  </si>
  <si>
    <t>CALLE 30 #24-19</t>
  </si>
  <si>
    <t>TIENDA Y ESTADERO DONDE JOSE</t>
  </si>
  <si>
    <t>LAURA GONZALEZ</t>
  </si>
  <si>
    <t>1100628382-9</t>
  </si>
  <si>
    <t>KR 20 # 40B-05</t>
  </si>
  <si>
    <t xml:space="preserve">TIENDA MERCA ALEXIS </t>
  </si>
  <si>
    <t>LEONEL GALLO MONSALEVE</t>
  </si>
  <si>
    <t>CALLE 28 CR 29-33</t>
  </si>
  <si>
    <t>TIENDA MAS POR MENOS</t>
  </si>
  <si>
    <t xml:space="preserve">GUSTAVO SANTANDER DIAZ </t>
  </si>
  <si>
    <t>CALLE 28# 30-44</t>
  </si>
  <si>
    <t>18/10/2022</t>
  </si>
  <si>
    <t>TIENDA LAS 2B</t>
  </si>
  <si>
    <t xml:space="preserve">BLADIMIR BELTRAN </t>
  </si>
  <si>
    <t>CALLE 23#18-04</t>
  </si>
  <si>
    <t xml:space="preserve">TIENDA LA PRINCIPAL </t>
  </si>
  <si>
    <t>MIGUEL VEGA FLOREZ</t>
  </si>
  <si>
    <t>CR 26 # 26-12</t>
  </si>
  <si>
    <t xml:space="preserve">TIENDA LA PREFERIDA </t>
  </si>
  <si>
    <t>JAIME TOVAR HERNANDEZ</t>
  </si>
  <si>
    <t>CR 21 CALLE 28</t>
  </si>
  <si>
    <t xml:space="preserve">TIENDA LA LOMA </t>
  </si>
  <si>
    <t xml:space="preserve">ANDRES FELIPE SALGADO </t>
  </si>
  <si>
    <t>CR 27 # 38-33</t>
  </si>
  <si>
    <t xml:space="preserve">TIENDA LA GRANJA </t>
  </si>
  <si>
    <t>RAFAEL PARRA CRUZ</t>
  </si>
  <si>
    <t>CR 22 #13-32</t>
  </si>
  <si>
    <t>EDUARDO PEREZ</t>
  </si>
  <si>
    <t>KR 22 # 46A-07</t>
  </si>
  <si>
    <t>TIENDA LA AVENIDA</t>
  </si>
  <si>
    <t>JAIME ROMAN</t>
  </si>
  <si>
    <t>CR 211# 41-85</t>
  </si>
  <si>
    <t>TIENDA LA 30</t>
  </si>
  <si>
    <t xml:space="preserve">LILIANA DIAZ DIAZ </t>
  </si>
  <si>
    <t>CALLE 30 CRA 28</t>
  </si>
  <si>
    <t>TIENDA LA 22</t>
  </si>
  <si>
    <t xml:space="preserve">FREDY CONTRERAS VERGARA </t>
  </si>
  <si>
    <t>CR 22 # 18-05</t>
  </si>
  <si>
    <t>21/10/2022</t>
  </si>
  <si>
    <t>TIENDA JC</t>
  </si>
  <si>
    <t>ALFREDO ENCISO SOLANO</t>
  </si>
  <si>
    <t>CALLE 40 CR 29-59</t>
  </si>
  <si>
    <t>TIENDA EL SINU</t>
  </si>
  <si>
    <t>EDWIN SOTO ZULUAGA</t>
  </si>
  <si>
    <t>CR 22 # 27-07</t>
  </si>
  <si>
    <t xml:space="preserve">TIENDA EL REPOSO </t>
  </si>
  <si>
    <t xml:space="preserve">WILLIAM ECHEVERRY MEJIA </t>
  </si>
  <si>
    <t>CALLE 40 #4-21C</t>
  </si>
  <si>
    <t xml:space="preserve">TIENDA EL PARAGUITA </t>
  </si>
  <si>
    <t xml:space="preserve">YAMILE VILLAMIZAR  PUENTES </t>
  </si>
  <si>
    <t>CALL 35A# 21G-18</t>
  </si>
  <si>
    <t xml:space="preserve">TIENDA EL NUEVO MILENIO </t>
  </si>
  <si>
    <t>MIGUEL ARROYO VILLALOBOS</t>
  </si>
  <si>
    <t>CALLE 26 #21-45</t>
  </si>
  <si>
    <t xml:space="preserve">TIENDA EL DESCUENTO </t>
  </si>
  <si>
    <t>SEBASTIAN VERGARA PETANO</t>
  </si>
  <si>
    <t>CALLE 32 CR 21-05</t>
  </si>
  <si>
    <t>MIRLEY SIERRA</t>
  </si>
  <si>
    <t xml:space="preserve">TIENDA EL CACHA </t>
  </si>
  <si>
    <t xml:space="preserve">PAOLA LUCIA RODRIGUEZ </t>
  </si>
  <si>
    <t>CALLE 31 # 21-75</t>
  </si>
  <si>
    <t xml:space="preserve">TIENDA DONDE GUILLO </t>
  </si>
  <si>
    <t>MARIA GUEVARA</t>
  </si>
  <si>
    <t>KR 21 #40A-07</t>
  </si>
  <si>
    <t>TIENDA DON GUILLO</t>
  </si>
  <si>
    <t>JANETH MARIA DE LA OSSA</t>
  </si>
  <si>
    <t>CALLE 28# 30-60</t>
  </si>
  <si>
    <t>TIENDA D1 TRONCAL</t>
  </si>
  <si>
    <t>FERNANDO GONZALEZ SOMOZA</t>
  </si>
  <si>
    <t>900276962-1</t>
  </si>
  <si>
    <t>CALLE 40 #21A23</t>
  </si>
  <si>
    <t>USI-11999@D1.COM.CO</t>
  </si>
  <si>
    <t>15/7/2025</t>
  </si>
  <si>
    <t>31/5/2024</t>
  </si>
  <si>
    <t xml:space="preserve">TIENDA D1 CENTRO </t>
  </si>
  <si>
    <t>CRISTIAN BABLER FONT</t>
  </si>
  <si>
    <t>CALLE 31 #25-11</t>
  </si>
  <si>
    <t>MILENA.MARTINEZ@KOBA-GRUP.COM</t>
  </si>
  <si>
    <t>TIENDA ALSIS #2</t>
  </si>
  <si>
    <t>SARA ENITH SIERRA RODRIGUEZ</t>
  </si>
  <si>
    <t>CR 24#23-39</t>
  </si>
  <si>
    <t>TIENDA ALCY #2</t>
  </si>
  <si>
    <t xml:space="preserve">SARA SIERRA </t>
  </si>
  <si>
    <t>KR 24#23-29</t>
  </si>
  <si>
    <t>TIENDA A Y C</t>
  </si>
  <si>
    <t>ELSA MADRID AVILA</t>
  </si>
  <si>
    <t>CR 20 # 32-11</t>
  </si>
  <si>
    <t xml:space="preserve">SURTIMAX COROZAL </t>
  </si>
  <si>
    <t xml:space="preserve">CARLOS MARIO DIEZ GOMEZ </t>
  </si>
  <si>
    <t>CALLE 31C 25 ESQ</t>
  </si>
  <si>
    <t>SALSAMENTARIA ALZATE</t>
  </si>
  <si>
    <t xml:space="preserve">ALBERTO VILLEGAS </t>
  </si>
  <si>
    <t xml:space="preserve">PLAZA DE MERCADO </t>
  </si>
  <si>
    <t>PROVEDORA COROZAL</t>
  </si>
  <si>
    <t xml:space="preserve">YASMID DE LA OSSA </t>
  </si>
  <si>
    <t>CR 29A 35-28</t>
  </si>
  <si>
    <t>21/01/2022</t>
  </si>
  <si>
    <t xml:space="preserve">PROGRAMCION </t>
  </si>
  <si>
    <t>MI PEQUEÑA LINA</t>
  </si>
  <si>
    <t>NIDIA TOVAR</t>
  </si>
  <si>
    <t>CL 33 NO 34 395 8 DE DICIEMBRE</t>
  </si>
  <si>
    <t xml:space="preserve">MERCADO COROZAL </t>
  </si>
  <si>
    <t xml:space="preserve">JESUS ANTONIO GOMEZ GOMEZ </t>
  </si>
  <si>
    <t>CR 25 # 29 -55</t>
  </si>
  <si>
    <t>LEGUMBRES JAPY</t>
  </si>
  <si>
    <t>JAIRO RAFAEL PEREZ REDONDO</t>
  </si>
  <si>
    <t>CRA 22A # 36 - 19</t>
  </si>
  <si>
    <t>JAPY2884@GMAIL.COM</t>
  </si>
  <si>
    <t>GRANERO Y LEGUMBRES A.L.M.A</t>
  </si>
  <si>
    <t xml:space="preserve">ANTONIO JOSE </t>
  </si>
  <si>
    <t>CALLE 40 # 1-52</t>
  </si>
  <si>
    <t>GRANERO RENACER JB</t>
  </si>
  <si>
    <t>ELKIN BAENA SOTO</t>
  </si>
  <si>
    <t>70785158-8</t>
  </si>
  <si>
    <t>CR 26 # 35A-55</t>
  </si>
  <si>
    <t>ANASTASIA3216@GMAILCOM</t>
  </si>
  <si>
    <t>15/1/2024</t>
  </si>
  <si>
    <t xml:space="preserve">GRANERO MAS POR MENOS </t>
  </si>
  <si>
    <t>WENDY HERNANDEZ LARA</t>
  </si>
  <si>
    <t>CALLE 40 # 226</t>
  </si>
  <si>
    <t>14/03/2024</t>
  </si>
  <si>
    <t>GRANERO LIDER RP</t>
  </si>
  <si>
    <t xml:space="preserve">RAFAEL PALACIO SUAREZ </t>
  </si>
  <si>
    <t>DERECHO INTEGRAL &amp; GESTION COMERCIAL S.A.S</t>
  </si>
  <si>
    <t xml:space="preserve">CABEZA Y COLA </t>
  </si>
  <si>
    <t xml:space="preserve">EDWIN ANGULO RIVERA </t>
  </si>
  <si>
    <t>900717482-1</t>
  </si>
  <si>
    <t>CALLE 29 N° 24-15</t>
  </si>
  <si>
    <t>CABEZAYCOLASINCELEJO@GMAIL.COM</t>
  </si>
  <si>
    <t>GILBERTO CAUSIL/GUILLERMO CARBALLO</t>
  </si>
  <si>
    <t>SILIS MILENA MEJIA GUTIERREZ</t>
  </si>
  <si>
    <t xml:space="preserve">CR 21 N 36 -6 </t>
  </si>
  <si>
    <t>MONARKALICORERA@GMAIL.COM</t>
  </si>
  <si>
    <t xml:space="preserve">GRANERO LA PRIMICIA </t>
  </si>
  <si>
    <t xml:space="preserve">ISRAEL GAMBOA SALCEDO </t>
  </si>
  <si>
    <t>CR 22 # 37-50</t>
  </si>
  <si>
    <t xml:space="preserve">GRANERO LA PAISANA </t>
  </si>
  <si>
    <t xml:space="preserve">NANCY JOHANA GOMEZ BOTERO </t>
  </si>
  <si>
    <t>CR 21A-36</t>
  </si>
  <si>
    <t xml:space="preserve">GRANERO LA ECONOMIA </t>
  </si>
  <si>
    <t xml:space="preserve">CESAR CONTRERAS CAUSADO </t>
  </si>
  <si>
    <t>CALLE 32 # 21-4</t>
  </si>
  <si>
    <t>GRANERO LA COSECHA</t>
  </si>
  <si>
    <t>DELCY GUERRERO</t>
  </si>
  <si>
    <t>BARRIO DAJER CHADID</t>
  </si>
  <si>
    <t>EFRAINJAVIER@GMAIL.COM</t>
  </si>
  <si>
    <t>17/10/2024</t>
  </si>
  <si>
    <t>21/5/2023</t>
  </si>
  <si>
    <t>GRANERO LA ABUNDANCIA JL</t>
  </si>
  <si>
    <t xml:space="preserve">LILIANA QUINTERO SOTO </t>
  </si>
  <si>
    <t>CR 22# 38-40</t>
  </si>
  <si>
    <t>GRANERO LA ABUNDANCIA # 1</t>
  </si>
  <si>
    <t xml:space="preserve">JUAN GOMEZ BOTERO </t>
  </si>
  <si>
    <t>1041232490-1</t>
  </si>
  <si>
    <t>KR 28 # 24-133</t>
  </si>
  <si>
    <t>15/10/2024</t>
  </si>
  <si>
    <t xml:space="preserve">GRANERO EL SURTIDOR </t>
  </si>
  <si>
    <t xml:space="preserve">JORGE ALZATE SALAZAR </t>
  </si>
  <si>
    <t>CALLE 40 LA MACARENA</t>
  </si>
  <si>
    <t>GRANERO EL REPOSO</t>
  </si>
  <si>
    <t xml:space="preserve">JESUS ALBERTO QUINTERO </t>
  </si>
  <si>
    <t xml:space="preserve">GRANERO EL REGALO DE DIOS </t>
  </si>
  <si>
    <t>JHONNY DIAZ GELVIS</t>
  </si>
  <si>
    <t>PLAZA DE MERCADO LOCAL 9</t>
  </si>
  <si>
    <t xml:space="preserve">GRANERO EL REBAJON </t>
  </si>
  <si>
    <t>DIEGO FERNANDO HENAO</t>
  </si>
  <si>
    <t>PLAZA DE MERCADO</t>
  </si>
  <si>
    <t>GRANERO EL PORVENIR DC</t>
  </si>
  <si>
    <t>DAYANA BUELVAS AVILEZ</t>
  </si>
  <si>
    <t>PLAZA MERCADO LOCAL 121</t>
  </si>
  <si>
    <t>GRANERO EL MEJOR PUNTO</t>
  </si>
  <si>
    <t>JULIO CUELLO RIVERA</t>
  </si>
  <si>
    <t xml:space="preserve">GRANERO EL MEJOR  </t>
  </si>
  <si>
    <t xml:space="preserve">CELESTINA MORALES </t>
  </si>
  <si>
    <t>CALLE 40 LOCAL 4</t>
  </si>
  <si>
    <t xml:space="preserve">GRANERO AL COSTO </t>
  </si>
  <si>
    <t xml:space="preserve">MAURICIO CADAVID ORTIZ </t>
  </si>
  <si>
    <t>KR 26- 23A-11</t>
  </si>
  <si>
    <t xml:space="preserve">EL TENDAL </t>
  </si>
  <si>
    <t xml:space="preserve">JAIRO DEL CRISTO GOMEZ </t>
  </si>
  <si>
    <t>CR 21 # 40B-06</t>
  </si>
  <si>
    <t xml:space="preserve">DEPOSITO LA MACARENA </t>
  </si>
  <si>
    <t xml:space="preserve">CARMEN ARIZTIZABAL </t>
  </si>
  <si>
    <t>CR 31 # 37-57</t>
  </si>
  <si>
    <t>DEPOSITO EL ANTIOQUEÑO</t>
  </si>
  <si>
    <t>COMERZALIZADORA LA 21</t>
  </si>
  <si>
    <t xml:space="preserve">LUIS ERIBERTO GONZALEZ </t>
  </si>
  <si>
    <t>CR 21 # 35B-5</t>
  </si>
  <si>
    <t>CARNES Y LEGUMBRE COROZAL</t>
  </si>
  <si>
    <t>CELSO SANCHEZ SANCHEZ</t>
  </si>
  <si>
    <t>BODEGA LA FORTUNA</t>
  </si>
  <si>
    <t>GONZALO DAVID QUIROZ ACOSTA</t>
  </si>
  <si>
    <t>CR 21 # 37-25</t>
  </si>
  <si>
    <t>BODEGAFORTUNA12@GMAIL.COM</t>
  </si>
  <si>
    <t>BODEGA DEL CANASTO COROZAL</t>
  </si>
  <si>
    <t>NUNO MIGUEL NUNES SERENO</t>
  </si>
  <si>
    <t>900480569-1</t>
  </si>
  <si>
    <t>CALLE 40 21 6-16</t>
  </si>
  <si>
    <t>Atencionproveedorescojeronimo-martins.com</t>
  </si>
  <si>
    <t>EL MAGNATE</t>
  </si>
  <si>
    <t>ALEX CASTRO SOSSA</t>
  </si>
  <si>
    <t>73340700-8</t>
  </si>
  <si>
    <t>CRA 21 40 32</t>
  </si>
  <si>
    <t>TIENDA LA ECONOMIA</t>
  </si>
  <si>
    <t>ANIBAL MENDEZ VILORIA</t>
  </si>
  <si>
    <t>KRA 27 CALLE 40</t>
  </si>
  <si>
    <t>ALI BRASA LA DOLOROSA</t>
  </si>
  <si>
    <t xml:space="preserve">FRANCISCO GAMBA SILVA </t>
  </si>
  <si>
    <t>74245440-9</t>
  </si>
  <si>
    <t>CRA 26 N°29-69</t>
  </si>
  <si>
    <t>FRANCISCOGAMBA29@GMAIL.COM</t>
  </si>
  <si>
    <t>PROGAMACION</t>
  </si>
  <si>
    <t xml:space="preserve">VIDEO BAR LA TERRAZA </t>
  </si>
  <si>
    <t xml:space="preserve">ALVARO DAVID PEREZ CUELLO </t>
  </si>
  <si>
    <t>DIAG 35 #19C-93</t>
  </si>
  <si>
    <t xml:space="preserve">THE LUXE CLUB </t>
  </si>
  <si>
    <t>DIEGO CORREA LOZANO</t>
  </si>
  <si>
    <t>CR 21E# 40A-30</t>
  </si>
  <si>
    <t xml:space="preserve">THE CLOUD </t>
  </si>
  <si>
    <t xml:space="preserve">GLORIA LAMUS ROSSI </t>
  </si>
  <si>
    <t>CR 21 #40-16</t>
  </si>
  <si>
    <t xml:space="preserve">TARA'S </t>
  </si>
  <si>
    <t xml:space="preserve">MAURICIO MARQUEZ RIOS </t>
  </si>
  <si>
    <t>CR 26 # 23-46</t>
  </si>
  <si>
    <t xml:space="preserve">PUNTO FRIO MI BOHIO </t>
  </si>
  <si>
    <t xml:space="preserve">SERVIO NARNAEZ BOHORQUEZ </t>
  </si>
  <si>
    <t>CR 26 #19A-57</t>
  </si>
  <si>
    <t>PUNTO FRIO FB</t>
  </si>
  <si>
    <t xml:space="preserve">EOLIA CABRERA SEVERICHE </t>
  </si>
  <si>
    <t>64743624-7</t>
  </si>
  <si>
    <t>CALLE 40 # 27-40</t>
  </si>
  <si>
    <t>PUNTO FRIO BAJO CERO LA 26</t>
  </si>
  <si>
    <t>JOSE VIDEZ</t>
  </si>
  <si>
    <t>KR 26 #11-39</t>
  </si>
  <si>
    <t xml:space="preserve">PARADISE BAR DISCO </t>
  </si>
  <si>
    <t xml:space="preserve">BEATRIZ CANCHILA RUIZ </t>
  </si>
  <si>
    <t>CR 21 #40A-18</t>
  </si>
  <si>
    <t>BECARU1626@HOTMAIL.COM</t>
  </si>
  <si>
    <t>13/3/2024</t>
  </si>
  <si>
    <t>23/1/2023</t>
  </si>
  <si>
    <t xml:space="preserve">}NO </t>
  </si>
  <si>
    <t>MONASTERY ROOFTOP NIGHT CLUB</t>
  </si>
  <si>
    <t>CALLE 32 # 28 - 21</t>
  </si>
  <si>
    <t>22/1/2024</t>
  </si>
  <si>
    <t>MINI CANCHA LOS ALMENDROS</t>
  </si>
  <si>
    <t xml:space="preserve">MANHATTAN ZOUK CLUB </t>
  </si>
  <si>
    <t>OSCAR JOSE SALCEDO MARTINEZ</t>
  </si>
  <si>
    <t>KR 26 # 26-10</t>
  </si>
  <si>
    <t>JAIROGOMEZ0303@GMAIL.COM</t>
  </si>
  <si>
    <t>LUNATIK CARTAGENA DE INDIAS BAR</t>
  </si>
  <si>
    <t>LOCORES BARSAN</t>
  </si>
  <si>
    <t>BARBOZA SANCHEZ GUSTAVO ADOLFO</t>
  </si>
  <si>
    <t>CR 21 G 37 25 BRR LA MACARENA</t>
  </si>
  <si>
    <t xml:space="preserve">RAFAEL SALGADO </t>
  </si>
  <si>
    <t>TV 35 CRA 34-540 P1 APTO 2</t>
  </si>
  <si>
    <t>RAFAELSALGADO831@GMAIL.COM</t>
  </si>
  <si>
    <t>20/04/2024</t>
  </si>
  <si>
    <t>LICORES L Y S 315</t>
  </si>
  <si>
    <t xml:space="preserve">LI Y CAR </t>
  </si>
  <si>
    <t xml:space="preserve">MARIO DE JESUS BARBOZA MERCADO </t>
  </si>
  <si>
    <t>CR 26 # 23A-02</t>
  </si>
  <si>
    <t xml:space="preserve">LA TRIBU BAR </t>
  </si>
  <si>
    <t xml:space="preserve">ANSELMO TORRES BENITEZ </t>
  </si>
  <si>
    <t>CALLE 41 A # 19 E 82</t>
  </si>
  <si>
    <t xml:space="preserve">LA TERRAZA LATINA DISCO BAR </t>
  </si>
  <si>
    <t xml:space="preserve">JESUS PERALTA BARBOZA </t>
  </si>
  <si>
    <t>KR 21 CALLE 40A-18</t>
  </si>
  <si>
    <t>LA PERLA 1930</t>
  </si>
  <si>
    <t xml:space="preserve">GISEL PICO CORRALES </t>
  </si>
  <si>
    <t>CR 21E# 40A-3</t>
  </si>
  <si>
    <t xml:space="preserve">LA MORENA RESTO BAR </t>
  </si>
  <si>
    <t xml:space="preserve">YERALDIN MARTINEZ </t>
  </si>
  <si>
    <t>CALLE 40A#21E 07</t>
  </si>
  <si>
    <t xml:space="preserve">LA MISTICA </t>
  </si>
  <si>
    <t>RODOLFO BUSTILLO PEREZ</t>
  </si>
  <si>
    <t>CR 21# 32A-55</t>
  </si>
  <si>
    <t>LA LIKORERA COROZAL</t>
  </si>
  <si>
    <t>VERGARA CURI ANTONIO JOSE</t>
  </si>
  <si>
    <t>CL 30 NRO. 26 - 10 BRR CENTRO</t>
  </si>
  <si>
    <t>LA FANTASTICA GASTROBAR</t>
  </si>
  <si>
    <t>CALLE 40# 21-13</t>
  </si>
  <si>
    <t xml:space="preserve">LA BOTELLA COROZAL     </t>
  </si>
  <si>
    <t>SALCEDO RAMIREZ OSCAR ANTONIO</t>
  </si>
  <si>
    <t>CR 21H  38A - 54 LC 2 SEC PLAZA  MERCADO LA MACARENA</t>
  </si>
  <si>
    <t>K-REFULL LOCAL 103</t>
  </si>
  <si>
    <t xml:space="preserve">DISNEY RAMIREZ </t>
  </si>
  <si>
    <t>CALLE 15  #28-05</t>
  </si>
  <si>
    <t xml:space="preserve">KIOSKO LOS AMIGOS DE SILVESTRE </t>
  </si>
  <si>
    <t xml:space="preserve">BETSAIDA MELENDREZ </t>
  </si>
  <si>
    <t>CALLE 40 # 22-05</t>
  </si>
  <si>
    <t xml:space="preserve">KIOSKO ESTADERO MI PREFERIDO </t>
  </si>
  <si>
    <t xml:space="preserve">CIRA BUELVAS AGUAS </t>
  </si>
  <si>
    <t>CR 22# 38-17</t>
  </si>
  <si>
    <t>LICORERA CLASICA</t>
  </si>
  <si>
    <t>JORGE ARMANDO TIRADO FARAK</t>
  </si>
  <si>
    <t>1103105499-8</t>
  </si>
  <si>
    <t>CR 29 A N 31-34</t>
  </si>
  <si>
    <t xml:space="preserve">KIOSKO EL SONY </t>
  </si>
  <si>
    <t>LOURDES RAMOS MONTIEL</t>
  </si>
  <si>
    <t>CR 22I-38-10</t>
  </si>
  <si>
    <t>KIOSKO EL REPOSO</t>
  </si>
  <si>
    <t xml:space="preserve">YAMILET HOYOS CARDENAS </t>
  </si>
  <si>
    <t>CR 21I #38-15</t>
  </si>
  <si>
    <t>TEJO DE LUZ</t>
  </si>
  <si>
    <t>LUZ ESTELA TOVAR</t>
  </si>
  <si>
    <t>110309464-1</t>
  </si>
  <si>
    <t>CRR 26 11-248</t>
  </si>
  <si>
    <t xml:space="preserve">KIOSKO EL CACIQUE </t>
  </si>
  <si>
    <t xml:space="preserve">GILBERTO RODRIGUEZ HOYOS </t>
  </si>
  <si>
    <t>CALLE 37A #21H-23</t>
  </si>
  <si>
    <t xml:space="preserve">KIOSCO MANRIKE </t>
  </si>
  <si>
    <t>CARMEN BUELVAS NAVARRO</t>
  </si>
  <si>
    <t>HOGAR DONDE RAMIRO</t>
  </si>
  <si>
    <t>LASTRE TOVAR RAMIRO JOSE</t>
  </si>
  <si>
    <t>CR 22 10 99 BRR CARTAGENA DE INDIAS</t>
  </si>
  <si>
    <t xml:space="preserve">FRESCURA COOL SENSATION </t>
  </si>
  <si>
    <t xml:space="preserve">RAFAEL FUNES GARRIDO </t>
  </si>
  <si>
    <t>CR 20 # 33-40</t>
  </si>
  <si>
    <t>FIDELINA DISCO-BAR</t>
  </si>
  <si>
    <t>MARICEL DEL CARMEN BARBOZA MARTINEZ</t>
  </si>
  <si>
    <t>22854080-4</t>
  </si>
  <si>
    <t>CRA 21 CALLE 40A 18 LOC 3</t>
  </si>
  <si>
    <t>MARICELBARBOZA1958@GMAIL.COM</t>
  </si>
  <si>
    <t>13/03/2024</t>
  </si>
  <si>
    <t xml:space="preserve">ESTANCO LA 36 DE COROZAL </t>
  </si>
  <si>
    <t>SILVIO HERNANDEZ DIAZ</t>
  </si>
  <si>
    <t>CR 23# 36A95</t>
  </si>
  <si>
    <t>ESTANCO BAR GETSEMANI</t>
  </si>
  <si>
    <t>ISELA RODRIGUEZ MERCADO</t>
  </si>
  <si>
    <t xml:space="preserve">BARRIO SAN JUAN </t>
  </si>
  <si>
    <t>ISEROMERO95@GMAIL.COM</t>
  </si>
  <si>
    <t xml:space="preserve">ESTADERO MI ESFUERZO </t>
  </si>
  <si>
    <t xml:space="preserve">JAIRO MARTINEZ GUTIERREZ </t>
  </si>
  <si>
    <t>TRNSV 26# 11-92</t>
  </si>
  <si>
    <t>ESTADERO ELUMAR</t>
  </si>
  <si>
    <t>MARQUEZ VERGARA EDGAR LUIS</t>
  </si>
  <si>
    <t>CR 26 CL 26 - 06 BRR SAN FRANCISCO</t>
  </si>
  <si>
    <t>ESTADERO EL PUNTO ROJO</t>
  </si>
  <si>
    <t>PEREZ CARDENAS YADIRIS PAOLA</t>
  </si>
  <si>
    <t>CL 33  34  501 BRR OCHO DE DICIEMBRE</t>
  </si>
  <si>
    <t>15/03/2024</t>
  </si>
  <si>
    <t>ESTADERO EL PIRATA</t>
  </si>
  <si>
    <t xml:space="preserve">ALIDIO SOTOS HERNANDEZ </t>
  </si>
  <si>
    <t>CR 21H #40-24</t>
  </si>
  <si>
    <t>SOTOMER06@GMAIL.COM</t>
  </si>
  <si>
    <t>26/5/2023</t>
  </si>
  <si>
    <t xml:space="preserve">ESTADERO DOÑA ROSALBA </t>
  </si>
  <si>
    <t xml:space="preserve">ROSA ANGELICA CAZES LOPEZ </t>
  </si>
  <si>
    <t>CR 33 # 38B-65</t>
  </si>
  <si>
    <t>13/02/2025</t>
  </si>
  <si>
    <t xml:space="preserve">ESQUINA CERVECERA  LEC BAR </t>
  </si>
  <si>
    <t xml:space="preserve">TULIO DONADO </t>
  </si>
  <si>
    <t>CALLE 30#22-03</t>
  </si>
  <si>
    <t>RUBYGRACIA@GMAIL.COM</t>
  </si>
  <si>
    <t xml:space="preserve">EL QUINTIN </t>
  </si>
  <si>
    <t xml:space="preserve">ERKIN FERNANDO SUAREZ </t>
  </si>
  <si>
    <t>CALLE 28 # 20-25</t>
  </si>
  <si>
    <t xml:space="preserve">EL PUNTO LICORERO MR </t>
  </si>
  <si>
    <t xml:space="preserve">FERNANDO FIGUEROA </t>
  </si>
  <si>
    <t>1103120330-5</t>
  </si>
  <si>
    <t>KR 21 # 40A-14</t>
  </si>
  <si>
    <t xml:space="preserve">ISIDRO RUIZ DOMINGUEZ </t>
  </si>
  <si>
    <t>CR 21 # 38-39</t>
  </si>
  <si>
    <t>14/6/2024</t>
  </si>
  <si>
    <t>DOKIS COROZAL</t>
  </si>
  <si>
    <t>HERNANDEZ VILLALBA MARIA ANGELICA</t>
  </si>
  <si>
    <t>CR 20 33 40 LC 3 BRR LOS ALPES</t>
  </si>
  <si>
    <t>DISCO BAR- RESTAURANTE PONCE</t>
  </si>
  <si>
    <t xml:space="preserve">DONIS EDUARDO BARRETO SALAZAR </t>
  </si>
  <si>
    <t>CR 21 #40B-32</t>
  </si>
  <si>
    <t xml:space="preserve">EL PARRANDERO ORGANIZADO </t>
  </si>
  <si>
    <t>CR 21 N 38-39</t>
  </si>
  <si>
    <t>MARROROGRIGUEZ@HOTMAIL.COM</t>
  </si>
  <si>
    <t>15/09/2025</t>
  </si>
  <si>
    <t xml:space="preserve">DISCO BAR LA PATINETA </t>
  </si>
  <si>
    <t xml:space="preserve">JADER ACOSTA SERPA </t>
  </si>
  <si>
    <t>CALLE 40# 33-670</t>
  </si>
  <si>
    <t>WILMERACOSTA@C ECAR.EDU.CO</t>
  </si>
  <si>
    <t>DISCO BAR LA LOMA</t>
  </si>
  <si>
    <t>YARLEDYS PEREZ ORTEGA</t>
  </si>
  <si>
    <t>22865066-8</t>
  </si>
  <si>
    <t>CR 14 CALLE 32-40</t>
  </si>
  <si>
    <t>YEIMYPEPE@GMAIL.COM</t>
  </si>
  <si>
    <t>18/02/2025</t>
  </si>
  <si>
    <t>15/4/2024</t>
  </si>
  <si>
    <t>D´CHARA BEER</t>
  </si>
  <si>
    <t>PEREZ SOTO ADRIANA SOFIA</t>
  </si>
  <si>
    <t>CR 26 23 16 BRR SAN FRANCISCO</t>
  </si>
  <si>
    <t>COFFEE BAR IBIZA</t>
  </si>
  <si>
    <t>EDWIN AGUIAR LIDUEÑA</t>
  </si>
  <si>
    <t>1102825406-9</t>
  </si>
  <si>
    <t>BARRIO SAN JUAN</t>
  </si>
  <si>
    <t>EDWINAGUIAR@HOTMAIL.COM</t>
  </si>
  <si>
    <t>CERVEZAS Y LICORES NI GUAYABO ME DA</t>
  </si>
  <si>
    <t>VARGAS MERCADO DANNY DANIEL</t>
  </si>
  <si>
    <t>CR 26 12 367 BRR DIVINO NIÑO</t>
  </si>
  <si>
    <t>17/11/2024</t>
  </si>
  <si>
    <t xml:space="preserve">CANCHA DE TEJO LA ISLITA </t>
  </si>
  <si>
    <t>CR 25 # 24-50</t>
  </si>
  <si>
    <t>CANCHADETEJOISLITA@GMAIL.COM</t>
  </si>
  <si>
    <t>13/0272025</t>
  </si>
  <si>
    <t>27/2/2024</t>
  </si>
  <si>
    <t>CANCHA DE MINITEJO EL TIN - TIN</t>
  </si>
  <si>
    <t>SUAREZ ROBLES ERKIN FERNANDO</t>
  </si>
  <si>
    <t>CL 28 20 25 BRR LA JOSEFINA</t>
  </si>
  <si>
    <t>CAFÉ-BAR MOES</t>
  </si>
  <si>
    <t xml:space="preserve">OSCAR CAMPO GAMARRA </t>
  </si>
  <si>
    <t>CALLE 30 # 28-16</t>
  </si>
  <si>
    <t xml:space="preserve">CAFÉ Y BILLARES  ALEJO </t>
  </si>
  <si>
    <t>ANGEL PARRA ESPINOSA</t>
  </si>
  <si>
    <t>CALLE 40 CR 21J-8</t>
  </si>
  <si>
    <t>ANGELPARRA875@GMAIL.COM</t>
  </si>
  <si>
    <t>30/3/2023</t>
  </si>
  <si>
    <t xml:space="preserve">BUFFALO BEER </t>
  </si>
  <si>
    <t xml:space="preserve">ANGEL HERAZO DIAZ </t>
  </si>
  <si>
    <t>CR 31 #39A APTO 201</t>
  </si>
  <si>
    <t>BOHEMIA BEER</t>
  </si>
  <si>
    <t xml:space="preserve">BETSY GARAY </t>
  </si>
  <si>
    <t>KR 22 # 40B-6 LC 1</t>
  </si>
  <si>
    <t xml:space="preserve">BILLARES LA VIRGEN DEL CARMEN </t>
  </si>
  <si>
    <t>MARIA EUGENIA VERGARA</t>
  </si>
  <si>
    <t>CALLE 12 12B-29-04</t>
  </si>
  <si>
    <t xml:space="preserve">BILLARES IMPERIAL </t>
  </si>
  <si>
    <t>DANIEL ARROYO AVENDAÑO</t>
  </si>
  <si>
    <t>CALLE 40 CR 23A # 43</t>
  </si>
  <si>
    <t>BILLARES EL NUEVO AHIJADO</t>
  </si>
  <si>
    <t>JOEL DE JESUS SILVA BENITEZ</t>
  </si>
  <si>
    <t>1063286210-8</t>
  </si>
  <si>
    <t>CL. 32 NO. 26 - 15</t>
  </si>
  <si>
    <t>31/05/2025</t>
  </si>
  <si>
    <t>BILLARES  LAS VEGAS DE COROZAL</t>
  </si>
  <si>
    <t xml:space="preserve">EDUAR ACOSTA SERPA </t>
  </si>
  <si>
    <t>CALLE 40# 30-271</t>
  </si>
  <si>
    <t>ACOSTAEDUAR03@GMAIL.COM</t>
  </si>
  <si>
    <t>BILLAR LA MEJOR ESQUINA DE COROZAL</t>
  </si>
  <si>
    <t>BARBOZA RIVERO DANY DANIEL</t>
  </si>
  <si>
    <t>CR 42 22 - 04 BRR SAN IGNACIO</t>
  </si>
  <si>
    <t xml:space="preserve">BACOS TABERNA BAR </t>
  </si>
  <si>
    <t xml:space="preserve">MARIA BARRIOS </t>
  </si>
  <si>
    <t>CALLE 40 # 28-06</t>
  </si>
  <si>
    <t>NADIN.CUELLOMIL@GMAIL.COM</t>
  </si>
  <si>
    <t>15/01/2025</t>
  </si>
  <si>
    <t xml:space="preserve">BACO LICORES </t>
  </si>
  <si>
    <t xml:space="preserve">JOSE PEREZ TORRES </t>
  </si>
  <si>
    <t>CALLE 30 # 25-04</t>
  </si>
  <si>
    <t xml:space="preserve">ATYPICAL DISCO BAR </t>
  </si>
  <si>
    <t xml:space="preserve">MARIA ISABEL GALVEZ </t>
  </si>
  <si>
    <t>1103121396-5</t>
  </si>
  <si>
    <t>CALLE 32 # 28-03</t>
  </si>
  <si>
    <t xml:space="preserve">AM LICORES </t>
  </si>
  <si>
    <t>FABIAN ALVAREZ MARTINEZ</t>
  </si>
  <si>
    <t>CR 21 # 36-34</t>
  </si>
  <si>
    <t>TDC.COROZAL@TERPEL.COM</t>
  </si>
  <si>
    <t xml:space="preserve">CAFETERIA </t>
  </si>
  <si>
    <t>29/05/2025</t>
  </si>
  <si>
    <t>14/5/2024</t>
  </si>
  <si>
    <t>ACADEMIA DE BILLARES EL CLASICO</t>
  </si>
  <si>
    <t>ACADEMIA D BILLARES EL CLASICO S.A.S</t>
  </si>
  <si>
    <t>CR  21  40  36  BRR  EL TENDAL</t>
  </si>
  <si>
    <t xml:space="preserve">BILLARES DON OMAR </t>
  </si>
  <si>
    <t>OMAR JUAN PALOMINO AGUAS</t>
  </si>
  <si>
    <t>CALLE 13 N° 27-38</t>
  </si>
  <si>
    <t>OMARPALOMINO183@GMAIL.COM</t>
  </si>
  <si>
    <t>24/06/2025</t>
  </si>
  <si>
    <t>70,50%</t>
  </si>
  <si>
    <t>ILBERTO CAUSIL</t>
  </si>
  <si>
    <t xml:space="preserve">ABVAR </t>
  </si>
  <si>
    <t xml:space="preserve">MAUREN BARRIOS PEREZ </t>
  </si>
  <si>
    <t>CR 23# 25-66</t>
  </si>
  <si>
    <t>BILLAR BACOS</t>
  </si>
  <si>
    <t>MARIA EUGENIA BARRIOS DIAZ</t>
  </si>
  <si>
    <t>1103119523-8</t>
  </si>
  <si>
    <t>CLL 40 CRA 28-11</t>
  </si>
  <si>
    <t>ESTANCO EL PADRINO</t>
  </si>
  <si>
    <t>ANA DEL PILAR BUELVAS DOMINGUEZ</t>
  </si>
  <si>
    <t>CLL 35 N 21J 03</t>
  </si>
  <si>
    <t>ESTADERO LA SABROSURA</t>
  </si>
  <si>
    <t>JADER DAVID ACOSTA SERPA</t>
  </si>
  <si>
    <t>LAS FLORES</t>
  </si>
  <si>
    <t>WILMER.ACOSTA@CECAR.EDU.CO</t>
  </si>
  <si>
    <t>GILVERTO CAUSIL</t>
  </si>
  <si>
    <t xml:space="preserve">ESTADERO DONDE YESITH </t>
  </si>
  <si>
    <t>BEATRIZ MEDINA ARRIETA</t>
  </si>
  <si>
    <t>CRA 20 CL 40 B3</t>
  </si>
  <si>
    <t>BETYMEDINA522@GMAIL.COM</t>
  </si>
  <si>
    <t>27/01/2025</t>
  </si>
  <si>
    <t>EL TEJO LUZ</t>
  </si>
  <si>
    <t>LUZ ESTHER TOVAR DURAN</t>
  </si>
  <si>
    <t>1103094674-1</t>
  </si>
  <si>
    <t>Cr 26 11-248</t>
  </si>
  <si>
    <t>YERALDINACOSTATOVAR23@GMAIL.COM</t>
  </si>
  <si>
    <t>PUNTO FRIO NEBRASKA BAR</t>
  </si>
  <si>
    <t>ALGUIN MERCADO</t>
  </si>
  <si>
    <t>CLL 30 #22</t>
  </si>
  <si>
    <t>BILLAR LA OFICINA LLS</t>
  </si>
  <si>
    <t>ORLANDO PEREZ</t>
  </si>
  <si>
    <t>KRA 26 N 11-06</t>
  </si>
  <si>
    <t>PEREZORLANDO399@GMAIL.COM</t>
  </si>
  <si>
    <t>23/10/2024</t>
  </si>
  <si>
    <t xml:space="preserve">CAFE Y BILLARES ALEJO </t>
  </si>
  <si>
    <t>ESTADERO LA 36</t>
  </si>
  <si>
    <t xml:space="preserve">ERIK JESID CAMPO RUIZ </t>
  </si>
  <si>
    <t>CRA 21G N°35A - 55</t>
  </si>
  <si>
    <t>CAMPOERIK653@GMAIL.COM</t>
  </si>
  <si>
    <t>MONTEADENTRO IMPERIO DE LA SALSA</t>
  </si>
  <si>
    <t xml:space="preserve">KEYLA VICTORIA PEREZ SALGADO </t>
  </si>
  <si>
    <t>CALLE 40 N°28-11</t>
  </si>
  <si>
    <t>KVPS26@HOTMAIL.COM</t>
  </si>
  <si>
    <t>20/02/2025</t>
  </si>
  <si>
    <t>FROSTDAY</t>
  </si>
  <si>
    <t>LUIS EDUARDO CASTRO RODRIGUEZ</t>
  </si>
  <si>
    <t>CL 31 N° 27 -29</t>
  </si>
  <si>
    <t>LUISCASTRORRR05@GMAIL.COM</t>
  </si>
  <si>
    <t>LICORERIA Y CERVECERIA TIKI TIKI</t>
  </si>
  <si>
    <t>JORGE JULIO VILLALBA GONZALEZ</t>
  </si>
  <si>
    <t>901838694-7</t>
  </si>
  <si>
    <t>CRA 26 31-70</t>
  </si>
  <si>
    <t>TIKITIKISAS@GMAIL.COM</t>
  </si>
  <si>
    <t>JERONIMO MARTINS SAS</t>
  </si>
  <si>
    <t>TIENDA ARA 0239 COROZAL TRONCAL</t>
  </si>
  <si>
    <t>PEDRO MANUEL DE CASTRO SUAREZ</t>
  </si>
  <si>
    <t>CALLE 40 #19E-07</t>
  </si>
  <si>
    <t>COORDINADOR.OPERACIONES.RG@JERONIMO-MARTINS.COM</t>
  </si>
  <si>
    <t>GRANDES SUPERFICIES</t>
  </si>
  <si>
    <t>SUPERMERCADO</t>
  </si>
  <si>
    <t>21/05/2024</t>
  </si>
  <si>
    <t>TIENDA ARA 0208</t>
  </si>
  <si>
    <t>CR 26 # 30-26</t>
  </si>
  <si>
    <t xml:space="preserve">JULIO OSORIO ESPRIELLA </t>
  </si>
  <si>
    <t>CR 26 # 30-75</t>
  </si>
  <si>
    <t xml:space="preserve">PLAZA DE MERCADO LA MACARENA </t>
  </si>
  <si>
    <t xml:space="preserve">ANDRES VIVERO LEON </t>
  </si>
  <si>
    <t>CALLE 37 A-21B</t>
  </si>
  <si>
    <t>ZONA ROSA PIZZAS GOURMET</t>
  </si>
  <si>
    <t>VERGARA OLMOS FRANCISCO RAMON</t>
  </si>
  <si>
    <t>CR 27 28 08 LC 104 CENTRO COMERCIAL BOULEVAR</t>
  </si>
  <si>
    <t xml:space="preserve">TIENDA Y HELADERIA SAN JUAN </t>
  </si>
  <si>
    <t>ALBERTO LEIVA SALGADO</t>
  </si>
  <si>
    <t>CALLE 32 # 27-61</t>
  </si>
  <si>
    <t>CAFETERIA</t>
  </si>
  <si>
    <t xml:space="preserve">RESTAURANTE EL BUEN SABOR </t>
  </si>
  <si>
    <t>LUZ MARY PINEDA MARTINEZ</t>
  </si>
  <si>
    <t>CALLE 38 #29-5</t>
  </si>
  <si>
    <t>TRESPALACIOMERY@GMAIL.COM</t>
  </si>
  <si>
    <t>24/07/2025</t>
  </si>
  <si>
    <t xml:space="preserve">RESTAURANTE DEL PARQUE HOTEL </t>
  </si>
  <si>
    <t xml:space="preserve">LUIS EDUARDO DE VIVERO AMADOR </t>
  </si>
  <si>
    <t>CR 25 # 28-29</t>
  </si>
  <si>
    <t>14/4/2025</t>
  </si>
  <si>
    <t>28/6/2024</t>
  </si>
  <si>
    <t>QUILLA EXPRESS</t>
  </si>
  <si>
    <t>MARTINEZ CORENA PATRICIA MERCEDES</t>
  </si>
  <si>
    <t>CRA 21 CL 40 B - 6 BBR TENDAL</t>
  </si>
  <si>
    <t>26/04/2022</t>
  </si>
  <si>
    <t>N</t>
  </si>
  <si>
    <t>POLLOS COROZAL</t>
  </si>
  <si>
    <t>GERARDO SIERRA BALETA</t>
  </si>
  <si>
    <t xml:space="preserve">LA PARADA DEL SABOR </t>
  </si>
  <si>
    <t>DIANA MARGARITA ARRIETA MERCADO</t>
  </si>
  <si>
    <t>8090280013-2</t>
  </si>
  <si>
    <t>CRR 40 # 23A-43</t>
  </si>
  <si>
    <t>PANADERIA TRIGO Y PAN</t>
  </si>
  <si>
    <t xml:space="preserve">JUAN CARLOS DELGADO </t>
  </si>
  <si>
    <t>31/7/2025</t>
  </si>
  <si>
    <t>PANADERIA SAN JOSÉ</t>
  </si>
  <si>
    <t>LUZ MIRIA GOMEZ GARRO</t>
  </si>
  <si>
    <t>901613820-2</t>
  </si>
  <si>
    <t>CLL 28 25-68</t>
  </si>
  <si>
    <t xml:space="preserve">PANADERIA LOS RECUERDOS </t>
  </si>
  <si>
    <t xml:space="preserve">RODOLFO CARREÑO DIAZ </t>
  </si>
  <si>
    <t>CALLE 31 # 24-44</t>
  </si>
  <si>
    <t>31/07/2025</t>
  </si>
  <si>
    <t xml:space="preserve">MANA DE DIOS PANADERIA </t>
  </si>
  <si>
    <t>RAFAEL EDUARDO DEMOYA CUELLO</t>
  </si>
  <si>
    <t>901854157-0</t>
  </si>
  <si>
    <t>CALLE 41A N° 19E -83</t>
  </si>
  <si>
    <t>RAFAELDEMOYA84@GMAIL.COM</t>
  </si>
  <si>
    <t>20/10/2025</t>
  </si>
  <si>
    <t xml:space="preserve">MR AREPA </t>
  </si>
  <si>
    <t xml:space="preserve">PAOLA VANEGAS VERGARA </t>
  </si>
  <si>
    <t>CR 21 CALLE 33-29</t>
  </si>
  <si>
    <t>PAPABOOM</t>
  </si>
  <si>
    <t>ANDREA GONZALEZ</t>
  </si>
  <si>
    <t>CR 21 CLL 21 6-42</t>
  </si>
  <si>
    <t>MR ANTOJO TOP QUALITY</t>
  </si>
  <si>
    <t xml:space="preserve">OLIVERIO CABRERA </t>
  </si>
  <si>
    <t>CR 21 # 33-51</t>
  </si>
  <si>
    <t xml:space="preserve">LA VEINTIUNA MICHELADAS </t>
  </si>
  <si>
    <t>MELISA TURIZO MARTINEZ</t>
  </si>
  <si>
    <t>CR 21 DIAG 35-41</t>
  </si>
  <si>
    <t>HUGO PIZZA COROZAL</t>
  </si>
  <si>
    <t>PALACIO DIAZ GUIDO RAFAEL</t>
  </si>
  <si>
    <t>CR 20 CL 40B 9 BRR EL CEIBON</t>
  </si>
  <si>
    <t xml:space="preserve">HELADERIA HAVANA </t>
  </si>
  <si>
    <t xml:space="preserve">CESAR AUGUSTO RANGEL MEDRANO </t>
  </si>
  <si>
    <t>KR 28 CALLE 31-26</t>
  </si>
  <si>
    <t>LA PAMPA BURGER Y DRINKS</t>
  </si>
  <si>
    <t>LUIS DANIEL GOMEZ MEZA</t>
  </si>
  <si>
    <t>1103116097-8</t>
  </si>
  <si>
    <t>CR 28 # 31.6</t>
  </si>
  <si>
    <t>TERTULIA CAFE GASTRO BAR</t>
  </si>
  <si>
    <t>JAIME SIERRA VILLA</t>
  </si>
  <si>
    <t>CRR 28 # 34A-19</t>
  </si>
  <si>
    <t xml:space="preserve">HELADERIA HAPPY CITY </t>
  </si>
  <si>
    <t xml:space="preserve">YOHANNYS ARTEAGA </t>
  </si>
  <si>
    <t>CALLE 40 # 33-69</t>
  </si>
  <si>
    <t>GORDOS EXPRESS</t>
  </si>
  <si>
    <t>FAST FOOD MI FAMILIA.</t>
  </si>
  <si>
    <t>PALACIO PALENCIA OLGA LUCIA</t>
  </si>
  <si>
    <t>CALLE 29 NRO. 24 - 36 CENTRO</t>
  </si>
  <si>
    <t>WIPY AREPAS</t>
  </si>
  <si>
    <t>LEOMARYS MALDONADO CARDONA</t>
  </si>
  <si>
    <t>CR 21 36-31</t>
  </si>
  <si>
    <t>ORALE EXPRESS</t>
  </si>
  <si>
    <t>CARLOS MARIO SOLORZANO</t>
  </si>
  <si>
    <t>CR 21 CLL 32A</t>
  </si>
  <si>
    <t>DON RODO PIZZA PASTA</t>
  </si>
  <si>
    <t>CESAR ELIAS NOVOA CALDERA</t>
  </si>
  <si>
    <t>CLL 34 CR 29-57</t>
  </si>
  <si>
    <t>FUSION GASTRO HELADERIA</t>
  </si>
  <si>
    <t xml:space="preserve">HEYDER ANDRÉS GONZALES MONTESINO </t>
  </si>
  <si>
    <t>1103117043-5</t>
  </si>
  <si>
    <t>CR 21 40A-24</t>
  </si>
  <si>
    <t>NONO´S PIZZA</t>
  </si>
  <si>
    <t>ARMANDO GOMEZ COLON</t>
  </si>
  <si>
    <t>TR 35 30-16</t>
  </si>
  <si>
    <t>FABIAN MAURICIO MANTILLA ASCENSO</t>
  </si>
  <si>
    <t>1098637418-7</t>
  </si>
  <si>
    <t>CLL 35 # 33-06</t>
  </si>
  <si>
    <t>LA ESTACION FAST FOOD</t>
  </si>
  <si>
    <t>MANUEL DEL CRISTO MENDOZA</t>
  </si>
  <si>
    <t>18775010-5</t>
  </si>
  <si>
    <t>CRR 29A 29-45</t>
  </si>
  <si>
    <t>RESTAURANTE NUEVO CHINO CHAN</t>
  </si>
  <si>
    <t xml:space="preserve">MARIA MAGDALENA LOPEZ ORTIZ </t>
  </si>
  <si>
    <t>32990484-4</t>
  </si>
  <si>
    <t>CRA 21 N°32 - 64</t>
  </si>
  <si>
    <t>24/10/2025</t>
  </si>
  <si>
    <t>JUAN CARLOS SOLORZANOS ARRIETA</t>
  </si>
  <si>
    <t>JUSEBASKI@HOTMAIL.COM</t>
  </si>
  <si>
    <t>GENESIS RESTAURANTE</t>
  </si>
  <si>
    <t>MARIA FERNANDA ESTRADA</t>
  </si>
  <si>
    <t xml:space="preserve">CENTRO </t>
  </si>
  <si>
    <t xml:space="preserve">MIRLEY SIERRA </t>
  </si>
  <si>
    <t>PANADERIA COROZAL</t>
  </si>
  <si>
    <t>ANDREA ALVAREZ PEREZ</t>
  </si>
  <si>
    <t>CRA 21 N36A 67</t>
  </si>
  <si>
    <t>ANDREAALVAREZPEREZ@HOTMAIL.COM</t>
  </si>
  <si>
    <t>FAVOTABLE CON REQUERIMIENTO</t>
  </si>
  <si>
    <t>PANADERIA DOÑA JUDY</t>
  </si>
  <si>
    <t>JULIAN ANDRÉS GOMEZ SALCEDO</t>
  </si>
  <si>
    <t>CRR 25 #32-135</t>
  </si>
  <si>
    <t>UULENA GUERRA</t>
  </si>
  <si>
    <t>FUNSALSINCELEJO@HOTMAIL.COM</t>
  </si>
  <si>
    <t>FUNSALSINCLEJO@HOTMAIL.COM</t>
  </si>
  <si>
    <t>22/6/2024</t>
  </si>
  <si>
    <t>9/62023</t>
  </si>
  <si>
    <t>FUNADACION CON LUZ VERDE</t>
  </si>
  <si>
    <t>CENTRO DE VIDA SAN JOSE</t>
  </si>
  <si>
    <t>ALVARO ENRIQUE HERNANDEZ PERES</t>
  </si>
  <si>
    <t>CL 30 CR 40-5</t>
  </si>
  <si>
    <t>302596963-3017458177</t>
  </si>
  <si>
    <t>FUNDACIONCONLUZVERDE@GMAIL.COM</t>
  </si>
  <si>
    <t>29/09/2025</t>
  </si>
  <si>
    <t>CARLOS ACOSTA PALENCIA</t>
  </si>
  <si>
    <t>COVEÑAS</t>
  </si>
  <si>
    <t xml:space="preserve">UNION TEMPORAL ABUELITOS FELICES </t>
  </si>
  <si>
    <t>EDWIN ENRIQUE PEINADO ESPINOZA</t>
  </si>
  <si>
    <t>901898551-9</t>
  </si>
  <si>
    <t>CARRERA 4D CALLE 3A #25</t>
  </si>
  <si>
    <t>UNIONTEMPORALABUELITOS2024@GMAIL.COM</t>
  </si>
  <si>
    <t>SALIM PEREZ DIAZ</t>
  </si>
  <si>
    <t>83.5%</t>
  </si>
  <si>
    <t>ASOCIACION DE PADRES DE FAMILIA SANTUARIO CALE NUEVA DE TOLU</t>
  </si>
  <si>
    <t xml:space="preserve">MIS PEQUEÑOS ANGELITOS </t>
  </si>
  <si>
    <t xml:space="preserve">LILIA ESTHER GONZALEZ TOSCANO </t>
  </si>
  <si>
    <t>800144364-6</t>
  </si>
  <si>
    <t>COMEDOR ANTARES</t>
  </si>
  <si>
    <t>INFO@FOMBISOL.COM.CO</t>
  </si>
  <si>
    <t>FUNDACION NACIONAL PARA EL DESARROLLO INTEGRAL SOCIAL</t>
  </si>
  <si>
    <t xml:space="preserve">CDI MIS PRIMEROS PASOS SEDE ISLA GALLINAZO </t>
  </si>
  <si>
    <t>WILLIAM MARTINEZ PEREZ</t>
  </si>
  <si>
    <t xml:space="preserve">CR 6 SECTOR ISLA GALLINAZO </t>
  </si>
  <si>
    <t>FUNIDES@HOTMAIL.COM</t>
  </si>
  <si>
    <t>CARMENZA PAOLA MORENO/ADRIAN MORALES</t>
  </si>
  <si>
    <t>31/10/2019</t>
  </si>
  <si>
    <t>SI</t>
  </si>
  <si>
    <t>DESNATURALIZACION DE PRODUCTOS</t>
  </si>
  <si>
    <t>PRODUCTOS</t>
  </si>
  <si>
    <t xml:space="preserve">CDI MIS PRIMEROS PASOS SEDE GUAYABAL </t>
  </si>
  <si>
    <t xml:space="preserve">CALLE GUAYABAL </t>
  </si>
  <si>
    <t>ARGEMIRO DIAZ/JORGE GUERRA</t>
  </si>
  <si>
    <t>12/112021</t>
  </si>
  <si>
    <t>ASOCIACION AFROBERRUGAS - 
HCFB LAS MARAVILLAS</t>
  </si>
  <si>
    <t>CALLE 2 CR 12-12</t>
  </si>
  <si>
    <t>HOGAR COMUNITARIO MIS ANGELITOS</t>
  </si>
  <si>
    <t>CALLE 8 #1-20</t>
  </si>
  <si>
    <t>ASOCIACIONAFROBERRUGAS@HOTMAIL.COM</t>
  </si>
  <si>
    <t xml:space="preserve">TIENDA LA UNION </t>
  </si>
  <si>
    <t>NEDER PICO</t>
  </si>
  <si>
    <t>CALLE 2#3-4</t>
  </si>
  <si>
    <t xml:space="preserve">OSCAR QUINTERO </t>
  </si>
  <si>
    <t xml:space="preserve">PUNTA PIEDRA </t>
  </si>
  <si>
    <t>82.5%</t>
  </si>
  <si>
    <t xml:space="preserve">TIENDA LA AVENIDA </t>
  </si>
  <si>
    <t xml:space="preserve">RONALD TEHERAN </t>
  </si>
  <si>
    <t>CALLE 4# 12-16</t>
  </si>
  <si>
    <t>TIENDA EL VISTAZO</t>
  </si>
  <si>
    <t>DEIVIS JARABA</t>
  </si>
  <si>
    <t>18882348-7</t>
  </si>
  <si>
    <t>EL CAMPANO/ LA COQUERITA</t>
  </si>
  <si>
    <t xml:space="preserve">TIENDA EL ESQUINAZO </t>
  </si>
  <si>
    <t xml:space="preserve">FRANCISCO JAVIER MERCADO </t>
  </si>
  <si>
    <t xml:space="preserve">GUAYABAL </t>
  </si>
  <si>
    <t xml:space="preserve">TIENDA BRISAS DEL MAR </t>
  </si>
  <si>
    <t xml:space="preserve">ANA ALCIRA OLIVERO </t>
  </si>
  <si>
    <t xml:space="preserve">SUPERTIENDA LA MILAGROSA </t>
  </si>
  <si>
    <t xml:space="preserve">ALEX ARIEL CUADRADO </t>
  </si>
  <si>
    <t>CALLE 4 # 1-33</t>
  </si>
  <si>
    <t>SUPERTIENDA EL PAISITA</t>
  </si>
  <si>
    <t>JEAN CARLOS MOLINA</t>
  </si>
  <si>
    <t>1070821513-5</t>
  </si>
  <si>
    <t xml:space="preserve">BOCA DE LA CIENAGA </t>
  </si>
  <si>
    <t>SUPERTIENDA EL PAISA # 4</t>
  </si>
  <si>
    <t>MARIA JOSE OSPINA BARRIOS</t>
  </si>
  <si>
    <t xml:space="preserve"> </t>
  </si>
  <si>
    <t xml:space="preserve">SUPERTIENDA EL CENTAVO MENOS </t>
  </si>
  <si>
    <t xml:space="preserve">GUSTAVO MARQUEZ </t>
  </si>
  <si>
    <t xml:space="preserve">BARRIO GUAYABAL </t>
  </si>
  <si>
    <t>85.3%</t>
  </si>
  <si>
    <t xml:space="preserve">SUPERTIENDA EL BUEN PUNTO </t>
  </si>
  <si>
    <t xml:space="preserve">HECTOR ENRIQUE OLIVERO </t>
  </si>
  <si>
    <t xml:space="preserve">SUPERMERCADO EL TABLON </t>
  </si>
  <si>
    <t xml:space="preserve">CARMEN VICTORIA DE LA CRUZ </t>
  </si>
  <si>
    <t xml:space="preserve">SECTOR LA BOMBA </t>
  </si>
  <si>
    <t>89.5%</t>
  </si>
  <si>
    <t>SUPER TIENDA SANTA MARIA DEL EDEN</t>
  </si>
  <si>
    <t>YURIS CASTRO LOPEZ</t>
  </si>
  <si>
    <t xml:space="preserve">CALLE EL EDEN </t>
  </si>
  <si>
    <t>OLAS DEL MAR</t>
  </si>
  <si>
    <t>MAIRA DIAZ</t>
  </si>
  <si>
    <t>30662831-1</t>
  </si>
  <si>
    <t>CALLE 7B-65</t>
  </si>
  <si>
    <t xml:space="preserve">MISCELANEA Y TIENDA WILSON </t>
  </si>
  <si>
    <t xml:space="preserve">GILMA VELEZ </t>
  </si>
  <si>
    <t>43001377-2</t>
  </si>
  <si>
    <t xml:space="preserve">LA MARTA </t>
  </si>
  <si>
    <t>MARKOSTO S.A.S</t>
  </si>
  <si>
    <t>ALBERTO QUIÑONNES</t>
  </si>
  <si>
    <t>901210210-1</t>
  </si>
  <si>
    <t xml:space="preserve">MARINILLA LEGUMBRERIA </t>
  </si>
  <si>
    <t>MARY GARCIA</t>
  </si>
  <si>
    <t>SECTOR DE BAMBA</t>
  </si>
  <si>
    <t>MARBELLA RESTAURANTE BAR</t>
  </si>
  <si>
    <t>HIDALDO GOMEZ</t>
  </si>
  <si>
    <t>CALLE 4 #4-29</t>
  </si>
  <si>
    <t>ANGI SERNA</t>
  </si>
  <si>
    <t>1104672823-4</t>
  </si>
  <si>
    <t>CALLE 49-12</t>
  </si>
  <si>
    <t>EL ESQUINAZO J.G.R.</t>
  </si>
  <si>
    <t xml:space="preserve">JUAN DAVID GIRALDO </t>
  </si>
  <si>
    <t xml:space="preserve">LA COQUERITA </t>
  </si>
  <si>
    <t>76.5%</t>
  </si>
  <si>
    <t>CARULLA EXPRESS COSTA AZUL</t>
  </si>
  <si>
    <t xml:space="preserve">JACKI YANOVICH </t>
  </si>
  <si>
    <t>890900608-9</t>
  </si>
  <si>
    <t>CALLE 15 #21-120</t>
  </si>
  <si>
    <t>NJUDICIALES@GRUPO-EXITO.COM</t>
  </si>
  <si>
    <t>97.5%</t>
  </si>
  <si>
    <t>CASA ROSA POSTRES Y TORTAS GOURMET #12</t>
  </si>
  <si>
    <t>ANGELICA SAEL</t>
  </si>
  <si>
    <t>901775997-1</t>
  </si>
  <si>
    <t>CL 4 N° 429</t>
  </si>
  <si>
    <t>GRUPOEMPRESARIALURSA@GMAIL.COM</t>
  </si>
  <si>
    <t xml:space="preserve">QTAL LICORES KIM RY </t>
  </si>
  <si>
    <t>MAURICIO ANDRES TORRES</t>
  </si>
  <si>
    <t>SEGUNDA ENCENADA</t>
  </si>
  <si>
    <t>MAS LICORES</t>
  </si>
  <si>
    <t>ELVIA ALVAREZ PULGARIN</t>
  </si>
  <si>
    <t>901658682-6</t>
  </si>
  <si>
    <t>LA COQUERITA</t>
  </si>
  <si>
    <t>ESTADERO Y RESTAURANTE EL SAGRADO</t>
  </si>
  <si>
    <t>INGRI PAOLA ESCOBAR</t>
  </si>
  <si>
    <t>1063140499-1</t>
  </si>
  <si>
    <t>PUNTA PIEDRA SEGUNDA ENSENADA</t>
  </si>
  <si>
    <t>ESTADERO LA BENDICION</t>
  </si>
  <si>
    <t>OSCAR QUINTERO</t>
  </si>
  <si>
    <t>CALL 10 24-17</t>
  </si>
  <si>
    <t xml:space="preserve">APARTA HOTEL Y FUENTE DE MAR </t>
  </si>
  <si>
    <t xml:space="preserve">INGRI LUZ DIAZ TORRES </t>
  </si>
  <si>
    <t>CR 25 # 12-15</t>
  </si>
  <si>
    <t>INGRIMARAZUL@HOTMAIL.COM</t>
  </si>
  <si>
    <t>BILLARES EL TIGRE</t>
  </si>
  <si>
    <t>DORA RAMIREZ</t>
  </si>
  <si>
    <t>BOCA LA CIENAGA</t>
  </si>
  <si>
    <t>KIOSCO FAMILIA SIERRA</t>
  </si>
  <si>
    <t xml:space="preserve">NILSO PEREZ SIERRA </t>
  </si>
  <si>
    <t>CR 14 CRA 22</t>
  </si>
  <si>
    <t>NILSONSIERRA001@HOTMAIL.COM</t>
  </si>
  <si>
    <t>EXPENDIO DE CARNES SUPERMERCADO ORIENTE</t>
  </si>
  <si>
    <t>FRANCISCO JAVIER RAMIREZ DE LA CRUZ</t>
  </si>
  <si>
    <t>JULIO CESAR OSORIO ESPRIELLA</t>
  </si>
  <si>
    <t>ASTO318@OLIMPICA.COM.CO</t>
  </si>
  <si>
    <t>TIENDA ARA 0334</t>
  </si>
  <si>
    <t>CESAR AUGUSTO BORRAS GOMEZ</t>
  </si>
  <si>
    <t>MARISELA LOPEZ SUAREZ</t>
  </si>
  <si>
    <t>CALLE 3 2A-26</t>
  </si>
  <si>
    <t>ADMINISTRACION@VAIAHOTELES.COM</t>
  </si>
  <si>
    <t>WILIAN BASILIO CARVAJAL</t>
  </si>
  <si>
    <t>MAMALIRA RESTAURANTE BAR</t>
  </si>
  <si>
    <t>ROBERTO JOSE SEPULVEDA FLOREZ</t>
  </si>
  <si>
    <t>78076453-3</t>
  </si>
  <si>
    <t xml:space="preserve">CER 2 CL 8B 4 </t>
  </si>
  <si>
    <t>ROBERTOJOSESEPULVEDAFLOREZ@GMAIL.COM</t>
  </si>
  <si>
    <t>HOTEL Y RESTAURANTE WAIKIKI</t>
  </si>
  <si>
    <t>DANIEL JARAMILLO CADAVID</t>
  </si>
  <si>
    <t>PLAYA AZUL VIDEPLUST S.A.S</t>
  </si>
  <si>
    <t>RESTAURANTE ROSY</t>
  </si>
  <si>
    <t xml:space="preserve">ROSIRIS DEL CARMEN MENDOZA ROJAS </t>
  </si>
  <si>
    <t xml:space="preserve">SECTOR COVEÑITAS </t>
  </si>
  <si>
    <t>18/0472025</t>
  </si>
  <si>
    <t>CABAÑAS Y RESTAURANTES MANGLE COVEÑAS</t>
  </si>
  <si>
    <t>MAURICIO ORLANDO MARTIN CHACON</t>
  </si>
  <si>
    <t xml:space="preserve">AVENIDA LA PLAYA </t>
  </si>
  <si>
    <t>MANGLEHOTELPLAYAS1@YAHOO.ES</t>
  </si>
  <si>
    <t>04/16/2021</t>
  </si>
  <si>
    <t xml:space="preserve">PUERTO VIEJO </t>
  </si>
  <si>
    <t xml:space="preserve">QUETAL COSTA AZUL </t>
  </si>
  <si>
    <t xml:space="preserve">LUIS JOSE ARIAS PACHECO </t>
  </si>
  <si>
    <t>INVERSIONESLJYLJSAS23@HOTMAIL.COM</t>
  </si>
  <si>
    <t>TORTAS Y POSTRES SRA CLAU</t>
  </si>
  <si>
    <t>RESTAURANTE SABOR COSTEÑO</t>
  </si>
  <si>
    <t>AMAURY ARAUJO</t>
  </si>
  <si>
    <t>1131106771-3</t>
  </si>
  <si>
    <t>AMAURYCARDENAS110@GMAIL.COM</t>
  </si>
  <si>
    <t xml:space="preserve">SALIM PEREZ </t>
  </si>
  <si>
    <t xml:space="preserve">JANETH CECILIA HERNANDEZ </t>
  </si>
  <si>
    <t>800010792-1</t>
  </si>
  <si>
    <t xml:space="preserve">EDIFICIO PUNTA PIEDRA SEGUNDA ENSENADA </t>
  </si>
  <si>
    <t>PUNTEPIEDRA@GMAIL.COM</t>
  </si>
  <si>
    <t>RESTAURANTE SINAI</t>
  </si>
  <si>
    <t>RESTAURANTE MARGARITA</t>
  </si>
  <si>
    <t>ALEXANDER PADILLA</t>
  </si>
  <si>
    <t>PRIMERA ENSENADA</t>
  </si>
  <si>
    <t>ALEXANDERPADILLAREYES160@GMAIL.COM</t>
  </si>
  <si>
    <t xml:space="preserve">RESTAURANTE LAS DELICIAS DE ANA </t>
  </si>
  <si>
    <t>ANA SOFIA LORA PADILLA</t>
  </si>
  <si>
    <t>30661957-8</t>
  </si>
  <si>
    <t>MARLEDIS DEL CARMEN MENDOZA</t>
  </si>
  <si>
    <t>SECTOR COA</t>
  </si>
  <si>
    <t>HOTEL EL POBLADO S.A.S</t>
  </si>
  <si>
    <t>RESTAURANTE HOTEL EL POBLADO</t>
  </si>
  <si>
    <t>JUAN MANUEL GOMEZ GOMEZ</t>
  </si>
  <si>
    <t>900725424-6</t>
  </si>
  <si>
    <t>CL 6 N° 12-386</t>
  </si>
  <si>
    <t>SOSTENIBILIDAD@HOTELPOBLADO.COM</t>
  </si>
  <si>
    <t>ROGER BURGO PEÑA</t>
  </si>
  <si>
    <t xml:space="preserve">RESTAURANTE BAR LA FONDA </t>
  </si>
  <si>
    <t xml:space="preserve">RESTAURANTE  LOS TOCAYOS </t>
  </si>
  <si>
    <t xml:space="preserve">YEIMIS COA SUAREZ </t>
  </si>
  <si>
    <t xml:space="preserve">CALLE LAS TRAMPOSAS </t>
  </si>
  <si>
    <t>07/0372024</t>
  </si>
  <si>
    <t xml:space="preserve">HOTEL EL ENSUEÑO </t>
  </si>
  <si>
    <t>CINDY CAROLINA CORDOBA CASAS</t>
  </si>
  <si>
    <t>7161823-7</t>
  </si>
  <si>
    <t>PUERTO VIEJO</t>
  </si>
  <si>
    <t>RAMONCOROBA2014@GMAIL.COM</t>
  </si>
  <si>
    <t>PANADERIA Y PASTELERIA BROSTY PAN</t>
  </si>
  <si>
    <t xml:space="preserve">MARBIN VALLES ARANGO </t>
  </si>
  <si>
    <t>1046932063-1</t>
  </si>
  <si>
    <t>CL 4 CR 1 - 41</t>
  </si>
  <si>
    <t>LULYLOP@GMAIL.COM</t>
  </si>
  <si>
    <t>95.5%</t>
  </si>
  <si>
    <t>MARBELO BEACH RESTAURANTE</t>
  </si>
  <si>
    <t>LINA LOPEZ</t>
  </si>
  <si>
    <t>901066361-6</t>
  </si>
  <si>
    <t>CALLE 6 #12-45</t>
  </si>
  <si>
    <t>HOTEL Y RESTAURANTE VILLA MELISSA</t>
  </si>
  <si>
    <t xml:space="preserve">RUT ARGUMEDO </t>
  </si>
  <si>
    <t xml:space="preserve">SEGUNDA ENSENADA </t>
  </si>
  <si>
    <t>APARTAHOTELVILLAMELISSA@YAHOO.ES</t>
  </si>
  <si>
    <t>HOTEL Y RESTAURANTE LA ROCHELA</t>
  </si>
  <si>
    <t xml:space="preserve">JUAN GONZALEZ TAMAYO VELEZ </t>
  </si>
  <si>
    <t>1131107705-1</t>
  </si>
  <si>
    <t>CRA 5 #14 -14</t>
  </si>
  <si>
    <t>ASALAREN@GMAIL.COM</t>
  </si>
  <si>
    <t>HOTEL THE BEST RESTAURANTE</t>
  </si>
  <si>
    <t>ADRIAN MARIN</t>
  </si>
  <si>
    <t>9011417406-6</t>
  </si>
  <si>
    <t xml:space="preserve">HOTEL RESTAURANTE TERRAMAR </t>
  </si>
  <si>
    <t xml:space="preserve">TOVAR NEIRA FERNANDO AUGUSTO </t>
  </si>
  <si>
    <t>79145525-5</t>
  </si>
  <si>
    <t>CALLE 2 #10-96</t>
  </si>
  <si>
    <t>HOTEL RESTAURANTE SAN JORGE</t>
  </si>
  <si>
    <t>70500960-6</t>
  </si>
  <si>
    <t>HOTEL RESTAURANTE MIRAMAR</t>
  </si>
  <si>
    <t>HOTEL RESTAURANTE MIRALUNA  BOUTIQUE</t>
  </si>
  <si>
    <t xml:space="preserve">ODALYS BRAVO DE LA PEÑA </t>
  </si>
  <si>
    <t>64544068-8</t>
  </si>
  <si>
    <t xml:space="preserve">CR 34C-20 LA COQUERITA </t>
  </si>
  <si>
    <t>ODALYSBRAVODELAP@HOTMAIL.COM</t>
  </si>
  <si>
    <t xml:space="preserve">HOTEL RESTAURANTE BRISAS DEL MAR </t>
  </si>
  <si>
    <t xml:space="preserve">SANTIAGO SUAREZ </t>
  </si>
  <si>
    <t>900297767-1</t>
  </si>
  <si>
    <t>BRIMARHOTEL@GMAIL.COM</t>
  </si>
  <si>
    <t xml:space="preserve">LINA MARCELA LOPEZ ESTRADA </t>
  </si>
  <si>
    <t>CALLE 6 #12-450</t>
  </si>
  <si>
    <t>BERNAL LOPEZ SAS</t>
  </si>
  <si>
    <t xml:space="preserve">HOTEL GREEN </t>
  </si>
  <si>
    <t>90166361-6</t>
  </si>
  <si>
    <t>CLL 5 # 21-34</t>
  </si>
  <si>
    <t>CONTABILIDAD@PLASTICGROUP.COM.CO</t>
  </si>
  <si>
    <t>LINA MARCELA LOPEZ</t>
  </si>
  <si>
    <t>CALLE 6 # 12-70</t>
  </si>
  <si>
    <t>86.5%</t>
  </si>
  <si>
    <t>ESTRELLA DE COVEÑAS</t>
  </si>
  <si>
    <t>SEBASTIAN LONDOÑO</t>
  </si>
  <si>
    <t>700113798-3</t>
  </si>
  <si>
    <t>RESTAURANTE HOTEL LA FRAGATA</t>
  </si>
  <si>
    <t>JHON FREDY CASTAÑO ZULUAGA</t>
  </si>
  <si>
    <t xml:space="preserve">RESTAURANTE BAR SANTA MARTA </t>
  </si>
  <si>
    <t xml:space="preserve">IRIS DEL CARMEN REVUELTA GOMEZ </t>
  </si>
  <si>
    <t>23214360-1</t>
  </si>
  <si>
    <t>CL 1 CR 33 - 205</t>
  </si>
  <si>
    <t>IRISARCO2@HOTMAIL.COM</t>
  </si>
  <si>
    <t>RESTAURANTE  - BAR DE JAUU MAR</t>
  </si>
  <si>
    <t xml:space="preserve">JUAN CARLOS CARDONA </t>
  </si>
  <si>
    <t>15030280-9</t>
  </si>
  <si>
    <t>LA COQUETERITA</t>
  </si>
  <si>
    <t>DEJAVUMAR2018@GMAIL.COM</t>
  </si>
  <si>
    <t>CABAÑAS Y RESTAURANTES LOS FLAMENCOS</t>
  </si>
  <si>
    <t xml:space="preserve">ANDRES MORENO </t>
  </si>
  <si>
    <t>901578010-5</t>
  </si>
  <si>
    <t xml:space="preserve">RESTAURANTE EL PARGUITO FELIZ </t>
  </si>
  <si>
    <t xml:space="preserve">CAROLINA GALLO RUIZ </t>
  </si>
  <si>
    <t>64698057-8</t>
  </si>
  <si>
    <t>CALLE 5 # 13-32</t>
  </si>
  <si>
    <t>VILLARAQUEL@HOTMAIL.COM</t>
  </si>
  <si>
    <t>CONDOMINIO BAHIA BLANCA CONDOMINIO</t>
  </si>
  <si>
    <t xml:space="preserve">HENRY AGUIRRE RAMIREZ </t>
  </si>
  <si>
    <t>901077098-9</t>
  </si>
  <si>
    <t xml:space="preserve">SECTOR LA MARTA </t>
  </si>
  <si>
    <t>RESERVAS@BAHIABLANCACONDOMINIO.COM</t>
  </si>
  <si>
    <t>COMIDAS RAPIDAS DONDE SHIRLEY</t>
  </si>
  <si>
    <t>KELLY JOHANA HENAO</t>
  </si>
  <si>
    <t>1104872939-1</t>
  </si>
  <si>
    <t>CLL 13 227 PUNTA PIEDRA</t>
  </si>
  <si>
    <t xml:space="preserve">AZUL DEL MAR RESTAURANTE </t>
  </si>
  <si>
    <t>RODRIGO ANDRES MURILLO GARZON</t>
  </si>
  <si>
    <t>GMC.MURILLO@GMAIL.COM</t>
  </si>
  <si>
    <t xml:space="preserve">CABAÑAS ISLA MAR </t>
  </si>
  <si>
    <t xml:space="preserve">NICOLAS VARGAS ARIAS </t>
  </si>
  <si>
    <t>92536039-2</t>
  </si>
  <si>
    <t>NVARGASARIAS@HOTMAIL.COM</t>
  </si>
  <si>
    <t>APARTA HOTEL JHAYSURYS</t>
  </si>
  <si>
    <t xml:space="preserve">CATALINO ORTIZ </t>
  </si>
  <si>
    <t>CALLE 5 #16-34</t>
  </si>
  <si>
    <t>HOTELCOVEÑASCARIBESAS@GMAIL.COM</t>
  </si>
  <si>
    <t xml:space="preserve">RICARDO SABOGAL </t>
  </si>
  <si>
    <t>PAYAISLAMAGICAQGMAIL.COM</t>
  </si>
  <si>
    <t>PLACITA DEL MAR</t>
  </si>
  <si>
    <t>BOCA DE LA CIENEGA</t>
  </si>
  <si>
    <t xml:space="preserve">PESQUERA LA BENDICION </t>
  </si>
  <si>
    <t>ELKIN MANUEL RAMIREZ</t>
  </si>
  <si>
    <t>78758569-6</t>
  </si>
  <si>
    <t xml:space="preserve">CALLE 4 CARRERA 10 - 3 ISLA GALLINAZO </t>
  </si>
  <si>
    <t>RESTAURANTE COMARICO</t>
  </si>
  <si>
    <t>DELIO JOSE NORIEGA</t>
  </si>
  <si>
    <t xml:space="preserve">CALLE 4 115 # 130 </t>
  </si>
  <si>
    <t>HOTEL PORTAL MANAIM</t>
  </si>
  <si>
    <t xml:space="preserve">MENDOZA RAMOS ADIEL </t>
  </si>
  <si>
    <t>BILLARES Y ESTADERO PAPAYORLI</t>
  </si>
  <si>
    <t>MARLEDYS MENDOZA</t>
  </si>
  <si>
    <t>BELLAVISTA</t>
  </si>
  <si>
    <t>RURA</t>
  </si>
  <si>
    <t xml:space="preserve">INGRITH PAOLA ESCOBAR </t>
  </si>
  <si>
    <t>PUNTA DE PIEDRA</t>
  </si>
  <si>
    <t xml:space="preserve">BARRIL PREMIUM </t>
  </si>
  <si>
    <t xml:space="preserve">EIMAR LUIS MURILLO </t>
  </si>
  <si>
    <t>SECTOR LA BOMBA</t>
  </si>
  <si>
    <t>CUCHARA E PALO COVEÑAS</t>
  </si>
  <si>
    <t>NIRLEY MOGOLLON</t>
  </si>
  <si>
    <t>GUYABAL</t>
  </si>
  <si>
    <t xml:space="preserve">HOTEL BE REAL RESTAURANTE </t>
  </si>
  <si>
    <t xml:space="preserve">GUILLERMO DIAZ MEDINA </t>
  </si>
  <si>
    <t>HOTEL TALAM HOSE HOTEL</t>
  </si>
  <si>
    <t>LINA MARCELA LOPEZ ESTRADA</t>
  </si>
  <si>
    <t>CALLE 6 12- 232 PUNTA DE PIEDRA</t>
  </si>
  <si>
    <t>MASHALA HOTEL</t>
  </si>
  <si>
    <t xml:space="preserve">ANAMERCEDES MENDOZ MUÑOZ </t>
  </si>
  <si>
    <t xml:space="preserve">CALLE 12 -8 - 05 SEGUNDA ENSENADA </t>
  </si>
  <si>
    <t>MI CARRIEL RESTAURANTE BAR</t>
  </si>
  <si>
    <t xml:space="preserve">LINA MARIA SIERRA RUIZ </t>
  </si>
  <si>
    <t>DIAGONAL 10- 1 5A 83LA ISLA</t>
  </si>
  <si>
    <t>LINAMARIASIERRARUIZQGMAIL.COM</t>
  </si>
  <si>
    <t>DISTRIBODEGA</t>
  </si>
  <si>
    <t xml:space="preserve">YAMIT CONTRERAS </t>
  </si>
  <si>
    <t>CR 28 # 13-49</t>
  </si>
  <si>
    <t>TIENDA LAS PALMAS</t>
  </si>
  <si>
    <t>ALFRE ACOSTA ARRLLO</t>
  </si>
  <si>
    <t xml:space="preserve">TIENDA EL COSTEÑO </t>
  </si>
  <si>
    <t xml:space="preserve">MIRNA LUZ ACOSTA </t>
  </si>
  <si>
    <t>CALLE 4 #11-12</t>
  </si>
  <si>
    <t>25/10/2022</t>
  </si>
  <si>
    <t>LICORERA PUNTA PIEDRA</t>
  </si>
  <si>
    <t>CRISTIAN SIERRA</t>
  </si>
  <si>
    <t>1193444431-9</t>
  </si>
  <si>
    <t>CALLE 21 #56 - SECTOR PUNTA PIEDRA</t>
  </si>
  <si>
    <t>SUPER TIENDA  LA GULL</t>
  </si>
  <si>
    <t>FREDY ARROYO</t>
  </si>
  <si>
    <t>CALLE 6 #2-101</t>
  </si>
  <si>
    <t xml:space="preserve">RESTAURANTE ROSI </t>
  </si>
  <si>
    <t>ROSIRIS MENDOZA</t>
  </si>
  <si>
    <t>SECTOR COVEÑITAS</t>
  </si>
  <si>
    <t>LILIA ESTHER GONZALES TOSCANO</t>
  </si>
  <si>
    <t>WILLIAM BASILIO CARVAJAL</t>
  </si>
  <si>
    <t>12/062024</t>
  </si>
  <si>
    <t>SUPERTIENDA YANGENTH</t>
  </si>
  <si>
    <t xml:space="preserve">ALEXANDER PINEDA </t>
  </si>
  <si>
    <t>CALLE 2 CR 2 -220</t>
  </si>
  <si>
    <t>28/06/2022</t>
  </si>
  <si>
    <t>AGROPEZCAR S.A.S</t>
  </si>
  <si>
    <t>FRANCISCO MARTINEZ</t>
  </si>
  <si>
    <t>900941160-2</t>
  </si>
  <si>
    <t>ISLA DE GALLINAZO</t>
  </si>
  <si>
    <t>VERONA RESTAURANTE BAR</t>
  </si>
  <si>
    <t>YATZANA TORRES</t>
  </si>
  <si>
    <t>1013632607-0</t>
  </si>
  <si>
    <t>YATZARA20@HOTMAIL.COM</t>
  </si>
  <si>
    <t xml:space="preserve">RESTAURANTE DOÑA ANA </t>
  </si>
  <si>
    <t>ADALGIZA GOMEZ</t>
  </si>
  <si>
    <t>PANADERIA LA ESPERANZA</t>
  </si>
  <si>
    <t>CANDIDA CANTILLO</t>
  </si>
  <si>
    <t>26116597-9</t>
  </si>
  <si>
    <t>CALLE 34 #1-24</t>
  </si>
  <si>
    <t>APARTAHOTEL Y FUENTE MAR AZUL</t>
  </si>
  <si>
    <t>INGRY DIAZ</t>
  </si>
  <si>
    <t>64921562-2</t>
  </si>
  <si>
    <t>PIZZERIA BAR</t>
  </si>
  <si>
    <t>JOSE HERNANDEZ</t>
  </si>
  <si>
    <t>1131104929-1</t>
  </si>
  <si>
    <t>SECTOR ALICANTE</t>
  </si>
  <si>
    <t>CONSORCIO CAMBIANDO VIDA</t>
  </si>
  <si>
    <t>ALBERTO MARTINEZ</t>
  </si>
  <si>
    <t>901589960-2</t>
  </si>
  <si>
    <t>PARQUE INDUSTRIAL - MANZANA B</t>
  </si>
  <si>
    <t>GRANERO EL CORAZON DE JESUS</t>
  </si>
  <si>
    <t>DAIRO ALONSO QUINTERO</t>
  </si>
  <si>
    <t>PUNTA PEIDRA</t>
  </si>
  <si>
    <t>I.E. TORRENTE INDIGENA</t>
  </si>
  <si>
    <t>VALENTINA PLAZAS</t>
  </si>
  <si>
    <t>900171202-9</t>
  </si>
  <si>
    <t>CABILDO INDIGENA TORRENTE</t>
  </si>
  <si>
    <t>TIENDA VILLA VIS</t>
  </si>
  <si>
    <t xml:space="preserve">VISLANDIA CALDERA ARRIETA </t>
  </si>
  <si>
    <t>CALLE 4# 20-172</t>
  </si>
  <si>
    <t>15/06/2022</t>
  </si>
  <si>
    <t>RESTAURANTE LA RACHELA</t>
  </si>
  <si>
    <t>JUAN TAMAYO</t>
  </si>
  <si>
    <t>CRR 5 #14-14 PUNTA PIEDRA</t>
  </si>
  <si>
    <t>SINGAPUR</t>
  </si>
  <si>
    <t>ELKIN CONEN</t>
  </si>
  <si>
    <t>15621521-5</t>
  </si>
  <si>
    <t>KRA 1 BRR LA COQUERITA</t>
  </si>
  <si>
    <t xml:space="preserve">HOTEL PLAYA REAL COVEÑAS </t>
  </si>
  <si>
    <t xml:space="preserve">RUBEN ECHEVERRY </t>
  </si>
  <si>
    <t xml:space="preserve">LA CANASTA CAMPESINA </t>
  </si>
  <si>
    <t xml:space="preserve">ROGER ESTIVEN ARROYAVE </t>
  </si>
  <si>
    <t xml:space="preserve">LA ISLA </t>
  </si>
  <si>
    <t xml:space="preserve">PLAYA DORADA </t>
  </si>
  <si>
    <t>ELIZABETH ECHEBERRY</t>
  </si>
  <si>
    <t>1026301551-4</t>
  </si>
  <si>
    <t>CALLE 4 # 20-210</t>
  </si>
  <si>
    <t xml:space="preserve">RESTAURANTE CLUB LOS ALMENDROS </t>
  </si>
  <si>
    <t xml:space="preserve">ALVARO GONZALEZ CARDENAS </t>
  </si>
  <si>
    <t xml:space="preserve">KM 10 VIA TOLU COVEÑAS </t>
  </si>
  <si>
    <t xml:space="preserve">TIENDA LOS ALMENDROS </t>
  </si>
  <si>
    <t xml:space="preserve">YOHANA MARTINS </t>
  </si>
  <si>
    <t>HOTEL PLAYA MARINA COVEÑAS</t>
  </si>
  <si>
    <t>STEFAN MUÑOZ</t>
  </si>
  <si>
    <t>1039457042-4</t>
  </si>
  <si>
    <t>CL 6 #30-22</t>
  </si>
  <si>
    <t>MALAND RESTAURANTE</t>
  </si>
  <si>
    <t>JUAN FERNANDO MARIN</t>
  </si>
  <si>
    <t>71421694-6</t>
  </si>
  <si>
    <t>KR 4 CL 31-38</t>
  </si>
  <si>
    <t xml:space="preserve">COSTA PAN </t>
  </si>
  <si>
    <t>CONSORCIO NUTRICOVEÑAS 2025</t>
  </si>
  <si>
    <t>CAROLINA AVILEZ YEPES</t>
  </si>
  <si>
    <t>901927661-6</t>
  </si>
  <si>
    <t>CR 1B CL 5-9</t>
  </si>
  <si>
    <t>CONSORCIONUTRICOCOVEÑAS2025@GMAIL.COM</t>
  </si>
  <si>
    <t>13/11/2025</t>
  </si>
  <si>
    <t>ADRIAN MORALES/CARLO ACOSTA</t>
  </si>
  <si>
    <t>INSTITUCION EDUCATIVA TECNICA PIO XII SEDE PRINCIPAL</t>
  </si>
  <si>
    <t>CR 2 2A-20</t>
  </si>
  <si>
    <t>FUNDACION SOCIAL FUTURO PARA TODOS -I.E. EL REPARO</t>
  </si>
  <si>
    <t>EL REPARO COVEÑAS</t>
  </si>
  <si>
    <t>TIENDA EL CAMPESINO DE COVEÑAS</t>
  </si>
  <si>
    <t xml:space="preserve">MILTON TEHERAN </t>
  </si>
  <si>
    <t xml:space="preserve">ARENILLAS DEL MAR CONDOMINIO RESTAURANTE </t>
  </si>
  <si>
    <t xml:space="preserve">DEISY MERCADO SANCHEZ </t>
  </si>
  <si>
    <t xml:space="preserve"> AFROBERRUGAS - HOGAR DE BIENESTAR PEQUEÑIN </t>
  </si>
  <si>
    <t>LIZ KATERINE MONTERROZA</t>
  </si>
  <si>
    <t>901435391-0</t>
  </si>
  <si>
    <t xml:space="preserve">BELLAVISTA </t>
  </si>
  <si>
    <t xml:space="preserve">RESTAURANTE LUCY </t>
  </si>
  <si>
    <t xml:space="preserve">JESUS PEREZ HERNANDEZ </t>
  </si>
  <si>
    <t xml:space="preserve">RONAL MUÑOZ CUADRADO </t>
  </si>
  <si>
    <t xml:space="preserve">EDUSA FUNDACION </t>
  </si>
  <si>
    <t xml:space="preserve">CARLOS ANGEL MEZA </t>
  </si>
  <si>
    <t>CALLE 17# 12-58</t>
  </si>
  <si>
    <t>EL RINCON ANTIOQUEÑO</t>
  </si>
  <si>
    <t xml:space="preserve">ELIS ISABEL CUADRADO </t>
  </si>
  <si>
    <t>CALLE 45 BIS 52</t>
  </si>
  <si>
    <t>CABAÑAS PIEDRAMAR RESTAURANTE</t>
  </si>
  <si>
    <t>BETTY HERNANDEZ</t>
  </si>
  <si>
    <t>33080863-1</t>
  </si>
  <si>
    <t xml:space="preserve">TIENDA ISIMO COVEÑAS </t>
  </si>
  <si>
    <t>SERGIO JOSE BARAKE</t>
  </si>
  <si>
    <t>901613496-9</t>
  </si>
  <si>
    <t>CALLE 100 N°22-260</t>
  </si>
  <si>
    <t>M23COVEÑAS@TIENDASISIMO.COM</t>
  </si>
  <si>
    <t>TIENDA D1 COVEÑA NAVAL</t>
  </si>
  <si>
    <t>BASE NAVAL INFACTERIA DE MARINA</t>
  </si>
  <si>
    <t>TIENDA D1 BAHIA</t>
  </si>
  <si>
    <t>TATIANA MEJIA CASAS</t>
  </si>
  <si>
    <t>CL 10N 10B 296</t>
  </si>
  <si>
    <t>MILENAMARTINEZ@D1.COM.CO</t>
  </si>
  <si>
    <t>D1 SAS</t>
  </si>
  <si>
    <t xml:space="preserve">FUNDACION NIÑOS DE PAZ </t>
  </si>
  <si>
    <t xml:space="preserve">MONICA FLOREZ PEREZ </t>
  </si>
  <si>
    <t>CR 313 # 3C-65</t>
  </si>
  <si>
    <t>HOTEL LOS HERMANOS - RESTAURANTE BAR</t>
  </si>
  <si>
    <t>JESUS ABEL BURGOS PEÑA</t>
  </si>
  <si>
    <t>CALLE 5 # 8C-180</t>
  </si>
  <si>
    <t>INFO@HOTELLOSHERMANOS.COM</t>
  </si>
  <si>
    <t xml:space="preserve">LICOTIENDAS A Y V </t>
  </si>
  <si>
    <t>DEIVIS ARAUJO SALGADO</t>
  </si>
  <si>
    <t>KIOSKO JHAYSURYS</t>
  </si>
  <si>
    <t>RESTAURANTE PUNTA PIEDRA</t>
  </si>
  <si>
    <t>YANETH HERNANDEZ</t>
  </si>
  <si>
    <t xml:space="preserve">WILIAN BASILIO CARVAJAL </t>
  </si>
  <si>
    <t xml:space="preserve">HOTEL EL AMOR DE DIOS </t>
  </si>
  <si>
    <t xml:space="preserve">BRIDIS BEATRIZ  BUELVAS </t>
  </si>
  <si>
    <t>25773868-3</t>
  </si>
  <si>
    <t xml:space="preserve">ESTADERO SAPO VERDE </t>
  </si>
  <si>
    <t>ANA MAGALI MARIOTE LOZANO</t>
  </si>
  <si>
    <t>CR 10 B CL10 - SECTOR LA 40</t>
  </si>
  <si>
    <t xml:space="preserve">CABAÑAS LINDA PALMA </t>
  </si>
  <si>
    <t xml:space="preserve">EUGENIO BOTERO ARISTIZABAL </t>
  </si>
  <si>
    <t>CL 4 # 20-11 BOCA DE LA CIENEGA</t>
  </si>
  <si>
    <t xml:space="preserve">CABAÑAS EL TESORO 1 RESTAURANTE </t>
  </si>
  <si>
    <t xml:space="preserve">NEVER MELENDREZ </t>
  </si>
  <si>
    <t xml:space="preserve">RESTAURANTE BAR DEJAVU MAR </t>
  </si>
  <si>
    <t xml:space="preserve">TIENDA ZANABANDA </t>
  </si>
  <si>
    <t>KEVIN CARVAJAL CUADRADO</t>
  </si>
  <si>
    <t>1067878115-1</t>
  </si>
  <si>
    <t xml:space="preserve">CR 3 4D 29 LA COQUERITA </t>
  </si>
  <si>
    <t xml:space="preserve">PUNTO FRIO J.J </t>
  </si>
  <si>
    <t xml:space="preserve">ARTURO GUZMAN </t>
  </si>
  <si>
    <t>CR 21-30</t>
  </si>
  <si>
    <t>CABAÑAS AQUA BLUE</t>
  </si>
  <si>
    <t xml:space="preserve">FREDDY CASTAÑO </t>
  </si>
  <si>
    <t xml:space="preserve">PALMA CAOVA </t>
  </si>
  <si>
    <t xml:space="preserve">YANET HERNANDEZ </t>
  </si>
  <si>
    <t>ROGER ARROYAVE VELASCO</t>
  </si>
  <si>
    <t xml:space="preserve">ENTRADA GUAYABAL </t>
  </si>
  <si>
    <t xml:space="preserve">PRODUCTOS DEL CAMPO </t>
  </si>
  <si>
    <t xml:space="preserve">CARLOS CANTERO </t>
  </si>
  <si>
    <t>CARLOSCANTEROP@HOTMAIL.COM</t>
  </si>
  <si>
    <t xml:space="preserve">HOTEL Y RESTAURANTE LAS PALMERAS </t>
  </si>
  <si>
    <t xml:space="preserve">MARISA RESTREPO </t>
  </si>
  <si>
    <t>CALLE 4-20-79</t>
  </si>
  <si>
    <t>LASPALMERASCOLOMBIA@GMAIL.COM</t>
  </si>
  <si>
    <t xml:space="preserve">MINNI PIZZA KATY LUZ </t>
  </si>
  <si>
    <t xml:space="preserve">LUZ OMAIRA LOPERA RESTREPO </t>
  </si>
  <si>
    <t xml:space="preserve"> KM 1 SECTOR LA BOMBA </t>
  </si>
  <si>
    <t>LA MARAVILLA</t>
  </si>
  <si>
    <t xml:space="preserve">RESTAURANTE BERMELLON </t>
  </si>
  <si>
    <t xml:space="preserve">JESUS ABEL BURGOS </t>
  </si>
  <si>
    <t xml:space="preserve">RESTAURANTE DONDE MARTHA </t>
  </si>
  <si>
    <t xml:space="preserve">MARTHA VEGA </t>
  </si>
  <si>
    <t xml:space="preserve">SUPERTIENDA LAS REJAS AMARILLAS </t>
  </si>
  <si>
    <t>BAIRON OSPINA</t>
  </si>
  <si>
    <t>CR 34A-2-64</t>
  </si>
  <si>
    <t xml:space="preserve">LOISER TIENDA </t>
  </si>
  <si>
    <t>CR 2 CALLE 3A-32</t>
  </si>
  <si>
    <t xml:space="preserve">MINIMERCADO LA COQUERITA </t>
  </si>
  <si>
    <t xml:space="preserve">MARCO CASTAÑO </t>
  </si>
  <si>
    <t>SUPERTIENDA ALAMEDA</t>
  </si>
  <si>
    <t xml:space="preserve">LILIANA MIRANDA </t>
  </si>
  <si>
    <t xml:space="preserve">SUPERTIENDA LA ESMERALDA </t>
  </si>
  <si>
    <t xml:space="preserve">MANUEL CANTILLO </t>
  </si>
  <si>
    <t xml:space="preserve">BODEGA DONDE DANY </t>
  </si>
  <si>
    <t xml:space="preserve">LUIS DARIO CASTAÑO </t>
  </si>
  <si>
    <t>CR 2 #94-24</t>
  </si>
  <si>
    <t xml:space="preserve"> AFROBERRUGAS -HCBF MIS ANGELITOS </t>
  </si>
  <si>
    <t>TIENDA LOS 3</t>
  </si>
  <si>
    <t xml:space="preserve">DAIRO OLIVERO </t>
  </si>
  <si>
    <t>JERONIMO MARTINS COLOMBIA SAS</t>
  </si>
  <si>
    <t>TIENDA ARA 0856 TRONCAL CARIBE</t>
  </si>
  <si>
    <t>CESAR AGUSTO BORRAS GOMEZ</t>
  </si>
  <si>
    <t>CL 10 -10E 608</t>
  </si>
  <si>
    <t>COORDINADOR.OPERACIONES.R6@JERONIMO-MARTINS.COM</t>
  </si>
  <si>
    <t>MZ 21 LT D SECTOR ALICANTE</t>
  </si>
  <si>
    <t>19/06/2025</t>
  </si>
  <si>
    <t>FAVORABLE CON REQUERIMEINTOS</t>
  </si>
  <si>
    <t>ASOCIADA A PETICIONES/QUEJAS Y RECLAMOS</t>
  </si>
  <si>
    <t>CL 10 # 22-396 SECTOR LA COQUERITA</t>
  </si>
  <si>
    <t>ALFREDO.LINERO@D1.COMCO</t>
  </si>
  <si>
    <t>20/06/2025</t>
  </si>
  <si>
    <t>LUIS ROJAS /SALIM PEREZ</t>
  </si>
  <si>
    <t>FAVORABLE CON REQUERMIENTOS</t>
  </si>
  <si>
    <t>SUPERTIENDAS Y DROGUERIAS OLIMPICA SAS</t>
  </si>
  <si>
    <t>EXPENDIO DE CARNES STO 318</t>
  </si>
  <si>
    <t>CL 10 CR 25 EQ SECTOR CENTRO</t>
  </si>
  <si>
    <t>LUIS ROJAS/ARGEMIRO DIAZ</t>
  </si>
  <si>
    <t>UNION TEMPORAL ABUELITOS FELICES - COVEÑAS</t>
  </si>
  <si>
    <t>PACKING HOUSE 1</t>
  </si>
  <si>
    <t>CRA 4D CL 3A # 25 SECTOR GUAYABAL</t>
  </si>
  <si>
    <t>SALIM PEREZ/ARGEMIRO DIAZ</t>
  </si>
  <si>
    <t>SOLICITUD DEL INTERESADO</t>
  </si>
  <si>
    <t xml:space="preserve">ABASTO EL ROBLE </t>
  </si>
  <si>
    <t xml:space="preserve">CARLOS MARIO VERGARA </t>
  </si>
  <si>
    <t>CR 7-32 CENTRO</t>
  </si>
  <si>
    <t>13/7/2024</t>
  </si>
  <si>
    <t>FERNEL DE LA OSSA</t>
  </si>
  <si>
    <t>CENTRAL PARIS</t>
  </si>
  <si>
    <t>7023392526294</t>
  </si>
  <si>
    <t>EDGAR ARRIETA VILLALBA</t>
  </si>
  <si>
    <t>CR 6 CALLE 6A-39</t>
  </si>
  <si>
    <t>EL MEJOR PRECIO</t>
  </si>
  <si>
    <t>LUIS ALBERTO PEREZ</t>
  </si>
  <si>
    <t>CARRERA 10 # 2-21</t>
  </si>
  <si>
    <t>26/07/2024</t>
  </si>
  <si>
    <t xml:space="preserve">FABOORABLE CON REQUERIMIENTO </t>
  </si>
  <si>
    <t>GULLERMO ORTEGA DE HOYOS</t>
  </si>
  <si>
    <t>CALLE 2A# 7-61</t>
  </si>
  <si>
    <t xml:space="preserve">XIOMARA HERAZO GARCIA </t>
  </si>
  <si>
    <t>73,5%</t>
  </si>
  <si>
    <t>83,5%</t>
  </si>
  <si>
    <t>TIENDA EL PARQUE # 1</t>
  </si>
  <si>
    <t>JORGE SALCEDO ARRIETA</t>
  </si>
  <si>
    <t xml:space="preserve">CR 6-24 BR CENTRO </t>
  </si>
  <si>
    <t>76.5%%</t>
  </si>
  <si>
    <t xml:space="preserve">TIENDA LA ECONOMIA </t>
  </si>
  <si>
    <t xml:space="preserve">JORGE HERNANDEZ SALCEDO </t>
  </si>
  <si>
    <t>CR 4 CALLE 2 -55</t>
  </si>
  <si>
    <t>21/8/2024</t>
  </si>
  <si>
    <t xml:space="preserve">TIENDA LA VIRGEN </t>
  </si>
  <si>
    <t>ROGER EMIRO ANGULO</t>
  </si>
  <si>
    <t>CALLE 5 #8-25</t>
  </si>
  <si>
    <t>LATIENDA1974@GMAIL.COM</t>
  </si>
  <si>
    <t xml:space="preserve">TIENDA LUIS MIGUEL </t>
  </si>
  <si>
    <t xml:space="preserve">FARID SALCEDO ATENCIA </t>
  </si>
  <si>
    <t>CR 7 #3-1</t>
  </si>
  <si>
    <t>77.5%%</t>
  </si>
  <si>
    <t xml:space="preserve">COVEÑAS </t>
  </si>
  <si>
    <t>TIENDA MERKA FACIL</t>
  </si>
  <si>
    <t>YOJAIRA ISABEL ORTEGA</t>
  </si>
  <si>
    <t>CR 7 #10</t>
  </si>
  <si>
    <t>EL ROBLE</t>
  </si>
  <si>
    <t xml:space="preserve">TIENDA NO HAY COMO DIOS </t>
  </si>
  <si>
    <t xml:space="preserve">LUIS ENRIQUE ATENCIA </t>
  </si>
  <si>
    <t>CR 6A #4-49</t>
  </si>
  <si>
    <t>TIENDA LA BENDICION DE DIOS</t>
  </si>
  <si>
    <t>EDER ANGULO SIERRA</t>
  </si>
  <si>
    <t>BARRIO CALLE NUEVA</t>
  </si>
  <si>
    <t xml:space="preserve">YAHVEN JIRETH </t>
  </si>
  <si>
    <t xml:space="preserve">ITH DEL CARMEN MANASES OVIEDO
</t>
  </si>
  <si>
    <t xml:space="preserve">CALLE 5 #4 - 47
</t>
  </si>
  <si>
    <t xml:space="preserve">TIENDA EL DARO </t>
  </si>
  <si>
    <t xml:space="preserve">DARIO ATENCIA GARAY </t>
  </si>
  <si>
    <t xml:space="preserve">BARRIO COREA </t>
  </si>
  <si>
    <t xml:space="preserve">BOTTE DI PIETRO </t>
  </si>
  <si>
    <t xml:space="preserve">JULIETH ZORRO RIVERO </t>
  </si>
  <si>
    <t>1005150245-1</t>
  </si>
  <si>
    <t>CR 4 CALLE 6-48</t>
  </si>
  <si>
    <t xml:space="preserve">TIENDA LOS OLIVOS </t>
  </si>
  <si>
    <t xml:space="preserve">EDITH CASILLO </t>
  </si>
  <si>
    <t>CALLE 4 CR 9-35</t>
  </si>
  <si>
    <t>13/09/2024</t>
  </si>
  <si>
    <t xml:space="preserve">TIENDA CALLE NUEVA </t>
  </si>
  <si>
    <t>EDILVIS CASILLO SALCEDO</t>
  </si>
  <si>
    <t>CR 5 CALLE 2-45</t>
  </si>
  <si>
    <t>TIENDA EL 4</t>
  </si>
  <si>
    <t xml:space="preserve">JOSE DAVID </t>
  </si>
  <si>
    <t>CR 4 CALLE 13 -76</t>
  </si>
  <si>
    <t>TIENDA MX2</t>
  </si>
  <si>
    <t xml:space="preserve">ARLEY MENDOZA SUAREZ </t>
  </si>
  <si>
    <t>CR 6 # 12-82</t>
  </si>
  <si>
    <t xml:space="preserve">TIENDA DONDE BENITO </t>
  </si>
  <si>
    <t xml:space="preserve">JOSE BENITO ORTEGA </t>
  </si>
  <si>
    <t>CR 7 CALLE 8-58</t>
  </si>
  <si>
    <t xml:space="preserve">VIVERES Y ABARROTE ESTANQUILLO.COM </t>
  </si>
  <si>
    <t>SILVANO VERGARA</t>
  </si>
  <si>
    <t>CALLE 5 #8-56</t>
  </si>
  <si>
    <t xml:space="preserve">TIENDA SAN JOSE </t>
  </si>
  <si>
    <t>OSCAR ALVAREZ VERGARA</t>
  </si>
  <si>
    <t>CR 1 CALLE 2-10</t>
  </si>
  <si>
    <t xml:space="preserve">TIENDA GAEL </t>
  </si>
  <si>
    <t>LUIS ALBERTO VERGARA</t>
  </si>
  <si>
    <t>BARRIO PADILLA</t>
  </si>
  <si>
    <t>23/10/2023</t>
  </si>
  <si>
    <t xml:space="preserve">EL REPOSO </t>
  </si>
  <si>
    <t>FREDY SANCHEZ</t>
  </si>
  <si>
    <t>CORREGIMIENTO LAS TABLITAS</t>
  </si>
  <si>
    <t>76%%</t>
  </si>
  <si>
    <t>82%%</t>
  </si>
  <si>
    <t>LA ESPERANZA</t>
  </si>
  <si>
    <t>ARLEY VERGARA</t>
  </si>
  <si>
    <t>BARRIO LA ESPERANZA</t>
  </si>
  <si>
    <t>17/09/2024</t>
  </si>
  <si>
    <t>JESUS CORREA CORREA</t>
  </si>
  <si>
    <t xml:space="preserve"> CR 5-5-05</t>
  </si>
  <si>
    <t>TIENDA LAS 3B</t>
  </si>
  <si>
    <t xml:space="preserve">EDWIN MANUEL CASTRO GARCIA </t>
  </si>
  <si>
    <t>CR 4 CALLE 1-71</t>
  </si>
  <si>
    <t>TIENDA LA PAZ</t>
  </si>
  <si>
    <t xml:space="preserve">ENRIQUE ATENCIA ARRIETA </t>
  </si>
  <si>
    <t>CR 7A-4A-133P</t>
  </si>
  <si>
    <t>13/11/2024</t>
  </si>
  <si>
    <t xml:space="preserve">TIENDA EL PODER DE DIOS </t>
  </si>
  <si>
    <t>LUIS CARLOS VERGARA</t>
  </si>
  <si>
    <t>CALLE 4#7-93</t>
  </si>
  <si>
    <t>22/11/2022</t>
  </si>
  <si>
    <t xml:space="preserve">TIENDA SAN RAFAEL </t>
  </si>
  <si>
    <t xml:space="preserve">EVER VERGARA LOZANO </t>
  </si>
  <si>
    <t xml:space="preserve">CR 4 CALLE -8 </t>
  </si>
  <si>
    <t xml:space="preserve">COMERCIAL ATENCIA </t>
  </si>
  <si>
    <t>CALLE 6A -4-49</t>
  </si>
  <si>
    <t>TIENDA A Y R</t>
  </si>
  <si>
    <t>ALCIRIS MEDINA</t>
  </si>
  <si>
    <t>64744089-0</t>
  </si>
  <si>
    <t>CL 5 #8-25</t>
  </si>
  <si>
    <t>LA MEJOR ESQUINA</t>
  </si>
  <si>
    <t>YESICA CASTRO ATENCIA</t>
  </si>
  <si>
    <t>CRA 5A</t>
  </si>
  <si>
    <t>TIENDA DOCS</t>
  </si>
  <si>
    <t>ARLEY URANGO</t>
  </si>
  <si>
    <t>TIENDA OLAM</t>
  </si>
  <si>
    <t xml:space="preserve">NELLY AGUILAR </t>
  </si>
  <si>
    <t>. 3004066413</t>
  </si>
  <si>
    <t>COREA</t>
  </si>
  <si>
    <t>TIENDA 3B</t>
  </si>
  <si>
    <t xml:space="preserve">CARLOS CASTRO GARCIA </t>
  </si>
  <si>
    <t>.3022441561</t>
  </si>
  <si>
    <t>ALCIRIS MADERA</t>
  </si>
  <si>
    <t xml:space="preserve">PADILLA </t>
  </si>
  <si>
    <t>TIENDA EL ROSARIO</t>
  </si>
  <si>
    <t xml:space="preserve">REINALDO CARMONA </t>
  </si>
  <si>
    <t>SAN MATEO</t>
  </si>
  <si>
    <t xml:space="preserve">TIENDA COMERCIAL ATENCIA </t>
  </si>
  <si>
    <t xml:space="preserve">CARLOS CASTILLO SALCEDO </t>
  </si>
  <si>
    <t xml:space="preserve">TIENDA LOS RECUERDOS DE ELLA </t>
  </si>
  <si>
    <t>EVELIO PEREZ</t>
  </si>
  <si>
    <t>SAN JOSE</t>
  </si>
  <si>
    <t xml:space="preserve">TIENDA LA BENDICION </t>
  </si>
  <si>
    <t>EDWIN CASTRO</t>
  </si>
  <si>
    <t>LA POPULAR</t>
  </si>
  <si>
    <t>VICTOR ALFONSO CARRASCAL CASTRO</t>
  </si>
  <si>
    <t>1045145081-4</t>
  </si>
  <si>
    <t>CLL 8 CR4-14</t>
  </si>
  <si>
    <t>VICTORCARCAS.78@GMAIL.COM</t>
  </si>
  <si>
    <t>25/04/2024</t>
  </si>
  <si>
    <t xml:space="preserve">PROGRMACION </t>
  </si>
  <si>
    <t>79%%</t>
  </si>
  <si>
    <t>800247681-9</t>
  </si>
  <si>
    <t>BILLARES LA NEGRA</t>
  </si>
  <si>
    <t>MARIA SUAREZ AMAYA</t>
  </si>
  <si>
    <t>Cr 26 Cll 12-24</t>
  </si>
  <si>
    <t>BILLARES SAN MATEO</t>
  </si>
  <si>
    <t xml:space="preserve">JERONIMO VARGAS </t>
  </si>
  <si>
    <t>CR 5 #10-62</t>
  </si>
  <si>
    <t xml:space="preserve">CANCHA DE TEJO JALISCO </t>
  </si>
  <si>
    <t>EDUARDO VERGARA VERGARA</t>
  </si>
  <si>
    <t>CR 5-13-107</t>
  </si>
  <si>
    <t xml:space="preserve">MINI TEJO MI RANCHITO </t>
  </si>
  <si>
    <t xml:space="preserve">YOVANI ABAD ACOSTA </t>
  </si>
  <si>
    <t>CR 4A#10-5</t>
  </si>
  <si>
    <t>PARE Y REFRESQUECE</t>
  </si>
  <si>
    <t>ARCADIO PEREZ HERNANDEZ</t>
  </si>
  <si>
    <t>CORREGIMIENTO RANCHO DE LA CRUZ</t>
  </si>
  <si>
    <t>ROBERTO ANTONIO ARIAS MEJIA</t>
  </si>
  <si>
    <t>CHAMPIONS</t>
  </si>
  <si>
    <t xml:space="preserve">ROBERTO ANTONIO ARIAS MEJIA </t>
  </si>
  <si>
    <t xml:space="preserve">CORREGIMIENTO EL SITIO </t>
  </si>
  <si>
    <t>ELIDAHERNANDEZ1305@GMAIL.COM</t>
  </si>
  <si>
    <t xml:space="preserve">EL DIOMEDAZO </t>
  </si>
  <si>
    <t>LUZ MARINA PADILLA AGUILAR</t>
  </si>
  <si>
    <t>45542865-3</t>
  </si>
  <si>
    <t xml:space="preserve">BARRIO LOS ALMENDROS </t>
  </si>
  <si>
    <t>DIAZPADILLAYELENAINEZ@GMAIL.COM</t>
  </si>
  <si>
    <t>ESTADERO LA Y DEL ROBLE</t>
  </si>
  <si>
    <t>LUIS ENRIQUE ATENCIA</t>
  </si>
  <si>
    <t>3843887-4</t>
  </si>
  <si>
    <t xml:space="preserve">BARRIO LAS BRISAS </t>
  </si>
  <si>
    <t xml:space="preserve">BILLARES TON CON TIN </t>
  </si>
  <si>
    <t xml:space="preserve">JORGE AGUILAR SALGADO </t>
  </si>
  <si>
    <t>CR 4 CALLE 2-70</t>
  </si>
  <si>
    <t xml:space="preserve">LICORES LA FARA </t>
  </si>
  <si>
    <t xml:space="preserve">IVAN DE HOYOS VERGARA </t>
  </si>
  <si>
    <t>CALLE 3 #4-7</t>
  </si>
  <si>
    <t>EXPENDIO DE CARNES EL MONO</t>
  </si>
  <si>
    <t>EMIRO SALGADO SIERRA</t>
  </si>
  <si>
    <t>LA TRAMPA VALLENATA</t>
  </si>
  <si>
    <t>MIGUEL ESTEVAN BADEL QUIROZ</t>
  </si>
  <si>
    <t>1067958741-6</t>
  </si>
  <si>
    <t>CR 6 CALLE 8-23 CENTRO</t>
  </si>
  <si>
    <t xml:space="preserve">HELADERIA Y LICORES EL CENTRO </t>
  </si>
  <si>
    <t>LORENA VERGARA</t>
  </si>
  <si>
    <t>CR4 CALLE 6-40</t>
  </si>
  <si>
    <t>ESTADERO LAS BRISAS</t>
  </si>
  <si>
    <t xml:space="preserve">YIMI MANUEL ORTEGA </t>
  </si>
  <si>
    <t>CALLE LAS BRISAS</t>
  </si>
  <si>
    <t xml:space="preserve">BILLARES LA OFICINA </t>
  </si>
  <si>
    <t>JAVIER FRANCISCO VERGARA VERGARA</t>
  </si>
  <si>
    <t>1099990349-2</t>
  </si>
  <si>
    <t>JVERGARAVERGARA85@GMAIL.COM</t>
  </si>
  <si>
    <t>BILLARES NUEVA LUZ</t>
  </si>
  <si>
    <t>HERNEDIS TOVAR SIERRA</t>
  </si>
  <si>
    <t>CR 2 CALLE 1-55</t>
  </si>
  <si>
    <t>BILLARES CHALE</t>
  </si>
  <si>
    <t xml:space="preserve">JESUS ANIBAL ARRIETA </t>
  </si>
  <si>
    <t>CR 5 CR 6A-97</t>
  </si>
  <si>
    <t>ESTADERO DISCO BAR LAS 3A</t>
  </si>
  <si>
    <t xml:space="preserve">ANA AVILA </t>
  </si>
  <si>
    <t>BARRIO EL CAÑITO</t>
  </si>
  <si>
    <t>ESTADERO EL CAMPO</t>
  </si>
  <si>
    <t>CLARA HERNANDEZ ATENCIA</t>
  </si>
  <si>
    <t>CR 4 CALLE 1 -47</t>
  </si>
  <si>
    <t xml:space="preserve">ESTADERO CENTRO </t>
  </si>
  <si>
    <t>ERIKA PATRICIA VERGARA OZUNA</t>
  </si>
  <si>
    <t>CR 6 #7-23</t>
  </si>
  <si>
    <t xml:space="preserve">BILLARES LA BOMBONERA </t>
  </si>
  <si>
    <t xml:space="preserve">ARMANDO ARIAS </t>
  </si>
  <si>
    <t xml:space="preserve">CR 6 CALLE 4-15 </t>
  </si>
  <si>
    <t xml:space="preserve">DISCOTECA EL BOTE TE PIETO </t>
  </si>
  <si>
    <t>DANILO SPADA</t>
  </si>
  <si>
    <t>CALLE CENTRAL</t>
  </si>
  <si>
    <t>EL BARRIL ( ESTADERO )</t>
  </si>
  <si>
    <t xml:space="preserve">SOL OZUNA </t>
  </si>
  <si>
    <t>PUNTO FRIO 315</t>
  </si>
  <si>
    <t xml:space="preserve">ADRIAN ARCE SIERRA </t>
  </si>
  <si>
    <t xml:space="preserve">3 CANCIONES </t>
  </si>
  <si>
    <t>JOSE VERGARA</t>
  </si>
  <si>
    <t xml:space="preserve">LA TRAMPA VALLENATA </t>
  </si>
  <si>
    <t>REINA ROSA VERGARA GANDARA</t>
  </si>
  <si>
    <t>CRA 6#8-23</t>
  </si>
  <si>
    <t xml:space="preserve">EL SITIO DEL PAN </t>
  </si>
  <si>
    <t xml:space="preserve">VILMA MERCADO VERGARA </t>
  </si>
  <si>
    <t xml:space="preserve">CALLE 3-6-6 EL SITIO </t>
  </si>
  <si>
    <t>30/06/2024</t>
  </si>
  <si>
    <t>PROGRAMCION</t>
  </si>
  <si>
    <t xml:space="preserve">PRGRAMACION </t>
  </si>
  <si>
    <t>ACTVO</t>
  </si>
  <si>
    <t>ESTADERO LA CASONA</t>
  </si>
  <si>
    <t>EDILSO VERGARA</t>
  </si>
  <si>
    <t>HOGAR DE BIENESTAR DULCE AMOR</t>
  </si>
  <si>
    <t>JAKELINE MARIMON DIAZ</t>
  </si>
  <si>
    <t>ASOPALOALTO@HOTMAIL.COM</t>
  </si>
  <si>
    <t xml:space="preserve">ASOCIACION DE BIENEATAR SANTA MARTA </t>
  </si>
  <si>
    <t>LOS NARANJOS</t>
  </si>
  <si>
    <t>CALLE 5 # 11-20</t>
  </si>
  <si>
    <t>19/06/2024</t>
  </si>
  <si>
    <t>18/04/2022</t>
  </si>
  <si>
    <t>901820624-2</t>
  </si>
  <si>
    <t>CORREGIMIENTO DE PALMITAL</t>
  </si>
  <si>
    <t xml:space="preserve">ASOCIACION DE PADRES DE FAMILIA CORREGIMIENTO DE PALO ALTO </t>
  </si>
  <si>
    <t xml:space="preserve">LEDYS ISABEL NARVAES LOZANO </t>
  </si>
  <si>
    <t>CALLE 1 CR 1-15</t>
  </si>
  <si>
    <t>LEIDISNAR84@GMAIL.COM</t>
  </si>
  <si>
    <t>ASOCIACION DE BIENESTAR SANTA MARTA</t>
  </si>
  <si>
    <t>EL NIÑO JESUS</t>
  </si>
  <si>
    <t>823000723-9</t>
  </si>
  <si>
    <t>CORREGIMIENTO CORNETA</t>
  </si>
  <si>
    <t>25/08/2023</t>
  </si>
  <si>
    <t xml:space="preserve">MI RAYITO DE SOL </t>
  </si>
  <si>
    <t>DIANA PATRICIA AUAREZ SIERRA</t>
  </si>
  <si>
    <t xml:space="preserve">CALLE 4 - 60 </t>
  </si>
  <si>
    <t>15/07/2024</t>
  </si>
  <si>
    <t xml:space="preserve">HOGAR DE BIENESTAR LOS ANGELITOS </t>
  </si>
  <si>
    <t>22/04/2024</t>
  </si>
  <si>
    <t xml:space="preserve">CALLE 5-4 CARRERA 6 B LAS PEÑITAS </t>
  </si>
  <si>
    <t xml:space="preserve">CENTRO DE VIDA AÑOS DORADOS </t>
  </si>
  <si>
    <t xml:space="preserve">NOEL ACEVEDO ORTEGA </t>
  </si>
  <si>
    <t>CALLE 4 # 8-47</t>
  </si>
  <si>
    <t>HOGAR DE BIENESTAR LOS PITUFITOS</t>
  </si>
  <si>
    <t>CALLE 4 # 155 CR 8</t>
  </si>
  <si>
    <t>38/07/2025</t>
  </si>
  <si>
    <t xml:space="preserve">CORREGIMIENTO DE SAN FRANCISCO </t>
  </si>
  <si>
    <t>22/07/2024</t>
  </si>
  <si>
    <t xml:space="preserve">FUNDACION MARIA AUXILIADORA (DIVINO NIÑO) </t>
  </si>
  <si>
    <t xml:space="preserve">BARRIO NUEVA ESPERANZA </t>
  </si>
  <si>
    <t xml:space="preserve">FDIVINO NIÑO </t>
  </si>
  <si>
    <t>BEATRIZ ANGULO ROMERO</t>
  </si>
  <si>
    <t>CALLE 4 CARRERA 8-86</t>
  </si>
  <si>
    <t>MI EDAD FELIZ</t>
  </si>
  <si>
    <t>OMAIRA ORTEGA</t>
  </si>
  <si>
    <t>CALLE 5 CARRERA 3-45</t>
  </si>
  <si>
    <t>ASOCIACION DE BIENESTAR SANTA MARTA(LOS NENES)</t>
  </si>
  <si>
    <t>CR 4A 9-25</t>
  </si>
  <si>
    <t>25/4/2024</t>
  </si>
  <si>
    <t>24/08/2023</t>
  </si>
  <si>
    <t>IETA ANIBAL GANDARA CAMPO</t>
  </si>
  <si>
    <t>WILLIAM HERNANDEZ AGUILAR</t>
  </si>
  <si>
    <t xml:space="preserve">CALLE LAS FLORES </t>
  </si>
  <si>
    <t>RESTOBAR ALMA LIBRE EL ROBLE</t>
  </si>
  <si>
    <t>LUIS SALGADO VERGARA</t>
  </si>
  <si>
    <t>CR6 CALLE 7 -5 LOCAL 1</t>
  </si>
  <si>
    <t>LA ESQUINA DEL SABOR</t>
  </si>
  <si>
    <t>YANET CASILLO BENITEZ</t>
  </si>
  <si>
    <t>CALLE 6 CR 7-47 BARIIO PADILLA</t>
  </si>
  <si>
    <t xml:space="preserve">RESTAURANTE EL CORAL </t>
  </si>
  <si>
    <t>76.6%</t>
  </si>
  <si>
    <t xml:space="preserve"> NO </t>
  </si>
  <si>
    <t>RESTAURANTE PASION POR LAS BRASAS</t>
  </si>
  <si>
    <t>FRANCISCO JOSE VERGARA VERGARA</t>
  </si>
  <si>
    <t xml:space="preserve">CALLE 7 #6-17 CENTRO </t>
  </si>
  <si>
    <t>13/10/2022</t>
  </si>
  <si>
    <t>TOTTO BURGER</t>
  </si>
  <si>
    <t>ELENA RIVERO VERGARA</t>
  </si>
  <si>
    <t>CQLLE 3 6A-45</t>
  </si>
  <si>
    <t>LA EMBAJADA DEL SABOR</t>
  </si>
  <si>
    <t>FERNANDO CASTILLA ATENCIA</t>
  </si>
  <si>
    <t>PARQUE PRINCIPAL</t>
  </si>
  <si>
    <t xml:space="preserve">BAKERY PANADERIA </t>
  </si>
  <si>
    <t>ALFREDO HERNANDEZ</t>
  </si>
  <si>
    <t>CR 16 #15-9</t>
  </si>
  <si>
    <t xml:space="preserve">MYM ASADOS ÉL TIO </t>
  </si>
  <si>
    <t xml:space="preserve">Marilin Isabel Jaraba </t>
  </si>
  <si>
    <t>Cr 18  9. 84</t>
  </si>
  <si>
    <t>MARLINJARABA07@GMAIL.COM</t>
  </si>
  <si>
    <t>79.5</t>
  </si>
  <si>
    <t>RESTAURANTE DONDE ROSA</t>
  </si>
  <si>
    <t>ROSA SIERRA</t>
  </si>
  <si>
    <t>BARRIO PUEBLO ESPAÑOL</t>
  </si>
  <si>
    <t>GREGORIO GARRIDO</t>
  </si>
  <si>
    <t>CR 16 # 13A-71</t>
  </si>
  <si>
    <t>ASADERO LA TERRAZA DEL SABOR</t>
  </si>
  <si>
    <t>ANA MATILDE GAMARRA ANAYA</t>
  </si>
  <si>
    <t>CL 10# 15-30</t>
  </si>
  <si>
    <t>RODRIGZ1122@HOTMAIL.COM</t>
  </si>
  <si>
    <t xml:space="preserve">RESTAURANTE LOS MANGOS </t>
  </si>
  <si>
    <t xml:space="preserve">LUIS IDALDO PATERNINA LOPEZ </t>
  </si>
  <si>
    <t>CR 16 # 15 -305</t>
  </si>
  <si>
    <t>RESTAURANTE DONDE MINGO</t>
  </si>
  <si>
    <t xml:space="preserve">DOMINGO RAMOS RUZ </t>
  </si>
  <si>
    <t>77.5</t>
  </si>
  <si>
    <t>ASADERO Y PUNTO FRÍO LA BENDICIÓN</t>
  </si>
  <si>
    <t>MIGUEL JOSE BALDOVINO MENDEZ</t>
  </si>
  <si>
    <t>DG 16 - 168</t>
  </si>
  <si>
    <t xml:space="preserve">GALERAS </t>
  </si>
  <si>
    <t xml:space="preserve">ASADERO Y RESTAURANTE SUPER BRASA </t>
  </si>
  <si>
    <t xml:space="preserve">ARMANDO CHAVEZ HERNANDEZ </t>
  </si>
  <si>
    <t>CR 16 # 20-60</t>
  </si>
  <si>
    <t>RESTAURANTE  EL TERMINAL</t>
  </si>
  <si>
    <t>NALSY ANDRYT  RAMIRES HERNADEZ</t>
  </si>
  <si>
    <t>CLL 10-13-5</t>
  </si>
  <si>
    <t xml:space="preserve">PANADERIA Y REPOSTERIA COMA PAN </t>
  </si>
  <si>
    <t xml:space="preserve">EDUARDO COLEY BALDOVINO </t>
  </si>
  <si>
    <t>CALLE 8 #9-22</t>
  </si>
  <si>
    <t>PANADERIA Y/O PASTELERIA</t>
  </si>
  <si>
    <t xml:space="preserve">PANADERIA CENTRAL LA EXQUISITA </t>
  </si>
  <si>
    <t xml:space="preserve">LUIS ALFREDO DIAZ PLATA </t>
  </si>
  <si>
    <t>CALLE 11 # 13-18</t>
  </si>
  <si>
    <t>21/07/2022</t>
  </si>
  <si>
    <t>PANADERIA SAN ROQUE</t>
  </si>
  <si>
    <t xml:space="preserve">LEONEL HERNANDEZ MORALES </t>
  </si>
  <si>
    <t>CR 14 #7-12</t>
  </si>
  <si>
    <t>16/12/2022</t>
  </si>
  <si>
    <t>PANADERIA EL BUEN SABOR</t>
  </si>
  <si>
    <t>D6 15 #18A-114</t>
  </si>
  <si>
    <t>YORLEIDISHERNANDEZ15@GMAI.COM</t>
  </si>
  <si>
    <t>TAURINO PIZZA</t>
  </si>
  <si>
    <t>TAURINO ROJAS ATENCIA</t>
  </si>
  <si>
    <t>PERRO LOCO RAPIDAS Y ASADAS</t>
  </si>
  <si>
    <t xml:space="preserve">JUAN CARLOS ORTEGA </t>
  </si>
  <si>
    <t>COMIDAS RÁPIDAS EL CHAMO</t>
  </si>
  <si>
    <t>JESÚS CEDEÑO</t>
  </si>
  <si>
    <t>COMIDA RÁPIDA LOS COLORES</t>
  </si>
  <si>
    <t>DAVID ALFONSO ORTEGA</t>
  </si>
  <si>
    <t xml:space="preserve">ASOCIACION COLOMBIA JOVEN </t>
  </si>
  <si>
    <t xml:space="preserve">CDI MANANTIAL DE ALEGRIA </t>
  </si>
  <si>
    <t>823001925-8</t>
  </si>
  <si>
    <t>TV 16 # 19B -999</t>
  </si>
  <si>
    <t>ELVIA.ORTEGA17@HOTMAIL.COM</t>
  </si>
  <si>
    <t xml:space="preserve">PROGRAMAS SOCIALES DEL ESTADO </t>
  </si>
  <si>
    <t xml:space="preserve">ARGEMIRO DIAZ/ CINDY HERNANDEZ </t>
  </si>
  <si>
    <t xml:space="preserve">CARLOS ACOSTA/ADRIAN MORALES </t>
  </si>
  <si>
    <t xml:space="preserve">HOGAR DE BIENESTAR MI NUEVO HOGAR </t>
  </si>
  <si>
    <t>CENTRO DE VIDA LOS ABUELITOS DEL PUEBLO</t>
  </si>
  <si>
    <t>VICTORIA MARIA BARRIOS GOMEZ</t>
  </si>
  <si>
    <t>CALLE 11 CR14-47</t>
  </si>
  <si>
    <t>CARLOS ACOSTA/LUIS ROJAS</t>
  </si>
  <si>
    <t>ASOPROAGROVE</t>
  </si>
  <si>
    <t>ANTONIO ANAYA</t>
  </si>
  <si>
    <t>DG 16B #16-130</t>
  </si>
  <si>
    <t>ASOCIACION DE PADRES DE FAMILIA DE HOGARES DE BIENESTAR GALERAS # 3</t>
  </si>
  <si>
    <t xml:space="preserve">HOGAR DE BIENESTAR LA BENDICION DE DIOS </t>
  </si>
  <si>
    <t>ELVIA RAQUEL ORTEGA CARRASCAL</t>
  </si>
  <si>
    <t>CL 3-2-73</t>
  </si>
  <si>
    <t xml:space="preserve">CL 3-2-73 </t>
  </si>
  <si>
    <t>ELGAMARIADIAZ@GMAIL.COM</t>
  </si>
  <si>
    <t>HOGAR DE BIENESTAR DULCE REFUGIO</t>
  </si>
  <si>
    <t>CR 4-2-12</t>
  </si>
  <si>
    <t>PROGRA,MACION</t>
  </si>
  <si>
    <t xml:space="preserve">HOGAR DE BIENESTAR SANTA ELENA </t>
  </si>
  <si>
    <t>CR 3-1-77</t>
  </si>
  <si>
    <t>BETTYMOLINALASTRE03@GMAIL.COM</t>
  </si>
  <si>
    <t>HOGAR DE BINESTAR SAN ANDRES</t>
  </si>
  <si>
    <t>CR 8 -2-71</t>
  </si>
  <si>
    <t>HOGAR MI NUEVO MUNDO</t>
  </si>
  <si>
    <t>CR 5 CL 3-16</t>
  </si>
  <si>
    <t>LEDIS01@GMAIL.COM</t>
  </si>
  <si>
    <t>HOGAR DE BIENESTRA MI PEQUEÑIN N° 2</t>
  </si>
  <si>
    <t>CALLE 10 CR 6-185</t>
  </si>
  <si>
    <t>HOGAR DE BIENESTAR MI PEQUEÑIN N° 1</t>
  </si>
  <si>
    <t>CR 19 # 2-35 HOLANDA PAZ</t>
  </si>
  <si>
    <t>HOGAR DE BIENESTAR MI PEQUEÑO MUNDO</t>
  </si>
  <si>
    <t>YAIRLEN DAYANI CORTES</t>
  </si>
  <si>
    <t>BARRIO LA 40</t>
  </si>
  <si>
    <t xml:space="preserve">HOGAR DE BIENESTAR LA AURORA </t>
  </si>
  <si>
    <t>CL 1C #18A-37</t>
  </si>
  <si>
    <t>NEIDA_OSPINO15@HOTMAIL.COM</t>
  </si>
  <si>
    <t>HOGAR DE BIENESTAR EL BUEN JESUS</t>
  </si>
  <si>
    <t>CL 18 -126 -4</t>
  </si>
  <si>
    <t>PAODIAZATENCIA@GMAIL.COM</t>
  </si>
  <si>
    <t>FAVIRABLE CON REQUERIMIENTOS</t>
  </si>
  <si>
    <t>ASOCIACION DE PADRES DE FAMILIA DE HOGARES DE BIENESTAR GALERAS # 4</t>
  </si>
  <si>
    <t>HOGAR DE BIENESTAR MI PEQUEÑO BEBÉ</t>
  </si>
  <si>
    <t>CR 12 -12-18</t>
  </si>
  <si>
    <t xml:space="preserve">HOGAR DE BIENESTAR MI PEQUEÑA FANTASIA </t>
  </si>
  <si>
    <t>CALLE 15 # 9-67</t>
  </si>
  <si>
    <t>HOGAR DE BIENESTAR MI NUEVO AMANECER</t>
  </si>
  <si>
    <t>CR 12A# 18-30</t>
  </si>
  <si>
    <t>HOGAR DE BIENESTAR DULCE NOMBRE</t>
  </si>
  <si>
    <t>CL 2 CR 4-9</t>
  </si>
  <si>
    <t>HOGAR DE BIENESTAR  DIOS ES AMOR</t>
  </si>
  <si>
    <t>CR 12 # 14-108</t>
  </si>
  <si>
    <t>LILIPATRYO41@GAMIL.COM</t>
  </si>
  <si>
    <t xml:space="preserve">HOGAR DE BIENESTAR  LAS ESTRELLAS </t>
  </si>
  <si>
    <t>CR 15 -15 -102</t>
  </si>
  <si>
    <t>INSTITUCION EDUCATIVA BARAYA - SEDE PRINCIPAL</t>
  </si>
  <si>
    <t>ANTYI LISETH TORRADO</t>
  </si>
  <si>
    <t>CORREGIMIENTO BARAYA</t>
  </si>
  <si>
    <t>SOLICITUD OFICIAL</t>
  </si>
  <si>
    <t>HOGAR DE BIENESTAR MIS NIÑOS ADORABLES</t>
  </si>
  <si>
    <t>MARIA DEL ROSARIO MARTINEZ</t>
  </si>
  <si>
    <t>CR 18 #9-84</t>
  </si>
  <si>
    <t>INSTITUCION EDUCATIVA DE GALERAS DE NIÑOS</t>
  </si>
  <si>
    <t>IVANNA RAMIREZ</t>
  </si>
  <si>
    <t>CLL 10-15-10</t>
  </si>
  <si>
    <t>INSTITUCION EDUCATIVA  SAN ROQUE SEDE TIERRA HUECA</t>
  </si>
  <si>
    <t>INSTITUCION EDUCATIVA  GALERAS</t>
  </si>
  <si>
    <t>HUGO ARMANDO TORRES NAVARRO</t>
  </si>
  <si>
    <t>CR  13#19 54</t>
  </si>
  <si>
    <t>CL 2 B #18 B - 118</t>
  </si>
  <si>
    <t xml:space="preserve">ELVIA RAQUEL ORTEGA CARRASCAL </t>
  </si>
  <si>
    <t>CL 10 # 14-66</t>
  </si>
  <si>
    <t>ARGEMIRO DIAZ/CINDY HERNANDEZ</t>
  </si>
  <si>
    <t>AKIRA D3</t>
  </si>
  <si>
    <t>BODEGA DE ALMACENAMIENTO DE ALIMENTOS AKIRA D3</t>
  </si>
  <si>
    <t>YIMARA ANDREA RODRIGUEZ ARCIAS</t>
  </si>
  <si>
    <t>CR 15 C CL 15-15 APT 101</t>
  </si>
  <si>
    <t>YIMARAR25@GMAIL.COM</t>
  </si>
  <si>
    <t>ALMACENAMIENTO</t>
  </si>
  <si>
    <t xml:space="preserve">INSTITUCION EDUCATIVA  SAN JOSE DE RIVERA - SEDE  PRINCIPAL </t>
  </si>
  <si>
    <t xml:space="preserve">BODEGA DE ENSAMBLE DE ALIMENTOS </t>
  </si>
  <si>
    <t>CR 12-17 CL PRINCIPAL</t>
  </si>
  <si>
    <t>ASOGALERAS3@GMAIL.COM</t>
  </si>
  <si>
    <t xml:space="preserve">ENSAMBLE DE ALIMENTOS </t>
  </si>
  <si>
    <t>ENSAMBLE DE MENU</t>
  </si>
  <si>
    <t xml:space="preserve">CARLOS ACOSTA </t>
  </si>
  <si>
    <t xml:space="preserve">CENTRO EDUCATIVO PANTANITO- SEDE SAN JACINTO </t>
  </si>
  <si>
    <t>TIENDA ARA 0322</t>
  </si>
  <si>
    <t>CESAR BORRAS GOMEZ</t>
  </si>
  <si>
    <t>CL 11 # 12 A - 41</t>
  </si>
  <si>
    <t>COORDINADOR.OPERACIONES.RE@JERONIMO-MARTINS.COM</t>
  </si>
  <si>
    <t xml:space="preserve">GRANDES SUPERFICIES </t>
  </si>
  <si>
    <t xml:space="preserve">SUPERMERCADO </t>
  </si>
  <si>
    <t>CLAUSURA TEMPORAL/DESTRUCCION DE PRODUCTOS/CONGELAMIENTO</t>
  </si>
  <si>
    <t xml:space="preserve">TIENDA PETANO EXPRES </t>
  </si>
  <si>
    <t xml:space="preserve">PUBLIO ERNESTO PETANO </t>
  </si>
  <si>
    <t>CALLE 11# 10-03</t>
  </si>
  <si>
    <t>JOSEDIAZNEL@HOTMAIL.COM</t>
  </si>
  <si>
    <t xml:space="preserve">TIENDA EL PALACIO DEL PLATANO </t>
  </si>
  <si>
    <t>CARMEN UCROS ANAYA</t>
  </si>
  <si>
    <t>CALLE 11B CR 13-4</t>
  </si>
  <si>
    <t>SUPERMERCADO EL PAISA #1</t>
  </si>
  <si>
    <t xml:space="preserve">ERIBERTO RIVERA GUARIN </t>
  </si>
  <si>
    <t>CALLE 15 CR 15-34 EL ARROYITO</t>
  </si>
  <si>
    <t>MQ455803@GMAIL.COM</t>
  </si>
  <si>
    <t>SUMINISTROS MAICE SAS</t>
  </si>
  <si>
    <t>YOJANIS MARIA BENAVIDES MEZA</t>
  </si>
  <si>
    <t>CALLE 15A # 15C</t>
  </si>
  <si>
    <t>RICARDO BUSTAMANTE</t>
  </si>
  <si>
    <t xml:space="preserve">BARRIO EL VA Y VEN </t>
  </si>
  <si>
    <t>SUPERTIENDA EL PAISA</t>
  </si>
  <si>
    <t xml:space="preserve">LEISI LORENA MARTINEZ </t>
  </si>
  <si>
    <t>1100544269-9</t>
  </si>
  <si>
    <t>CRA 12A # 14-167 BARRIO GALILEA</t>
  </si>
  <si>
    <t>LEISILORENA@HOTMAIL.COM</t>
  </si>
  <si>
    <t>LEGUMBRES EL PAISA</t>
  </si>
  <si>
    <t>MAURICIO NARANJO MARTÍNEZ</t>
  </si>
  <si>
    <t>CR 11 DG 10-20</t>
  </si>
  <si>
    <t>TIENDA TU SITIO IDEAL</t>
  </si>
  <si>
    <t>YOMAIRA COLEY BALDOVINO</t>
  </si>
  <si>
    <t>CL 8 #9-14</t>
  </si>
  <si>
    <t>TIENDA TRASMAYO</t>
  </si>
  <si>
    <t>MARLENE GONZALES MARTINEZ</t>
  </si>
  <si>
    <t>CR 13 #5-147</t>
  </si>
  <si>
    <t>TIENDA Y VARIEDADES FELIX</t>
  </si>
  <si>
    <t>WALTER ALMESTO MENDEZ</t>
  </si>
  <si>
    <t>CL 11# 16-3</t>
  </si>
  <si>
    <t>TIENDA SHALOM</t>
  </si>
  <si>
    <t>LEISA LORENA MARTÍNEZ RAMÍREZ</t>
  </si>
  <si>
    <t>CR 12A #14-167</t>
  </si>
  <si>
    <t>TIENDA OLI</t>
  </si>
  <si>
    <t>OLIVIA CASTRO</t>
  </si>
  <si>
    <t>CR 14 #23-46</t>
  </si>
  <si>
    <t>TIENDA SAN MARTÍN</t>
  </si>
  <si>
    <t xml:space="preserve">CECILIA LEONOR SEVERICHE </t>
  </si>
  <si>
    <t>CR 9A CL 10-31</t>
  </si>
  <si>
    <t>TIENDA SANTA FÉ</t>
  </si>
  <si>
    <t>SARAY CANCHILA</t>
  </si>
  <si>
    <t>CR 9 #16-53</t>
  </si>
  <si>
    <t>EXPENDIO MYS</t>
  </si>
  <si>
    <t xml:space="preserve">MIGUEL ÁNGEL HERNÁNDEZ TURISO
</t>
  </si>
  <si>
    <t>CL 13 #17-10</t>
  </si>
  <si>
    <t>EXPENDIO YULIANA YULIETH</t>
  </si>
  <si>
    <t>FIDEL SUÁREZ MONTALVO</t>
  </si>
  <si>
    <t>CL 11 CR 16-3</t>
  </si>
  <si>
    <t>LA TIENDA DE MI BARRIO</t>
  </si>
  <si>
    <t xml:space="preserve">BREINER RODRIGUEZ </t>
  </si>
  <si>
    <t>DG 107 # 90</t>
  </si>
  <si>
    <t>TIENDA CALLE NUEVA</t>
  </si>
  <si>
    <t>JOSÉ GREGORIO NAVARRO VELAZQUEZ</t>
  </si>
  <si>
    <t>CL 8 #17-12</t>
  </si>
  <si>
    <t>TIENDA L Y L DE GALERAS</t>
  </si>
  <si>
    <t>LUBER RAFAEL BOLIVAR ORTEGA</t>
  </si>
  <si>
    <t>CR 12A #8-171</t>
  </si>
  <si>
    <t xml:space="preserve">TIENDA MILA
</t>
  </si>
  <si>
    <t>MAYERLIN AGUILAR</t>
  </si>
  <si>
    <t>CR 11 CL 7A-18</t>
  </si>
  <si>
    <t>TIENDA LA FÉ</t>
  </si>
  <si>
    <t xml:space="preserve">SIXTA TULIA HERNANDEZ SUAREZ </t>
  </si>
  <si>
    <t>CL 10 #18-25</t>
  </si>
  <si>
    <t>TIENDA LA REBAJA</t>
  </si>
  <si>
    <t>JOSÉ GREGORIO JARABA</t>
  </si>
  <si>
    <t>CL 21  CR 15</t>
  </si>
  <si>
    <t xml:space="preserve">TIENDA LA ECONOMÍA </t>
  </si>
  <si>
    <t>CAREN HERRERA ACEVEDO</t>
  </si>
  <si>
    <t>CR 12A CL 7-12</t>
  </si>
  <si>
    <t>TIENDA EL CAÑONAZO</t>
  </si>
  <si>
    <t>CL LA # 15-69</t>
  </si>
  <si>
    <t>TIENDA LA AMISTAD</t>
  </si>
  <si>
    <t>ENALDO SALVADOR SEVERICHE MUÑOZ</t>
  </si>
  <si>
    <t>CL 13 #6-283</t>
  </si>
  <si>
    <t>TIENDA EL MANÁ</t>
  </si>
  <si>
    <t>FRANCISCO MANUEL MARTÍNEZ RAMÍREZ</t>
  </si>
  <si>
    <t>CR 9 #13-91</t>
  </si>
  <si>
    <t>TIENDA LA ESPERANZA</t>
  </si>
  <si>
    <t>MANUEL DE LOS REYES HERNÁNDEZ</t>
  </si>
  <si>
    <t>CL 9 #3-68</t>
  </si>
  <si>
    <t>TIENDA EBENEZER</t>
  </si>
  <si>
    <t>MARY PIERS SEVERICHE CHÁVEZ</t>
  </si>
  <si>
    <t>CL 12A 5-17</t>
  </si>
  <si>
    <t>GRANERO 8 DE DICIEMBRE</t>
  </si>
  <si>
    <t>CARLOS JULIO MERCADO</t>
  </si>
  <si>
    <t>CRA 18 CL 5 40</t>
  </si>
  <si>
    <t>SURTITODO</t>
  </si>
  <si>
    <t>LAUREANO LUNA</t>
  </si>
  <si>
    <t>CR 15A CL 15</t>
  </si>
  <si>
    <t>GRANERO DUIDER</t>
  </si>
  <si>
    <t>DUIDER PAYARES SEVERICHE</t>
  </si>
  <si>
    <t>CR 9 CL 10 #64</t>
  </si>
  <si>
    <t>ALFREDO DAVID LINERO NAVARRO</t>
  </si>
  <si>
    <t>CR 12 # 9-55</t>
  </si>
  <si>
    <t>ALFREDO.LINERO@D1.COM.CO</t>
  </si>
  <si>
    <t>67.5%</t>
  </si>
  <si>
    <t xml:space="preserve">FVAORABLE CON REQUERIMIENTOS </t>
  </si>
  <si>
    <t>88.75%</t>
  </si>
  <si>
    <t xml:space="preserve">DESTRUCCION Y CONGELAMIENTO DE PRODUCTOS </t>
  </si>
  <si>
    <t xml:space="preserve">GRANERO LA MANO DE DIOS </t>
  </si>
  <si>
    <t xml:space="preserve">RUBY DEL SOCORRPO CALVO </t>
  </si>
  <si>
    <t>CR 12A # 7-12</t>
  </si>
  <si>
    <t>SUPERTIENDA LA LUZ</t>
  </si>
  <si>
    <t>EDUARDO CUETO</t>
  </si>
  <si>
    <t>92095911-7</t>
  </si>
  <si>
    <t>CRA 16 # 10-48</t>
  </si>
  <si>
    <t>SUPERTIENDA MERCAYA</t>
  </si>
  <si>
    <t>ALVARO SUAREZ</t>
  </si>
  <si>
    <t>BARRIO LA CONCEPCION</t>
  </si>
  <si>
    <t>30/05/2022</t>
  </si>
  <si>
    <t>GRANERO EL SANTUARIO DE GALERAS</t>
  </si>
  <si>
    <t>LISNETTE OTERO PATIÑO</t>
  </si>
  <si>
    <t>CR 12 # 13-26</t>
  </si>
  <si>
    <t>LIS_OTERO@HOTMAIL.COM</t>
  </si>
  <si>
    <t xml:space="preserve">VERDURAS Y LEGUMBRES L Y L </t>
  </si>
  <si>
    <t>LEIDYS ARRIETA SUAREZ</t>
  </si>
  <si>
    <t>DG 10# 15-50</t>
  </si>
  <si>
    <t>LA BENDICION #3</t>
  </si>
  <si>
    <t>LUIS FELIPE SOLORZANO</t>
  </si>
  <si>
    <t>CALLE SANTANDER</t>
  </si>
  <si>
    <t>SOLORZANOLUIS049@GMAIL.COM</t>
  </si>
  <si>
    <t>TIENDA TANIA</t>
  </si>
  <si>
    <t>EMIL ARRIETA</t>
  </si>
  <si>
    <t>KR 12A #24A-41</t>
  </si>
  <si>
    <t>TIENDA LOPANA</t>
  </si>
  <si>
    <t xml:space="preserve">JAIME HERRERA LOPEZ </t>
  </si>
  <si>
    <t>33082983-6</t>
  </si>
  <si>
    <t>CALLE 13 #10-6</t>
  </si>
  <si>
    <t>ADISMH@GMAIL.COM</t>
  </si>
  <si>
    <t xml:space="preserve">TIENDA LOS ABETOS </t>
  </si>
  <si>
    <t>LUIS JAVIER MARTINEZ ALDANA</t>
  </si>
  <si>
    <t>IR 16# 17-378</t>
  </si>
  <si>
    <t>CASA DULZANA</t>
  </si>
  <si>
    <t>MARÍA RODRÍGUEZ RODRIGUEZ</t>
  </si>
  <si>
    <t>DG 10 #12-56</t>
  </si>
  <si>
    <t>DEPOSITO MATÍAS</t>
  </si>
  <si>
    <t xml:space="preserve">CARLOS PATERNINA </t>
  </si>
  <si>
    <t>CL 13 CR 7-20</t>
  </si>
  <si>
    <t xml:space="preserve">TIENDA FIRMA </t>
  </si>
  <si>
    <t xml:space="preserve">DUVAN MARTINEZ PEREZ </t>
  </si>
  <si>
    <t>KR 16 # 13A-225</t>
  </si>
  <si>
    <t xml:space="preserve">TIENDA 5 DE DICIEMBRE </t>
  </si>
  <si>
    <t xml:space="preserve">JOSE RAFAEL UPARELA GOMEZ </t>
  </si>
  <si>
    <t>CRA 16# 15-109</t>
  </si>
  <si>
    <t>JOSEDIAZMEL@HOTMAIL.COM</t>
  </si>
  <si>
    <t xml:space="preserve">SUPER POLLO </t>
  </si>
  <si>
    <t xml:space="preserve">LUIS LABERO ALVAREZ RAMOS </t>
  </si>
  <si>
    <t>CALLE 11 #16-151</t>
  </si>
  <si>
    <t xml:space="preserve">TIENDA LA MARIA </t>
  </si>
  <si>
    <t xml:space="preserve">FRANCISCO RAMIREZ MARTINEZ </t>
  </si>
  <si>
    <t>CR 9 # 13-91</t>
  </si>
  <si>
    <t>COOPAGROGAL</t>
  </si>
  <si>
    <t>HERNAN NAVARRO HERNANDEZ</t>
  </si>
  <si>
    <t xml:space="preserve"> CALLE 20A #16-9</t>
  </si>
  <si>
    <t>TIENDA EL PUNTO CLAVE</t>
  </si>
  <si>
    <t>RICARDO GONZALES</t>
  </si>
  <si>
    <t>KR 8# 7A-55</t>
  </si>
  <si>
    <t xml:space="preserve">MARIA BELEN </t>
  </si>
  <si>
    <t xml:space="preserve">ERTA LIBIA LLANOS HRNANDEZ </t>
  </si>
  <si>
    <t>CALLE 18A-15A-57</t>
  </si>
  <si>
    <t xml:space="preserve">EL PROGRESO </t>
  </si>
  <si>
    <t xml:space="preserve">YEINER JOSE BUSTAMANTE </t>
  </si>
  <si>
    <t>DG 10 TV 8-3</t>
  </si>
  <si>
    <t>DULCERÍA BOMBANY</t>
  </si>
  <si>
    <t>MARÍA PATRICIA COLEY BALDOVINO</t>
  </si>
  <si>
    <t>CL 13 # 100</t>
  </si>
  <si>
    <t xml:space="preserve">EXPENDIO EL MANÁ
</t>
  </si>
  <si>
    <t>ERIKA PÉREZ</t>
  </si>
  <si>
    <t>CL 11 #12-24</t>
  </si>
  <si>
    <t>AUTOSERVICIO MERCAVALE</t>
  </si>
  <si>
    <t xml:space="preserve">CR 13#132 LOCAL 1 CENTRO </t>
  </si>
  <si>
    <t>TIENDA NO HAY COMO DIOS</t>
  </si>
  <si>
    <t>HECTOR RUIZ</t>
  </si>
  <si>
    <t>CR 53A-8</t>
  </si>
  <si>
    <t xml:space="preserve">TIENDA EN CENTENARIO </t>
  </si>
  <si>
    <t xml:space="preserve">OLGA GONZALEZ </t>
  </si>
  <si>
    <t>CR 12A # 7-53</t>
  </si>
  <si>
    <t>LA MARIA</t>
  </si>
  <si>
    <t>CL 8 #17-75</t>
  </si>
  <si>
    <t>GRANERO EL ESQUINAZO DE GALERAS</t>
  </si>
  <si>
    <t>MARIA ALAVAREZ</t>
  </si>
  <si>
    <t>1103950198-1</t>
  </si>
  <si>
    <t>DIAGONAL 10 #12-1</t>
  </si>
  <si>
    <t xml:space="preserve">HERMANOS SUAREZ </t>
  </si>
  <si>
    <t xml:space="preserve">DIANA CAROLINA SUAREZ MONTALBO </t>
  </si>
  <si>
    <t>CR 12 #8 -7</t>
  </si>
  <si>
    <t xml:space="preserve">ELVIRA CASTRO JARABA </t>
  </si>
  <si>
    <t>33083340-5</t>
  </si>
  <si>
    <t>CR 16# 20-60</t>
  </si>
  <si>
    <t>ZANOC@HOTMAIL.COM</t>
  </si>
  <si>
    <t>TIENDA SUPER FAMA LA GRANJA</t>
  </si>
  <si>
    <t>CLAUDIA HERNANDEZ</t>
  </si>
  <si>
    <t>CR12A#177</t>
  </si>
  <si>
    <t>TIENDA LA OBRA DE DIOS</t>
  </si>
  <si>
    <t>JUAN FELIPE MOLINA HERNANDEZ</t>
  </si>
  <si>
    <t>CALLE 7A#17</t>
  </si>
  <si>
    <t>TIENDA LA EZQUINA DE LA 8</t>
  </si>
  <si>
    <t>VICTOR DANIEL RAMIREZ DIAZ</t>
  </si>
  <si>
    <t>CR 18# 5-56</t>
  </si>
  <si>
    <t>TIENDA LA DE MI BARRIO</t>
  </si>
  <si>
    <t>EVELIO MARTINEZ CARDOZO</t>
  </si>
  <si>
    <t>CR18#5- 33</t>
  </si>
  <si>
    <t>TIENDA MARI</t>
  </si>
  <si>
    <t>ALFONSO RAFAEL HERNANDEZ SUARES</t>
  </si>
  <si>
    <t>CR18B#4-31</t>
  </si>
  <si>
    <t>TIENDA MERCA EXPRES</t>
  </si>
  <si>
    <t>JHON JAIRO VERGARA SALGADO</t>
  </si>
  <si>
    <t>CALLE 9 # 13- 159</t>
  </si>
  <si>
    <t>TROPICAL CLUB</t>
  </si>
  <si>
    <t>WENDY GANDARA TAPIA</t>
  </si>
  <si>
    <t>CARRERA 16 # 15-49</t>
  </si>
  <si>
    <t>MOJITOS BAR</t>
  </si>
  <si>
    <t>MARIA CAMILA MONSALVE</t>
  </si>
  <si>
    <t>Cl 11 # 12 24</t>
  </si>
  <si>
    <t>ESTADERO EL RETEN</t>
  </si>
  <si>
    <t>ROGERMERCADO VERGARA</t>
  </si>
  <si>
    <t>Cr 16 #15-12</t>
  </si>
  <si>
    <t>DISCO BAR LA CEIBA</t>
  </si>
  <si>
    <t>LUCELYZ ALVAREZ MEZA</t>
  </si>
  <si>
    <t>BAR ESTADERO EL RINCONCITO</t>
  </si>
  <si>
    <t>DANIELA RUIZ RUIZ</t>
  </si>
  <si>
    <t>VAIVEN</t>
  </si>
  <si>
    <t>ESTADERO LOS MANGOS</t>
  </si>
  <si>
    <t xml:space="preserve">BILLARES EL ALGARROBO </t>
  </si>
  <si>
    <t xml:space="preserve">ALVEIRO GALVAN MARTINEZ </t>
  </si>
  <si>
    <t>CR 19 # 2-125</t>
  </si>
  <si>
    <t>ALBEIROGALVAN64@GMAIL.COM</t>
  </si>
  <si>
    <t xml:space="preserve">ESTADERO LA TERRAZA </t>
  </si>
  <si>
    <t xml:space="preserve">LESBY SEVERICHE LOPEZ </t>
  </si>
  <si>
    <t>KR 16 # 15-69</t>
  </si>
  <si>
    <t xml:space="preserve">BILLARES EL MANGO </t>
  </si>
  <si>
    <t xml:space="preserve">ANTONIO ATENCIA AGUAS </t>
  </si>
  <si>
    <t>KR 9 # 18 -14</t>
  </si>
  <si>
    <t xml:space="preserve">CANCHA Y BILLARES EL DESAFÍO
</t>
  </si>
  <si>
    <t>KETTY BENITEZ</t>
  </si>
  <si>
    <t>CL 15 16-22</t>
  </si>
  <si>
    <t>BILLARES LAS PALMAS</t>
  </si>
  <si>
    <t>SANDRA LUCÍA GARCÍA</t>
  </si>
  <si>
    <t>CR 19 CL 1-111</t>
  </si>
  <si>
    <t>CRUCERO BAR GALERAS</t>
  </si>
  <si>
    <t>EDILVIA MARTINEZ LUNA</t>
  </si>
  <si>
    <t>CALLE 2D 18-21</t>
  </si>
  <si>
    <t>CANCHA Y BILLARES EL CARMEN</t>
  </si>
  <si>
    <t>ANA GERTRUDIS CASTRO NAVARRO</t>
  </si>
  <si>
    <t>CR 16 15-255</t>
  </si>
  <si>
    <t>BILLAR LA CEIBA</t>
  </si>
  <si>
    <t>ENALBA ISABEL AGUAS</t>
  </si>
  <si>
    <t>HOLANDA PAZ</t>
  </si>
  <si>
    <t>BAR Y BILLARES LOS RECUERDOS DE ELLA</t>
  </si>
  <si>
    <t>DUBAI BAR</t>
  </si>
  <si>
    <t>KAREM DE LA ROSA</t>
  </si>
  <si>
    <t xml:space="preserve">BEBIDAS Y LICORES EL PISTO
</t>
  </si>
  <si>
    <t>RAFAEL MERLANO GARCÍA</t>
  </si>
  <si>
    <t>CR 18 CL 11-9</t>
  </si>
  <si>
    <t>BAR LAS CAMELIAS</t>
  </si>
  <si>
    <t>ALICIA HERRERA CASTRO</t>
  </si>
  <si>
    <t>CR 16 CL 15-8</t>
  </si>
  <si>
    <t>ESTADERO LA PLAYITA</t>
  </si>
  <si>
    <t>OSCAR GARRIDO</t>
  </si>
  <si>
    <t>CR 15 CL 23-105</t>
  </si>
  <si>
    <t>BILLARES EL EMPERADOR</t>
  </si>
  <si>
    <t>CARLOS CASTRO MARTINEZ</t>
  </si>
  <si>
    <t>CR12A#176</t>
  </si>
  <si>
    <t xml:space="preserve">BILLARES DONDE TAVIO </t>
  </si>
  <si>
    <t>AVEL OCTAVIO HERNANDEZ DIAZ</t>
  </si>
  <si>
    <t>BARRIO SANTO DOMINGO</t>
  </si>
  <si>
    <t>CARNICERIA LA GALERANA</t>
  </si>
  <si>
    <t>JANIER VILLADIEGO MONTES</t>
  </si>
  <si>
    <t>EXPENDIO SUPER POLLO</t>
  </si>
  <si>
    <t>LUIS ALBERTO ÁLVAREZ</t>
  </si>
  <si>
    <t>CL 11 CR 16-151</t>
  </si>
  <si>
    <t>CARNICERÍA LA LUCHA</t>
  </si>
  <si>
    <t>JORGE PÉREZ</t>
  </si>
  <si>
    <t xml:space="preserve">CR 12 #10-13
</t>
  </si>
  <si>
    <t>CARNICERÍA LA AMISTAD</t>
  </si>
  <si>
    <t>MANUEL ELIAS PÉREZ SIERRA</t>
  </si>
  <si>
    <t>CR 16 #15-12</t>
  </si>
  <si>
    <t>EXPENDIO DE CARNES SHAMMAH</t>
  </si>
  <si>
    <t>JESÚS HERNANDEZ MARTINEZ</t>
  </si>
  <si>
    <t>CL 11 CR 16-30</t>
  </si>
  <si>
    <t>EXPENDIO DE CARNES AVEPEZ</t>
  </si>
  <si>
    <t>70265</t>
  </si>
  <si>
    <t>PEDRO MANUEL ACOSTA GARCIA</t>
  </si>
  <si>
    <t>EXPENDIO DE CARNES "PROVECARNES"</t>
  </si>
  <si>
    <t>JUAN ENRIQUE HERNANDEZ RUIZ</t>
  </si>
  <si>
    <t>CORREGIMIENTO DE GAVALDA</t>
  </si>
  <si>
    <t>LILIANA SEVERICHE SANCHEZ</t>
  </si>
  <si>
    <t>PEDRO LUIS MOLINA ARENILLA</t>
  </si>
  <si>
    <t>BARRIO SAN JOAQUIN</t>
  </si>
  <si>
    <t>EDISON MARTINEZ</t>
  </si>
  <si>
    <t>15/05/2024</t>
  </si>
  <si>
    <t>76,5%</t>
  </si>
  <si>
    <t xml:space="preserve">EDINSON MARTINEZ </t>
  </si>
  <si>
    <t xml:space="preserve">HOGAR AGRUPADO CARMEN TULIA NAVARRO </t>
  </si>
  <si>
    <t>16/06/2024</t>
  </si>
  <si>
    <t>EDINSON MARTINEZ</t>
  </si>
  <si>
    <t>VEREDA CHIRITA</t>
  </si>
  <si>
    <t>CAROLINA2505@GMAIL.COM</t>
  </si>
  <si>
    <t>KELLIS TOVAR</t>
  </si>
  <si>
    <t>900422366-6</t>
  </si>
  <si>
    <t>VEREDA NUEVO SUCRE</t>
  </si>
  <si>
    <t>LILIANA SEVERICHE</t>
  </si>
  <si>
    <t xml:space="preserve">NO  </t>
  </si>
  <si>
    <t>NINA ALFARO MISAT</t>
  </si>
  <si>
    <t>VEREDA EL MALAGANO</t>
  </si>
  <si>
    <t>GUARANDA</t>
  </si>
  <si>
    <t>CALLE 2 # 12-29</t>
  </si>
  <si>
    <t>87&amp;</t>
  </si>
  <si>
    <t xml:space="preserve">LILIANA SEVERICHE </t>
  </si>
  <si>
    <t>24/05/2023</t>
  </si>
  <si>
    <t>CALLE 1O # 10 -29</t>
  </si>
  <si>
    <t>YUDISCORTEZ377@GMAIL.COM</t>
  </si>
  <si>
    <t>29/04/2025</t>
  </si>
  <si>
    <t>ASOCIASION DE PADRES DE FAMILIA DE BARRIO ARRIBA Y OTROS</t>
  </si>
  <si>
    <t xml:space="preserve"> HOGAR LAS MASCOTAS </t>
  </si>
  <si>
    <t>70265823001350-3</t>
  </si>
  <si>
    <t>823001350-3</t>
  </si>
  <si>
    <t>CARRERA 5 # 5 - 45</t>
  </si>
  <si>
    <t>13/06/2024</t>
  </si>
  <si>
    <t xml:space="preserve">ANGY LISETH TORRADO </t>
  </si>
  <si>
    <t xml:space="preserve">CORREGIMIENTO LA CONCORDIA </t>
  </si>
  <si>
    <t>30/05/2024</t>
  </si>
  <si>
    <t>PEDRO MOLINA ARENILLA</t>
  </si>
  <si>
    <t xml:space="preserve">MUJERES GESTORAS COMUNITARIAS DE LOS MONTES DE MARÍA </t>
  </si>
  <si>
    <t xml:space="preserve">VEREDA EL JARDÍN </t>
  </si>
  <si>
    <t>16/05/2024</t>
  </si>
  <si>
    <t>67,5%</t>
  </si>
  <si>
    <t xml:space="preserve">FABORABLE CON REQUERIMEINRO </t>
  </si>
  <si>
    <t>VEREDA LAS TARUYAS</t>
  </si>
  <si>
    <t xml:space="preserve">CRA 11A # 4A - 12BARRIO PUEBLO NUEVO </t>
  </si>
  <si>
    <t>26/07/2023</t>
  </si>
  <si>
    <t>13/6/2023</t>
  </si>
  <si>
    <t>CORREGIMIENTO DE TIERRA SANTA</t>
  </si>
  <si>
    <t>LINEYESTHER32@GMAIL.COM</t>
  </si>
  <si>
    <t>22/05/2024</t>
  </si>
  <si>
    <t xml:space="preserve">FABORABLLE CON REQUERIMIENTO </t>
  </si>
  <si>
    <t>CRA 2B # 13A - 63 BARRIO SANTO CRISTO</t>
  </si>
  <si>
    <t>SARAIDAMUNOZ@HOTMAIL.COM</t>
  </si>
  <si>
    <t>CR 7 # 9-60</t>
  </si>
  <si>
    <t xml:space="preserve">CRA 8A # 11 - 23 CALLE SAN LORENZO </t>
  </si>
  <si>
    <t>17/7/2024</t>
  </si>
  <si>
    <t>N0</t>
  </si>
  <si>
    <t>30/11/2022</t>
  </si>
  <si>
    <t xml:space="preserve">JOSE GABRIEL RODELO </t>
  </si>
  <si>
    <t>CR 2A -13-104</t>
  </si>
  <si>
    <t>330/11/2023</t>
  </si>
  <si>
    <t>67%%</t>
  </si>
  <si>
    <t>JOSE GABRIEL RODEL CASTAÑEDA</t>
  </si>
  <si>
    <t>823002997-2</t>
  </si>
  <si>
    <t xml:space="preserve">CALLE 1E # 10 - 26 BARRIO LAS MERCEDES </t>
  </si>
  <si>
    <t>HCBF LA RIQUEZA</t>
  </si>
  <si>
    <t>PEDDRO LUIS MOLINA ARENILLA</t>
  </si>
  <si>
    <t>CRA 10 # 11 - 60</t>
  </si>
  <si>
    <t>CALLE 26-26</t>
  </si>
  <si>
    <t xml:space="preserve">CRA 2B # 13A - 9 BARRIO LAS BRISAS DEL RIO </t>
  </si>
  <si>
    <t xml:space="preserve">TIENDA EL NIÑO EIDER </t>
  </si>
  <si>
    <t xml:space="preserve">DARLIS VERGARA SOLORZANO </t>
  </si>
  <si>
    <t>CALLE 16A#10-08</t>
  </si>
  <si>
    <t xml:space="preserve">FABORAQBALE CON REQUERIMIENTO </t>
  </si>
  <si>
    <t>ABASTOS Y DEPOSITO MEDELLIN</t>
  </si>
  <si>
    <t>MARCELA SALCEDO FLEREZ</t>
  </si>
  <si>
    <t>CRA 3 # 6 - 43 (CALLE 1° DEL COMERCIO)</t>
  </si>
  <si>
    <t xml:space="preserve">FERNANDO GONZALEZ </t>
  </si>
  <si>
    <t>CR 3 # 11-141</t>
  </si>
  <si>
    <t>TIENDA MJ &amp; S</t>
  </si>
  <si>
    <t>MARLEIDIS IBAÑES MENDEZ</t>
  </si>
  <si>
    <t>CLL 7ª Nº. 12 - 36 TAMAGUZ</t>
  </si>
  <si>
    <t>MARLEIDISIBAÑEZ89@GMAIL.COM</t>
  </si>
  <si>
    <t>16/9/2024</t>
  </si>
  <si>
    <t>17/10/2023</t>
  </si>
  <si>
    <t xml:space="preserve">ABASTOS LA BENDICION </t>
  </si>
  <si>
    <t>PABLO MOLINA</t>
  </si>
  <si>
    <t>6798691-6</t>
  </si>
  <si>
    <t>KR 14 #8-03</t>
  </si>
  <si>
    <t>SURTIABASTOS MANA</t>
  </si>
  <si>
    <t>JOSE MIGUEL CHAVEZ BARROSO</t>
  </si>
  <si>
    <t>CRA 4 # 4 - 106(CLLE 2° DEL COMERCIO)</t>
  </si>
  <si>
    <t>SUPERTIENDA EL CAMPESINO</t>
  </si>
  <si>
    <t xml:space="preserve">WILSON RAMIREZ GIRALDO </t>
  </si>
  <si>
    <t>CR 5 # 11-68</t>
  </si>
  <si>
    <t xml:space="preserve">TIENDA DONDE ACHI </t>
  </si>
  <si>
    <t xml:space="preserve">ARLIN ALBERTO TORRES SANCHEZ </t>
  </si>
  <si>
    <t>CRA 5 # 8-136</t>
  </si>
  <si>
    <t xml:space="preserve">TIENDA LA GRAN ESQUINA </t>
  </si>
  <si>
    <t>FAIBIELLIS ZULUAGA CERVERA</t>
  </si>
  <si>
    <t>Calle 7 # 8 - 05</t>
  </si>
  <si>
    <t>TIENDA LA CAVA VIP</t>
  </si>
  <si>
    <t>ABRAHAN DOVALE ORTEGA</t>
  </si>
  <si>
    <t>CRA 5 # 8 - 02 CENTRO</t>
  </si>
  <si>
    <t xml:space="preserve">PRORAMACION </t>
  </si>
  <si>
    <t>TIENDA LA SEÑORA FLOR</t>
  </si>
  <si>
    <t>FLOR SIERRA</t>
  </si>
  <si>
    <t>BARRIO BRISAS DEL RIO</t>
  </si>
  <si>
    <t>FLORSIERRA@GMAIL.COM</t>
  </si>
  <si>
    <t xml:space="preserve">TIENDA LOS HERMANOS ACOSTA </t>
  </si>
  <si>
    <t>LEIDER ACOSTA</t>
  </si>
  <si>
    <t>CR 9 # 12-66</t>
  </si>
  <si>
    <t xml:space="preserve">TIENDA LOS SANTIS </t>
  </si>
  <si>
    <t xml:space="preserve">EDUAR HERNANDEZ SIERRA </t>
  </si>
  <si>
    <t>CR 5 #2-03</t>
  </si>
  <si>
    <t>SALSAMENTARIA DONDE IRMA</t>
  </si>
  <si>
    <t xml:space="preserve">IRMA ACEVEDO </t>
  </si>
  <si>
    <t>CR 5 #4-99</t>
  </si>
  <si>
    <t>IRMAACEVEDOOLIVERO@GMAIL.COM</t>
  </si>
  <si>
    <t>TIENDA HERMANAS ACOSTA</t>
  </si>
  <si>
    <t>LEINER ACOSTA</t>
  </si>
  <si>
    <t>CALLE 9 # 12-66</t>
  </si>
  <si>
    <t>N3236155185</t>
  </si>
  <si>
    <t xml:space="preserve">LILIANA SEVEROCHE </t>
  </si>
  <si>
    <t xml:space="preserve">TIENDA EL NIÑO BREINER </t>
  </si>
  <si>
    <t>YOLANDA MACHADO</t>
  </si>
  <si>
    <t>Calle 3 # 5 - 03 Nueva Ola</t>
  </si>
  <si>
    <t>FRIGORIFICO "EL SABOR DEL CAMPO"</t>
  </si>
  <si>
    <t>JUVENAL GUSTAVO SIERRA ORDOÑEZ</t>
  </si>
  <si>
    <t>DULCY PARQUE</t>
  </si>
  <si>
    <t>MAYERLIS LIZARAZO BELTRAN</t>
  </si>
  <si>
    <t>CALLE 7 # 6 - 03 PARQUE CENTRAL</t>
  </si>
  <si>
    <t>REFRESQUERIA JEHOVA</t>
  </si>
  <si>
    <t>ARLETH BLANCO ULLOA</t>
  </si>
  <si>
    <t>CRA 10 # 5 - 17 (CLL 1° DE ENERO)</t>
  </si>
  <si>
    <t>TIENDA LOS 4 HERMANOS</t>
  </si>
  <si>
    <t>FLOR MARIA SIERRA ARRIOLA</t>
  </si>
  <si>
    <t>CRA 2 # 12A - 70 BRISAS DEL RIO</t>
  </si>
  <si>
    <t>TIENDA LA ESQUINA</t>
  </si>
  <si>
    <t>JOSE ARMANDO RUIZ QUEVEDO</t>
  </si>
  <si>
    <t>Cra 2A # 14 - 03 BRISAS DEL RIO</t>
  </si>
  <si>
    <t>TIENDA SEIZA</t>
  </si>
  <si>
    <t>RICHARD SEIZA MENDIZ</t>
  </si>
  <si>
    <t>Cra 2B # 12A - 17 BRISAS DEL RIO</t>
  </si>
  <si>
    <t>LUZYEY</t>
  </si>
  <si>
    <t>IVAN DAVID REDONDO</t>
  </si>
  <si>
    <t xml:space="preserve">BARRIO BRISAS DEL RIO </t>
  </si>
  <si>
    <t>84%%</t>
  </si>
  <si>
    <t>TIENDA MAYE Y EL NIÑO BREINER</t>
  </si>
  <si>
    <t xml:space="preserve">DEIMER MEZA </t>
  </si>
  <si>
    <t>Calle 14 # 2B - 02 BRISAS DEL RIO</t>
  </si>
  <si>
    <t>TIENDA LAS 4 VIAS</t>
  </si>
  <si>
    <t xml:space="preserve">YASENIS TATIS </t>
  </si>
  <si>
    <t>CRA 3  SALIDA A MAJAGUAL FRENTE AL TRACTOR</t>
  </si>
  <si>
    <t>TIENDA G &amp; D</t>
  </si>
  <si>
    <t>NUBIA RIVERA MENDOZA</t>
  </si>
  <si>
    <t>CRA 10 # 12 - 45 BRR. LA CANDELARIA</t>
  </si>
  <si>
    <t>TIENDA J. J.</t>
  </si>
  <si>
    <t>JOSE LUIS BALDOVINO MARTINEZ</t>
  </si>
  <si>
    <t>CRA 9 # 11 - 03 BRR. LA CANDELARIA</t>
  </si>
  <si>
    <t>TIENDA V &amp; N</t>
  </si>
  <si>
    <t>LUIS ARMANDO VAZQUEZ SANCHEZ</t>
  </si>
  <si>
    <t>CRA 12 # 7 - 84 TAMAGUZ</t>
  </si>
  <si>
    <t>TIENDA ELISMAR</t>
  </si>
  <si>
    <t>ELIS POLANCO VELAZQUEZ</t>
  </si>
  <si>
    <t>CRA 12 # 7 - 74 TAMAGUZ</t>
  </si>
  <si>
    <t>TIENDA 3 en 1</t>
  </si>
  <si>
    <t>ROSIRIS RIVERA BOHORQUEZ</t>
  </si>
  <si>
    <t>Calle 7 # 13 - 02 TAMAGUZ</t>
  </si>
  <si>
    <t>TIENDA LA FE</t>
  </si>
  <si>
    <t>ARMANDO VAZQUEZ SANCHEZ</t>
  </si>
  <si>
    <t>CRA 7 # 11 - 02 SAN CAMILO</t>
  </si>
  <si>
    <t>TIENDA CIBER GALLON</t>
  </si>
  <si>
    <t>ERASMO GALLON QUINTERO</t>
  </si>
  <si>
    <t>CRA 10 # 5 -03 (1° DE ENERO)</t>
  </si>
  <si>
    <t>AUTOSERVICIO SURTITODO J.J.</t>
  </si>
  <si>
    <t>JOHANA AGUAS ARRIOLA</t>
  </si>
  <si>
    <t>CALLE 7ª Nº. 14 - 05 BRR NVO HORIZONTE</t>
  </si>
  <si>
    <t>TIENDA SALVADOR</t>
  </si>
  <si>
    <t>SALVADOR ROJAS NAVARRO</t>
  </si>
  <si>
    <t xml:space="preserve">CRA 8A # 9 - 03 </t>
  </si>
  <si>
    <t>TIENDA LA ESQUINA DE RAFA</t>
  </si>
  <si>
    <t>ALVARO CACERES MARTINEZ</t>
  </si>
  <si>
    <t>CALLE 2° (pacho Gomez)</t>
  </si>
  <si>
    <t>TIENDA DONDE ACHI</t>
  </si>
  <si>
    <t>ARLIN ALBERTO TORRES SANCHEZ</t>
  </si>
  <si>
    <t>Cra 5 # 8 - 136</t>
  </si>
  <si>
    <t>MINIMERCADO EL MAXIMO</t>
  </si>
  <si>
    <t>EDWIN HERNANDEZ GENES</t>
  </si>
  <si>
    <t>CRA 3 # 4 - 06 (CALLE 1° DEL COMERCIO)</t>
  </si>
  <si>
    <t>TIENDA LOS RECUERDOS DE ELLA</t>
  </si>
  <si>
    <t>DIDIER MANUEL SIERRA ORDOÑEZ</t>
  </si>
  <si>
    <t>Cra 10 # 1B - 06 Brr. Mercedes</t>
  </si>
  <si>
    <t>TIENDA LOS TRES HERMANOS</t>
  </si>
  <si>
    <t>GELMIS FLERES ATENCIO</t>
  </si>
  <si>
    <t>Cra 3  # 11 - 55 Sector San Vicente</t>
  </si>
  <si>
    <t>TIENDA LA NIÑA KAROLL</t>
  </si>
  <si>
    <t>JOSEFINA HERRERA COCHERO</t>
  </si>
  <si>
    <t>call 2 con Cra 1°M14L4 Nvo Hzonte</t>
  </si>
  <si>
    <t>TIENDA EL PARAISO</t>
  </si>
  <si>
    <t>ROGER RUBIO RIOS</t>
  </si>
  <si>
    <t>Calle 11 # 6 - 15 Pueblo Nuevo</t>
  </si>
  <si>
    <t>SUPERTIENDA LA ECONOMICA</t>
  </si>
  <si>
    <t>FRANCISCO RIVERA RIVERA</t>
  </si>
  <si>
    <t xml:space="preserve">Cra 8 # 5 - 03 (20 de julio) </t>
  </si>
  <si>
    <t>GRANERO PROVISION AGRICOLA</t>
  </si>
  <si>
    <t>MARTIN VILLARREAL ROJAS</t>
  </si>
  <si>
    <t>Calle 6 # 3 - 37 (Clle 2 del Comercio)</t>
  </si>
  <si>
    <t>TIENDA SHAYRA</t>
  </si>
  <si>
    <t>CABAL ANTONIO MENDOZA BARRIOS</t>
  </si>
  <si>
    <t xml:space="preserve">Calle 4 # 5 - 36 </t>
  </si>
  <si>
    <t>TIENDA PAOLA</t>
  </si>
  <si>
    <t>ENIS PARRA VARELA</t>
  </si>
  <si>
    <t>Calle 3 # 10 - 03 (1° de enero)</t>
  </si>
  <si>
    <t>DULCERIA LA MANO DE DIOS</t>
  </si>
  <si>
    <t>YORLIDIS ZULUAGA CERVERA</t>
  </si>
  <si>
    <t>Calle 7 # 8 -15</t>
  </si>
  <si>
    <t>TIENDA MINIMARKET ENO</t>
  </si>
  <si>
    <t>ENOT ENIT OLIVERO VEGA</t>
  </si>
  <si>
    <t xml:space="preserve">Calle 10 # 1F - 06 Brr Las Mercedes
</t>
  </si>
  <si>
    <t>ABASTOS LA BENDICION</t>
  </si>
  <si>
    <t>PABLO ENRIQUE MOLINA BALDOVINO</t>
  </si>
  <si>
    <t>Cra 14 # 8 -03 Tamaguz</t>
  </si>
  <si>
    <t>TIENDA Y GRANERO LA FE</t>
  </si>
  <si>
    <t>ROSIRIS HENRIQUEZ</t>
  </si>
  <si>
    <t>Cra 5 # 5 - 70 Centro</t>
  </si>
  <si>
    <t>TIENDA LAS MELLAS</t>
  </si>
  <si>
    <t>LUIS FERNANDO BALDOVINO URIBE</t>
  </si>
  <si>
    <t>Calle 4 # 8 -03 esquina (20 de julio)</t>
  </si>
  <si>
    <t>DEPOSITO AHORRAMAS</t>
  </si>
  <si>
    <t>WILBER CHAVEZ CUELLO</t>
  </si>
  <si>
    <t>Calle 5 # 3 - 69 (callejon 2 del comercio)</t>
  </si>
  <si>
    <t>YULIETH RODELO</t>
  </si>
  <si>
    <t>Barrio Uribe Velez</t>
  </si>
  <si>
    <t>DISTRIBUCIONES CANDYPLACE</t>
  </si>
  <si>
    <t>DIEGO ACOSTA CARDOZA</t>
  </si>
  <si>
    <t>Cra 3 # 6 - 53 (Calle 1° del Comercio)</t>
  </si>
  <si>
    <t>DISTRIBUDORA DAFER</t>
  </si>
  <si>
    <t>LUIS FERNANDO LEGUIA TROYA</t>
  </si>
  <si>
    <t>Cra 4 # 4 - 30 (Clle 2° del Comercio)</t>
  </si>
  <si>
    <t>DISTRIBUIDORA DE BEBIDAS</t>
  </si>
  <si>
    <t>EDILMA PALENCIA QUINTANA</t>
  </si>
  <si>
    <t>CRA 4 # 4 - 2 Calle del comercio</t>
  </si>
  <si>
    <t>DISTRIBUIDORA DISTRIBEBIDAS</t>
  </si>
  <si>
    <t>ROGER VERGARA FRANCO</t>
  </si>
  <si>
    <t>CRA 3 # 8 - 50</t>
  </si>
  <si>
    <t>BOMBAZO PAISA</t>
  </si>
  <si>
    <t>DIEGO GOMEZ</t>
  </si>
  <si>
    <t>CRA 4 # 4 - 18</t>
  </si>
  <si>
    <t>LEGUMBRERIA EL MONO</t>
  </si>
  <si>
    <t>DIDIER BLANQUICET MAURY</t>
  </si>
  <si>
    <t>CRA 3 # 6 - 22</t>
  </si>
  <si>
    <t>DEPOSITO CORONA</t>
  </si>
  <si>
    <t>MAYRA LIZARAZO AGUAS</t>
  </si>
  <si>
    <t>CRA 3 # 12 - 30</t>
  </si>
  <si>
    <t>DISTRIBUIDORA ALFA Y OMEGA</t>
  </si>
  <si>
    <t>ELEANIS PINEDA MINDIOLA</t>
  </si>
  <si>
    <t>CRA 4 # 4 - 6 calle del comercio</t>
  </si>
  <si>
    <t>DISCO BAR PAUSABEER</t>
  </si>
  <si>
    <t>ANDRES GOMEZ ESPINOSO</t>
  </si>
  <si>
    <t>1102866943-8</t>
  </si>
  <si>
    <t>CR 14A#10-17</t>
  </si>
  <si>
    <t xml:space="preserve">ESTADERO EL TRACTOR </t>
  </si>
  <si>
    <t xml:space="preserve">MIGUEL EDUARDO ACOSTA </t>
  </si>
  <si>
    <t>CR 3 AVENIDA LAS AMERICAS</t>
  </si>
  <si>
    <t>21/11/24</t>
  </si>
  <si>
    <t xml:space="preserve">LILINA SEVERICHE </t>
  </si>
  <si>
    <t xml:space="preserve">ESTADERO EL CANDELAZO </t>
  </si>
  <si>
    <t xml:space="preserve">ANA MARIA LAMAR RAMOS </t>
  </si>
  <si>
    <t>CR 3 #4-17</t>
  </si>
  <si>
    <t xml:space="preserve">TERRAZA BAR LA COLMENA </t>
  </si>
  <si>
    <t xml:space="preserve">JUAN CARLOS SIERRA </t>
  </si>
  <si>
    <t>1101386469-4</t>
  </si>
  <si>
    <t xml:space="preserve">CALLE 1 DEL COMERCIO </t>
  </si>
  <si>
    <t>ESTADERO LAS CHINCHORRAS</t>
  </si>
  <si>
    <t>SATURNINO NAVARRO</t>
  </si>
  <si>
    <t>CRA 3 # 8 - 80 CALLLE DEL COMERCIO</t>
  </si>
  <si>
    <t xml:space="preserve">ESTADERO EL DIOMEDAZO </t>
  </si>
  <si>
    <t xml:space="preserve">JOSE CRISTOBAL TORRES </t>
  </si>
  <si>
    <t>CR 3# 11A-16</t>
  </si>
  <si>
    <t>ESTADERO VIRU</t>
  </si>
  <si>
    <t>7026522796080-5</t>
  </si>
  <si>
    <t xml:space="preserve">VIRUBIA DEL CARMEN PINTO </t>
  </si>
  <si>
    <t>22796080-5</t>
  </si>
  <si>
    <t>CARRERA 18 # 2-06</t>
  </si>
  <si>
    <t>VIRUPINTO19@GMAIL.COM</t>
  </si>
  <si>
    <t>BILLARES Y ESTADERO LUZMAYCAR</t>
  </si>
  <si>
    <t xml:space="preserve">JAEL PERALTA RODRIGUEZ </t>
  </si>
  <si>
    <t>CALLE 7 # 13 - 04</t>
  </si>
  <si>
    <t>DISCOTECA Y TERRAZA LAS VAQUERAS</t>
  </si>
  <si>
    <t>MIGUEL ACOSTA ALMANZA</t>
  </si>
  <si>
    <t>CRA 5 # 4 - 33</t>
  </si>
  <si>
    <t xml:space="preserve">ESTADERO EL PICOTAZO DE RAMBA </t>
  </si>
  <si>
    <t xml:space="preserve">ANTHONY RAMBAL SAMPAYO </t>
  </si>
  <si>
    <t>CR 3 SECTOR CEMENTERIO</t>
  </si>
  <si>
    <t>ESTADERO LA RUTA DE LA RUMBA</t>
  </si>
  <si>
    <t xml:space="preserve">VIANES ANGULO RODELO </t>
  </si>
  <si>
    <t>CR 13A#2B-19</t>
  </si>
  <si>
    <t xml:space="preserve">ESTANCO HERMANOS GARRIDO </t>
  </si>
  <si>
    <t>JOSE GARRIDO PEREZ</t>
  </si>
  <si>
    <t>CR 5 # 4 - 78</t>
  </si>
  <si>
    <t>BILLARES SUPERSTAR</t>
  </si>
  <si>
    <t xml:space="preserve">JOSE ELIAS BELLO </t>
  </si>
  <si>
    <t>CR 4 #4-24</t>
  </si>
  <si>
    <t>ESTADERO MARY POOL CLUB</t>
  </si>
  <si>
    <t xml:space="preserve">MARILENI MORA ACUÑA </t>
  </si>
  <si>
    <t>CR 5 # 3-03</t>
  </si>
  <si>
    <t>BAR EL NEGRITO</t>
  </si>
  <si>
    <t>LUIS EDUARDO ACEVEDO ARRIOLA</t>
  </si>
  <si>
    <t xml:space="preserve">Cra 5 # 3 - 35 </t>
  </si>
  <si>
    <t>BAR "EL RINCON DE LAS SEÑORITAS"</t>
  </si>
  <si>
    <t>ALBEIRO HERNANDO MACHADO MACHADO</t>
  </si>
  <si>
    <t>Calle 3 # 6 - 06 Nueva Ola</t>
  </si>
  <si>
    <t>BAR HE AHI FLORECITAS</t>
  </si>
  <si>
    <t>MIGUEL ENRIQUE PEINADO</t>
  </si>
  <si>
    <t xml:space="preserve">CRA 3 # 13 - 28 </t>
  </si>
  <si>
    <t>BILLARES EL DEPORTIVO</t>
  </si>
  <si>
    <t>YOLANDA MACHADO RODRIGUEZ</t>
  </si>
  <si>
    <t>Calle 3 # 6 - 02 Nueva Ola</t>
  </si>
  <si>
    <t xml:space="preserve">ESTADERO Y BILLARES TOLU </t>
  </si>
  <si>
    <t>7026592112737-5</t>
  </si>
  <si>
    <t>FRANCISCO MARTINEZ ACOSTA</t>
  </si>
  <si>
    <t>92112737-5</t>
  </si>
  <si>
    <t xml:space="preserve">CALLE 1A #16-04 </t>
  </si>
  <si>
    <t>TOMASFR1213@GMAIL.COM</t>
  </si>
  <si>
    <t>BILLARES "EL TACO DE ORO"</t>
  </si>
  <si>
    <t>CARMEN VILORIA NUÑEZ</t>
  </si>
  <si>
    <t>Cra 5 # 6 - 20 Centro</t>
  </si>
  <si>
    <t>REFRESQUERIA LA BENDICION</t>
  </si>
  <si>
    <t>SERGIO ACUÑA POLANCO</t>
  </si>
  <si>
    <t xml:space="preserve">CALLE 7 # 5 - 29 </t>
  </si>
  <si>
    <t>DISCOTECA TEMPLE</t>
  </si>
  <si>
    <t>YADIR CASTRO JARABA</t>
  </si>
  <si>
    <t>KM 11 SALIDA A MAJAGUAL (BRISAS DEL RIO)</t>
  </si>
  <si>
    <t>DISCO BAR MR BABILLA SON</t>
  </si>
  <si>
    <t>WILLIAM ARAQUE PALENCIA</t>
  </si>
  <si>
    <t>CRA 5 # 8 - 48</t>
  </si>
  <si>
    <t>DISCOTCA LA TROJA QUILLERA</t>
  </si>
  <si>
    <t>FANNY ARAQUE PALENCIA</t>
  </si>
  <si>
    <t>Calle 7 # 8 -49 CENTRO</t>
  </si>
  <si>
    <t>BILLARES Y DOSCO BAR IBIZA</t>
  </si>
  <si>
    <t>7026542385387-4</t>
  </si>
  <si>
    <t xml:space="preserve">OLADIS ISABEL PINEDA MERCADO </t>
  </si>
  <si>
    <t>42385387-4</t>
  </si>
  <si>
    <t>CALLE 7 #4-2</t>
  </si>
  <si>
    <t>ESTADERO EL REPOSO</t>
  </si>
  <si>
    <t>CRUZFAY MOSQUERA FRNACO</t>
  </si>
  <si>
    <t>CRA 3 AVENIDA LAS AMERICAS</t>
  </si>
  <si>
    <t>ESTADERO LA NIÑA CRISTY</t>
  </si>
  <si>
    <t>NIVER GARCIA CAMARGO</t>
  </si>
  <si>
    <t>CRA 10 - CALLE 4 1RO DE ENERO</t>
  </si>
  <si>
    <t>GUARANDA LICORES</t>
  </si>
  <si>
    <t>FARID DIAZ PEINADO</t>
  </si>
  <si>
    <t>CRA 5 # 5 - 51</t>
  </si>
  <si>
    <t xml:space="preserve">ESTADERO LAS GEMELAS </t>
  </si>
  <si>
    <t xml:space="preserve">NELCY MARIA LUNA </t>
  </si>
  <si>
    <t>CR 9 # 4 -07</t>
  </si>
  <si>
    <t>DISCOTK LA SEDE</t>
  </si>
  <si>
    <t>RICHARD ZAMBRANO</t>
  </si>
  <si>
    <t>Cra  9ª.  N°. 4 - 33 Calle San Martin</t>
  </si>
  <si>
    <t>3106113351</t>
  </si>
  <si>
    <t>ESTADERO EL PICOTAZO DE RAMBA</t>
  </si>
  <si>
    <t>ANTONY RAMBAL</t>
  </si>
  <si>
    <t>Cra 3ª Barrio San Vicente</t>
  </si>
  <si>
    <t>DISCO BAR RIO SOCIAL CLUB</t>
  </si>
  <si>
    <t>70265901852598-6</t>
  </si>
  <si>
    <t xml:space="preserve">ADOLFO DIAS RIOS </t>
  </si>
  <si>
    <t>901852598-6</t>
  </si>
  <si>
    <t>CARRERA 3 KM 1</t>
  </si>
  <si>
    <t>RIOSOCIALCLUB@GMAIL.COM</t>
  </si>
  <si>
    <t>ESTADERO EL PUERTO</t>
  </si>
  <si>
    <t>AGUSTIN MORA CERVANTES</t>
  </si>
  <si>
    <t>Cra 3ª con Clle 4</t>
  </si>
  <si>
    <t>ESTADERO EL CARRU</t>
  </si>
  <si>
    <t>YAQUELIN OTERO MARQUEZ</t>
  </si>
  <si>
    <t>Cra  3ª FRENTE AL CEMENTERIO CENTRAL</t>
  </si>
  <si>
    <t>DISCO CLUB ZAPACA</t>
  </si>
  <si>
    <t>FANNY ISA DE JES ARAQUE PALENCIA</t>
  </si>
  <si>
    <t xml:space="preserve">Calle 7ª N°. 6 - 43 2° Piso </t>
  </si>
  <si>
    <t>3017363665</t>
  </si>
  <si>
    <t>BILLARES LA AVENIDA</t>
  </si>
  <si>
    <t>CARMEN VILORIA</t>
  </si>
  <si>
    <t>CRA 5ª N°. 6 - 87Av. Juan de Mata</t>
  </si>
  <si>
    <t>ESTANCO EL PAISA</t>
  </si>
  <si>
    <t>LIBARADO RODRIGUEZ</t>
  </si>
  <si>
    <t>Cra 5ª N°. 5 - 45 Av. Juan de Mata</t>
  </si>
  <si>
    <t>BILLARES LUZMAYCAR</t>
  </si>
  <si>
    <t>LUIS ACOSTA GARCIA</t>
  </si>
  <si>
    <t>Calle 7ª N°. 12 - 23 Barrio Tamaguz</t>
  </si>
  <si>
    <t>BILLARES  KANAE</t>
  </si>
  <si>
    <t>Cra 10ª N°. 5 - 26  Calle 1° de enero</t>
  </si>
  <si>
    <t xml:space="preserve">TIENDA ARA 1046 </t>
  </si>
  <si>
    <t xml:space="preserve">CESAR AUGUSTO BORRAS </t>
  </si>
  <si>
    <t>Cra 5 # 4 - 66 Centro</t>
  </si>
  <si>
    <t xml:space="preserve">ADRIAN MORALES/CARLOS ACOSTA </t>
  </si>
  <si>
    <t>COMIDAS RAPIDAS MOZZAFIATO</t>
  </si>
  <si>
    <t xml:space="preserve">MIGUEL DORIA DORIA </t>
  </si>
  <si>
    <t>CR 5 #4-78</t>
  </si>
  <si>
    <t xml:space="preserve">KEREN RODRIGUEZ RESTAURANTE </t>
  </si>
  <si>
    <t xml:space="preserve">KEREN RODRIGUEZ </t>
  </si>
  <si>
    <t>CR 5 # 6 - 19</t>
  </si>
  <si>
    <t>GUILLO POLLO GUARANDA</t>
  </si>
  <si>
    <t>GUILLERMO FRANCO YEPEZ</t>
  </si>
  <si>
    <t>RESTAURANTE DONDE MARCOS</t>
  </si>
  <si>
    <t>MARCOS ANTONIO DIAZ GOMEZ</t>
  </si>
  <si>
    <t>Cra 5° # 11 - 64 Sector San Vicente</t>
  </si>
  <si>
    <t>MARCOSDIAZG14@GMAIL.COM</t>
  </si>
  <si>
    <t>PANADERIA NIÑO JESUS</t>
  </si>
  <si>
    <t>JESUS ANTONIO FRANCO</t>
  </si>
  <si>
    <t>13/8/2023</t>
  </si>
  <si>
    <t>PANADERIA DE JESUS ELENA</t>
  </si>
  <si>
    <t>AGUSTIN CERVANTES</t>
  </si>
  <si>
    <t xml:space="preserve">CR 9 # 5 - 43 </t>
  </si>
  <si>
    <t>AGUSTIN0927@HOTMAIL.COM</t>
  </si>
  <si>
    <t>RESTAURANTE DONDE LUZ</t>
  </si>
  <si>
    <t xml:space="preserve">LUZMILA RESTREPO AMARIS </t>
  </si>
  <si>
    <t>Cra 3 # 5 - 24 (Calle 1° del Comercio)</t>
  </si>
  <si>
    <t>YESSIKACASERES2019@GMAIL.COM</t>
  </si>
  <si>
    <t>RESTAURANTE LA LOREO</t>
  </si>
  <si>
    <t>JULIO RODRIGUEZ TELLEZ</t>
  </si>
  <si>
    <t>29/08/2024</t>
  </si>
  <si>
    <t>RAMIPOLLO</t>
  </si>
  <si>
    <t>RAMIRO POLO RODRIGUEZ</t>
  </si>
  <si>
    <t>CR 5 # 4-30</t>
  </si>
  <si>
    <t>RESTAURANTE LA PROSPERIDAD</t>
  </si>
  <si>
    <t xml:space="preserve">NINET BROCHERO HERNANDEZ </t>
  </si>
  <si>
    <t>CALLE 7 #8A-14</t>
  </si>
  <si>
    <t>YIM92YT@GMAIL.COM</t>
  </si>
  <si>
    <t>26/06/2023</t>
  </si>
  <si>
    <t>PANADERIA POPULAR</t>
  </si>
  <si>
    <t>DAMITH POLANCO LOPEZ</t>
  </si>
  <si>
    <t>55300281-0</t>
  </si>
  <si>
    <t>CARRERA 3 # 4-12</t>
  </si>
  <si>
    <t>POLANCOLOPEZDAMITH@GMAIL.COM</t>
  </si>
  <si>
    <t>15/04/2025</t>
  </si>
  <si>
    <t>RESTAURANTE DONDE LA MORE</t>
  </si>
  <si>
    <t xml:space="preserve">NORELVA CARMONA PINTO </t>
  </si>
  <si>
    <t>CR 4 #4-25</t>
  </si>
  <si>
    <t>14/06/2024</t>
  </si>
  <si>
    <t>RESTAURANTE TSUNAMI</t>
  </si>
  <si>
    <t>MAYRENA VELASQUEZ</t>
  </si>
  <si>
    <t>CR 5 #9-40</t>
  </si>
  <si>
    <t>MAYJOHANA@GMAIL.COM</t>
  </si>
  <si>
    <t xml:space="preserve">PANDERIA LA GRAN VIA </t>
  </si>
  <si>
    <t>CARLOS ENRIQUE CASTRO MENCO</t>
  </si>
  <si>
    <t xml:space="preserve">CALLE 7ª Nº. 12 -10 </t>
  </si>
  <si>
    <t>RESTAURANTE DOÑA CARMEN</t>
  </si>
  <si>
    <t>CARMEN JULIA CABRERA ARRIETA</t>
  </si>
  <si>
    <t>CALLE 7ª Nº. 8A -18</t>
  </si>
  <si>
    <t xml:space="preserve">LILIANA SEVERICCHE </t>
  </si>
  <si>
    <t xml:space="preserve">PANDERIA LAMIPAN </t>
  </si>
  <si>
    <t>14/08/2025</t>
  </si>
  <si>
    <t>PANADERIA VISTA AL  RIO</t>
  </si>
  <si>
    <t>17/04/2023</t>
  </si>
  <si>
    <t>ASADOS Y COMIDAS RAPIDAS DORIS</t>
  </si>
  <si>
    <t>DORIS MARIA MERCADO DIAZ</t>
  </si>
  <si>
    <t>Cra 5 #  6 - 47 Centro</t>
  </si>
  <si>
    <t>RESTAURANTE DONDE DANE</t>
  </si>
  <si>
    <t>DANERIS MARIA CERVERA ARRIOLA</t>
  </si>
  <si>
    <t>CALLE7ª Nº. 8 -15</t>
  </si>
  <si>
    <t>RESTAURANTE DONDE NORE</t>
  </si>
  <si>
    <t>NORELVA CARMONA PINTO</t>
  </si>
  <si>
    <t>CRA 4 # 4 - 25 (CALLE 2° DEL COMERCIO)</t>
  </si>
  <si>
    <t>RESTAURANTE MOJANA EXPRES</t>
  </si>
  <si>
    <t>LIVE OSORIO LOPEZ</t>
  </si>
  <si>
    <t>CRA 5° # 5 - 27 (CALLE 3RA DEL COMERCIO)</t>
  </si>
  <si>
    <t>RESTAURANTE DONDE ONE</t>
  </si>
  <si>
    <t xml:space="preserve">ONELIA TORRES  MENDOZA </t>
  </si>
  <si>
    <t>CALLE7ª Nº. 8A  -02</t>
  </si>
  <si>
    <t>RESTAURANTE DONDE ROCHY</t>
  </si>
  <si>
    <t>ROSARIO RUIZ</t>
  </si>
  <si>
    <t>CRA 5 # 4 - 36</t>
  </si>
  <si>
    <t>RESTAURANTE SASON Y SABOR</t>
  </si>
  <si>
    <t>LEYDI MACHACON PALENCIA</t>
  </si>
  <si>
    <t>COMIDAS RAPIDAS LA BENDICION</t>
  </si>
  <si>
    <t>LACIDES BEDOYA MARTINEZ</t>
  </si>
  <si>
    <t>CRA 5 # 6 - 45</t>
  </si>
  <si>
    <t>PIZZAS YORK</t>
  </si>
  <si>
    <t>YORGIS ROBERTO FRANCO VILORIA</t>
  </si>
  <si>
    <t>CRA 5 # 6 - 30</t>
  </si>
  <si>
    <t>PIZZERIA TORY</t>
  </si>
  <si>
    <t>DAVID MENDOZA BELEÑO</t>
  </si>
  <si>
    <t>CRA 5 # 9 - 35</t>
  </si>
  <si>
    <t xml:space="preserve">PIZZERIA CENTRAL </t>
  </si>
  <si>
    <t>INGRIS BOLAÑO HERRERA</t>
  </si>
  <si>
    <t>CALLE 7 # 5-35</t>
  </si>
  <si>
    <t>08/04/2024|</t>
  </si>
  <si>
    <t>RESTAURANTE AL TOQUE. PAO</t>
  </si>
  <si>
    <t>KETTY PAOLA VIDES</t>
  </si>
  <si>
    <t>CRA 11 # 6 - 33 PUEBLO NUEVO</t>
  </si>
  <si>
    <t>ASADOS Y COMIDAS DELI EXPRESS</t>
  </si>
  <si>
    <t>LUIS CASTRO GALLON</t>
  </si>
  <si>
    <t>1101387723-5</t>
  </si>
  <si>
    <t>CRA 9 # 4 - 4 SAN MARTIN</t>
  </si>
  <si>
    <t>LUIS_CASTROGALLON@GMAIL.COM</t>
  </si>
  <si>
    <t>HELADOS TEO</t>
  </si>
  <si>
    <t>JHONNY CORREA</t>
  </si>
  <si>
    <t>CALLE 7 3 5 - 17 CENTRO</t>
  </si>
  <si>
    <t>ALM Y CAFETERIA LA VIRGEN MILAGROSA</t>
  </si>
  <si>
    <t xml:space="preserve">RAFAEL PEREZ </t>
  </si>
  <si>
    <t>CLL 7 CENTRP</t>
  </si>
  <si>
    <t>RESTAURANTE BARAKA R</t>
  </si>
  <si>
    <t>NUBIA ELENA RIVERO</t>
  </si>
  <si>
    <t>1101385386-7</t>
  </si>
  <si>
    <t>CRA 5#11-56</t>
  </si>
  <si>
    <t>COMIDAS RAPIDAS CORCOVAO</t>
  </si>
  <si>
    <t xml:space="preserve">CARMEN ALICIA MENDOZA </t>
  </si>
  <si>
    <t>CRA9 #4-22</t>
  </si>
  <si>
    <t>LACIDES ANTONIO BEDOYA MARTINEZ</t>
  </si>
  <si>
    <t>Cra 5ª N°. 9 - 26 Av. Juan de Mata</t>
  </si>
  <si>
    <t>COMIDAS RAPIDAS MAGDALENA PLAZA</t>
  </si>
  <si>
    <t>MAGDALENA ZULEIMA ARIZA MENCO</t>
  </si>
  <si>
    <t>Kra 5ª  N°. 6 - 19</t>
  </si>
  <si>
    <t>Calle 7ª Nº. 8 -15</t>
  </si>
  <si>
    <t>YORGIS  ROBERTO FRANCO VILORIA</t>
  </si>
  <si>
    <t>Kra  5ª.N°. 6 - 30</t>
  </si>
  <si>
    <t>PANADERIA EL PUENTE</t>
  </si>
  <si>
    <t>Calle 7ª</t>
  </si>
  <si>
    <t>3116545843</t>
  </si>
  <si>
    <t>RESTAURANTE KROKE EXPRESS</t>
  </si>
  <si>
    <t>ELMER BALDOVINO</t>
  </si>
  <si>
    <t>Cra 5ª Nº. 6 - 76</t>
  </si>
  <si>
    <t>RESTAURANTE KEREN RODRIGUEZ</t>
  </si>
  <si>
    <t>JHON JAIRO ARIZA MENCO</t>
  </si>
  <si>
    <t>Cra 4 N°. 4 - 46</t>
  </si>
  <si>
    <t>3136068047</t>
  </si>
  <si>
    <t>ASADOS Y COMIDAS RAPIDAS DONDE DORIS</t>
  </si>
  <si>
    <t>Cra 6ª N°. 5 - 47 CALLE SANTO CRISTO</t>
  </si>
  <si>
    <t>3145601102</t>
  </si>
  <si>
    <t>PANADERIA EL PAMBE</t>
  </si>
  <si>
    <t>AGUSTIN CERVANTEZ DIAZ</t>
  </si>
  <si>
    <t>Calle 1E</t>
  </si>
  <si>
    <t>RESTAURANTE DOÑA ROSARIO</t>
  </si>
  <si>
    <t>PANADERIA Y REPOSTERIA YALO</t>
  </si>
  <si>
    <t>CARMINIA SAMPAYO</t>
  </si>
  <si>
    <t>Cra 5 # 5 - 27 Av. Juan de Mata</t>
  </si>
  <si>
    <t>COMIDAS RAPIDAS PITO EXPRESS</t>
  </si>
  <si>
    <t>JORGE FRANCO</t>
  </si>
  <si>
    <t>Calle 7  # 6 - 25 Diag al Polideportivo</t>
  </si>
  <si>
    <t>RESTAURANTE  LA TERRAZA</t>
  </si>
  <si>
    <t>SANTOS VALENCIA</t>
  </si>
  <si>
    <t>Cra 8 Calle San Martin</t>
  </si>
  <si>
    <t>RESTAURANTE  TZUNAMI</t>
  </si>
  <si>
    <t>LICETH SIERRA</t>
  </si>
  <si>
    <t>Cra 5ª N°. 9 - 22 Av. Juan de Mata</t>
  </si>
  <si>
    <t>CENTRO RECREACIONAL Y RESTAURANTE LA BARRA</t>
  </si>
  <si>
    <t>MARTA CECILIA PADILLA</t>
  </si>
  <si>
    <t>33083722-5</t>
  </si>
  <si>
    <t xml:space="preserve">KM 1 SALIDA A MAJAGUAL </t>
  </si>
  <si>
    <t>MARTACECICLIAPADILLAMERCADO@GMAIL.COM</t>
  </si>
  <si>
    <t>COCTELERIA  EL OASIS</t>
  </si>
  <si>
    <t>ELENA NOGUERA</t>
  </si>
  <si>
    <t>Cra 5ª N°. 11 - 33  Av Juan de Mata</t>
  </si>
  <si>
    <t>COCTELERIA  SAL MARINO</t>
  </si>
  <si>
    <t>CARMEN VILLARREAL</t>
  </si>
  <si>
    <t>Cra 5ª N°. 09 - 43  Av Juan de Mata</t>
  </si>
  <si>
    <t>RESTAURANTE  EL SABOR COSTEÑO</t>
  </si>
  <si>
    <t>EDILSA RODRIGUEZ</t>
  </si>
  <si>
    <t>Cra 5ª N°. 08 - 120  Av Juan de Mata</t>
  </si>
  <si>
    <t>PANADERIA Y REPOSTERIA  LA PRINCIPAL</t>
  </si>
  <si>
    <t>JORGE MENDEZ</t>
  </si>
  <si>
    <t>Cra 5ª N°. 08 - 136  Av Juan de Mata</t>
  </si>
  <si>
    <t>RESTAURANTE  AL TOQUE</t>
  </si>
  <si>
    <t>EDINSON MARTINEZ ZAMBRANO</t>
  </si>
  <si>
    <t>Cra 11ª N°. 06 - 35  Calle Pueblo Nuevo</t>
  </si>
  <si>
    <t>RESTAURANTE  LA BENDICION DE DIOS</t>
  </si>
  <si>
    <t>EDILSA VILLARREAL</t>
  </si>
  <si>
    <t>Cra 11ª N°. 06 - 43  Calle Pueblo Nuevo</t>
  </si>
  <si>
    <t>JEHOVA JUSTICIA NUESTRA</t>
  </si>
  <si>
    <t>JOSE ARIAS LOPEZ</t>
  </si>
  <si>
    <t xml:space="preserve">CARRERA10 -5 -57 </t>
  </si>
  <si>
    <t>RESTAURANTE Y CAFETERIA BELEZ-CRUKE</t>
  </si>
  <si>
    <t>ELMER MANUEL LOPEZ BALDOVINO</t>
  </si>
  <si>
    <t>CRA 5 #6-74</t>
  </si>
  <si>
    <t>22/07/2025</t>
  </si>
  <si>
    <t xml:space="preserve"> PROGRAMACION</t>
  </si>
  <si>
    <t>CR 6 146 - 85</t>
  </si>
  <si>
    <t>GERENCIA@FUNDACARIBE.COM</t>
  </si>
  <si>
    <t>HOGAR DE BIENESTAR MI DULCE HOGAR</t>
  </si>
  <si>
    <t xml:space="preserve">MARINA MORENO BATISTA </t>
  </si>
  <si>
    <t>823005303-5</t>
  </si>
  <si>
    <t>CALLE 14 A 440</t>
  </si>
  <si>
    <t xml:space="preserve">INSTITUTO LA UNION SEDE SANTANDER </t>
  </si>
  <si>
    <t xml:space="preserve">IVAN DAVID GAMARRA ANAYA </t>
  </si>
  <si>
    <t>BARRIO SANTANDER</t>
  </si>
  <si>
    <t>ROSMARIS1976@HOTMAIL.COM</t>
  </si>
  <si>
    <t xml:space="preserve">ASOCIACION DE CAMPESINOS AFRODECENDIENTES DE LA MOJANA </t>
  </si>
  <si>
    <t xml:space="preserve">  LOS CHIQUILLOS</t>
  </si>
  <si>
    <t>MIGUEL JOSE PRASCA PAYARES</t>
  </si>
  <si>
    <t>9005258755-5</t>
  </si>
  <si>
    <t>CR 15 #12-33</t>
  </si>
  <si>
    <t>KELLY-1989MARGARITA@HOTMAILCOM</t>
  </si>
  <si>
    <t>JOSE RICARDO/FERNL DE LA OSSA</t>
  </si>
  <si>
    <t>ASOCIACION LA CANDELARIA (JARDIN DE LOS NIÑOS )</t>
  </si>
  <si>
    <t xml:space="preserve">MARIA CASTILLO ESPITALETA </t>
  </si>
  <si>
    <t>CR 6 #15-39</t>
  </si>
  <si>
    <t xml:space="preserve">HOGAR DE BIENESTAR MI PEQUEÑO MUNDO </t>
  </si>
  <si>
    <t>LEIDIS NARVAEZ</t>
  </si>
  <si>
    <t>800227558-5</t>
  </si>
  <si>
    <t xml:space="preserve">ASOCIACION LA CANDELARIA (MI PEQUEÑO MUNDO) </t>
  </si>
  <si>
    <t>ANGELICA RICARDO</t>
  </si>
  <si>
    <t>800137102-4</t>
  </si>
  <si>
    <t>CALLE 7 #14A-205 EL VIDRIAL</t>
  </si>
  <si>
    <t>HOGAR DULCE CORAZON</t>
  </si>
  <si>
    <t>3005303-5</t>
  </si>
  <si>
    <t>CALLE 13B #8-46</t>
  </si>
  <si>
    <t>HOGAR LOS AMIGOS</t>
  </si>
  <si>
    <t>CR 8 #13B-13</t>
  </si>
  <si>
    <t>HOGAR LA ESPERANZA</t>
  </si>
  <si>
    <t>CR 12 # 14A-13</t>
  </si>
  <si>
    <t xml:space="preserve">LA UNIÓN </t>
  </si>
  <si>
    <t>ASOCIACION LA CANDELARIA (HOGAR DULCE NOMBRE)</t>
  </si>
  <si>
    <t>CALLE 14 # 8A-16</t>
  </si>
  <si>
    <t xml:space="preserve">FUNDACION SOCIAL ALTA GRACIA  (INSTITUCION EDUCATIVA  LA UNION SEDE PRINCIPAL) </t>
  </si>
  <si>
    <t>CR 8B CALLE 42</t>
  </si>
  <si>
    <t>ASOCIACION LA CANDELARIA (HOGAR MIS ANGELITOS)</t>
  </si>
  <si>
    <t>CR 8 # 10B-15</t>
  </si>
  <si>
    <t>ASOCIACION LA CANDELARIA (HOGAR SANTO DOMINGO)</t>
  </si>
  <si>
    <t>CALLE 5A CR 11-89 BARRIO SANTO DOMINGO</t>
  </si>
  <si>
    <t xml:space="preserve">HOGAR DE BIENESTAR  NIÑO JESUS </t>
  </si>
  <si>
    <t>EDITH VIERA</t>
  </si>
  <si>
    <t>80037102-4</t>
  </si>
  <si>
    <t>CR 12 #8-29</t>
  </si>
  <si>
    <t>ASOCIACION DE CAMPESINO AFRODESENDIENTES DE LA MOJANA</t>
  </si>
  <si>
    <t xml:space="preserve">MI SEGUNDO HOGAR </t>
  </si>
  <si>
    <t>MIGUEL JOSE PRASCO PAYARES</t>
  </si>
  <si>
    <t>900525875-5</t>
  </si>
  <si>
    <t xml:space="preserve">BR 18A CL 14-39 SAN TA FE </t>
  </si>
  <si>
    <t>EMISROMERO25@GMAIL.COM</t>
  </si>
  <si>
    <t>18/11/2025</t>
  </si>
  <si>
    <t>JOSE RICARDO / FERNEL DE LA OSSA</t>
  </si>
  <si>
    <t>CENTRO DE VIDA LA UNION</t>
  </si>
  <si>
    <t>YANETH BLANCO</t>
  </si>
  <si>
    <t>HOGAR MIS ESTRELLITAS</t>
  </si>
  <si>
    <t>ILUMINADA LOPEZ</t>
  </si>
  <si>
    <t>900221359-9</t>
  </si>
  <si>
    <t>CRA 2 CLL 2</t>
  </si>
  <si>
    <t>HOGAR MIS PERSONITAS</t>
  </si>
  <si>
    <t>MARIA JOSE DIAZ</t>
  </si>
  <si>
    <t>80024359-9</t>
  </si>
  <si>
    <t>TRA 7 CRA 8</t>
  </si>
  <si>
    <t>HOGAR DE BIENESTAR CHIQUITIN</t>
  </si>
  <si>
    <t>MARIA JPSE RUIZ</t>
  </si>
  <si>
    <t>CRA 6A 14C</t>
  </si>
  <si>
    <t xml:space="preserve">TIENDA Y VARIEDADES EL PROGRESO DE LA UNION </t>
  </si>
  <si>
    <t>JADER PARDO</t>
  </si>
  <si>
    <t>CALLE 5#13-74</t>
  </si>
  <si>
    <t>VARIEDADES MERCAMAX</t>
  </si>
  <si>
    <t>PLUTARCO AGRESOTH</t>
  </si>
  <si>
    <t>66813554-1</t>
  </si>
  <si>
    <t>CALLE 14 # 890</t>
  </si>
  <si>
    <t xml:space="preserve">SALSAMENTARIA MINGO </t>
  </si>
  <si>
    <t xml:space="preserve">AURI ESPITIA CASTILLO </t>
  </si>
  <si>
    <t>CALLE 14A# 8A-40</t>
  </si>
  <si>
    <t>LA 8</t>
  </si>
  <si>
    <t>ALEXIDA ROSA DELGADO</t>
  </si>
  <si>
    <t>CRA 8 14 #17</t>
  </si>
  <si>
    <t>28/07/2022</t>
  </si>
  <si>
    <t>COSTA AZUL</t>
  </si>
  <si>
    <t>NANCY ELENA SANTANA</t>
  </si>
  <si>
    <t>CALLE 14 #12-76</t>
  </si>
  <si>
    <t>29/06/2022</t>
  </si>
  <si>
    <t xml:space="preserve">GRANERO MERCA EXPRES </t>
  </si>
  <si>
    <t xml:space="preserve">FABIO DIAZ PEREZ </t>
  </si>
  <si>
    <t>CR 12#12-18</t>
  </si>
  <si>
    <t>EL NANTILO</t>
  </si>
  <si>
    <t xml:space="preserve">ANTONIO BLANCO </t>
  </si>
  <si>
    <t>CALLE 14 13-6A</t>
  </si>
  <si>
    <t>DE 2</t>
  </si>
  <si>
    <t>LENEY CALDERA</t>
  </si>
  <si>
    <t>CR 6 # 14-88</t>
  </si>
  <si>
    <t>LAYDEI</t>
  </si>
  <si>
    <t>YOBANIS DE LA OSSA</t>
  </si>
  <si>
    <t>CALLE 14 CR 6B-65</t>
  </si>
  <si>
    <t xml:space="preserve">TIENDA BETEL </t>
  </si>
  <si>
    <t>ERNESTO REYES</t>
  </si>
  <si>
    <t>CALLE 14 A 3-16</t>
  </si>
  <si>
    <t xml:space="preserve">TIENDA MANANTIAL </t>
  </si>
  <si>
    <t xml:space="preserve">LUZ MERI MENDOZA </t>
  </si>
  <si>
    <t>CALLE 14 CR 8-133</t>
  </si>
  <si>
    <t xml:space="preserve"> TIENDA LA ESPERANZA</t>
  </si>
  <si>
    <t>EMELINA NARANJO</t>
  </si>
  <si>
    <t>CALLE 14 # 61 -31</t>
  </si>
  <si>
    <t>GRANERO EL PELLO</t>
  </si>
  <si>
    <t>JUAN HERRERA</t>
  </si>
  <si>
    <t>CR 14 CALLE 11</t>
  </si>
  <si>
    <t xml:space="preserve">GRANERO SANTO DOMINGO </t>
  </si>
  <si>
    <t xml:space="preserve">CARLOS ECHAVARRIA </t>
  </si>
  <si>
    <t>CALLE 8 CR 10-60</t>
  </si>
  <si>
    <t xml:space="preserve">GRANERO LOS 4 CAMINOS </t>
  </si>
  <si>
    <t xml:space="preserve">JOSE RAUL GOMEZ </t>
  </si>
  <si>
    <t>KR 13 # 10-06</t>
  </si>
  <si>
    <t>SALSAMENTARIA MEDELLIN</t>
  </si>
  <si>
    <t xml:space="preserve">KR 13 CALLE 9-5 BARRIO SANTO DOMINGO </t>
  </si>
  <si>
    <t>GRANERO LOS PAISITAS</t>
  </si>
  <si>
    <t xml:space="preserve">YULI DUQUE DUQUE </t>
  </si>
  <si>
    <t xml:space="preserve">VARIEDADES EL BUEN GUSTO </t>
  </si>
  <si>
    <t>JORGE ALBERTO MARTINEZ</t>
  </si>
  <si>
    <t xml:space="preserve">BARRIO SANTO DOMINGO </t>
  </si>
  <si>
    <t>GRANERO PROVIDENCIA</t>
  </si>
  <si>
    <t>ARMANDO SIMANCA</t>
  </si>
  <si>
    <t>CALLE 14 #12-120</t>
  </si>
  <si>
    <t>EL BELLO ROSAL</t>
  </si>
  <si>
    <t>ROSA VARGAS</t>
  </si>
  <si>
    <t>AVANIDA NUÑEZ MERCADO PUBLICO</t>
  </si>
  <si>
    <t xml:space="preserve">GRANERO LA BENDICION </t>
  </si>
  <si>
    <t xml:space="preserve">MARLENE MORELO </t>
  </si>
  <si>
    <t>CALLE 14 # 10-79</t>
  </si>
  <si>
    <t>EL NAUTILO</t>
  </si>
  <si>
    <t>ANTONIO BLANCO</t>
  </si>
  <si>
    <t>CALLE 14 EB -40</t>
  </si>
  <si>
    <t>29/12/2022</t>
  </si>
  <si>
    <t xml:space="preserve">TIENDA 4 ESQUINA </t>
  </si>
  <si>
    <t>JEORGINA VASQUE DE CORDERO</t>
  </si>
  <si>
    <t>CALLE 14 # 6E-49</t>
  </si>
  <si>
    <t>LA 14</t>
  </si>
  <si>
    <t>DORA BELTRAN</t>
  </si>
  <si>
    <t>CALLE 14 # 59</t>
  </si>
  <si>
    <t>LOS SABANALES</t>
  </si>
  <si>
    <t>GLADIS PILA RUIZ</t>
  </si>
  <si>
    <t>BARRIO LOS SANTANDERES</t>
  </si>
  <si>
    <t xml:space="preserve">GRANERO SAN RAFAEL </t>
  </si>
  <si>
    <t xml:space="preserve">RAFAEL HOYOS </t>
  </si>
  <si>
    <t>CALLE 8 KR 12-9</t>
  </si>
  <si>
    <t>GRANERO LOS SEPES</t>
  </si>
  <si>
    <t>JOSE HERRERA</t>
  </si>
  <si>
    <t>CALLE 14 # 12-62</t>
  </si>
  <si>
    <t xml:space="preserve">GRANERO TIBURON </t>
  </si>
  <si>
    <t xml:space="preserve">ALFONSO RICARDO BARRAGAN </t>
  </si>
  <si>
    <t>CALLE 14#10-100</t>
  </si>
  <si>
    <t>MINITIENDA OLGA</t>
  </si>
  <si>
    <t>OLGA MARTINEZ</t>
  </si>
  <si>
    <t>CALLE 6 # 8-35</t>
  </si>
  <si>
    <t xml:space="preserve">ANIBAL JOSE ARRIETA </t>
  </si>
  <si>
    <t xml:space="preserve">CALLE 1 #25 </t>
  </si>
  <si>
    <t>13/05/2022</t>
  </si>
  <si>
    <t xml:space="preserve">GRANERO EL PAISA </t>
  </si>
  <si>
    <t>FRANCISCO DUQUE GOMEZ</t>
  </si>
  <si>
    <t>CALLE 14 # 8 BIS-83</t>
  </si>
  <si>
    <t>SUPERMERCADO LA 12</t>
  </si>
  <si>
    <t xml:space="preserve">LUIS ALBERTO ESCOBAR </t>
  </si>
  <si>
    <t>KR 12 CALLE 10-06</t>
  </si>
  <si>
    <t xml:space="preserve">TIENDA VARIEDADES SAN ANTONIO </t>
  </si>
  <si>
    <t xml:space="preserve">GERMAN HOYOS HURTADO </t>
  </si>
  <si>
    <t>CR 8 CALLE 8-10</t>
  </si>
  <si>
    <t xml:space="preserve">DEPOSITO MEDELLIN </t>
  </si>
  <si>
    <t>CR 13-10 -6 APTO 2</t>
  </si>
  <si>
    <t>TIENDA LA 14</t>
  </si>
  <si>
    <t xml:space="preserve">DORA LUZ BELTRAN </t>
  </si>
  <si>
    <t>CLL 14 5-9</t>
  </si>
  <si>
    <t>LOS CEPES</t>
  </si>
  <si>
    <t>JOSE DE DIOS HERRERA</t>
  </si>
  <si>
    <t>CLL 14#12C2</t>
  </si>
  <si>
    <t>FERNANDO DIAZ PEREZ</t>
  </si>
  <si>
    <t>TR CRA 8-21</t>
  </si>
  <si>
    <t>GRANERO EL CAMPESINO</t>
  </si>
  <si>
    <t>REGINA PATERNINA</t>
  </si>
  <si>
    <t>CRA 12 CL 12</t>
  </si>
  <si>
    <t>BAR ESTADERO EL MANANTIAL</t>
  </si>
  <si>
    <t>ENITH DEL CARMEN GUERRA</t>
  </si>
  <si>
    <t>CALLE 12 CR 13-13</t>
  </si>
  <si>
    <t>ESTADERO Y BAR QATAR</t>
  </si>
  <si>
    <t>OSSIRYS DEL CARMEN ALVAREZ PEREZ</t>
  </si>
  <si>
    <t>CALLE 14 - 13A #212 CASA 2</t>
  </si>
  <si>
    <t>BAR EL MADRIGAL</t>
  </si>
  <si>
    <t>JULIO RODRIGUEZ</t>
  </si>
  <si>
    <t>LA UNION SALIDA A CAIMITO</t>
  </si>
  <si>
    <t>ESTADERO PUNTO COM</t>
  </si>
  <si>
    <t>DANIEL MONTIEL</t>
  </si>
  <si>
    <t>CALLE 12 - 13A-80</t>
  </si>
  <si>
    <t>LAVA AUTO Y ESTADERO GUACARI</t>
  </si>
  <si>
    <t xml:space="preserve">NIDIA CHICA RICARDO </t>
  </si>
  <si>
    <t>CALLE 12 #6-92</t>
  </si>
  <si>
    <t>BAR ESTADERO EL BOSQUESITO</t>
  </si>
  <si>
    <t>GRISELA DE VALLE  LABAREA VILLALOBO</t>
  </si>
  <si>
    <t>CR 12 #13A-80</t>
  </si>
  <si>
    <t>LICORERA EL BOOM</t>
  </si>
  <si>
    <t xml:space="preserve">JAIME RUIZ VILLALOBO </t>
  </si>
  <si>
    <t xml:space="preserve">PARQUE SANTODOMINGO </t>
  </si>
  <si>
    <t>BILLARES SAN PEDRO</t>
  </si>
  <si>
    <t>JULIO MANUEL TURIZO ROJA</t>
  </si>
  <si>
    <t>CALLE 12 #55-08</t>
  </si>
  <si>
    <t>BILLARES EL CACUCHO</t>
  </si>
  <si>
    <t>BIVIANA MARTINEZ</t>
  </si>
  <si>
    <t>CALLE 14A#47</t>
  </si>
  <si>
    <t>ESTADERO MACUMBA</t>
  </si>
  <si>
    <t>ROCIO DEL ROSARIO GONZALEZ</t>
  </si>
  <si>
    <t>CLL 12 CRA 14-30</t>
  </si>
  <si>
    <t xml:space="preserve">RESTAURANTE CLAUMAR </t>
  </si>
  <si>
    <t xml:space="preserve">CLAUDIA VILLADIEGO CARDOZO </t>
  </si>
  <si>
    <t>AVENIDA NUÑEZ CALLE 14</t>
  </si>
  <si>
    <t>JOSE JORGE RICARDO, FERNEL DE LA OSSA</t>
  </si>
  <si>
    <t>FRAN CAR COMIDAS RAPIDAS</t>
  </si>
  <si>
    <t>FRANCISCO CONSUEGRA</t>
  </si>
  <si>
    <t>CRA 14 # 8-17</t>
  </si>
  <si>
    <t>CARIBE COMIDAS RAPIDAS</t>
  </si>
  <si>
    <t>JAIME RAMON DE LA OSSA MONTIEL</t>
  </si>
  <si>
    <t>CR 13 11-38</t>
  </si>
  <si>
    <t>COMIDAS RAPIDAS EL PARQUE</t>
  </si>
  <si>
    <t>JOSE MANUEL MERCADO VAQUERO</t>
  </si>
  <si>
    <t>CR 13 CALLE 9-5 APTO 2</t>
  </si>
  <si>
    <t>RESTAURANTE MI PUEBLITO VIEJO #2</t>
  </si>
  <si>
    <t>ANGELICA MARIA JIMENEZ CUELLO</t>
  </si>
  <si>
    <t>64705714-1</t>
  </si>
  <si>
    <t>CALLE 14 # 10-45</t>
  </si>
  <si>
    <t>PRIMOR1982@HOTMAIL.COM</t>
  </si>
  <si>
    <t>JOSE JORGE RICARDO/FERNEL DE LA OSSA</t>
  </si>
  <si>
    <t>24/03/2021</t>
  </si>
  <si>
    <t>ASADOS VILLA CANDY</t>
  </si>
  <si>
    <t>OSCAR VERGARA</t>
  </si>
  <si>
    <t>CALLE 12  CR14-53</t>
  </si>
  <si>
    <t xml:space="preserve">RESTAURANTE LA COCHIS </t>
  </si>
  <si>
    <t>CALLE 12 CR 13-62</t>
  </si>
  <si>
    <t>DELICIAS DEL RANCHO</t>
  </si>
  <si>
    <t>ESNELIDA PEREIRA</t>
  </si>
  <si>
    <t>SALIDA A CAIMITO</t>
  </si>
  <si>
    <t xml:space="preserve">RESTAURANTE DONDE MARBELY </t>
  </si>
  <si>
    <t xml:space="preserve">PANADERIA RICURAS DE LA UNION </t>
  </si>
  <si>
    <t xml:space="preserve">JOSE MONTIEL ALGUMEDO </t>
  </si>
  <si>
    <t>CALLE 14-8B # 20</t>
  </si>
  <si>
    <t>26/05/2022</t>
  </si>
  <si>
    <t xml:space="preserve">RESTAURANTE TROPICAL </t>
  </si>
  <si>
    <t>ABEL MONTERROZA</t>
  </si>
  <si>
    <t xml:space="preserve">BARRIO SANTODOMINGO </t>
  </si>
  <si>
    <t xml:space="preserve">RESTAURANTE LA SUCREÑA </t>
  </si>
  <si>
    <t xml:space="preserve">ALICIA AGRESOR </t>
  </si>
  <si>
    <t>23/08/2022</t>
  </si>
  <si>
    <t xml:space="preserve">RESTAURANTE Y CAFETERIA CENTRAL </t>
  </si>
  <si>
    <t xml:space="preserve">MARI LUZ VEGA </t>
  </si>
  <si>
    <t xml:space="preserve">CAFETERIA JUANA CONSE </t>
  </si>
  <si>
    <t xml:space="preserve">PAOLA PATRICIA MARQUEZ </t>
  </si>
  <si>
    <t>CALLE 14 AVENIDA NUÑEZ</t>
  </si>
  <si>
    <t>QUE DELICIA</t>
  </si>
  <si>
    <t>TANIA JANETH</t>
  </si>
  <si>
    <t>SANTO DOMINGO</t>
  </si>
  <si>
    <t>EL BUEN SABOR</t>
  </si>
  <si>
    <t>ESMERIDA PEREIRA</t>
  </si>
  <si>
    <t>CALLE 12 #13A-52</t>
  </si>
  <si>
    <t>ASOCIACION DE CAMPESINO AFRODECENDIENTE DE LA MOJANA</t>
  </si>
  <si>
    <t xml:space="preserve">LOS ANGELITOS </t>
  </si>
  <si>
    <t>70400900525875-5</t>
  </si>
  <si>
    <t xml:space="preserve">MIGUEL JOSE PRASCO PAYARES </t>
  </si>
  <si>
    <t>CL 12 CR 13 - 451</t>
  </si>
  <si>
    <t xml:space="preserve">INSTITUCION EDUCATIVA PALMITAS SEDE LA ESPERANZA </t>
  </si>
  <si>
    <t>70400901820624-2</t>
  </si>
  <si>
    <t>INSTITUCION EDUCATIVA PALMITAS SEDE VILLA LIBIA</t>
  </si>
  <si>
    <t xml:space="preserve">INSTITUCION EDUCATIVA PAJARITO </t>
  </si>
  <si>
    <t>704009000075495-9</t>
  </si>
  <si>
    <t>9000075495-9</t>
  </si>
  <si>
    <t>PAJARITO</t>
  </si>
  <si>
    <t xml:space="preserve">CENTRO EDUCATIVO CAYO DELGADO SEDE SABANETA </t>
  </si>
  <si>
    <t xml:space="preserve">CORREGIMIENTO SABANETA </t>
  </si>
  <si>
    <t xml:space="preserve">CENTRO EDUCATIVO VILLA FATIMA SEDE EL PAISAJE </t>
  </si>
  <si>
    <t>70400900278259-9</t>
  </si>
  <si>
    <t xml:space="preserve">EL PAISAJE </t>
  </si>
  <si>
    <t xml:space="preserve">CENTRO EDUCATIVO CAYO DELGADO </t>
  </si>
  <si>
    <t xml:space="preserve">CORREGIMIENTO CAYO DELGADO </t>
  </si>
  <si>
    <t>MIS PERSONITAS</t>
  </si>
  <si>
    <t>TR 7 CR8 - 95</t>
  </si>
  <si>
    <t>MIS ANGELITOS</t>
  </si>
  <si>
    <t>CARRERA 8 - 10B -15</t>
  </si>
  <si>
    <t>MIS ESTRELLITAS</t>
  </si>
  <si>
    <t>CRA 2 CALL 1 - 130</t>
  </si>
  <si>
    <t xml:space="preserve">83.5% </t>
  </si>
  <si>
    <t>20/09/O2024</t>
  </si>
  <si>
    <t>CHIQUITIN</t>
  </si>
  <si>
    <t>CARRERA 6A 14C - 17</t>
  </si>
  <si>
    <t>NIÑO JESUS</t>
  </si>
  <si>
    <t>70400900525875-6</t>
  </si>
  <si>
    <t>900525875-6</t>
  </si>
  <si>
    <t>CALLE 13 B CRA 5 -47</t>
  </si>
  <si>
    <t>PINKYNHO1118@GMAIL.COM</t>
  </si>
  <si>
    <t>DULCE CORAZÓN</t>
  </si>
  <si>
    <t>CALLE 13 B # 8 -46</t>
  </si>
  <si>
    <t>SINDYOSORIO1984@GMAIL.COM</t>
  </si>
  <si>
    <t>5705/2025</t>
  </si>
  <si>
    <t>CALLE 7 14 A - 205</t>
  </si>
  <si>
    <t>04/0972024</t>
  </si>
  <si>
    <t>JARDIN DE LOS NIÑOS</t>
  </si>
  <si>
    <t>CRA 6 15- 39</t>
  </si>
  <si>
    <t xml:space="preserve">CARRERA 12 14 A - 13 </t>
  </si>
  <si>
    <t xml:space="preserve">MI DULCE HOGAR </t>
  </si>
  <si>
    <t xml:space="preserve">CALLE 14A 14 - 40 </t>
  </si>
  <si>
    <t>CARRERA 13 C 4- 258</t>
  </si>
  <si>
    <t>RESTAURANTE CENTRAL EL BONGO</t>
  </si>
  <si>
    <t xml:space="preserve">JOSE MANUEL SOLORZANO GAMBOA </t>
  </si>
  <si>
    <t>CARRERA 2 N°172 - 02</t>
  </si>
  <si>
    <t xml:space="preserve">URBANA </t>
  </si>
  <si>
    <t>JOSESOLORZANO@HOTMAIL.COM</t>
  </si>
  <si>
    <t>RESTAURANTE MI RANCHO</t>
  </si>
  <si>
    <t>GLADIS ACOSTA HURTADO</t>
  </si>
  <si>
    <t xml:space="preserve">CARRERA 5 CALLE 4A - 181 BIRMANIA </t>
  </si>
  <si>
    <t>GALDYSACOSTA1@GMAIL.COM</t>
  </si>
  <si>
    <t xml:space="preserve">CARLOS SERPA </t>
  </si>
  <si>
    <t>RESTAURANTE LA BOLITA DE ORO</t>
  </si>
  <si>
    <t xml:space="preserve">MARTHA PEREZ ALVAREZ </t>
  </si>
  <si>
    <t>CARRERA 5 CALLE 3A 24</t>
  </si>
  <si>
    <t>MARTHAPEREZALVAREZ35@GMAIL.COM</t>
  </si>
  <si>
    <t>JULIPAN LOS PALMITOS SAS</t>
  </si>
  <si>
    <t xml:space="preserve">JULIPAN REPOSTERIA Y PANADERIA </t>
  </si>
  <si>
    <t xml:space="preserve">JULIPAN LOS PALMITOS SAS </t>
  </si>
  <si>
    <t>CALLE 6 10 65</t>
  </si>
  <si>
    <t>CARLOSVELEZ600@GMAIL.COM</t>
  </si>
  <si>
    <t>65.5%</t>
  </si>
  <si>
    <t>ASADERO 24/7</t>
  </si>
  <si>
    <t xml:space="preserve">JOISE ALFREDO MENDOZA PEREZ </t>
  </si>
  <si>
    <t>CALLE 6 CARRERA 2 - 71</t>
  </si>
  <si>
    <t>JOSE-661@HOTMAIL.COM</t>
  </si>
  <si>
    <t xml:space="preserve">PANADERIA BERLY </t>
  </si>
  <si>
    <t>BERLIDA LUCIA TOVAR MONNTERROZA</t>
  </si>
  <si>
    <t>CARRERA 14 CALLE 8 -07</t>
  </si>
  <si>
    <t>BLTOVAR123@HOTMAIL.COM</t>
  </si>
  <si>
    <t>GASTRO BAR TURCO´S</t>
  </si>
  <si>
    <t xml:space="preserve">CLAUDIA BEATRIZ BUITRAGO GONZALEZ </t>
  </si>
  <si>
    <t>CARRERA 5 - 1 -4</t>
  </si>
  <si>
    <t>HVCARVAJAL1981@GMAIL.COM</t>
  </si>
  <si>
    <t xml:space="preserve">DONDE JOCHE COMIDAS RAPIDAS </t>
  </si>
  <si>
    <t>ADRIANA PATRICIA CARDENAS PEREZ</t>
  </si>
  <si>
    <t xml:space="preserve">CARRERA 4 CALLE 4A - 143 </t>
  </si>
  <si>
    <t>CARDENASADRIANA777@GMAIL.COM</t>
  </si>
  <si>
    <t xml:space="preserve">LA ESQUINITA CAFÉ BAR </t>
  </si>
  <si>
    <t xml:space="preserve">JULIA ANGELICA FARAK DIAZ </t>
  </si>
  <si>
    <t>CARRERA 12 N°7 - 106</t>
  </si>
  <si>
    <t>JULIAFARAK@HOTMAIL.COM</t>
  </si>
  <si>
    <t xml:space="preserve">PARMEZANA PIZZA </t>
  </si>
  <si>
    <t xml:space="preserve">FRANCISCO JAVIER DIAZ RAMIREZ </t>
  </si>
  <si>
    <t>CALLE 6 5 99</t>
  </si>
  <si>
    <t>ROLANDO25@OUTLOOK.COM</t>
  </si>
  <si>
    <t>LOS PALMITOS</t>
  </si>
  <si>
    <t>OP</t>
  </si>
  <si>
    <t xml:space="preserve">RAPIDITAS Y ASADOS LA PARADA </t>
  </si>
  <si>
    <t xml:space="preserve">YASILIS LUCIA FRANCO GARCIA </t>
  </si>
  <si>
    <t>CARRERA 5 CALLE 6 13</t>
  </si>
  <si>
    <t>YFRANCO23@HOTMAIL.COM</t>
  </si>
  <si>
    <t xml:space="preserve">ANTOJAOS BURGUER PARRILLA </t>
  </si>
  <si>
    <t xml:space="preserve">OSCAR DE JESUS OERES BARRIENTOS </t>
  </si>
  <si>
    <t xml:space="preserve">CALLE 9 7 8 </t>
  </si>
  <si>
    <t>OSCARPEBA310@HOTMAIL.COM</t>
  </si>
  <si>
    <t xml:space="preserve">LA BENDITA </t>
  </si>
  <si>
    <t>JOSE DAVID PERALTA MENDOZA</t>
  </si>
  <si>
    <t>CALLE 6 N° 13 38 APTO 1</t>
  </si>
  <si>
    <t>ARQUITECTOJOSEPERALTA@GMAIL.COM</t>
  </si>
  <si>
    <t>TASTY BURGUER</t>
  </si>
  <si>
    <t xml:space="preserve">YENI CECILIA HERNANDEZ DIAZ </t>
  </si>
  <si>
    <t xml:space="preserve">CALLE 7 N°7 43 </t>
  </si>
  <si>
    <t>YECEH19@HOTMAIL.COM</t>
  </si>
  <si>
    <t>INSTITUCION EDUCATIVA  CONCENTRACION DE DESARROLLO RURAL</t>
  </si>
  <si>
    <t>VEREDA CAÑAVERAL</t>
  </si>
  <si>
    <t>3103155698 - 3114489819</t>
  </si>
  <si>
    <t>INSTITUCION EDUCATIVA  TECNICO AGROPECUARIA EL PIÑAL - SEDE PRINCIPAL</t>
  </si>
  <si>
    <t>CARRETERA TRONCAL</t>
  </si>
  <si>
    <t xml:space="preserve">INSTITUCION EDUCATIVA MANUELA BELTRAN SEDE PRINCIPAL </t>
  </si>
  <si>
    <t xml:space="preserve">BARRIO CANDELARIA SABANAS DE BELTRAN </t>
  </si>
  <si>
    <t xml:space="preserve">INSTITUCION EDUCATIVA PALMAS DE VINO SEDE PRINCIPAL </t>
  </si>
  <si>
    <t xml:space="preserve">CORREGIMIENTO PLAMAS DE VINO </t>
  </si>
  <si>
    <t xml:space="preserve">INSTITUCION EDUCATIVA PALMAS DE VINO SEDE CHARCON </t>
  </si>
  <si>
    <t>INSTITUCION EDUCATIVA JESUS MARIA DE  PALMITO HATILLO SEDE PRINCIPAL</t>
  </si>
  <si>
    <t>CORREGIMIENTO JESUS MARIA DE PALMITO</t>
  </si>
  <si>
    <t>INSTITUCION EDUCATIVA JESUS MARIA DE PALMITO SEDE EL RECREO</t>
  </si>
  <si>
    <t>VEREDA HATILLO</t>
  </si>
  <si>
    <t>INSTITUCION EDUCATIVA JESUS MARIA DE PALMITO SEDE HATILLO</t>
  </si>
  <si>
    <t>VEREDA EL RECREO</t>
  </si>
  <si>
    <t xml:space="preserve">INSTITUCION EDUCATIVA JESUS MARIA DE PALMITO SEDE SAN JAIME </t>
  </si>
  <si>
    <t xml:space="preserve">VEREDA SAN JAIME </t>
  </si>
  <si>
    <t xml:space="preserve">INSTITUCION EDUCATIVA  LOS PALMITOS SEDE EL COLEY </t>
  </si>
  <si>
    <t xml:space="preserve">CORREGIMIENTO EL COLEY </t>
  </si>
  <si>
    <t xml:space="preserve">ASOCIACION DE PADRES DE FAMILIA HOGARES DE BIENESTAR CORREGIMIENTO PALMAS DE VINO </t>
  </si>
  <si>
    <t>ESTRELLITA</t>
  </si>
  <si>
    <t>YIBERLY LUZ SANTOS PEREZ</t>
  </si>
  <si>
    <t>KR2 CL 6 30  BARRIO IBAGUE</t>
  </si>
  <si>
    <t>ASOPALMAVINO@GMAIL.COM</t>
  </si>
  <si>
    <t>DIVINO NIÑO</t>
  </si>
  <si>
    <t>KR 12  10 A 60 BARRIO SAN FELIPE</t>
  </si>
  <si>
    <t>DIVINO NIÑO 2</t>
  </si>
  <si>
    <t>KR 7  9  41 BARRIO LAS FLORES</t>
  </si>
  <si>
    <t>CARITA DE ANGEL</t>
  </si>
  <si>
    <t>KR 12 B 10 A 60  BARRIO 7 DE ABRIL</t>
  </si>
  <si>
    <t>MI MUNDO MAGICO</t>
  </si>
  <si>
    <t>CL 5  14 14 BARRIO PLAZA DE LA CRUZ</t>
  </si>
  <si>
    <t>KR 10  07 138 BARRIO PUERTO UVITO</t>
  </si>
  <si>
    <t>GOTITAS DE AMOR</t>
  </si>
  <si>
    <t>VEREDA EL TRIUNFO</t>
  </si>
  <si>
    <t>KR 7CL 7    5 BARRIO SAN NICOLAS</t>
  </si>
  <si>
    <t>BRISA DEL CAMPO</t>
  </si>
  <si>
    <t>CL 8 KR 14  105 BARRIO EL PROGRESO</t>
  </si>
  <si>
    <t>EL CARIÑOSO</t>
  </si>
  <si>
    <t>PERSONITA</t>
  </si>
  <si>
    <t>KR 11 2 145 BARRIO EL JARDIN</t>
  </si>
  <si>
    <t>SUEÑOS INFANTILES</t>
  </si>
  <si>
    <t>CALLE 4   4 126 CORREGIMIENTO EL PIÑAL</t>
  </si>
  <si>
    <t>EL PINITO</t>
  </si>
  <si>
    <t>CALLE PRINCIPAL VEREDA CHARCON</t>
  </si>
  <si>
    <t>POR LA CARRETERA VEREDA EL RECREO   A</t>
  </si>
  <si>
    <t>EL SENSIBLE</t>
  </si>
  <si>
    <t>POR LA CARRETERA VERDA EL RECREO   B</t>
  </si>
  <si>
    <t>DULCES SUEÑOS</t>
  </si>
  <si>
    <t>VEREDA CAÑITO CL 1 KR 20 54</t>
  </si>
  <si>
    <t>CALLE PRINCIPAL VEREDA CHARCON B</t>
  </si>
  <si>
    <t>LOS PITUFOS</t>
  </si>
  <si>
    <t>CALLE PRINCIPAL VEREDA EL TAMARINDO</t>
  </si>
  <si>
    <t>MI PEQUEÑO NIÑO</t>
  </si>
  <si>
    <t>CALLE PRINCIPAL PALMAS DE VINO</t>
  </si>
  <si>
    <t>LA MANO DE DIOS</t>
  </si>
  <si>
    <t>CALLE PRINCIPAL VEREDA PALMITO A</t>
  </si>
  <si>
    <t>CALLE PRINCIPAL VEREDA EL DELIRIO</t>
  </si>
  <si>
    <t>CALLE PRINCIPAL VEREDA SAN JAIME</t>
  </si>
  <si>
    <t>NUESTRA SEÑORA DE LA CANDELARIA</t>
  </si>
  <si>
    <t>SABANAS DE BELTRAN CALLE PRINCIPAL</t>
  </si>
  <si>
    <t>MI CASITA ENCANTADA</t>
  </si>
  <si>
    <t>SABANAS DE BELTRAN CR 4 CL 1    25</t>
  </si>
  <si>
    <t>LOS ANGELITOS</t>
  </si>
  <si>
    <t>CALLE PRINCIPAL VARIANTE SABANAS DE BELTRAN</t>
  </si>
  <si>
    <t>TRAVESURAS</t>
  </si>
  <si>
    <t>CRA 13    5-11 PLAZA DE LA CRUZ</t>
  </si>
  <si>
    <t>CARLOS SERPA</t>
  </si>
  <si>
    <t>MI CHIQUITIN</t>
  </si>
  <si>
    <t>KR 14   14   85 BARRIO CHINGALE</t>
  </si>
  <si>
    <t>LOS OSITOS</t>
  </si>
  <si>
    <t>KR 15 Nº  8 46 BARRIO  EL PROGRESO</t>
  </si>
  <si>
    <t>PEQUEÑIN</t>
  </si>
  <si>
    <t>CALLE  4   2   46 CORREGIMIENTO  EL PIÑAL</t>
  </si>
  <si>
    <t>RAYITOS DE LUZ</t>
  </si>
  <si>
    <t>CL 6 # 6  74  LAS LOMAS</t>
  </si>
  <si>
    <t>DULCE HOGAR</t>
  </si>
  <si>
    <t>KR 13  # 6  73 BARRIO IBAGUE</t>
  </si>
  <si>
    <t>PATACITOS ALEGRES</t>
  </si>
  <si>
    <t xml:space="preserve">KR  5  # 13  60 BARRIO PLAZA DE LA CRUZ </t>
  </si>
  <si>
    <t>URNABO</t>
  </si>
  <si>
    <t>MIS PRIMEROS PASOS</t>
  </si>
  <si>
    <t>KR 16 CL 8  41  BARRIO EL PROGRESO</t>
  </si>
  <si>
    <t>SUEÑO DE ANGELES</t>
  </si>
  <si>
    <t>KR 12  DG 14  105 BARRIO SAN FELIPE</t>
  </si>
  <si>
    <t>MI PRIMERA SONRISA</t>
  </si>
  <si>
    <t>CALLE 7  782  11 BARRIO LAS LOMAS</t>
  </si>
  <si>
    <t xml:space="preserve">FUNDACIÓN ALTO DEL ROSARIO </t>
  </si>
  <si>
    <t>CLL 2A KR 3- 44 El Coley  (FRENTE LA CANCHA)</t>
  </si>
  <si>
    <t>FUNDADER.SINCELEJO@GMAIL.COM</t>
  </si>
  <si>
    <t>LOS OLIVOS</t>
  </si>
  <si>
    <t>EL COLEY</t>
  </si>
  <si>
    <t>LOS REYESITOS</t>
  </si>
  <si>
    <t>CLL 2a krr 1/11 palmito</t>
  </si>
  <si>
    <t>PERLAS DEL REY</t>
  </si>
  <si>
    <t>El Coley los palmitos</t>
  </si>
  <si>
    <t>Cll4#5-39 el jardín</t>
  </si>
  <si>
    <t>SEMILLA DE PAZ</t>
  </si>
  <si>
    <t>Kra 12 #4-48, barrio el jardín .Bajando la institución educativa Los Palmitos</t>
  </si>
  <si>
    <t>vereda el reparo troncal de occidente en la virgencita</t>
  </si>
  <si>
    <t>MIS PEQUEÑOS PITUFOS</t>
  </si>
  <si>
    <t>Corregiento naranjal ( VIA AL CAMPO)</t>
  </si>
  <si>
    <t>MUNDO INFANTIL</t>
  </si>
  <si>
    <t>VEREDA NARANJAL</t>
  </si>
  <si>
    <t>CL  12_ 154  bajando la iglesia y el cementerio  a unos 300 metros de allí</t>
  </si>
  <si>
    <t>VILLA MONICA</t>
  </si>
  <si>
    <t>CALLE PRINCIPAL VEREDA PUERTO ASIS</t>
  </si>
  <si>
    <t>311 4140761</t>
  </si>
  <si>
    <t>El piñal carretera troncal bajando el cementerio</t>
  </si>
  <si>
    <t>301102 8279</t>
  </si>
  <si>
    <t>MUNDO MAGICO</t>
  </si>
  <si>
    <t>Vereda la Unión  calle principal</t>
  </si>
  <si>
    <t>vereda él laurel más a delante del colegio</t>
  </si>
  <si>
    <t>SEMILLAS DE AMOR</t>
  </si>
  <si>
    <t>cr 11 calle 10-110 barrio puerto uvito los palmitos.</t>
  </si>
  <si>
    <t>WHINNY PHOO</t>
  </si>
  <si>
    <t>Kra 11 # 8-126 barrio puerto uvito Frente del parquesito</t>
  </si>
  <si>
    <t>3107380006- 3024114969</t>
  </si>
  <si>
    <t>BRISAS DEL CAMPO 2</t>
  </si>
  <si>
    <t>cr14 B Nª 12 A -12 barrio 11 de noviembre frente la cancha sintetica</t>
  </si>
  <si>
    <t>63.5%</t>
  </si>
  <si>
    <t>NUEVO MODELO</t>
  </si>
  <si>
    <t>vereda el bajo de la alegria m c estela mercado  punto  el colegio  de  la vereda</t>
  </si>
  <si>
    <t>NUEVO HORIZONTE</t>
  </si>
  <si>
    <t>Vereda el bajo de la alegria m c estela mercado  punto  el colegio  de  la vereda</t>
  </si>
  <si>
    <t>carretera troncal frente al aji picante</t>
  </si>
  <si>
    <t>302 2529237</t>
  </si>
  <si>
    <t>MI PEQUEÑA ILUSION</t>
  </si>
  <si>
    <t>Calle 4 # 10- 28 barrio Abajo, después del último resaltó hacia ovejas.</t>
  </si>
  <si>
    <t>CARITAS FELICES</t>
  </si>
  <si>
    <t>Cl 58_ 268 barrio villa Berena subiendo la institución educativa técnico agropecuaria el piñal</t>
  </si>
  <si>
    <t>MI NUEVO AMANECER</t>
  </si>
  <si>
    <t xml:space="preserve">Al lado de la tienda Camilo y Mariana carretera troncal por el primer resaltó </t>
  </si>
  <si>
    <t>CARITAS FELISES</t>
  </si>
  <si>
    <t>el piñal CL.4_A,_ 10_18entrada antes del 4 resalto</t>
  </si>
  <si>
    <t>Direc calle 10 # 8- 15 Barrio puerto Uvito</t>
  </si>
  <si>
    <t>302 2512497</t>
  </si>
  <si>
    <t>DULCEN HOGAR</t>
  </si>
  <si>
    <t>CL 10 Cr 8- 26 Barrio/ puerto uvito</t>
  </si>
  <si>
    <t>304 3541367</t>
  </si>
  <si>
    <t>MI JARDINCITO</t>
  </si>
  <si>
    <t>Barrio Chingale. Primera cuadra a la izquierda despues de pasar el punte. Frente a una venta de agroinsumos pintada de amarillo.</t>
  </si>
  <si>
    <t>321 8247187</t>
  </si>
  <si>
    <t>MIS PRIMERAS SONRISAS</t>
  </si>
  <si>
    <t xml:space="preserve">cr 9- 7 B 126  BARRIO SAN NICOLAS </t>
  </si>
  <si>
    <t>301 5401448</t>
  </si>
  <si>
    <t>SONRISITA</t>
  </si>
  <si>
    <t>Cr 15 14- 49 barrio : chingale</t>
  </si>
  <si>
    <t>320 7231156</t>
  </si>
  <si>
    <t>MI PRIMER REFLEJITO</t>
  </si>
  <si>
    <t>calle 5-14-105 bajando el colegio santa de lima calle del estadio de futbol</t>
  </si>
  <si>
    <t>MIS CHIQUITINES</t>
  </si>
  <si>
    <t>palmas de vino  calle principal al lado de la iglesia</t>
  </si>
  <si>
    <t>312 2744189</t>
  </si>
  <si>
    <t>LUZ DE AMOR</t>
  </si>
  <si>
    <t>Cl 4 #5-120.Barrio El Jardín</t>
  </si>
  <si>
    <t>311 4024268</t>
  </si>
  <si>
    <t>GOTICA DE AMOR</t>
  </si>
  <si>
    <t>sábanas de Beltrán calle principal  al lado de salón comunal</t>
  </si>
  <si>
    <t>311 4291444</t>
  </si>
  <si>
    <t>MIS CARICIAS</t>
  </si>
  <si>
    <t>Punto de entrega colegio el Laurel</t>
  </si>
  <si>
    <t>311 6827926</t>
  </si>
  <si>
    <t>FUNDACARIBE</t>
  </si>
  <si>
    <t>CENTRO DE VIDA CAFARNAUM</t>
  </si>
  <si>
    <t>GIOVANNY CARBONELL</t>
  </si>
  <si>
    <t>CORREGIMIENTO SABANAS DE BELTRAN</t>
  </si>
  <si>
    <t>FUNDACION TEJIENDO DESARROLLO FUNTED</t>
  </si>
  <si>
    <t xml:space="preserve">CENTRO DE VIDA EDAD DE ORO </t>
  </si>
  <si>
    <t xml:space="preserve">CARRERA 11 # 2 - 48 BARRIO JARDIN </t>
  </si>
  <si>
    <t>FUNTEDLOSPALMITOS2023@GMAIL.COM</t>
  </si>
  <si>
    <t xml:space="preserve">CINDY HERNANDEZ </t>
  </si>
  <si>
    <t>CDI LOS ANGELITOS SEDE SABANAS DE PEDRO</t>
  </si>
  <si>
    <t xml:space="preserve">INSTITUCION EDUCATIVA SANTA ROSA DE LIMA </t>
  </si>
  <si>
    <t xml:space="preserve">COMEDOR INSTITUCION EDUCATIVA SANTA ROSA DE LIMA </t>
  </si>
  <si>
    <t>CARRERA 13 CALLE 4 - 100</t>
  </si>
  <si>
    <t xml:space="preserve">INSTITUCION EDUCATIVA LOS PALMITOS SEDE PRINCIPAL </t>
  </si>
  <si>
    <t xml:space="preserve">COMEDOR INSTITUCION EDUCATIVA LOS PALMITOS SEDE PRINCIPAL </t>
  </si>
  <si>
    <t xml:space="preserve">CARRERA 13 CALLE 25 A - 28 </t>
  </si>
  <si>
    <t>ASOCIACION DE PADRES DE FAMILIA DE LOS HOGARES DE BIENESTAR DE LA VEREDA PALMAS DE VINO</t>
  </si>
  <si>
    <t>CDI LOS ANGELITOS - SEDE PRINCIPAL</t>
  </si>
  <si>
    <t>CR 12 CL 6 -68</t>
  </si>
  <si>
    <t>CARLOS ACOSTA /ADRIAN MORALES</t>
  </si>
  <si>
    <t xml:space="preserve">BRISAS DEL MAR </t>
  </si>
  <si>
    <t>CARLOS ACOSTA /CARLOS SERPA</t>
  </si>
  <si>
    <t xml:space="preserve">SAN ANTONIO DE PALMITO </t>
  </si>
  <si>
    <t xml:space="preserve">ASOCIACION DE CABILDO INDIGENA ZENU DE PALMITO SUCRE </t>
  </si>
  <si>
    <t xml:space="preserve">HOGAR COMUNITARIO HOGAR Y PAZ </t>
  </si>
  <si>
    <t xml:space="preserve">UBADEL PEREZ RODRIGUEZ </t>
  </si>
  <si>
    <t>901667627-9</t>
  </si>
  <si>
    <t xml:space="preserve">ALGODONCILLO </t>
  </si>
  <si>
    <t>ACZEPALPINCHORROY@GMAIL.COM</t>
  </si>
  <si>
    <t>28/04/2025</t>
  </si>
  <si>
    <t>SALIM PEREZ</t>
  </si>
  <si>
    <t>HOGAR COMUNITARIO EL PIOLIN</t>
  </si>
  <si>
    <t>28/05/2025</t>
  </si>
  <si>
    <t>INSTITUCION EDUCATIVA INDIGENA EL MARTILLO</t>
  </si>
  <si>
    <t xml:space="preserve">ADEL MARQUEZ FLOREZ </t>
  </si>
  <si>
    <t>901926953-7</t>
  </si>
  <si>
    <t>UNIONTEMPORALINDIGEMAPANZENU@GMAIL.COM</t>
  </si>
  <si>
    <t>15/05/2025</t>
  </si>
  <si>
    <t>INSTITUCION EDUCATIVA INDIGENA GUAMI</t>
  </si>
  <si>
    <t>GUAMI</t>
  </si>
  <si>
    <t xml:space="preserve">INSTITUCION EDUCATIVA INDIGENA PUEBLECITO </t>
  </si>
  <si>
    <t>PUEBLECITO</t>
  </si>
  <si>
    <t>14/05/2025</t>
  </si>
  <si>
    <t>CENTRO EDUCATIVO INDIGENA ALGODONCILLO</t>
  </si>
  <si>
    <t>ALGODONCILLO</t>
  </si>
  <si>
    <t xml:space="preserve">CONFITERIA LA CENTRAL </t>
  </si>
  <si>
    <t xml:space="preserve">DELVIS ROSA ESCOBAR </t>
  </si>
  <si>
    <t>CARRERA 11 CALLE 7 - 11 CALLE REAL</t>
  </si>
  <si>
    <t>OSDAPECA941@GMAIL.COM</t>
  </si>
  <si>
    <t xml:space="preserve">RUBEN DARIO MARULANDA </t>
  </si>
  <si>
    <t>CALLE 6 #6 - 98</t>
  </si>
  <si>
    <t>RDMARU70@GMAIL.COM</t>
  </si>
  <si>
    <t>LUIS FERNANDO PEREZ GOMEZ</t>
  </si>
  <si>
    <t>CALLE 5 #10 - 8</t>
  </si>
  <si>
    <t>OSCARDECAPE@HOTMAIL.COM</t>
  </si>
  <si>
    <t xml:space="preserve">TIENDA LA GLORIA DE DIOS </t>
  </si>
  <si>
    <t>ANDRE ESTEBAN SANCHEZ</t>
  </si>
  <si>
    <t>CARRERA 5 CALLE 4 12</t>
  </si>
  <si>
    <t>DEPOSITOLOSPALMITOSD-S@HOTMAIL.COM</t>
  </si>
  <si>
    <t xml:space="preserve">TIENDA DONDE ICHA </t>
  </si>
  <si>
    <t>MARITZA ISABEL FIOCO SANTOS</t>
  </si>
  <si>
    <t>CARRERA 10 #8 -35</t>
  </si>
  <si>
    <t>MERCADOELIANA2481@GMAIL.COM</t>
  </si>
  <si>
    <t xml:space="preserve">TIENDA LOS ALURELES </t>
  </si>
  <si>
    <t>CALLE 8 #15 -11</t>
  </si>
  <si>
    <t>EDGARMS1612@GMAIL.COM</t>
  </si>
  <si>
    <t xml:space="preserve">GRANERO ABRAHAN </t>
  </si>
  <si>
    <t>EVERALDO GOMEZ PEREZ</t>
  </si>
  <si>
    <t xml:space="preserve">CARRERA 2 #3 4 EL COLEY </t>
  </si>
  <si>
    <t>GRANERO.H.ABRAHAM@GMAIL.COM</t>
  </si>
  <si>
    <t>TIENDA DIVINO ROSTRO</t>
  </si>
  <si>
    <t>CARRERA 11 N°3A 12</t>
  </si>
  <si>
    <t>ALEJANDROTAMARA@GMAIL.COM</t>
  </si>
  <si>
    <t>TIENDA LA CLAVE DE ORO</t>
  </si>
  <si>
    <t xml:space="preserve">EDILBERTO GOMEZ ALVAREZ </t>
  </si>
  <si>
    <t xml:space="preserve">CARRETA 14 N°8 - 128 </t>
  </si>
  <si>
    <t>EDILME98@HOTMAIL.COM</t>
  </si>
  <si>
    <t>26/05/2023</t>
  </si>
  <si>
    <t xml:space="preserve">GRANERO EL MERCADO DE LOS PLAMITOS </t>
  </si>
  <si>
    <t xml:space="preserve">ISACC ALBERTO PEREZ GOMEZ </t>
  </si>
  <si>
    <t>18777592-9</t>
  </si>
  <si>
    <t>CARRERA 11 CALLE 5 -10</t>
  </si>
  <si>
    <t>ISAACPEGO08@GMAIL.COM</t>
  </si>
  <si>
    <t xml:space="preserve">GRANERO SAN FELIPE </t>
  </si>
  <si>
    <t>CAMILO PEREZ ALVAREZ</t>
  </si>
  <si>
    <t>CALLE 12 CARRERA 11B - 4</t>
  </si>
  <si>
    <t>CPEREZALVAREZ2850@GMAIL.COM</t>
  </si>
  <si>
    <t>70.75%</t>
  </si>
  <si>
    <t>CALLE 5 - 8 -08</t>
  </si>
  <si>
    <t>SANCHEZFLOREZCARLOSA@GMAIL.COM</t>
  </si>
  <si>
    <t>SUPERMERCADOS FRAGO</t>
  </si>
  <si>
    <t>FRANCISCO GOMEZ DIAZ</t>
  </si>
  <si>
    <t>CARRERA 11 N°6 - 39</t>
  </si>
  <si>
    <t>FRAGODI20975@GMAIL.COM</t>
  </si>
  <si>
    <t>TIENDA 4 ESQUINAS</t>
  </si>
  <si>
    <t>KENNY MEDINA FRANCO</t>
  </si>
  <si>
    <t>CARRERA 14 CALLE 11 - 22</t>
  </si>
  <si>
    <t>KENNYMEDINAFRANCO@GMAIL.COM</t>
  </si>
  <si>
    <t xml:space="preserve">TIENDA LA PARADA </t>
  </si>
  <si>
    <t xml:space="preserve">YAQUELIN TOVAR </t>
  </si>
  <si>
    <t xml:space="preserve">CALLE 6 - 5 - 5 </t>
  </si>
  <si>
    <t xml:space="preserve">DEPOSITO LOS PALMITOS DS </t>
  </si>
  <si>
    <t xml:space="preserve">DIANA SALAZAR DUQUE </t>
  </si>
  <si>
    <t xml:space="preserve">CALLE 5 5 15 </t>
  </si>
  <si>
    <t xml:space="preserve">LA BENDICION DS </t>
  </si>
  <si>
    <t>ANA MERCEDES DIAS MARTINEZ</t>
  </si>
  <si>
    <t>CARRERA 10 CALLE 6 -3</t>
  </si>
  <si>
    <t>MARIA CAMILA BANDA TRESPALACIOS</t>
  </si>
  <si>
    <t>CR 11 CL 5A -65 LC 1</t>
  </si>
  <si>
    <t>GRANEROELGRANODEORO19@GMAIL.COM</t>
  </si>
  <si>
    <t>27.25%</t>
  </si>
  <si>
    <t>DESFAVORABLE</t>
  </si>
  <si>
    <t>CLAUSURA TEMPORAL TOTAL DEL ESTABLECIMIENTO Y DECOMISO DE PRODUCTOS</t>
  </si>
  <si>
    <t xml:space="preserve">LA CANASTA DEL AHORRO AUTOSERVICIO </t>
  </si>
  <si>
    <t>CARRERA 10 CALLE 5A - 2B</t>
  </si>
  <si>
    <t xml:space="preserve">KIOSKO EL PUNTO CLAVE </t>
  </si>
  <si>
    <t>TRANSVERSAL 14 DIAGONAL 146-10B</t>
  </si>
  <si>
    <t>ANTONIOPEREZTAMARA@GMAIL.COM</t>
  </si>
  <si>
    <t xml:space="preserve">KIOSKO CHINGALÉ </t>
  </si>
  <si>
    <t xml:space="preserve">CALLE 5 TRANSVERSAL 14 </t>
  </si>
  <si>
    <t>JULIO21-1981@HOTMAIL.COM</t>
  </si>
  <si>
    <t>ESTADERO Y MINITEJO EL MANANTIAL LOS PALMITOS</t>
  </si>
  <si>
    <t xml:space="preserve">CARRERA 5 CALLE 6 - 128 </t>
  </si>
  <si>
    <t>SUAREZISM01@GMAIL.COM</t>
  </si>
  <si>
    <t>DISTRIBUIDORA LA LIBERTAD RQ</t>
  </si>
  <si>
    <t>CARRERA 11 N° 5A 6</t>
  </si>
  <si>
    <t>QUIROZMENDIVIL@GMAIL.COM</t>
  </si>
  <si>
    <t xml:space="preserve">EL KIOSKO DE LA REINA </t>
  </si>
  <si>
    <t>ALFONSO JOSE SARMIENTO</t>
  </si>
  <si>
    <t xml:space="preserve">CARRERA 5 N° 1 - 5 </t>
  </si>
  <si>
    <t>ALFONSOSARMIENTO@HOTMAIL.COM</t>
  </si>
  <si>
    <t>ESTADERO EL MEJOR PUNTO</t>
  </si>
  <si>
    <t>LEONEL DE JESUS MONTERROZA</t>
  </si>
  <si>
    <t>TRANSVERSAL 14 CALLE 17 -45</t>
  </si>
  <si>
    <t>LEONELMONTERROZAPOLO@GMAIL.COM</t>
  </si>
  <si>
    <t>CHIQUITO MALO</t>
  </si>
  <si>
    <t>CARREA 12 CALLE 7 -20</t>
  </si>
  <si>
    <t>CHIQUITO.MALO21@GMAIL.COM</t>
  </si>
  <si>
    <t>MAJAGUAL</t>
  </si>
  <si>
    <t>RESTAURANTE HERMANAS CASTRO</t>
  </si>
  <si>
    <t xml:space="preserve">INGRIS CASTRO PINILLOS </t>
  </si>
  <si>
    <t>CALLE 5 23-24</t>
  </si>
  <si>
    <t>MANUEL DIAZ ARCE</t>
  </si>
  <si>
    <t>RESTAURANTE LA GRAN PARADA</t>
  </si>
  <si>
    <t>DONDE GLADIS RESTAURANTE</t>
  </si>
  <si>
    <t xml:space="preserve"> GLADIS CARRASCAL </t>
  </si>
  <si>
    <t>VEREDA LA LADESA</t>
  </si>
  <si>
    <t xml:space="preserve">GLADISCARRASCAL28@GMAIL.COM </t>
  </si>
  <si>
    <t>RESTAURANTE COCO MONO</t>
  </si>
  <si>
    <t>KATERIN ROMERO</t>
  </si>
  <si>
    <t>VIA GUARANDA</t>
  </si>
  <si>
    <t xml:space="preserve">RESTAURANTE LA BENDICION DE DIOS </t>
  </si>
  <si>
    <t xml:space="preserve">DIANA ISABEL FERREIRA ARRIETA </t>
  </si>
  <si>
    <t>LLANERA HOUSE</t>
  </si>
  <si>
    <t>LUIS ROSADO BUENO</t>
  </si>
  <si>
    <t xml:space="preserve">RESTAURANTE EL SAZON DE YAJA </t>
  </si>
  <si>
    <t xml:space="preserve">YAJAIRA VARGAS BUELVAS </t>
  </si>
  <si>
    <t>LUZ DARY ARANGO</t>
  </si>
  <si>
    <t xml:space="preserve"> CALLE 5 23A-108</t>
  </si>
  <si>
    <t xml:space="preserve">RESTAURANTE DONDE TINA </t>
  </si>
  <si>
    <t>TIRSO NEL COLEY OROZCO</t>
  </si>
  <si>
    <t>CR 19 2A-39</t>
  </si>
  <si>
    <t>17/07/2021</t>
  </si>
  <si>
    <t>RESTAURANTE BORCELLE</t>
  </si>
  <si>
    <t>ERIC QUEVEDO CERPA</t>
  </si>
  <si>
    <t>CALLE LAS DAMAS</t>
  </si>
  <si>
    <t xml:space="preserve">ASADERO DONDE EL CAPO </t>
  </si>
  <si>
    <t xml:space="preserve">JAIDER ANTONIO NIETO NAVARRO </t>
  </si>
  <si>
    <t>CALLE 5 # 14-15</t>
  </si>
  <si>
    <t xml:space="preserve">RESTAURANTE EL SABOR COSTEÑO </t>
  </si>
  <si>
    <t xml:space="preserve">YASMIRA RODRIGUEZ AVILA </t>
  </si>
  <si>
    <t>CALLE 6 # 14-45</t>
  </si>
  <si>
    <t xml:space="preserve">PANADERIA LA ESPIGA </t>
  </si>
  <si>
    <t>PANADERIA MARANATHA</t>
  </si>
  <si>
    <t>PANADERIA EXQUISIPAN #2</t>
  </si>
  <si>
    <t>ALEXANDERBALMACEDO@GMAIL.COM</t>
  </si>
  <si>
    <t>LUZ ESTELA RODELO</t>
  </si>
  <si>
    <t xml:space="preserve">PANADERIA EXQUISIPAN </t>
  </si>
  <si>
    <t>BARRIO CENTRO</t>
  </si>
  <si>
    <t xml:space="preserve">PANADERIA Y REPOSTERIA LAS DELICIAS </t>
  </si>
  <si>
    <t>YALIMIS PEÑA RODELO</t>
  </si>
  <si>
    <t>CR 18 2-34</t>
  </si>
  <si>
    <t>JUGOS MARY LOS HACE</t>
  </si>
  <si>
    <t>MARICELA RODELO</t>
  </si>
  <si>
    <t>KIOSKO #1 PARQUE CENTRO</t>
  </si>
  <si>
    <t>JUGOS GINA</t>
  </si>
  <si>
    <t xml:space="preserve">YANISIS PEREZ </t>
  </si>
  <si>
    <t>KIOSKO #2 PARQUE CENTRO</t>
  </si>
  <si>
    <t>GASTROBAR MAURO</t>
  </si>
  <si>
    <t>MARIALEONIDAS PALENCIA VIDES</t>
  </si>
  <si>
    <t>CALLE 5 13 69</t>
  </si>
  <si>
    <t>PALENCIAMARIA370@GMAIL.COM</t>
  </si>
  <si>
    <t xml:space="preserve">CENTRO DE VIDA SEMBRADOR DE VIDA </t>
  </si>
  <si>
    <t>CL 7 12F</t>
  </si>
  <si>
    <t>ASOCIACIO DE PADRES DE FAMILIA DE LOS HCB LAS DAMAS Y GUAYABALITO</t>
  </si>
  <si>
    <t xml:space="preserve">HOGAR DE BIENESTAR LOS LIBERTADORES </t>
  </si>
  <si>
    <t>JESUS ALBERTO HERRERA</t>
  </si>
  <si>
    <t xml:space="preserve"> HOGAR DE BIENESTAR DIVINO NIÑO</t>
  </si>
  <si>
    <t>CORREGIMIENTO DE PIZA</t>
  </si>
  <si>
    <t>ASODAMASYGUAYABALITO@GMAIL.COM</t>
  </si>
  <si>
    <t xml:space="preserve">HOGAR DE BIENESTAR EL JARDIN </t>
  </si>
  <si>
    <t>CORREGIMIENTO EL PALOMAR</t>
  </si>
  <si>
    <t>HOGAR DE BIENESTAR LOS PAJARITOS</t>
  </si>
  <si>
    <t>HOGAR DE BIENESTAR PETER PAN</t>
  </si>
  <si>
    <t>CORREGIMIENTO DE SANTANDER</t>
  </si>
  <si>
    <t>HOGAR DE BIENESTAR LA PANTERA ROSA</t>
  </si>
  <si>
    <t>CORREGIMIENTO DE PUEBLO NUEVO</t>
  </si>
  <si>
    <t>ASOCIACION DE PADRES DE FAMILIA MIRAFLORES PUERTO DAJER</t>
  </si>
  <si>
    <t>JOSE GABRIEL RODELO CASTAÑEDA</t>
  </si>
  <si>
    <t>VEREDA EL PALOMAR</t>
  </si>
  <si>
    <t>YORVIS RAFAEL ESPITIA</t>
  </si>
  <si>
    <t>800249845-8</t>
  </si>
  <si>
    <t>VEREDA IRACAL</t>
  </si>
  <si>
    <t>YANERISOLIVARES@HOTMAIL.COM</t>
  </si>
  <si>
    <t xml:space="preserve">VEREDA SITIO NUEVO </t>
  </si>
  <si>
    <t>GRAMALOTICO</t>
  </si>
  <si>
    <t xml:space="preserve">HOGAR LOS NIÑOS CANTARINES </t>
  </si>
  <si>
    <t>VEREDA VENTANILLA</t>
  </si>
  <si>
    <t>INSTITUCION EDUCATIVA  LAS PALMITAS SEDE EL POZON</t>
  </si>
  <si>
    <t>VEREDA EL POZON</t>
  </si>
  <si>
    <t>INSTITUCION EDUCATIVA PALMARITO SEDE PRINCIPAL</t>
  </si>
  <si>
    <t>JOSE SANTANA</t>
  </si>
  <si>
    <t>9018220624-2</t>
  </si>
  <si>
    <t>CORREGIMIENTO EL PALMERITO</t>
  </si>
  <si>
    <t>INSTITUCION EDUCATIVA  LAS PALMITAS SEDE CANTARRANA</t>
  </si>
  <si>
    <t>VEREDA CANTARRANA</t>
  </si>
  <si>
    <t>INSTITUCION EDUCATIVA  DE PIZA SEDE SAN JUAN BAUTISTA PRINCIPAL</t>
  </si>
  <si>
    <t>INSTITUCION EDUCATIVA TECNICO AGROPECUARIA TOMALA SEDE PRINCIPAL</t>
  </si>
  <si>
    <t>INSTITUCION EDUCATIVA TECNICO AGROPECUARIA TOMALA SEDE SANTA TERESA</t>
  </si>
  <si>
    <t>INSTITUCION EDUCATIVA TECNICO AGROPECUARIA TOMALA SEDE  TOMALA ABAJO</t>
  </si>
  <si>
    <t>INSTITUCION EDUCATIVA  EL PALOMAR SEDE PRINCIPAL</t>
  </si>
  <si>
    <t>CENTRO EDUCATIVO EL PORVENIR NO TE PASES SEDE PRINCIPAL</t>
  </si>
  <si>
    <t>VEREDA NO TE PASES</t>
  </si>
  <si>
    <t>SOLICTUD OFICIAL</t>
  </si>
  <si>
    <t>CENTRO EDUCATIVO SITIO NUEVO SEDE PRINCIPAL</t>
  </si>
  <si>
    <t>INSTITUCION EDUCATIVA MIRAFLORES SEDE SANTA RITA</t>
  </si>
  <si>
    <t>CORREGIENTO MIRAFLORES</t>
  </si>
  <si>
    <t>INSTTUCION EDUCATIVA MIRAFLORES SEDE PRINCIPAL</t>
  </si>
  <si>
    <t>INSTITUCION EDUCATIVA  SANTANDER SEDE PRINCIPAL</t>
  </si>
  <si>
    <t>CORREGIMIENTO SANTANDER</t>
  </si>
  <si>
    <t>CENTRO EDUCATIVO EDUARDO SANTOS ABAJO SEDE CARNE FLACA</t>
  </si>
  <si>
    <t>VEREDA CARNE FLACA</t>
  </si>
  <si>
    <t>11/22/2024</t>
  </si>
  <si>
    <t xml:space="preserve">CORREGIMIENTO LAS CANDELARIAS </t>
  </si>
  <si>
    <t>INSTITUCION EDUCATIVA LOS PATOS</t>
  </si>
  <si>
    <t>CORREGIMIENTO LOS PATOS</t>
  </si>
  <si>
    <t>13/3/2025</t>
  </si>
  <si>
    <t>CENTRO EDUCATIVO SITIO NUEVO SEDE EL TAMACO</t>
  </si>
  <si>
    <t xml:space="preserve">VEREDA EL TAMACO </t>
  </si>
  <si>
    <t xml:space="preserve">INSTITUCION EDUCATIVA SAN JUAN BAUTISTADE PIZA </t>
  </si>
  <si>
    <t xml:space="preserve">CORREGIMIENTO DE PIZA </t>
  </si>
  <si>
    <t>CORREGIMIENTO EL COROZAL</t>
  </si>
  <si>
    <t>INSTITUCION EDUCATIVA EL NARANJO - SEDE PRINCIPAL</t>
  </si>
  <si>
    <t>COREGIMIENTO EL NARANJO</t>
  </si>
  <si>
    <t>75.5%</t>
  </si>
  <si>
    <t>CENTRO EDUCATIVO SITIO NUEVO - SEDE PRINCIPAL</t>
  </si>
  <si>
    <t>NOCHE DE REINA LOS PIMIENTOS</t>
  </si>
  <si>
    <t>RICARDO ANTONIO PALLARES DIAZ</t>
  </si>
  <si>
    <t>KM 1 VIA  GUARANDA</t>
  </si>
  <si>
    <t>PALLARESRICARDO85@GMAIL.COM</t>
  </si>
  <si>
    <t>BAR EL PIBE</t>
  </si>
  <si>
    <t>PETRONA BOHORQUEZ ESCOBAR</t>
  </si>
  <si>
    <t>CR 18 1-100</t>
  </si>
  <si>
    <t>PEBOES67@@GMAIL.COM</t>
  </si>
  <si>
    <t>CLUB BILLARES LA EMPRESA</t>
  </si>
  <si>
    <t>Wilman Ramon Medina Alvarez</t>
  </si>
  <si>
    <t>Barrio San Vicente</t>
  </si>
  <si>
    <t>ESTADERO LAS PAISAS</t>
  </si>
  <si>
    <t>BERTA TABORDA GÓMEZ</t>
  </si>
  <si>
    <t>CLL 5 # 7 - 49</t>
  </si>
  <si>
    <t>ESTADERO EL CACIQUE DEL VALLENATO</t>
  </si>
  <si>
    <t>ANA MILENA RIOS YEPES</t>
  </si>
  <si>
    <t>CRA 18 # 3 ESQ</t>
  </si>
  <si>
    <t>BILLAR Y TEJO LA SEDE JUNIORISTA</t>
  </si>
  <si>
    <t>ENRIQUE ROYERO</t>
  </si>
  <si>
    <t>CLL 6 # 19 - 103</t>
  </si>
  <si>
    <t>BAR LOS RECUERDOS DE ELLA</t>
  </si>
  <si>
    <t>WILSON GUERRERO VEGA</t>
  </si>
  <si>
    <t>BRR PUERTO DAJER</t>
  </si>
  <si>
    <t>ESTADERO LA CEIBITA</t>
  </si>
  <si>
    <t>LIZETH ALFARO MOLINA</t>
  </si>
  <si>
    <t>AV. PUERTO DAJER</t>
  </si>
  <si>
    <t>ESTADERO ALONDRA</t>
  </si>
  <si>
    <t>NELIS BELEÑO TROYA</t>
  </si>
  <si>
    <t>BRR PUERTO DAJER CLL PRIMERA</t>
  </si>
  <si>
    <t>ESTADERO PAQUITA</t>
  </si>
  <si>
    <t>PIEDAD DEL SOCORRO HERRERA</t>
  </si>
  <si>
    <t xml:space="preserve">ESTADERO LOS MANGOS </t>
  </si>
  <si>
    <t xml:space="preserve">NILTON ALTAHONA </t>
  </si>
  <si>
    <t xml:space="preserve">CALLE 2 PUERTO DAJER </t>
  </si>
  <si>
    <t>ALTAHONAM@GMAIL.COM</t>
  </si>
  <si>
    <t>ESTADERO L Y D</t>
  </si>
  <si>
    <t xml:space="preserve">HILDA CASTRO </t>
  </si>
  <si>
    <t xml:space="preserve">BARRIO GUAYABALITO </t>
  </si>
  <si>
    <t xml:space="preserve">BILLARES MARIHUANA </t>
  </si>
  <si>
    <t xml:space="preserve">JOSE GREGORIO ZAMBRANO </t>
  </si>
  <si>
    <t>CALLE 4 -16-26</t>
  </si>
  <si>
    <t xml:space="preserve">PUNTO FRIO EL PALACIO DEL LICOR </t>
  </si>
  <si>
    <t xml:space="preserve">BERTA TULIA AGUAS ALVAREZ </t>
  </si>
  <si>
    <t xml:space="preserve">SAN ROQUE VIA LAS PALMITAS </t>
  </si>
  <si>
    <t>MATEOYALFREDO2010@HOTMAIL.COM</t>
  </si>
  <si>
    <t xml:space="preserve">BILLARES EL PRISCA </t>
  </si>
  <si>
    <t xml:space="preserve">BILLARES LAS VEGAS </t>
  </si>
  <si>
    <t xml:space="preserve">DAYMAR NAVARRO </t>
  </si>
  <si>
    <t>CALLE 7 #19-35</t>
  </si>
  <si>
    <t>daymarjr21@gmail.com</t>
  </si>
  <si>
    <t>YOLIMA VANEGAS</t>
  </si>
  <si>
    <t>ESQUINA GUAYABALITO</t>
  </si>
  <si>
    <t>BILLARES EL PACO</t>
  </si>
  <si>
    <t>JOSE BALDOVINO MANJARREZ</t>
  </si>
  <si>
    <t>CARLOS_BALDOVINO@HOTMAIL.COM</t>
  </si>
  <si>
    <t xml:space="preserve">HUMBERTO HERAZO SERPA </t>
  </si>
  <si>
    <t xml:space="preserve">BARRIO PUERTO DAJER </t>
  </si>
  <si>
    <t xml:space="preserve">BILLARES LOS GUAMOS </t>
  </si>
  <si>
    <t xml:space="preserve">RICARDO ANTONIO CHAVEZ RODELO </t>
  </si>
  <si>
    <t>CR 16 #8-69</t>
  </si>
  <si>
    <t>RICARDOCHAVEZ51@HOTMAIL.COM</t>
  </si>
  <si>
    <t xml:space="preserve">LICOBAR LOS CHAMOS </t>
  </si>
  <si>
    <t xml:space="preserve">SAMIR GARCIA ALEMAN </t>
  </si>
  <si>
    <t>CALLE 5 21-42</t>
  </si>
  <si>
    <t xml:space="preserve">LICORES LOS SOCIOS </t>
  </si>
  <si>
    <t>ONALIS ARROYO PALENCIA</t>
  </si>
  <si>
    <t>BARRIO GUAYABALITO</t>
  </si>
  <si>
    <t>WISMARY  PACHECO SANCHEZ</t>
  </si>
  <si>
    <t>WISMARY.25@GMAIL.COM</t>
  </si>
  <si>
    <t>ESTADERO Y BILLARES TOLU</t>
  </si>
  <si>
    <t xml:space="preserve">FRANCISCO TOMAS MARTINEZ ACOSTA </t>
  </si>
  <si>
    <t>CLL 1A #16 - 04</t>
  </si>
  <si>
    <t>TOMAS FR1213@GMAIL.COM</t>
  </si>
  <si>
    <t xml:space="preserve">MAJAGUAL GASTRO BAR </t>
  </si>
  <si>
    <t xml:space="preserve">MILAGRO DEL CARMEN MANRIQUE </t>
  </si>
  <si>
    <t>CLL 5# 25 - 32</t>
  </si>
  <si>
    <t>JESUSSIERRA1992@GMAIL.COM</t>
  </si>
  <si>
    <t>BODEGA MIX</t>
  </si>
  <si>
    <t>RICARDO CHAVEZ</t>
  </si>
  <si>
    <t xml:space="preserve">AUTOSERVICIO MIO </t>
  </si>
  <si>
    <t>MAYOALIS MARTINEZ ZAMBRANO</t>
  </si>
  <si>
    <t>CALLE 5 15-22</t>
  </si>
  <si>
    <t>AUTOSERVICIOMIOMAJAGUAL@HOTMAIL.COM</t>
  </si>
  <si>
    <t>90.5</t>
  </si>
  <si>
    <t xml:space="preserve">WILDER DE JESUS RAMIREZ </t>
  </si>
  <si>
    <t>CALLE 5A# 17-45</t>
  </si>
  <si>
    <t>ABASTOSDEPOSITOMEDELLIN@GAMIL.COM</t>
  </si>
  <si>
    <t>88.5</t>
  </si>
  <si>
    <t xml:space="preserve">PRODUCTOS DE LO BUENO </t>
  </si>
  <si>
    <t>FRANCISCO BUENO GENES</t>
  </si>
  <si>
    <t>BARRIO PANAMA</t>
  </si>
  <si>
    <t>FRANCISCO2926@HOTMAIL.COM</t>
  </si>
  <si>
    <t xml:space="preserve"> CALLE 5 # 15-09</t>
  </si>
  <si>
    <t>USR_12122@D1.COM.CO</t>
  </si>
  <si>
    <t>88.75</t>
  </si>
  <si>
    <t>67.75%</t>
  </si>
  <si>
    <t>CALUSURA TEMPORAL TOTAL DEL ESTABLECIMIENTO/DESTRUCCION DE PRODUCTOS</t>
  </si>
  <si>
    <t>DESTRUCCION DE PRODUCTOS</t>
  </si>
  <si>
    <t>TIENDA POPULAR</t>
  </si>
  <si>
    <t>MARIA GARCIA ROMERO</t>
  </si>
  <si>
    <t xml:space="preserve">TIENDA FE Y ESPERANZA </t>
  </si>
  <si>
    <t xml:space="preserve">BLEIDY DEL CARMEN ACUÑA </t>
  </si>
  <si>
    <t>CALLE 3 24-26</t>
  </si>
  <si>
    <t>TIENDA LOS DOS HERMANOS</t>
  </si>
  <si>
    <t>LUIS TOVAR RODELO</t>
  </si>
  <si>
    <t>NO REGSITRA</t>
  </si>
  <si>
    <t xml:space="preserve">TIENDA EL TERRAZON </t>
  </si>
  <si>
    <t xml:space="preserve">JOSE MANUEL VANEGAS VILLEGAS </t>
  </si>
  <si>
    <t>CALLE 8 B 15C-11</t>
  </si>
  <si>
    <t>BARRIO LA ESMERALDA</t>
  </si>
  <si>
    <t xml:space="preserve">TIENDA DONDE IRENE </t>
  </si>
  <si>
    <t xml:space="preserve">RAMON VERGARA OLMOS </t>
  </si>
  <si>
    <t xml:space="preserve">CHAMBACU </t>
  </si>
  <si>
    <t>SIN LIMITES DISCO BAR</t>
  </si>
  <si>
    <t>EVER LUIS MARTINEZ DOMINGUEZ</t>
  </si>
  <si>
    <t>CLL 1 CRA 1-97</t>
  </si>
  <si>
    <t>EVERLUISMARTINEZDOMINGUEZ@GMAIL.COM</t>
  </si>
  <si>
    <t>SOLICITU DEL INTERESADO</t>
  </si>
  <si>
    <t xml:space="preserve">SABORES CALLEJEROS </t>
  </si>
  <si>
    <t xml:space="preserve">JUAN DIEGO FLOREZ BENITEZ </t>
  </si>
  <si>
    <t>CR 5 CALLE 5-51</t>
  </si>
  <si>
    <t>JUANFLOREZ8811@GMAIL.COM</t>
  </si>
  <si>
    <t xml:space="preserve">RESTAURANTE EL PEDREGAL </t>
  </si>
  <si>
    <t xml:space="preserve">ALBEIRO CASTILLO CONTRERAS </t>
  </si>
  <si>
    <t>CL 1 -515 L 1</t>
  </si>
  <si>
    <t xml:space="preserve">RESTAURANTE EL ARCA </t>
  </si>
  <si>
    <t xml:space="preserve">CR 3 -142 TR VIA LOS PALMITOS </t>
  </si>
  <si>
    <t xml:space="preserve">RESTAURANTE DONDE EL NEGRO </t>
  </si>
  <si>
    <t xml:space="preserve">JUAN RAFAEL MENDEZ MERCADO </t>
  </si>
  <si>
    <t xml:space="preserve">BREMEN </t>
  </si>
  <si>
    <t xml:space="preserve">PUNTO FRIO Y ESTADERO SAN MARTIN </t>
  </si>
  <si>
    <t xml:space="preserve">ARIEN NUÑEZ </t>
  </si>
  <si>
    <t>CR 4D #25-41</t>
  </si>
  <si>
    <t>NUNEZPORTOARLENCIU@GMAIL.COM</t>
  </si>
  <si>
    <t>PANADERIA TAYSON</t>
  </si>
  <si>
    <t xml:space="preserve">JAIRO MEDINA DIAZ </t>
  </si>
  <si>
    <t>CL 12 CR 10-46 BARRIO LA CRUZ</t>
  </si>
  <si>
    <t>WILMER810@GMAIL.COM</t>
  </si>
  <si>
    <t>MINITEJO Y HAMACAS SAMPAYO</t>
  </si>
  <si>
    <t>JULIO ENRIQUE SAMPAYO SALCEDO</t>
  </si>
  <si>
    <t>3912644-8</t>
  </si>
  <si>
    <t>CRA 21 25 B 9 DE ABRIL</t>
  </si>
  <si>
    <t>LISBETHSAMPAYOMERCADO@GMAIL.COM</t>
  </si>
  <si>
    <t>MINITEJO LA CHISPA</t>
  </si>
  <si>
    <t>ROSIRIS DE LA CANDELARIA DIAZ SALGADO</t>
  </si>
  <si>
    <t>CRA 1 CLL 1A 35</t>
  </si>
  <si>
    <t>ROSILIS202017@GMAIL.COM</t>
  </si>
  <si>
    <t xml:space="preserve">MIL MANERAS DE COMER </t>
  </si>
  <si>
    <t xml:space="preserve">JOSE RAMON PALMET CONTRERAS </t>
  </si>
  <si>
    <t>CALLE 7 10-48</t>
  </si>
  <si>
    <t>JOSEPALMETT@GMAIL.COM</t>
  </si>
  <si>
    <t>LILIANA SUAREZ</t>
  </si>
  <si>
    <t>CALLE 7 # 7-45</t>
  </si>
  <si>
    <t>MORROA</t>
  </si>
  <si>
    <t>LA ESTRATEGIA BAR</t>
  </si>
  <si>
    <t>JESSICA MARIA RIOS MERLANO</t>
  </si>
  <si>
    <t>CLL 7 N2C-45 AV SAN BLAS</t>
  </si>
  <si>
    <t>YESSIK0601@GMAIL.COM</t>
  </si>
  <si>
    <t xml:space="preserve"> HOGAR JUGAR Y APRENDER </t>
  </si>
  <si>
    <t xml:space="preserve">CECILIA HERNANDEZ </t>
  </si>
  <si>
    <t>HOGAR MI PRIMAVERA</t>
  </si>
  <si>
    <t>EDYTH SIERRA</t>
  </si>
  <si>
    <t>CALLE 2G #4-49</t>
  </si>
  <si>
    <t>SIERRAEDITH36@GMAIL.COM</t>
  </si>
  <si>
    <t>HOGAR MI HAMAQUITA</t>
  </si>
  <si>
    <t>CALLE 2C #763</t>
  </si>
  <si>
    <t>ANA MARTINAZ</t>
  </si>
  <si>
    <t>800148870-1</t>
  </si>
  <si>
    <t>CR 4 #14-05</t>
  </si>
  <si>
    <t>ASGAMK@HOTMAIL.COM</t>
  </si>
  <si>
    <t xml:space="preserve">GRANERO Y VERDURA MERCA FACIL </t>
  </si>
  <si>
    <t xml:space="preserve">NELLY BABILONIA GONZALEZ </t>
  </si>
  <si>
    <t xml:space="preserve">CALLE 69 05 SECTOR PLAZA </t>
  </si>
  <si>
    <t>ESTANCO BAR MI PAPA</t>
  </si>
  <si>
    <t>CARMEN CECILIA BARRETO BARRIOS</t>
  </si>
  <si>
    <t>CRA 5 # 10 15 LA PLAZA</t>
  </si>
  <si>
    <t xml:space="preserve">SOLICITUD DEL INTERESADO </t>
  </si>
  <si>
    <t xml:space="preserve">ESTANCO BAR MAYI LICORES </t>
  </si>
  <si>
    <t>WILFRIDO LUIS RAMBAUTH</t>
  </si>
  <si>
    <t xml:space="preserve">AVENIDA SAN BLAS </t>
  </si>
  <si>
    <t>MAYI202011@HOTMAIL.COM</t>
  </si>
  <si>
    <t>GASTRO BAR SINGAPURE</t>
  </si>
  <si>
    <t xml:space="preserve">ANDRES MANUEL CASTILLO TOVAR </t>
  </si>
  <si>
    <t>CALLE 7 # 2B-68</t>
  </si>
  <si>
    <t>ASESORAGUARIN@GMAIL.COM</t>
  </si>
  <si>
    <t xml:space="preserve">ESTADERO SAN JUAN </t>
  </si>
  <si>
    <t>JUAN MISERQUE</t>
  </si>
  <si>
    <t>JUANMISERQUE22@GMAIL.COM</t>
  </si>
  <si>
    <t xml:space="preserve">ESTADERO LOS RECUERDOS DE ELLAS </t>
  </si>
  <si>
    <t xml:space="preserve"> REMBERTO JOSE BARRETO MARQUEZ </t>
  </si>
  <si>
    <t>CR 5A #12-60</t>
  </si>
  <si>
    <t>ESTADERO LA PLAYA</t>
  </si>
  <si>
    <t>JARLEY JOSE BARRETO MARTINEZ</t>
  </si>
  <si>
    <t>CRA4 14-3 B. SAN FRACISCO</t>
  </si>
  <si>
    <t>YAMILEANAYA03@YAHOO.ES</t>
  </si>
  <si>
    <t>DONDE JAVIE 86</t>
  </si>
  <si>
    <t>JAVIECER EUGENIO COLON PINEDA</t>
  </si>
  <si>
    <t>CL 2D 07 32 B</t>
  </si>
  <si>
    <t>JAVIECA@HOTMAIL.COM</t>
  </si>
  <si>
    <t>CANCHAS DE MINITEJO EL CACIQUE</t>
  </si>
  <si>
    <t>92552215-1</t>
  </si>
  <si>
    <t>BILLARES LA CLINIK</t>
  </si>
  <si>
    <t>WILBER ENRIQUE SALAZAR</t>
  </si>
  <si>
    <t>CRA 1D CLL 7</t>
  </si>
  <si>
    <t xml:space="preserve">CANCHA DE MINITEJO LOS OLIVOS </t>
  </si>
  <si>
    <t>URIEL RAFAEL MERCADO CONTRERAS</t>
  </si>
  <si>
    <t>CRA 21#43</t>
  </si>
  <si>
    <t>RESTAURANTE Y LAVADERO EL GRAN CHIN</t>
  </si>
  <si>
    <t>YEITH LOPEZ HERNANDEZ</t>
  </si>
  <si>
    <t>CLL 7 2B</t>
  </si>
  <si>
    <t>HOGAR DE BIENESTAR EL DIVINO NIÑO 2</t>
  </si>
  <si>
    <t>JAKELINE  DIAZ</t>
  </si>
  <si>
    <t>KR 13 CLL 9</t>
  </si>
  <si>
    <t xml:space="preserve">CENTRO DE VIDA TESEDORES DE ESPERANZA </t>
  </si>
  <si>
    <t>JIMMY JOSE GONZALES OSORIO</t>
  </si>
  <si>
    <t>901845575-8</t>
  </si>
  <si>
    <t>CALLE 7#8-39</t>
  </si>
  <si>
    <t>FUNDACION MULTIACTIVA CARIBE INTEGRADO - FUNDACARIBE</t>
  </si>
  <si>
    <t>CENTRO DE VIDA MORROA</t>
  </si>
  <si>
    <t>GIOVANNI DE JESUS CARBONELL FERRER</t>
  </si>
  <si>
    <t>CALLE 4#4-5</t>
  </si>
  <si>
    <t>ANGELA-CALABRIA@HOTMAIL.COM</t>
  </si>
  <si>
    <t>PRODUCTO</t>
  </si>
  <si>
    <t>CANCHA DE MINI TEJO EL VIETNAM</t>
  </si>
  <si>
    <t xml:space="preserve">CRISTIAN VASQUEZ </t>
  </si>
  <si>
    <t>KR 4-20-51</t>
  </si>
  <si>
    <t>VASQUEZSAMPAYO@GMAIL.COM</t>
  </si>
  <si>
    <t xml:space="preserve">SOLICITU DEL INTERESADO </t>
  </si>
  <si>
    <t>CENTRO EDUCATIVO BREMEN - SEDE PRINCIPAL</t>
  </si>
  <si>
    <t>CORREGIMIENTO BREMEN</t>
  </si>
  <si>
    <t>CENTRO EDUCATIVO LAS FLORES - SEDE PRINCIPAL</t>
  </si>
  <si>
    <t>COREGIMIENTO LAS FLORES</t>
  </si>
  <si>
    <t>CENTRO EDUCATIVO SABANAS DE CALI</t>
  </si>
  <si>
    <t>CORREGIMIENTO SABANAS DE CALI</t>
  </si>
  <si>
    <t>CENTRO EDUCATIVO BRISAS DEL MAR  - SEDE PRINCIPAL</t>
  </si>
  <si>
    <t xml:space="preserve">CORREGIMIENTO BRISAS SEL MAR </t>
  </si>
  <si>
    <t>CENTRO EDUCATIVO EL YESO - SEDE PRINCIPAL</t>
  </si>
  <si>
    <t>CORREGIMIENTO EL YESO</t>
  </si>
  <si>
    <t>CENTRO EDUCATIVO EL YESO - SEDE PICHILIN</t>
  </si>
  <si>
    <t>CORREGIMIENTO PICHILIN</t>
  </si>
  <si>
    <t>ASOCIACION DE PADRES DE FAMILIA DE HOGARES DE BIENESTAR MORROA</t>
  </si>
  <si>
    <t xml:space="preserve">HOGAR DE BIENESTAR MI PRIMAVERA </t>
  </si>
  <si>
    <t>HOGAR DE BIENESTAR MI SEGUNDO HOGAR</t>
  </si>
  <si>
    <t xml:space="preserve">WILLIAN SALCEDO </t>
  </si>
  <si>
    <t>CL 7 -745</t>
  </si>
  <si>
    <t>MARTHA.LOPEZMARQUEZ03@HOTMAIL.COM</t>
  </si>
  <si>
    <t>HOGAR DE BIENESTAR MI HORMIGUITA</t>
  </si>
  <si>
    <t>BARRIO 9 DE ABRIL</t>
  </si>
  <si>
    <t>ANDREA2402GUZ@GAMAIL.COM</t>
  </si>
  <si>
    <t xml:space="preserve">HOGAR DE BIENESTAR MIS ANGELITOS </t>
  </si>
  <si>
    <t>CL 2 # 7-50</t>
  </si>
  <si>
    <t>SUYDITH9@GMAIL.COM</t>
  </si>
  <si>
    <t>HOGAR DE BIENESTAR EL PARAISO</t>
  </si>
  <si>
    <t>CR 4 # 14-05</t>
  </si>
  <si>
    <t>DONOBAN31@GMAIL.COM</t>
  </si>
  <si>
    <t xml:space="preserve">HOGAR DE BINESTAR EL TACHIRA </t>
  </si>
  <si>
    <t xml:space="preserve">CR 7  CL 2A </t>
  </si>
  <si>
    <t xml:space="preserve">FAVORABLE CON REQUERIMENTOS </t>
  </si>
  <si>
    <t>HOGAR DE BIENESTAR MIS CHIQUITINIS</t>
  </si>
  <si>
    <t>CL 2 # 420</t>
  </si>
  <si>
    <t xml:space="preserve">HOGAR DE BINESTAR EL PALMAR </t>
  </si>
  <si>
    <t xml:space="preserve">CR 7 # 26-25 </t>
  </si>
  <si>
    <t>83.5</t>
  </si>
  <si>
    <t>MAYI LICORES</t>
  </si>
  <si>
    <t>WILFREDO LUIS RAMBAUTH DONADO</t>
  </si>
  <si>
    <t xml:space="preserve">CL 7 CR 1 B AV SAN BLAS </t>
  </si>
  <si>
    <t xml:space="preserve">HOGAR DE BIENESTAR CALLE NUEVA </t>
  </si>
  <si>
    <t>WILLIAM SALCEDO</t>
  </si>
  <si>
    <t xml:space="preserve">CR 5 CL 2B </t>
  </si>
  <si>
    <t>XIOMARANOVOAMALLA@GMAIL.COM</t>
  </si>
  <si>
    <t>91.9%</t>
  </si>
  <si>
    <t>STO 319 SAMPUES</t>
  </si>
  <si>
    <t>ASTO319@OLIMPICA.COM.CO</t>
  </si>
  <si>
    <t>ADRIAN MORALES/ARGEMIRO DIAZ</t>
  </si>
  <si>
    <t>HOTEL Y RESTAURANTE EL  CARRETERO</t>
  </si>
  <si>
    <t>MARIA NANCY ALVAREZ ALVAREZ</t>
  </si>
  <si>
    <t>43451466-1</t>
  </si>
  <si>
    <t>CALLE 12 # 13-62</t>
  </si>
  <si>
    <t>HOTELCARRETEROSSAMPUES@GMAIL.COM</t>
  </si>
  <si>
    <t xml:space="preserve"> ASADOS LA GRAN LLANERA </t>
  </si>
  <si>
    <t xml:space="preserve">GLADIS DAZA OCHOA </t>
  </si>
  <si>
    <t>64550084-0</t>
  </si>
  <si>
    <t>CR 19 #24A-19</t>
  </si>
  <si>
    <t>gladys3033@gmail.com</t>
  </si>
  <si>
    <t xml:space="preserve">ASADERO EL MANA </t>
  </si>
  <si>
    <t xml:space="preserve">DEYSY ESTRADA NORIEGA </t>
  </si>
  <si>
    <t>CR 19 #25-05</t>
  </si>
  <si>
    <t>ESTRADANORIEGADEY@HOTMAIL.COM</t>
  </si>
  <si>
    <t>SABOR PARILLA E.S</t>
  </si>
  <si>
    <t>ESTER SOFIA RICARDO CUELLO</t>
  </si>
  <si>
    <t>1102873538-7</t>
  </si>
  <si>
    <t>CRA 16A #13 - 04</t>
  </si>
  <si>
    <t>CERIYE@YAHOO.ES</t>
  </si>
  <si>
    <t>24/11/2025</t>
  </si>
  <si>
    <t xml:space="preserve">LEONARDO LARA </t>
  </si>
  <si>
    <t xml:space="preserve">HOTEL Y RESTAURANTE EL LAGO </t>
  </si>
  <si>
    <t xml:space="preserve">CLL 24 N° 11-8 </t>
  </si>
  <si>
    <t xml:space="preserve">HOGAR DE BIENESTAR FAMILIAR CARITAS FELICES </t>
  </si>
  <si>
    <t xml:space="preserve">ANA CRISTINAA BRAVO LOPEZ </t>
  </si>
  <si>
    <t>800245745-8</t>
  </si>
  <si>
    <t>CALLE 2 CR 2-24 CEJA DEL MANGO</t>
  </si>
  <si>
    <t>ASOCIACIONSANLUIS123@GMAIL.COM</t>
  </si>
  <si>
    <t xml:space="preserve">CABILDO MAYOR INDIGEMA ZENU DE MUNICIPIO DE SAMPUES </t>
  </si>
  <si>
    <t>ADAEL DEL CRISTO MARQUEZ</t>
  </si>
  <si>
    <t>900490498-1</t>
  </si>
  <si>
    <t xml:space="preserve"> CORREGIMIENTO ACHIOTE</t>
  </si>
  <si>
    <t>HOGAR COMUNITARIO JESUS NAZARETH</t>
  </si>
  <si>
    <t>TRONCAL MATA CAÑA</t>
  </si>
  <si>
    <t>HOGAR DE BIENESTAR MUNDO NUEVO</t>
  </si>
  <si>
    <t>ADAEL DEL CRISTO MARQUEZ FLOREZ</t>
  </si>
  <si>
    <t>CALLE #11-56</t>
  </si>
  <si>
    <t>SIRLEY123RODRIGUEZ@GMAIL.COM</t>
  </si>
  <si>
    <t>10/0572025</t>
  </si>
  <si>
    <t>HOGAR COMUNITARIO LOS CARIÑOSITOS</t>
  </si>
  <si>
    <t xml:space="preserve">CALLE PRINCIPAL LA NEGRA </t>
  </si>
  <si>
    <t>SAMPUES</t>
  </si>
  <si>
    <t xml:space="preserve">ASOCIACION DE PADRES DE FAMILIA DE LOS HOGARES DE BIENESTAR DE SAN LUIS </t>
  </si>
  <si>
    <t>HOGAR COMUNITARIO EL DIVINO NIÑO</t>
  </si>
  <si>
    <t xml:space="preserve">ANA CRISTINA BRAVO LOPEZ </t>
  </si>
  <si>
    <t>800245705-8</t>
  </si>
  <si>
    <t>CLL 17 CRA 13-14 BR 7 DE AGOSTO</t>
  </si>
  <si>
    <t>FLOREZCARDENAAANAMARIA174@GMAIL.COM</t>
  </si>
  <si>
    <t>17/10/2025</t>
  </si>
  <si>
    <t>FAVORABLES</t>
  </si>
  <si>
    <t xml:space="preserve">UNION TEMPORAL INDIGENA PAN ZENU </t>
  </si>
  <si>
    <t xml:space="preserve">CENTRO EDUCATIVO INDIGENA MATA DE CAÑA SEDE CALLE FRIA </t>
  </si>
  <si>
    <t xml:space="preserve">ADAEL DEL CRISTO MARQUEZ FLOREZ </t>
  </si>
  <si>
    <t>901926953-1</t>
  </si>
  <si>
    <t>UNIONTEMPORALINDIGENAPANZENU@GMAIL.COM</t>
  </si>
  <si>
    <t>CENTRO EDUCATIVO INDIGENA MATA DE CAÑA</t>
  </si>
  <si>
    <t>CENTRO EDUCATIVO SABANA LARGA</t>
  </si>
  <si>
    <t>CALLE PRINCIPAL SABABA LARGA</t>
  </si>
  <si>
    <t xml:space="preserve">CALLE PRINCIPAL DE SEGOVIA </t>
  </si>
  <si>
    <t>SIRLEYRIOSSUAREZ22@GMAIL.COM</t>
  </si>
  <si>
    <t>CABILDO MENOR INDIGENA BOSSA NAVARRO</t>
  </si>
  <si>
    <t xml:space="preserve">LOS COLOMBIANITOS </t>
  </si>
  <si>
    <t xml:space="preserve">EMILDO JOSE NAVARRA MEJIA </t>
  </si>
  <si>
    <t>823001322-7</t>
  </si>
  <si>
    <t>CORREGIMIENTO BOSSA NAVARRO</t>
  </si>
  <si>
    <t>CMIBOSSANAVARRO2023@GMAIL.COM</t>
  </si>
  <si>
    <t>HOGAR INFANTIL NIÑOS FELICES</t>
  </si>
  <si>
    <t>EMILDO JOSE NAVARRO MEJIA</t>
  </si>
  <si>
    <t>CALLE 12A #10 - 69 BARRIO CALLE NUEVA</t>
  </si>
  <si>
    <t xml:space="preserve">ASOCIACION DE MUJERES GESTORAS COMUNITARIAS DE LOS MONTES DE MARIA </t>
  </si>
  <si>
    <t xml:space="preserve">CDI SAMPUES </t>
  </si>
  <si>
    <t>KEILIS ALEJANDRA TOVAR ORTEGA</t>
  </si>
  <si>
    <t>901676342-3</t>
  </si>
  <si>
    <t>CALLE 23 #14A-60 GUSTAVO DAJER</t>
  </si>
  <si>
    <t>UTNIÑOSDESUCRE2023@GMAIL.COM</t>
  </si>
  <si>
    <t>HOGAR BIENESTAR MI SEGUNDO HOGAR</t>
  </si>
  <si>
    <t>ADAEL MARQUEZ FLOREZ</t>
  </si>
  <si>
    <t xml:space="preserve">SEGOVIA </t>
  </si>
  <si>
    <t>CABILDOMAYORSAMPUES@GMAIL.COM</t>
  </si>
  <si>
    <t xml:space="preserve"> HOGAR DE BIENESTAR TRAVESURAS</t>
  </si>
  <si>
    <t>KRA 3 ·5-27</t>
  </si>
  <si>
    <t xml:space="preserve">INSTITUCION EDUCATIVA INDIGENA BOSSA NAVARRO </t>
  </si>
  <si>
    <t>CRA 13 #24 -100</t>
  </si>
  <si>
    <t>UNIONTEMPORALPAIP2024@GMAIL.COM</t>
  </si>
  <si>
    <t>CENTRO EDUCATIVO INDIGENA LOMA DE PIEDRA</t>
  </si>
  <si>
    <t>CENTRO EDUCATIVO INDIGENA SILOE</t>
  </si>
  <si>
    <t>CABILDO INDIGENA SILOE</t>
  </si>
  <si>
    <t xml:space="preserve">INSTITUCION EDUCATIVA INDIGENA LA LUCHA </t>
  </si>
  <si>
    <t>CRA 13  # 24 - 100</t>
  </si>
  <si>
    <t>IE INDIGENA SAN JOSE HUERTAS CHICAS SEDE SAGRADO CORAZON DE JESUS</t>
  </si>
  <si>
    <t>HUERTAS CHICAS</t>
  </si>
  <si>
    <t>IE INDIGENA ESCOBAR ARRIBA SEDE VILLA NUEVA</t>
  </si>
  <si>
    <t>CR 13 #24 - 100</t>
  </si>
  <si>
    <t>INSTITUCION EDUCATIVA MILLAN VARGAS - SEDE LOHARAZO</t>
  </si>
  <si>
    <t xml:space="preserve">INSTITUCION EDUCATIVA SABANAS DE LA NEGRA SEDE LA ISLA </t>
  </si>
  <si>
    <t xml:space="preserve">CENTRO EDUCATIVO SABANA LARGA SEDE CEJA DEL MANGO </t>
  </si>
  <si>
    <t>CENTRO EDUCATIVO INDIGENA ACHIOTE</t>
  </si>
  <si>
    <t>CORREGIMIENTO ACHIOTE</t>
  </si>
  <si>
    <t>TIENDA D1 SAMPUES</t>
  </si>
  <si>
    <t>CALLE 24 # 13A-127</t>
  </si>
  <si>
    <t>MILENA.MARTINEZ@KOBA-GROUP.COM</t>
  </si>
  <si>
    <t>COLOMBIANITO</t>
  </si>
  <si>
    <t xml:space="preserve">VEREDA BELLA VISTA </t>
  </si>
  <si>
    <t>L.VITOLA@HOTMAIL.COM</t>
  </si>
  <si>
    <t>ALMACENAMIENTO A TEMPERATURA AMBIENTE</t>
  </si>
  <si>
    <t xml:space="preserve">ASOCIACION MULTIACTIIVA DE FAMILIAS DESPLAZADAS EN SAN ONOFRE </t>
  </si>
  <si>
    <t xml:space="preserve">AMFAVIS </t>
  </si>
  <si>
    <t xml:space="preserve">JOSE MOGUEA PADILLA </t>
  </si>
  <si>
    <t>900310570-1</t>
  </si>
  <si>
    <t xml:space="preserve">CRA 21 #16-145 BODEGA 1 </t>
  </si>
  <si>
    <t>ANFIVIS03@GMAIL.COM</t>
  </si>
  <si>
    <t xml:space="preserve">SOCIACION DE MUJERES CAMPESINAS AFROCOLOMBIANAS INDIGENAS </t>
  </si>
  <si>
    <t>ASOCAIN</t>
  </si>
  <si>
    <t xml:space="preserve">ANA PAOLA CORDERO PEREZ </t>
  </si>
  <si>
    <t>901831948-8</t>
  </si>
  <si>
    <t xml:space="preserve">CRA 21 #16 - 141 BODEGA #2 </t>
  </si>
  <si>
    <t>ASOCAIN23@GMAIL.COM</t>
  </si>
  <si>
    <t xml:space="preserve">ESTADERO LA CRUZ DE MAYO </t>
  </si>
  <si>
    <t xml:space="preserve">YEICO FLOREZ PEREZ </t>
  </si>
  <si>
    <t>1100684439-8</t>
  </si>
  <si>
    <t>CLL 3 #3-7</t>
  </si>
  <si>
    <t>YEICOFLOREZPEREZ123@GMAIL.COM</t>
  </si>
  <si>
    <t xml:space="preserve">EL AMANECER DE LOS ALPES </t>
  </si>
  <si>
    <t xml:space="preserve">YOEL DAVID ROSARIO </t>
  </si>
  <si>
    <t>1100688179-6</t>
  </si>
  <si>
    <t>CALLE 15 A #18B-19</t>
  </si>
  <si>
    <t>MAKY517@HOTMAIL.COM</t>
  </si>
  <si>
    <t>23/10/2025</t>
  </si>
  <si>
    <t>BILLARES HERMANOS PACHECO</t>
  </si>
  <si>
    <t>AURA MARIA PACHECO CORDERO</t>
  </si>
  <si>
    <t>1100688295-2</t>
  </si>
  <si>
    <t>TV 19 # 28C-70</t>
  </si>
  <si>
    <t>AURAPECHECO0391@GMAIL.COM</t>
  </si>
  <si>
    <t>ASOCIACIÓN DE PADRES DE FAMILIA DE HOGARES DE BIENESTAR SAN LUIS</t>
  </si>
  <si>
    <t>H.B.F. CAMINITOS FELICES</t>
  </si>
  <si>
    <t>CORR. CEJAS DEL MANGO</t>
  </si>
  <si>
    <t>RESTAURANTE PUNTO PAISA #2</t>
  </si>
  <si>
    <t>PEDRO GOMEZ ARBELAEZ</t>
  </si>
  <si>
    <t>70508303-3</t>
  </si>
  <si>
    <t>VIA PIEDRAS BLANCAS</t>
  </si>
  <si>
    <t>PEDROCLAVERG@GMAIL.COM</t>
  </si>
  <si>
    <t>RESTAURANTE PUNTO PAISA . COM</t>
  </si>
  <si>
    <t xml:space="preserve">CRA 13 #12 -75 </t>
  </si>
  <si>
    <t>0/10/2025</t>
  </si>
  <si>
    <t xml:space="preserve">RESTAURANTE PAISAEL BUEN SAZON </t>
  </si>
  <si>
    <t>UZ MONTOYA JIMENEZ</t>
  </si>
  <si>
    <t>CALLE 24 #13 A -15</t>
  </si>
  <si>
    <t>YASUAREZ961@GMAIL.COM</t>
  </si>
  <si>
    <t>19/09/2024</t>
  </si>
  <si>
    <t>ASOCIACION DE MUJERES GESTORAS COMUNITARIAS  DE LOS MONTES DE MARIA</t>
  </si>
  <si>
    <t>CDI  LA VICTORIA</t>
  </si>
  <si>
    <t>KEILIS ALEJANDRA TOVAR</t>
  </si>
  <si>
    <t>CASASAMIGASMUGESCO@YAHOO.COM</t>
  </si>
  <si>
    <t>93.5%</t>
  </si>
  <si>
    <t xml:space="preserve">HBF EL MUNDO DE LOS NIÑOS </t>
  </si>
  <si>
    <t>AL LADO DE LA CASA INDIGENA</t>
  </si>
  <si>
    <t>HBF MI MUNDO MAGICO</t>
  </si>
  <si>
    <t>KRA 26 CALLE 113</t>
  </si>
  <si>
    <t>YENNYROJASCONTERAS@GMAIL.COM</t>
  </si>
  <si>
    <t>CALLE PRINCIPAL AL LADO DE LA CANCHA DE FUTBOL</t>
  </si>
  <si>
    <t>CCOMUNIDAD INDIGENA PAN SEÑOR</t>
  </si>
  <si>
    <t>COMUNIDAD INDIGENA EL GUAIMARO</t>
  </si>
  <si>
    <t>CMI ESCOBAR ABAJO</t>
  </si>
  <si>
    <t>ASOCIACION DE CABILDOS INDIGENAS ZENU DE PALMITO SUCRE</t>
  </si>
  <si>
    <t xml:space="preserve"> ASOCIACION BARRIO BOTERO (EL PIOLIN)</t>
  </si>
  <si>
    <t xml:space="preserve">YORLENIS BELTRAN </t>
  </si>
  <si>
    <t>800167616-6</t>
  </si>
  <si>
    <t>LAS MARIAS</t>
  </si>
  <si>
    <t>BILLARES EL NIÑO RONY</t>
  </si>
  <si>
    <t xml:space="preserve">RAFAEL SEGUNDO RUIZ </t>
  </si>
  <si>
    <t xml:space="preserve">FRENTE AL PARQUE </t>
  </si>
  <si>
    <t>M.A.RETO@HOTMAIL.COM</t>
  </si>
  <si>
    <t xml:space="preserve">BILLARES EL TENARPA </t>
  </si>
  <si>
    <t xml:space="preserve">SAMUEL ARRIETA </t>
  </si>
  <si>
    <t xml:space="preserve">LA CARRETERA </t>
  </si>
  <si>
    <t>17/11/2022</t>
  </si>
  <si>
    <t>CDI RAFAEL PATERNINA</t>
  </si>
  <si>
    <t>LILIANA SUAREZ GONZALEZ</t>
  </si>
  <si>
    <t>CALLE 9A 7-82</t>
  </si>
  <si>
    <t>CDINORTESUCRE.LOSFLAMINGOS@GMAIL.COM</t>
  </si>
  <si>
    <t xml:space="preserve">CENTRO DE VIDA DEL ADULTO MAYOR SAN ANTONIO DE PALMITO </t>
  </si>
  <si>
    <t xml:space="preserve">ANA BERLIDES GONZALEZ ROSALES </t>
  </si>
  <si>
    <t xml:space="preserve">CALLE DEL CEMENTERIO </t>
  </si>
  <si>
    <t xml:space="preserve">EL MARTILLO </t>
  </si>
  <si>
    <t xml:space="preserve">DEPOSITO EL COMPETIDOR </t>
  </si>
  <si>
    <t xml:space="preserve">FRANCISCO GUZMAN </t>
  </si>
  <si>
    <t xml:space="preserve">FRENTE AL COLEGIO PRIMARIA </t>
  </si>
  <si>
    <t>87.75%</t>
  </si>
  <si>
    <t xml:space="preserve">DONDE JAIDER </t>
  </si>
  <si>
    <t xml:space="preserve">JAIDER MARMOLEJO </t>
  </si>
  <si>
    <t>FRENTE PALACIO MUNICIPAL</t>
  </si>
  <si>
    <t xml:space="preserve">INSPECCION VIGILANCIA Y CONTROL </t>
  </si>
  <si>
    <t xml:space="preserve">ESTABLECIMIENTO EL MEREKETEKE </t>
  </si>
  <si>
    <t xml:space="preserve">LILIANA CUELLO </t>
  </si>
  <si>
    <t>CR 8 # 5-37</t>
  </si>
  <si>
    <t>22/06/2022</t>
  </si>
  <si>
    <t xml:space="preserve">ESTADERO LA BARRA CLUB </t>
  </si>
  <si>
    <t>MARIA CAROLINA REALES</t>
  </si>
  <si>
    <t>92.5%</t>
  </si>
  <si>
    <t xml:space="preserve">ESTADERO LA Y </t>
  </si>
  <si>
    <t xml:space="preserve">ANA VIRGINIA SERPA </t>
  </si>
  <si>
    <t xml:space="preserve"> LA Y </t>
  </si>
  <si>
    <t xml:space="preserve">ESTADERO PALMA REAL </t>
  </si>
  <si>
    <t xml:space="preserve">JAFETH BENITEZ </t>
  </si>
  <si>
    <t xml:space="preserve">CALLE EL HUESO </t>
  </si>
  <si>
    <t xml:space="preserve">GRANERO EL BARATON </t>
  </si>
  <si>
    <t xml:space="preserve">DIAG ANTIGUO MATADERO </t>
  </si>
  <si>
    <t xml:space="preserve">GRANERO EL RENDIDOR </t>
  </si>
  <si>
    <t xml:space="preserve">ALFONSO PADILLA </t>
  </si>
  <si>
    <t xml:space="preserve">EL MERCADO </t>
  </si>
  <si>
    <t xml:space="preserve">GRANERO LA COSECHA </t>
  </si>
  <si>
    <t>NIMBAR CAMPO</t>
  </si>
  <si>
    <t xml:space="preserve">CALLE CENTRAL ESQUINA </t>
  </si>
  <si>
    <t>90.75%</t>
  </si>
  <si>
    <t>INSPECCION VIGILANCIA Y CONTROL</t>
  </si>
  <si>
    <t xml:space="preserve">HOGAR COMUNITARIO LOS PITUFOS </t>
  </si>
  <si>
    <t>70523900072094-5</t>
  </si>
  <si>
    <t xml:space="preserve">BARRIO SAN PEDRO </t>
  </si>
  <si>
    <t>I.E. SAN ANTONIO ABAD</t>
  </si>
  <si>
    <t>LUZ ELENA GUERRA</t>
  </si>
  <si>
    <t>900030227-8</t>
  </si>
  <si>
    <t>BARRIO ARRIBA</t>
  </si>
  <si>
    <t xml:space="preserve">LLANERA LA CENTRAL </t>
  </si>
  <si>
    <t xml:space="preserve">EDILBERTO MONTES MERCADO </t>
  </si>
  <si>
    <t>FRENTE AL PALCIO MUNICIPAL</t>
  </si>
  <si>
    <t>HOGAR COMUNITARIO LOS PEQUEÑOS TRAVIESOS</t>
  </si>
  <si>
    <t>YARDENIS GUZMAN</t>
  </si>
  <si>
    <t xml:space="preserve">PANADERIA LAS DELICIAS </t>
  </si>
  <si>
    <t xml:space="preserve">SILIBETH PEREZ SIERRA </t>
  </si>
  <si>
    <t xml:space="preserve">CALLE CENTRAL </t>
  </si>
  <si>
    <t>91.5%</t>
  </si>
  <si>
    <t xml:space="preserve">PANADERIA Y REPOSTERIA  CENTRAL </t>
  </si>
  <si>
    <t xml:space="preserve">YASETH PEREZ MONTERROZA </t>
  </si>
  <si>
    <t>CR 6 # 8-16</t>
  </si>
  <si>
    <t>YASETHPEREZ123@HOTMAIL.COM</t>
  </si>
  <si>
    <t>19/</t>
  </si>
  <si>
    <t>PUNTO FRIO EL OLIVO</t>
  </si>
  <si>
    <t>JOSE CANTILLO VALETA</t>
  </si>
  <si>
    <t>KR 6 #8-24</t>
  </si>
  <si>
    <t>JOSECANTILLO2008@HOTMAIL.COM</t>
  </si>
  <si>
    <t>PUNTO FRIO LA BODEGUITA</t>
  </si>
  <si>
    <t>JOYCE CANTILLO</t>
  </si>
  <si>
    <t>KR 7 #6-26</t>
  </si>
  <si>
    <t>JOICE.CANTILLO@HOTMAIL.COM</t>
  </si>
  <si>
    <t xml:space="preserve">COMIDAS RAPIDAS EL CORRAL </t>
  </si>
  <si>
    <t xml:space="preserve">VALENTINA ANGULO PEREZ </t>
  </si>
  <si>
    <t xml:space="preserve">CALLE EL LIMON </t>
  </si>
  <si>
    <t>CALLE 7 # 8-10</t>
  </si>
  <si>
    <t xml:space="preserve">HERNANDO HERNANDEZ </t>
  </si>
  <si>
    <t>MERCADO MUNICIPAL</t>
  </si>
  <si>
    <t>14/07/2022</t>
  </si>
  <si>
    <t>RICARDO PEREZ</t>
  </si>
  <si>
    <t>18/09//2024</t>
  </si>
  <si>
    <t>16/09/2022</t>
  </si>
  <si>
    <t xml:space="preserve">TIENDA LA IDEAL </t>
  </si>
  <si>
    <t xml:space="preserve">CALLE LAS PALMAS </t>
  </si>
  <si>
    <t xml:space="preserve">TIENDA LA ÑAPA </t>
  </si>
  <si>
    <t xml:space="preserve">JULIO MONTES ALMANZA </t>
  </si>
  <si>
    <t>FRENTE AL COMANDO POLICIA</t>
  </si>
  <si>
    <t>TIENDA NACIONAL</t>
  </si>
  <si>
    <t xml:space="preserve">JADER ESCUDERO PESTANA </t>
  </si>
  <si>
    <t>26/09/2022</t>
  </si>
  <si>
    <t>MISCELANIA SAN CARLOS</t>
  </si>
  <si>
    <t>CARLOS MARIO MONTES</t>
  </si>
  <si>
    <t>CALLE LAS FLORES</t>
  </si>
  <si>
    <t xml:space="preserve">UNION TEMPORAL  UT PAE </t>
  </si>
  <si>
    <t>ASOCIACION BARRIO BOTERO (HOGAR COMUNITARIO LAS ESTRELLITAS)</t>
  </si>
  <si>
    <t>DELCY PARRA BUELVAS</t>
  </si>
  <si>
    <t>SAN MARTIN (ZONA RURAL)</t>
  </si>
  <si>
    <t>ASOCIACION BARRIO BOTERO (HOGAR COMUNITARIO NIÑOS INDIGENAS)</t>
  </si>
  <si>
    <t>ASOCIACION BARRIO BOTERO (HOGAR EL PAJARO PINTO)</t>
  </si>
  <si>
    <t>CORREGIMIENTO GUAIMI</t>
  </si>
  <si>
    <t>ASOCIACION BARRIO BOTERO (HOGAR MIS DIVINOS NIÑOS)</t>
  </si>
  <si>
    <t>PUEBLO NUEVO (ZONA RURAL)</t>
  </si>
  <si>
    <t>ASOCIACION BARRIO BOTERO (LUNA VERDE)</t>
  </si>
  <si>
    <t>LICETH TALAIGUA REYES</t>
  </si>
  <si>
    <t>ASOCIACION BARRIO BOTERO (MIS NENES ALEGRES)</t>
  </si>
  <si>
    <t>GUAIMILITO (ZONA RURAL)</t>
  </si>
  <si>
    <t xml:space="preserve">ASOCIACION COMUNITARIA BARRIO BOTERO (MI SEGUNDO HOGAR) </t>
  </si>
  <si>
    <t>LOS CASTILLOS (ZONA RURAL )</t>
  </si>
  <si>
    <t>C.E INDIGENA GUAIMARAL</t>
  </si>
  <si>
    <t>GUAIMARAL</t>
  </si>
  <si>
    <t>28/10/2022</t>
  </si>
  <si>
    <t>26/10/2022</t>
  </si>
  <si>
    <t>VEREDA SAN MARTIN</t>
  </si>
  <si>
    <t>UNION TEMPORAL INDIGENA PANZENU</t>
  </si>
  <si>
    <t xml:space="preserve">CENTRO EDUCATIVO INDIGENA ALGODONCILLO </t>
  </si>
  <si>
    <t>CENTRO EDUCATIVO INDIGENA EL PALMAR</t>
  </si>
  <si>
    <t>EL PALMAR (ZONA RURAL)</t>
  </si>
  <si>
    <t>31/10/2022</t>
  </si>
  <si>
    <t xml:space="preserve">CENTRO EDUCATIVO INDIGENA PUEBLO NUEVO </t>
  </si>
  <si>
    <t>ESTADERO LOS RECUERDOS-12</t>
  </si>
  <si>
    <t xml:space="preserve">HANYI ANGULO </t>
  </si>
  <si>
    <t>LA CEIBA</t>
  </si>
  <si>
    <t xml:space="preserve">GRANERO LA CONQUISTA </t>
  </si>
  <si>
    <t>MILLLER CAMPO MARTINEZ</t>
  </si>
  <si>
    <t xml:space="preserve">PUEBLECITO </t>
  </si>
  <si>
    <t>HOGAR COMUNITARIO (MI PEQUEÑO JARDIN)</t>
  </si>
  <si>
    <t>MARIA BURGO</t>
  </si>
  <si>
    <t>CHUPUNDUN</t>
  </si>
  <si>
    <t xml:space="preserve">HOGAR COMUNITARIO AMOR Y PAZ </t>
  </si>
  <si>
    <t>8001676166-6</t>
  </si>
  <si>
    <t xml:space="preserve">HOGAR COMUNITARIO LOS INFANTILES </t>
  </si>
  <si>
    <t xml:space="preserve">HOGAR COMUNITARIO MIS  PEQUEÑOS ANGELITOS </t>
  </si>
  <si>
    <t xml:space="preserve">MIS PRIMERAS TRAVESURAS </t>
  </si>
  <si>
    <t xml:space="preserve">NATALY DE LA CRUZ </t>
  </si>
  <si>
    <t xml:space="preserve">VEREDA VILLA DEL CARMEN </t>
  </si>
  <si>
    <t xml:space="preserve"> HOGAR COMUNITARIO MUNDO INFANTIL</t>
  </si>
  <si>
    <t xml:space="preserve">RESTAURANTE PISCICOLA LA HUERTA </t>
  </si>
  <si>
    <t xml:space="preserve">YANILZA ESTHER CUELLO </t>
  </si>
  <si>
    <t xml:space="preserve">CAMINO LAS HUERTAS </t>
  </si>
  <si>
    <t xml:space="preserve">SOL NACIENTE </t>
  </si>
  <si>
    <t>ILUMINADA PATERNINA</t>
  </si>
  <si>
    <t>LA GRAN VIA VEREDA</t>
  </si>
  <si>
    <t xml:space="preserve">TIENDA LA ESPERANZA </t>
  </si>
  <si>
    <t xml:space="preserve">EVER JOSE RODRIGUEZ ROQUEME </t>
  </si>
  <si>
    <t xml:space="preserve">UNIDAD COMUNITARIA DE ATENCION </t>
  </si>
  <si>
    <t xml:space="preserve">MARIA ALEXANDRA DAJUD </t>
  </si>
  <si>
    <t>NUEVA VENTURA (ZON A RURAL )</t>
  </si>
  <si>
    <t>BUENAVENTURA</t>
  </si>
  <si>
    <t xml:space="preserve">DALILA SALCEDO </t>
  </si>
  <si>
    <t>MEDIA SOMBRA (ZONA RURAL)</t>
  </si>
  <si>
    <t>EL ZARZAL (ZONA RURAL)</t>
  </si>
  <si>
    <t>UNION TEMPORAL HIJOS DE PIACHO RROOY</t>
  </si>
  <si>
    <t>UNIDAD COMUNITARIA DE ATENCION UCA</t>
  </si>
  <si>
    <t>CRUZ DE RAMAL (ZONA RURAL)</t>
  </si>
  <si>
    <t xml:space="preserve">BILLARES LA TENAPA </t>
  </si>
  <si>
    <t>WILFRIDO GONZALEZ</t>
  </si>
  <si>
    <t xml:space="preserve">ASOCIACION PROSPERAR COLOMBIA </t>
  </si>
  <si>
    <t xml:space="preserve">HOGAR COMUNITARIO SAN MIGUEL </t>
  </si>
  <si>
    <t>MARIA EUGENIA PALENCIA</t>
  </si>
  <si>
    <t xml:space="preserve">VEREDA SAN MIGUEL </t>
  </si>
  <si>
    <t>313 6006479</t>
  </si>
  <si>
    <t>HOGAR COMUNITARIO LUNA VERDE</t>
  </si>
  <si>
    <t>CORREGIMIENTO EL PORTILLO</t>
  </si>
  <si>
    <t>24/!0/2024</t>
  </si>
  <si>
    <t>HOGAR COMUNITARIO  MI SEGUNDO HOGAR</t>
  </si>
  <si>
    <t>CORREGIMIENTO EL MARTILLO</t>
  </si>
  <si>
    <t>LLANERA CENTRAL</t>
  </si>
  <si>
    <t xml:space="preserve">LUCY MERCADO MARMOLEJO </t>
  </si>
  <si>
    <t>HOGAR COMUNITARIO PUEBLECITO</t>
  </si>
  <si>
    <t>CORREGIMIENTO PUEBLLECITO</t>
  </si>
  <si>
    <t>11706/2023</t>
  </si>
  <si>
    <t>DISCOTECA MALIBU</t>
  </si>
  <si>
    <t xml:space="preserve">CARMEN ALICIA MUÑOZ </t>
  </si>
  <si>
    <t>CR 16 #11A-13</t>
  </si>
  <si>
    <t>TIENDA LYLY</t>
  </si>
  <si>
    <t>LILIANA ACOSTA ACEVEDO</t>
  </si>
  <si>
    <t>CALLE 8B #3A-3</t>
  </si>
  <si>
    <t xml:space="preserve">ESTADERO </t>
  </si>
  <si>
    <t xml:space="preserve">EUDOCIA CALDERA </t>
  </si>
  <si>
    <t>CAR 16 #9-18</t>
  </si>
  <si>
    <t xml:space="preserve">BIENESTAR COLECTIVO </t>
  </si>
  <si>
    <t>YESSICA MARTINEZ SALAZAR</t>
  </si>
  <si>
    <t>CALLE 11 #21B-210</t>
  </si>
  <si>
    <t>ESTADERO SI ESTAN FRIAS</t>
  </si>
  <si>
    <t>AMARFIRIA PEREZ ACEVEDO</t>
  </si>
  <si>
    <t>CALLE 11#20-87</t>
  </si>
  <si>
    <t>SEMILLAS DE VIDA PARA COLOMBIA (LA AMISTAD)</t>
  </si>
  <si>
    <t xml:space="preserve">ELINE GAIBAO MIER </t>
  </si>
  <si>
    <t>CALLE 11 # 18-79</t>
  </si>
  <si>
    <t xml:space="preserve">ESTADERO EL FARAON </t>
  </si>
  <si>
    <t>ANGELICA PERES</t>
  </si>
  <si>
    <t xml:space="preserve">BARRIO PALO ALTO </t>
  </si>
  <si>
    <t>BILLARES EL VALHALLA</t>
  </si>
  <si>
    <t xml:space="preserve">YULEIMIS MERCADO </t>
  </si>
  <si>
    <t>CALLE 10 # 18-80</t>
  </si>
  <si>
    <t>ESTADERO Y GALLERA NUEVO AMANECER</t>
  </si>
  <si>
    <t>CALLE 10 # 12-18</t>
  </si>
  <si>
    <t xml:space="preserve">RESTAURANTE RICURAS DE LA PLAYA </t>
  </si>
  <si>
    <t xml:space="preserve">YESENIA CRUZ CADRAZCO </t>
  </si>
  <si>
    <t>CALLE 12 #3-40</t>
  </si>
  <si>
    <t>I.E. MARIA INMACULADA SEDE PRINCIPAL</t>
  </si>
  <si>
    <t>JUDIS ROCHA VIDEZ</t>
  </si>
  <si>
    <t>900266993-5</t>
  </si>
  <si>
    <t>CALLE 1 # 21B-163</t>
  </si>
  <si>
    <t xml:space="preserve">ROSMARY GARAY ORTEGA </t>
  </si>
  <si>
    <t>CORREG SANTIAGO APOSTOL</t>
  </si>
  <si>
    <t>SAN BENITO ABAD</t>
  </si>
  <si>
    <t xml:space="preserve">BLODY MERY </t>
  </si>
  <si>
    <t xml:space="preserve">LUIS CARLOS PEREZ VERGARA </t>
  </si>
  <si>
    <t>DEPOSITO Y GRANERO RAMIREZ</t>
  </si>
  <si>
    <t xml:space="preserve">GUILLERMO RAMIREZ HOYOS </t>
  </si>
  <si>
    <t>CALLE 11 # 15-08</t>
  </si>
  <si>
    <t xml:space="preserve">TIENDA GERMANIA </t>
  </si>
  <si>
    <t xml:space="preserve">BRAULIA GONZALEZ ACEVEDO </t>
  </si>
  <si>
    <t>CALLE 9A #3B-33</t>
  </si>
  <si>
    <t>TIENDA LA JUNIORISTA</t>
  </si>
  <si>
    <t>RAFAEL MONTES DE OCA PUPO</t>
  </si>
  <si>
    <t>CALLE 11 # 20-119</t>
  </si>
  <si>
    <t>FUNDACION EL SOL (COMEDOR DE PREESCOLAR)</t>
  </si>
  <si>
    <t>YOLANDA ACOSTA ORTEGA</t>
  </si>
  <si>
    <t>PARQUE PRINCIPAL CASCAJALITO</t>
  </si>
  <si>
    <t>HENRY CARRASCAL</t>
  </si>
  <si>
    <t>CR 13 # 9-29</t>
  </si>
  <si>
    <t>TIENDA CAUATRO ESQUINAS # 2</t>
  </si>
  <si>
    <t>BILLARES CHAMPIONS</t>
  </si>
  <si>
    <t xml:space="preserve">LUIS FERNANDO ORTEGA </t>
  </si>
  <si>
    <t>CALLE 12 # 14-37</t>
  </si>
  <si>
    <t xml:space="preserve">TIENDA R Y R </t>
  </si>
  <si>
    <t xml:space="preserve">EMERITA ROSA ALVAREZ VILORIA </t>
  </si>
  <si>
    <t>CALLE 12 # 6-56</t>
  </si>
  <si>
    <t xml:space="preserve">TIENDA KAREN </t>
  </si>
  <si>
    <t xml:space="preserve">JESUS GONZALEZ </t>
  </si>
  <si>
    <t>CALLE 12 # 3-222</t>
  </si>
  <si>
    <t>TIENDA CAMI-JULIO</t>
  </si>
  <si>
    <t xml:space="preserve">JULIO CRUZ CADRAZCO </t>
  </si>
  <si>
    <t>CALLE 9A # 3-39</t>
  </si>
  <si>
    <t>TIENDA DIOS ES BUENO</t>
  </si>
  <si>
    <t xml:space="preserve">PABLO GONZALEZ BORJA </t>
  </si>
  <si>
    <t>CALLE 9 # 3-5</t>
  </si>
  <si>
    <t xml:space="preserve">TIENDA NICOL </t>
  </si>
  <si>
    <t xml:space="preserve">REYES CRUZ CADRAZCO </t>
  </si>
  <si>
    <t xml:space="preserve">BARRIO EL LIMON </t>
  </si>
  <si>
    <t xml:space="preserve">RESTAURANTE EL EDEN  </t>
  </si>
  <si>
    <t xml:space="preserve">ALJADIS MIER VERGARA </t>
  </si>
  <si>
    <t>CR 14 # 10-14</t>
  </si>
  <si>
    <t xml:space="preserve">TIENDA LEIDY </t>
  </si>
  <si>
    <t>LEYDI MARIA URBINA</t>
  </si>
  <si>
    <t>CALLE 10 # 12 -38</t>
  </si>
  <si>
    <t xml:space="preserve">SAN BENITO ABAD </t>
  </si>
  <si>
    <t xml:space="preserve">GRANERO EL PESCADOR </t>
  </si>
  <si>
    <t xml:space="preserve">YOLANDA BALDOVINO ALVAREZ </t>
  </si>
  <si>
    <t>CR 3 # 16-24</t>
  </si>
  <si>
    <t xml:space="preserve">RESTAURANTE LA TROJA DE JAIRO </t>
  </si>
  <si>
    <t xml:space="preserve">JAIRO CARCAMO WILCHES </t>
  </si>
  <si>
    <t>CALLE 12 #3-66</t>
  </si>
  <si>
    <t>DISTRIBUIDORA MONTES DE OCA # 2</t>
  </si>
  <si>
    <t>CR 13 # 8-8</t>
  </si>
  <si>
    <t>CANTINA EL MANGUITO</t>
  </si>
  <si>
    <t xml:space="preserve">HERNANDO MANUEL BASILIO MONTIEL </t>
  </si>
  <si>
    <t>CR 15 # 9-58</t>
  </si>
  <si>
    <t xml:space="preserve">MAURICIO TEJADA BENITEZ </t>
  </si>
  <si>
    <t>CALLE 13 # 20-23</t>
  </si>
  <si>
    <t xml:space="preserve">RESTAURANTE MARITA </t>
  </si>
  <si>
    <t xml:space="preserve">MARA LUZ FARRANYS ORTEGA </t>
  </si>
  <si>
    <t>CALLE 12 # 5-5</t>
  </si>
  <si>
    <t xml:space="preserve">ESTADERO PUNTO FRIO </t>
  </si>
  <si>
    <t xml:space="preserve">SAMUEL JOSE MARTELO </t>
  </si>
  <si>
    <t>CALLE 11 # 15-27</t>
  </si>
  <si>
    <t xml:space="preserve">TIENDA 4 ESQUINAS </t>
  </si>
  <si>
    <t xml:space="preserve">MARIA BENITEZ DIAZ </t>
  </si>
  <si>
    <t>CALLE 11 # 18-8</t>
  </si>
  <si>
    <t xml:space="preserve">PANADERIA EL BUEN O GRAN  SABOR </t>
  </si>
  <si>
    <t>ALEXIS GARCIA SOTO</t>
  </si>
  <si>
    <t>CALLE 11 # 15-64</t>
  </si>
  <si>
    <t xml:space="preserve">TIENDA MERCA LUZ </t>
  </si>
  <si>
    <t xml:space="preserve">LUZ MARY VILLALBA </t>
  </si>
  <si>
    <t>CALLE 13 #12-4</t>
  </si>
  <si>
    <t>ASADOS RICO POLLO</t>
  </si>
  <si>
    <t xml:space="preserve">MARIA ARRIETA BOHORQUEZ </t>
  </si>
  <si>
    <t xml:space="preserve">BRISAS DEL ZULIA </t>
  </si>
  <si>
    <t xml:space="preserve">ESTADERO LA PRIMAVERA </t>
  </si>
  <si>
    <t>MANUEL HERAZO MARQUEZ</t>
  </si>
  <si>
    <t>CALLE 12 # 21C-18</t>
  </si>
  <si>
    <t xml:space="preserve">RESTAURANTE GENESIS </t>
  </si>
  <si>
    <t xml:space="preserve">ANGELICA BARBOZA BARBOZA </t>
  </si>
  <si>
    <t>CALLE 11 # 20-11</t>
  </si>
  <si>
    <t xml:space="preserve">ESTADERO Y RESTAURANTE PLAYA ALTA </t>
  </si>
  <si>
    <t xml:space="preserve">TIENDA MI PUEBLITO </t>
  </si>
  <si>
    <t xml:space="preserve">MARCEL VERGARA MEDINA </t>
  </si>
  <si>
    <t>CR 2 # 3-336</t>
  </si>
  <si>
    <t>GRANERO JIMENEZ BUELVAS</t>
  </si>
  <si>
    <t xml:space="preserve">CELSO JIMENEZ HERAZO </t>
  </si>
  <si>
    <t>CALLE 11 # 13-49</t>
  </si>
  <si>
    <t>RESTAURANTE DIOS PROVEERA</t>
  </si>
  <si>
    <t>FABIAN IMBETT VIDEZ</t>
  </si>
  <si>
    <t>CALLE 14 # 12-15</t>
  </si>
  <si>
    <t xml:space="preserve">KIOSKO LA MIA </t>
  </si>
  <si>
    <t xml:space="preserve">GERTRUDIS VERGARA RAMOS </t>
  </si>
  <si>
    <t>CALLE 11 # 22-15</t>
  </si>
  <si>
    <t xml:space="preserve">ASADERO JOSE MAR </t>
  </si>
  <si>
    <t xml:space="preserve">MARIA PEREZ MIER </t>
  </si>
  <si>
    <t>CALLE 10 # 6-188</t>
  </si>
  <si>
    <t>LA CAVA NEGRA</t>
  </si>
  <si>
    <t>LEYDIS GOEZ TRUCO</t>
  </si>
  <si>
    <t>PALO ALTICO</t>
  </si>
  <si>
    <t xml:space="preserve">DISCO BAR LA BARRA </t>
  </si>
  <si>
    <t xml:space="preserve">SINDRY CANABAL VIDEZ </t>
  </si>
  <si>
    <t>CR 16 # 15-19</t>
  </si>
  <si>
    <t xml:space="preserve">TIENDA CORONCORO </t>
  </si>
  <si>
    <t xml:space="preserve">CANDELARIA MONTES DE OCCA PUPO </t>
  </si>
  <si>
    <t>CALLE 9 # 9-15</t>
  </si>
  <si>
    <t xml:space="preserve">TIENDA EL MILAGROSO </t>
  </si>
  <si>
    <t>RODRIGO RAMIREZ HOYOS</t>
  </si>
  <si>
    <t>CALLE 11 # 14-9</t>
  </si>
  <si>
    <t>SEMILLAS DE VIDA PARA COLOMBIA ( EL MILAGRO)</t>
  </si>
  <si>
    <t xml:space="preserve">ENADYS HERNANDEZ ROMERO </t>
  </si>
  <si>
    <t>CALLE 11 # 18-36</t>
  </si>
  <si>
    <t xml:space="preserve">FUNDACION SEMILLAS DE LA VIDA PARA COLOMBIA (LOS ALMENDROS) </t>
  </si>
  <si>
    <t xml:space="preserve">YORLADIS REYES CARDENAS </t>
  </si>
  <si>
    <t>CALLE 14 # 8-32</t>
  </si>
  <si>
    <t xml:space="preserve">RESTAURANTE EL CARBON VILLERO </t>
  </si>
  <si>
    <t xml:space="preserve">ANA BEATRIZ FERIA </t>
  </si>
  <si>
    <t>CALLE 11 # 10-41</t>
  </si>
  <si>
    <t xml:space="preserve">PLAN B </t>
  </si>
  <si>
    <t xml:space="preserve">YESELENIS CORREA MERCADO </t>
  </si>
  <si>
    <t>CALLE 5 # 39-6</t>
  </si>
  <si>
    <t xml:space="preserve">ESTADERO MI HERMANO Y YO </t>
  </si>
  <si>
    <t xml:space="preserve">JOSE LUIS SALCEDO </t>
  </si>
  <si>
    <t>CALLE 12 #6-30</t>
  </si>
  <si>
    <t xml:space="preserve">ESTADERO Y RESTAURANTE LA PLAYITA GASTRO BAR </t>
  </si>
  <si>
    <t xml:space="preserve">SEBASTIAN MARIO PEREZ </t>
  </si>
  <si>
    <t>CALLE 12 # 3-74</t>
  </si>
  <si>
    <t xml:space="preserve">RESTAURANTE EL TAMARINDO </t>
  </si>
  <si>
    <t xml:space="preserve">ADALBERTO CALDERA </t>
  </si>
  <si>
    <t>CALLE 16 # 10-33</t>
  </si>
  <si>
    <t xml:space="preserve">ESTADERO EL RINCON CARIBEÑO </t>
  </si>
  <si>
    <t>LUZ ESTELLA BENITEZ</t>
  </si>
  <si>
    <t>CR 14 # 8-55</t>
  </si>
  <si>
    <t>FUNDACION SEMILLAS DE VIDA PARA COLOMBIA (EL DORADO)</t>
  </si>
  <si>
    <t xml:space="preserve">DIGNA MARTINEZ NEIZZER </t>
  </si>
  <si>
    <t xml:space="preserve">BARRIO CASCAJALITO </t>
  </si>
  <si>
    <t>FUNDACION SEMILLAS DE VIDA PARA COLOMBIA (LOS COQUITOS)</t>
  </si>
  <si>
    <t xml:space="preserve">SIXTA TULIA BENAVIDES QUEZADA </t>
  </si>
  <si>
    <t xml:space="preserve">BARRIO EL PRADO </t>
  </si>
  <si>
    <t xml:space="preserve">FUNDACION PROSPERAR COLOMBIA </t>
  </si>
  <si>
    <t xml:space="preserve">JOSE MUÑOZ BENITEZ </t>
  </si>
  <si>
    <t>CALLE 12 # 6-73</t>
  </si>
  <si>
    <t xml:space="preserve">FUNDACION SEMILLAS DE VIDA PARA COLOMBIA </t>
  </si>
  <si>
    <t xml:space="preserve">ANA ISABEL LEON MUÑOZ </t>
  </si>
  <si>
    <t>83031099-2</t>
  </si>
  <si>
    <t>CALLE 21 # 20-112</t>
  </si>
  <si>
    <t xml:space="preserve">DISTRIBUCIONES MONTES DE OCA </t>
  </si>
  <si>
    <t>CALLE 12 # 12-3</t>
  </si>
  <si>
    <t xml:space="preserve">TIENDA DONDE MAYO </t>
  </si>
  <si>
    <t>ESTEBAN MANUEL MIER</t>
  </si>
  <si>
    <t>CALLE 12 # 3-160</t>
  </si>
  <si>
    <t>MI RANCHITO DON HECTOR</t>
  </si>
  <si>
    <t>HECTOR ARRIETA BETIN</t>
  </si>
  <si>
    <t xml:space="preserve">TIENDA MEDELLIN  </t>
  </si>
  <si>
    <t xml:space="preserve">JUAN DAVID QUINTERO </t>
  </si>
  <si>
    <t>CALLE 12 # 11-36</t>
  </si>
  <si>
    <t>BAR EL NISPERO</t>
  </si>
  <si>
    <t xml:space="preserve">ELICEO VILLAREAL RAMOS </t>
  </si>
  <si>
    <t>CR 25 # 9A-27</t>
  </si>
  <si>
    <t>TIENDA VILLA HERMOSA</t>
  </si>
  <si>
    <t>HECTOR RESTREPO</t>
  </si>
  <si>
    <t>CR 14 # 12-27</t>
  </si>
  <si>
    <t xml:space="preserve">SUPER TIENDA LA ECONOMIA </t>
  </si>
  <si>
    <t xml:space="preserve">MARIA ACENETH MARIO </t>
  </si>
  <si>
    <t>CR 14 # 9-25</t>
  </si>
  <si>
    <t>TIENDA LA EVANGELICA  # 2</t>
  </si>
  <si>
    <t xml:space="preserve">JOSE LUIS ORTEGA MENDOZA </t>
  </si>
  <si>
    <t>CR 14 # 13-3</t>
  </si>
  <si>
    <t xml:space="preserve">TIENDA LA NIÑA LAUREN </t>
  </si>
  <si>
    <t xml:space="preserve">ELIANA MONTES DE OCA PUPO </t>
  </si>
  <si>
    <t>CALLE 8 # 10-49</t>
  </si>
  <si>
    <t xml:space="preserve">RESTAURANTE BETANIA </t>
  </si>
  <si>
    <t>KEYLA DIAZ CARCAMO</t>
  </si>
  <si>
    <t>CALLE 12 # 3-87</t>
  </si>
  <si>
    <t>75.75%</t>
  </si>
  <si>
    <t xml:space="preserve">ESTADERO EL HUECO </t>
  </si>
  <si>
    <t>CR 16 # 9-18</t>
  </si>
  <si>
    <t>LICORES Y BEBIDAS LA 12</t>
  </si>
  <si>
    <t>ANA RAMIREZ GUEVARA</t>
  </si>
  <si>
    <t>CALLE 12 # 12-06</t>
  </si>
  <si>
    <t>RESTAURANTE MARIA</t>
  </si>
  <si>
    <t>ENA MARTINEZ RIVERA</t>
  </si>
  <si>
    <t>RESTAURANTE SABORES DE MI TIERRA</t>
  </si>
  <si>
    <t xml:space="preserve">CARMEN BRAVO GUARIN </t>
  </si>
  <si>
    <t>BARRIO PALO ALTICO</t>
  </si>
  <si>
    <t>FUNDACION TEMPORAL POR EL PROGRESO DE LA NIÑEZ (CDI SAN BENITO ABAD)</t>
  </si>
  <si>
    <t>KAROLAID MARTINEZ MERCADO</t>
  </si>
  <si>
    <t>901677501-2</t>
  </si>
  <si>
    <t xml:space="preserve">FUNDACION SEMILLAS DE VIDA PARA COLOMBIA (LOS PICAPIEDRAS) </t>
  </si>
  <si>
    <t xml:space="preserve">TULIA MENDOZA URUTIA </t>
  </si>
  <si>
    <t>830520399-2</t>
  </si>
  <si>
    <t>CALLE 11 #7A-100</t>
  </si>
  <si>
    <t xml:space="preserve">ESTADERO BRISAS DEL CARMEN </t>
  </si>
  <si>
    <t xml:space="preserve">FRANCISCO BENITEZ CALDERA </t>
  </si>
  <si>
    <t>CR 15 # 9A-8</t>
  </si>
  <si>
    <t xml:space="preserve">CANCHA LOS ABETOS </t>
  </si>
  <si>
    <t xml:space="preserve">LUIS FRANCISCO ATENCIA PARRA </t>
  </si>
  <si>
    <t>CALLE 13 # 21A-222</t>
  </si>
  <si>
    <t xml:space="preserve">ESTADERO EL PORTON ROJO </t>
  </si>
  <si>
    <t>CALLE 9 # 14-29</t>
  </si>
  <si>
    <t xml:space="preserve">TIENDA MI TIENDA </t>
  </si>
  <si>
    <t>CARMEN CASTRO BUSTO</t>
  </si>
  <si>
    <t>CALLE 11 3 18-103</t>
  </si>
  <si>
    <t xml:space="preserve">ALFONSO MUÑOZ CALDERA </t>
  </si>
  <si>
    <t>CALLE 10 # 11-45</t>
  </si>
  <si>
    <t xml:space="preserve">TIENDA SAMY </t>
  </si>
  <si>
    <t xml:space="preserve">FRANCISCO GARAVITO AGAMEZ </t>
  </si>
  <si>
    <t>CALLE 11 # 16-02</t>
  </si>
  <si>
    <t xml:space="preserve">FUNDACION SEMILLAS DE VIDA PARA COLOMBIA (LOS ANGELES) </t>
  </si>
  <si>
    <t xml:space="preserve">VICTORIA FERNANDEZ GARAVITO </t>
  </si>
  <si>
    <t xml:space="preserve">CALLE 11 # 9-130 SAN JOSE </t>
  </si>
  <si>
    <t>FUNDACION SEMILLAS DE VIDA PARA COLOMBIA (LA INFANCIA)</t>
  </si>
  <si>
    <t xml:space="preserve">ANA ISABEL LEON </t>
  </si>
  <si>
    <t>CALLE 11 # 20-112</t>
  </si>
  <si>
    <t>RESTAURANTE EL PUERTO</t>
  </si>
  <si>
    <t>SONIA VERGARA ACEVEDO</t>
  </si>
  <si>
    <t>CALLE 12 # 3 - 4</t>
  </si>
  <si>
    <t>RESTAURANTE PUERTO BELLO</t>
  </si>
  <si>
    <t>ALIDES BENITEZ GOEZ</t>
  </si>
  <si>
    <t>CALLE 12 # 3 - 13</t>
  </si>
  <si>
    <t>RESTAURANTE DONDE YAQUE</t>
  </si>
  <si>
    <t>YAQUELINA FERIA VERGARA</t>
  </si>
  <si>
    <t>CALLE 12 # 3 - 67</t>
  </si>
  <si>
    <t>ESTADERO LOS SOCIOS</t>
  </si>
  <si>
    <t>WILSON DE JESUS CHADID BLANQUICETH</t>
  </si>
  <si>
    <t>CALLE 12 # 14 - 37</t>
  </si>
  <si>
    <t xml:space="preserve">ESTADERO EL REPUNTON </t>
  </si>
  <si>
    <t>EMIRO CALI VILLADIEGO</t>
  </si>
  <si>
    <t>SECTOR PUERTO LAS MALVINAS</t>
  </si>
  <si>
    <t xml:space="preserve">ESTADERO EL RANCHO NO ES MIO </t>
  </si>
  <si>
    <t xml:space="preserve">ANDRES ALVAREZ MERCADO </t>
  </si>
  <si>
    <t>CALLE 9 # 4-5</t>
  </si>
  <si>
    <t>TIENDA B Y E</t>
  </si>
  <si>
    <t>BREINDYS DEL CARMEN SOLORZANO</t>
  </si>
  <si>
    <t xml:space="preserve">CLL 8 N 10 </t>
  </si>
  <si>
    <t xml:space="preserve">PASTELERIA KENA </t>
  </si>
  <si>
    <t xml:space="preserve">KELLY JOHANA HERNANDEZ </t>
  </si>
  <si>
    <t>CALLE 6 #10-26</t>
  </si>
  <si>
    <t>KELLYJOHA1984@GMAIL.COM</t>
  </si>
  <si>
    <t>25/10/2019</t>
  </si>
  <si>
    <t>LLANERA Y RESTAURANTE CENTRAL</t>
  </si>
  <si>
    <t>92027709-5</t>
  </si>
  <si>
    <t>ORLANDO GALINDO BADEL</t>
  </si>
  <si>
    <t>CRA 12 #9 - 04</t>
  </si>
  <si>
    <t>ORLANDOGALINDO@GMAIL.COM</t>
  </si>
  <si>
    <t>71,50%</t>
  </si>
  <si>
    <t>18/04/2023</t>
  </si>
  <si>
    <t xml:space="preserve">MARIO BURGER </t>
  </si>
  <si>
    <t xml:space="preserve">MARIO HERNANDEZ KLEBER </t>
  </si>
  <si>
    <t>CALLE 8 # 8-55</t>
  </si>
  <si>
    <t>MARIOHK@HOTMAIL.COM</t>
  </si>
  <si>
    <t>19/10/2021</t>
  </si>
  <si>
    <t xml:space="preserve">PANADERIA DELIPAN </t>
  </si>
  <si>
    <t xml:space="preserve">JUAN CARLOS RAMIREZ CARREÑO </t>
  </si>
  <si>
    <t>CALLE 9 # 10-57</t>
  </si>
  <si>
    <t>DELIPAN@GMAIL.COM</t>
  </si>
  <si>
    <t>24/06/2024</t>
  </si>
  <si>
    <t>65,50%</t>
  </si>
  <si>
    <t>20/08/2021</t>
  </si>
  <si>
    <t>72,50%</t>
  </si>
  <si>
    <t>16/06/2020</t>
  </si>
  <si>
    <t xml:space="preserve">PANADERIA  LA TENTACION </t>
  </si>
  <si>
    <t>JOEL RAFAEL VIANA</t>
  </si>
  <si>
    <t>CR 10 #7-06</t>
  </si>
  <si>
    <t>JOELVIANA14@GMAIL.COM</t>
  </si>
  <si>
    <t>25/08/2025</t>
  </si>
  <si>
    <t>69,50%</t>
  </si>
  <si>
    <t>66,50%</t>
  </si>
  <si>
    <t>MARIA DEL SOCORRO RAMOS RUZ</t>
  </si>
  <si>
    <t>RESTAURANTE EL TREBOL</t>
  </si>
  <si>
    <t xml:space="preserve">MARIA DEL SOCORRO RAMOS </t>
  </si>
  <si>
    <t>CR 14 #11A #8 LOCAL 6</t>
  </si>
  <si>
    <t>MARIARAMOSRUIZ23@GMAIL.COM</t>
  </si>
  <si>
    <t>15/03/2022</t>
  </si>
  <si>
    <t>IE SAN JUAN BAUSTISTA SEDE SAN PEDRO APOSTOL</t>
  </si>
  <si>
    <t>900223291-9</t>
  </si>
  <si>
    <t>ALFREDO CARLOS MERLANO IRIARTE</t>
  </si>
  <si>
    <t>TV 4 15A</t>
  </si>
  <si>
    <t>FUNISEMFE@GMAIL.COM</t>
  </si>
  <si>
    <t>INSTITUCION EDUCATIVA DE GRANADA SEDE PRIMARIA</t>
  </si>
  <si>
    <t>INSTITUCION EDUCATIVA DE GRANADA SEDE PRINCIPAL</t>
  </si>
  <si>
    <t>INSTITUCION EDUCATIVA SAN JUAN BAUTISTA DE LA SALLE-SEDE PRIMARIA</t>
  </si>
  <si>
    <t>CLL 11 #17-102</t>
  </si>
  <si>
    <t>IE ANTONIA SANTOS SEDE SAGRADO CORAZON DE JESUS</t>
  </si>
  <si>
    <t>GISELLA CASTILLA</t>
  </si>
  <si>
    <t>CRA 6 CLL 7</t>
  </si>
  <si>
    <t>IE ANTONIA SANTOS SEDE ANTONIO RICAUTE</t>
  </si>
  <si>
    <t>CRA 13 # 5</t>
  </si>
  <si>
    <t xml:space="preserve">SAN LUIS DE SINCÉ </t>
  </si>
  <si>
    <t>IE ANTONIA SANTOS SEDE PEDRO ESPINOSA</t>
  </si>
  <si>
    <t>LLANERA EL PORVENIR</t>
  </si>
  <si>
    <t>CRA 10 CL 136</t>
  </si>
  <si>
    <t xml:space="preserve">BROTHERS FAST FOOD </t>
  </si>
  <si>
    <t>DEIBER TABOR</t>
  </si>
  <si>
    <t>CRA 11 #6-31</t>
  </si>
  <si>
    <t>BAMBU VARIEDAD Y SABOR</t>
  </si>
  <si>
    <t>AQUILINO OVIEDO ACOSTA</t>
  </si>
  <si>
    <t>CRA 10 CALLE 12 # 96</t>
  </si>
  <si>
    <t>JEFERSONMIHIJO7@GMAIL.COM</t>
  </si>
  <si>
    <t>18/03/2025</t>
  </si>
  <si>
    <t xml:space="preserve">HOGAR DE BIENESTAR LOS ANGELES </t>
  </si>
  <si>
    <t>CALLE 14 #6-39</t>
  </si>
  <si>
    <t>ASOCIACION DE PADRES DE FAMILIA DE LOS HOGARES DE BIENESTAR DEL MUNICIPIO DE SINCE</t>
  </si>
  <si>
    <t>HOGAR DE BIENESTAR MANITAS TRAVIESAS</t>
  </si>
  <si>
    <t>800187842-1</t>
  </si>
  <si>
    <t>JOHANA TOVAR PETANO</t>
  </si>
  <si>
    <t>CALLE 12A # 14B-10</t>
  </si>
  <si>
    <t>ASOSINCE1@HOTMAIL.COM</t>
  </si>
  <si>
    <t>24/07/2023</t>
  </si>
  <si>
    <t>I.E. ANTONIA SANTOS PRIMARIA</t>
  </si>
  <si>
    <t>ANA ZAPATA OSPINA</t>
  </si>
  <si>
    <t>SANTOSANTONIA94@GMAIL.COM</t>
  </si>
  <si>
    <t>22/03/2023</t>
  </si>
  <si>
    <t xml:space="preserve">CDI RAYITO DE LUZ </t>
  </si>
  <si>
    <t>CR 17 CL 13A-23</t>
  </si>
  <si>
    <t>RIOSCINDY2305@GMAIL.COM</t>
  </si>
  <si>
    <t>14/07/2021</t>
  </si>
  <si>
    <t>CLAUSURA TEMPORAL TOTAL DEL ESTABLECIMIENTO</t>
  </si>
  <si>
    <t xml:space="preserve">CDI ANGEL DE LA GUARDA </t>
  </si>
  <si>
    <t>CR 5 # 10-90</t>
  </si>
  <si>
    <t>ENA MEZA DE QUIROZ</t>
  </si>
  <si>
    <t xml:space="preserve">LA TRANSFORMACION </t>
  </si>
  <si>
    <t>HOGAR DE BIENESTAR ALEGRIA DE LOS NIÑOS</t>
  </si>
  <si>
    <t>CALLE 9 # 1-147</t>
  </si>
  <si>
    <t>15/11/2024</t>
  </si>
  <si>
    <t>HOGAR DE BIENESTAR FAMILIAR BUEN JESUS</t>
  </si>
  <si>
    <t>CALLE 6 #1-89</t>
  </si>
  <si>
    <t>96,50%</t>
  </si>
  <si>
    <t>HOGAR DE BIENESTAR FAMILIA ESPIRITU SANTO #2</t>
  </si>
  <si>
    <t>CRA 15A #127</t>
  </si>
  <si>
    <t>8230011984-2</t>
  </si>
  <si>
    <t>MARIA HERNANDEZ</t>
  </si>
  <si>
    <t>CRA 9 #15B-22</t>
  </si>
  <si>
    <t>20/11/2024</t>
  </si>
  <si>
    <t>HOGAR DE BIENESTAR CARITAS FELICES #1</t>
  </si>
  <si>
    <t>CALLE 6 # 15 - 24</t>
  </si>
  <si>
    <t>HOGAR DE BIENESTAR CARITAS FELICES #2</t>
  </si>
  <si>
    <t>CRA 12 #15A - 64</t>
  </si>
  <si>
    <t>HOGAR DE BIENESTAR MIS TRAVESURAS</t>
  </si>
  <si>
    <t>CLL 10 CRA 18A - 62</t>
  </si>
  <si>
    <t>HOGAR DE BIENESTAR NIÑOS FELICES</t>
  </si>
  <si>
    <t>CRA 14 #5A-32</t>
  </si>
  <si>
    <t>HOGAR DE BIENESTAR FAMILIAR MIS TRAVESURAS #2</t>
  </si>
  <si>
    <t>CLL 14A #8 - 16</t>
  </si>
  <si>
    <t>HOGAR DE BIENESTAR MIS PERSONITAS</t>
  </si>
  <si>
    <t>CRA 14 #3-64</t>
  </si>
  <si>
    <t>23/04/2025</t>
  </si>
  <si>
    <t xml:space="preserve">HOGAR DE BIENESTAR FAMILIA PEQUEÑIN </t>
  </si>
  <si>
    <t>80018792-1</t>
  </si>
  <si>
    <t>JOHANA PRIN TOVAR PETANO</t>
  </si>
  <si>
    <t>CRA 10A # 1-69</t>
  </si>
  <si>
    <t>ASOCIACION PADRES DE FAMILIA DE LOS HOGARES DE BIENESTAR DEL MUNICIPIO DE SINCE</t>
  </si>
  <si>
    <t>HOGAR DE BIENESTAR LOS ANGELES</t>
  </si>
  <si>
    <t>CALLE 14#6-29</t>
  </si>
  <si>
    <t>ASOSINCE01@HOTMAIL.COM</t>
  </si>
  <si>
    <t>HOGAR DE BIENESTAR MI CARRUSEL</t>
  </si>
  <si>
    <t>CALLE 15A #14-28</t>
  </si>
  <si>
    <t>HOGAR DE BIENESTAR FAMILIAR EL ESPIRITU SANTO #1</t>
  </si>
  <si>
    <t>CRA 14#15A-22</t>
  </si>
  <si>
    <t>HOGAR DE BIENESTAR FAMILIAR EL TREBOL</t>
  </si>
  <si>
    <t>CRA 14#12-75</t>
  </si>
  <si>
    <t>HOGAR DE BIENESTAR FAMILIAR MARIPOSITA ALEGRE</t>
  </si>
  <si>
    <t>CALLE 14 #6-12</t>
  </si>
  <si>
    <t>CALL 8A 23-40</t>
  </si>
  <si>
    <t>HOGAR DE BIENESTAR FAMILIAR LA ESTRELLITA</t>
  </si>
  <si>
    <t>CALLE 15-14-35</t>
  </si>
  <si>
    <t>HOGAR DE BIENESTAR FAMILIAR JESUS DE NAZARET</t>
  </si>
  <si>
    <t>CALLE 8A # 23-40</t>
  </si>
  <si>
    <t>LOGISTICA Y GESTIONES BENITO S.A.S</t>
  </si>
  <si>
    <t>INSTITUCION EDUCATIVA COCOROTE</t>
  </si>
  <si>
    <t>CALLE PRINCIPAL COCOROTE</t>
  </si>
  <si>
    <t>INSTITUCION EDUCATIVA MORALITO PRINCIPAL</t>
  </si>
  <si>
    <t>73,50%</t>
  </si>
  <si>
    <t>INSTITUCION EDUCATIVA VALENCIA</t>
  </si>
  <si>
    <t>CORREGIMIENTO DE VALENCIA</t>
  </si>
  <si>
    <t>23/04/2024</t>
  </si>
  <si>
    <t>HOGAR BIENESTAR FAMILIAR LOS REYESITOS</t>
  </si>
  <si>
    <t>CRA 15 CALLE 15 #15 -03</t>
  </si>
  <si>
    <t>13/06/2023</t>
  </si>
  <si>
    <t>84,55</t>
  </si>
  <si>
    <t xml:space="preserve"> TIEND ARA 0272</t>
  </si>
  <si>
    <t>JORGE MANUEL CALDEIRA DOS SANTOS</t>
  </si>
  <si>
    <t>CR 11 #8-24</t>
  </si>
  <si>
    <t>CORDINADOR.OPERACIONES.R6@JERONIMO-MARTINS.COM</t>
  </si>
  <si>
    <t>67,55</t>
  </si>
  <si>
    <t>TIENDA EL CENTAVO MENOS</t>
  </si>
  <si>
    <t xml:space="preserve">ANDRES MANUEL SOLANO VERGARA </t>
  </si>
  <si>
    <t xml:space="preserve">CALLE 9 CR4 ESQUINA </t>
  </si>
  <si>
    <t>07DONANDRES@GMAIL.COM</t>
  </si>
  <si>
    <t>24/05/2021</t>
  </si>
  <si>
    <t>78,25%</t>
  </si>
  <si>
    <t>DEPOSITO EL COSTEÑO</t>
  </si>
  <si>
    <t>ALBERTO FERNANDEZ</t>
  </si>
  <si>
    <t>CALLE 10#9-44</t>
  </si>
  <si>
    <t>DEPOSITOELCOSTENO1@GAMIL.COM</t>
  </si>
  <si>
    <t>78,75%</t>
  </si>
  <si>
    <t>24/04/2023</t>
  </si>
  <si>
    <t>23/03/2022</t>
  </si>
  <si>
    <t xml:space="preserve">GRANERO MERCAYA </t>
  </si>
  <si>
    <t xml:space="preserve">JOSE ALFREDO POLO BARROZO </t>
  </si>
  <si>
    <t>CALLE 8 # 16-04</t>
  </si>
  <si>
    <t xml:space="preserve">TIENDA D1 </t>
  </si>
  <si>
    <t>alfredo.linero@d1.com.co</t>
  </si>
  <si>
    <t xml:space="preserve">TIENDA DONDE NORMA </t>
  </si>
  <si>
    <t xml:space="preserve">NORMA CASTILLO HERNANDEZ </t>
  </si>
  <si>
    <t>BARRIO PALACIO</t>
  </si>
  <si>
    <t>21/06/2019</t>
  </si>
  <si>
    <t>84,25%</t>
  </si>
  <si>
    <t>MERCAMAX</t>
  </si>
  <si>
    <t>92027714-2</t>
  </si>
  <si>
    <t>JAIRO MEZA GAMARRA</t>
  </si>
  <si>
    <t>CALLE 7 #8-74</t>
  </si>
  <si>
    <t>71,75%</t>
  </si>
  <si>
    <t>70,25%</t>
  </si>
  <si>
    <t xml:space="preserve">PANADERIA Y RESPOTERIA ANTOJOS </t>
  </si>
  <si>
    <t xml:space="preserve">INDIRA MADERA AGUAS </t>
  </si>
  <si>
    <t>CR 15 # 5-61</t>
  </si>
  <si>
    <t>TIENDA DONDE WILLY</t>
  </si>
  <si>
    <t xml:space="preserve">WILLIAM VERGARA VERGARA </t>
  </si>
  <si>
    <t xml:space="preserve">CR 14 CALLE 11 ESQUINA </t>
  </si>
  <si>
    <t>30/11/2020</t>
  </si>
  <si>
    <t xml:space="preserve">TIENDA LA REGIONAL </t>
  </si>
  <si>
    <t>JAIRO CANTERO VILORIA</t>
  </si>
  <si>
    <t>CALLE 12 #13-11</t>
  </si>
  <si>
    <t>15/08/2024</t>
  </si>
  <si>
    <t xml:space="preserve">GRANERO LA MEJOR ESQUINA </t>
  </si>
  <si>
    <t xml:space="preserve">RAUL SANTANDER LARA ARRIETA </t>
  </si>
  <si>
    <t>CR 13 # 11-94</t>
  </si>
  <si>
    <t>76,75%</t>
  </si>
  <si>
    <t>22/05/2021</t>
  </si>
  <si>
    <t xml:space="preserve">TIENDA VILLA FATIMA </t>
  </si>
  <si>
    <t xml:space="preserve">NELLY RICARDO RODRIGUEZ </t>
  </si>
  <si>
    <t>CR 11 # 04-01</t>
  </si>
  <si>
    <t xml:space="preserve">SUPERTIENDA LA REAL </t>
  </si>
  <si>
    <t xml:space="preserve">JESUS SERNA HERNANDEZ </t>
  </si>
  <si>
    <t>CALLE 8 # 10-04</t>
  </si>
  <si>
    <t>25/11/2021</t>
  </si>
  <si>
    <t xml:space="preserve">TIENDA EL BUEN COMIENZO </t>
  </si>
  <si>
    <t xml:space="preserve">KELLY VERGARA PATERNINA </t>
  </si>
  <si>
    <t>CALLE 11 # 17-148</t>
  </si>
  <si>
    <t>vergarak@hotmail.com</t>
  </si>
  <si>
    <t>29/07/2024</t>
  </si>
  <si>
    <t xml:space="preserve">TIENDA EL SURTIDOR </t>
  </si>
  <si>
    <t xml:space="preserve">ROBERTO MOLINA SIERRA </t>
  </si>
  <si>
    <t>CR 25 # 22B-86</t>
  </si>
  <si>
    <t>16/09/2024</t>
  </si>
  <si>
    <t xml:space="preserve">TIENDA EL MEJOR PUNTO DEL AHORRO </t>
  </si>
  <si>
    <t>1100400814-1</t>
  </si>
  <si>
    <t>GABRIEL MEZA AGUAS</t>
  </si>
  <si>
    <t>CALLE 5 ESCUADRA 11 ESQUINA</t>
  </si>
  <si>
    <t xml:space="preserve">JOHNNY FIGEROA MENDOZA </t>
  </si>
  <si>
    <t>CR 12 # 15-15</t>
  </si>
  <si>
    <t>JOHNNY_FIGUEROA-MENDOZA@GAMIL.COM</t>
  </si>
  <si>
    <t>16/05/2022</t>
  </si>
  <si>
    <t xml:space="preserve">TIENDA EL OLIVO </t>
  </si>
  <si>
    <t xml:space="preserve">IDANIA GARCIA DIAZ </t>
  </si>
  <si>
    <t>CR 15 # 6-16</t>
  </si>
  <si>
    <t>80,75%</t>
  </si>
  <si>
    <t xml:space="preserve">DEPOSITO EL PUNTO DEL POLLO </t>
  </si>
  <si>
    <t xml:space="preserve">GUSTAVO GALINDO HERRERA </t>
  </si>
  <si>
    <t>CALLE 9 # 12 -64</t>
  </si>
  <si>
    <t>GUSTAVOG-1020@GMAIL.COM</t>
  </si>
  <si>
    <t>27/09/2024</t>
  </si>
  <si>
    <t>KIOSKO SAN PEDRO</t>
  </si>
  <si>
    <t>92029994-7</t>
  </si>
  <si>
    <t>ENRIQUE ALDANA CASTRO</t>
  </si>
  <si>
    <t>BARRIO SAN PEDRO</t>
  </si>
  <si>
    <t>77,75%</t>
  </si>
  <si>
    <t xml:space="preserve">TIENDA DISTRIPOLLO SINCE </t>
  </si>
  <si>
    <t xml:space="preserve">JOSE DE LOS SANTOS CASTILLA </t>
  </si>
  <si>
    <t>CR 12 # 9-26</t>
  </si>
  <si>
    <t>28/06/2021</t>
  </si>
  <si>
    <t>EL ANTIOQUEÑO H.R. S.A.S.</t>
  </si>
  <si>
    <t>CALLE 12 # 9-09</t>
  </si>
  <si>
    <t>HRANTIOQUEÑO@GMAIL.COM</t>
  </si>
  <si>
    <t>24/09/2024</t>
  </si>
  <si>
    <t>CACHO BURDEL</t>
  </si>
  <si>
    <t xml:space="preserve">ANA LORENA PEREZ </t>
  </si>
  <si>
    <t>CRA 6-12-60</t>
  </si>
  <si>
    <t>ANALORE202009@HOTMAIL.COM</t>
  </si>
  <si>
    <t xml:space="preserve">RODRIGO ALIRIO SALAZAR </t>
  </si>
  <si>
    <t>CALLE 9 # 8-64</t>
  </si>
  <si>
    <t>28/11/2022</t>
  </si>
  <si>
    <t>DULCERIA SINCE</t>
  </si>
  <si>
    <t>JORGE ALBERTO DE LA OSSA</t>
  </si>
  <si>
    <t>CRA 10#6</t>
  </si>
  <si>
    <t xml:space="preserve">DULCERIA EL PARAISO </t>
  </si>
  <si>
    <t>92554059-6</t>
  </si>
  <si>
    <t>RODOLFO VIDAL</t>
  </si>
  <si>
    <t>CRA 10 #8-13</t>
  </si>
  <si>
    <t xml:space="preserve">SUPER TIENDA LA CEJA </t>
  </si>
  <si>
    <t>JESUS GUERRA</t>
  </si>
  <si>
    <t>CRA 11 #48A</t>
  </si>
  <si>
    <t>SUPER TIENDA CENTRAL</t>
  </si>
  <si>
    <t xml:space="preserve">LUIS ATENCIA </t>
  </si>
  <si>
    <t>CRA 10 #8-54</t>
  </si>
  <si>
    <t>ESTADERO SANTO DOMINGO</t>
  </si>
  <si>
    <t>92030907-8</t>
  </si>
  <si>
    <t>ALVARO JOSE NAVARRO ROMERO</t>
  </si>
  <si>
    <t>CALLE 10 #10- 46</t>
  </si>
  <si>
    <t>ALVARONAVARRO715@GMAIL.COM</t>
  </si>
  <si>
    <t>25/07/2025</t>
  </si>
  <si>
    <t>LICORES Y VARIEDADES TRES QUINCE 315</t>
  </si>
  <si>
    <t>LUIS PEREZ LUNA</t>
  </si>
  <si>
    <t>CR 10 # 8-67</t>
  </si>
  <si>
    <t>VARIEDADES.TRES@GMAIL.COM</t>
  </si>
  <si>
    <t>FAVORABLLE CON REQUERIMIENTO</t>
  </si>
  <si>
    <t>TEJO Y BILLARES EL PLATANAL</t>
  </si>
  <si>
    <t>ALVARO MARTINEZ ARRIETA</t>
  </si>
  <si>
    <t xml:space="preserve">BARRIO SAN FRANCISCO </t>
  </si>
  <si>
    <t>ALVAROLUISMARTINEZ@GMAIL.COM</t>
  </si>
  <si>
    <t>TEJO Y BILLARES EL DAVO</t>
  </si>
  <si>
    <t>92033483-0</t>
  </si>
  <si>
    <t>ELIAS PACHECO MESTRA</t>
  </si>
  <si>
    <t>BARRIO BUENOS AIRES</t>
  </si>
  <si>
    <t>ELIASANTONIOPACHECOMESTRA@GMAIL.COM</t>
  </si>
  <si>
    <t>LICORES EL PORRO</t>
  </si>
  <si>
    <t>1100392087-5</t>
  </si>
  <si>
    <t>PAOLA  GOMEZ MEJIA</t>
  </si>
  <si>
    <t>DG 15 #9A-39 ANILLO VIAL</t>
  </si>
  <si>
    <t>PAOGOMEZMEJIA15@GMAIL.COM</t>
  </si>
  <si>
    <t>13/12/2024</t>
  </si>
  <si>
    <t>ESTADERO LA NUEVA CASA</t>
  </si>
  <si>
    <t>92031321-7</t>
  </si>
  <si>
    <t>LEONARDO PEREZ BENAVIDES</t>
  </si>
  <si>
    <t>CR 101E BIS#1-25 BARRIO CHARCO COLORADO</t>
  </si>
  <si>
    <t>ESTADEROLACASA@79GMAIL.COM</t>
  </si>
  <si>
    <t>30/05/2025</t>
  </si>
  <si>
    <t>31/08/2024</t>
  </si>
  <si>
    <t>MANHATTHAN RESTO BAR</t>
  </si>
  <si>
    <t xml:space="preserve">HANIA MARGARITA RODRIGUEZ </t>
  </si>
  <si>
    <t>CR 10 # 9-65</t>
  </si>
  <si>
    <t>MARTINEZYENNI9905@GMAIL.COM</t>
  </si>
  <si>
    <t>21/06/2024</t>
  </si>
  <si>
    <t>14/10/2021</t>
  </si>
  <si>
    <t xml:space="preserve">LICO PARK SINCE </t>
  </si>
  <si>
    <t>11004025326-5</t>
  </si>
  <si>
    <t>LICETH MONTERROZA FLOREZ</t>
  </si>
  <si>
    <t>CR 12-1A-27 CHARCO COLORADO</t>
  </si>
  <si>
    <t>19/12/2024</t>
  </si>
  <si>
    <t>13/10/2023</t>
  </si>
  <si>
    <t xml:space="preserve">ESTADERO EL REPOSO </t>
  </si>
  <si>
    <t xml:space="preserve">SILVIA ISABEL NUÑEZ </t>
  </si>
  <si>
    <t>CALLE 10 # 10C-12</t>
  </si>
  <si>
    <t>SILVIANUMEZRODRIGUEZ@GMAIL.COM</t>
  </si>
  <si>
    <t>26/04/2024</t>
  </si>
  <si>
    <t>29/11/2020</t>
  </si>
  <si>
    <t xml:space="preserve">GALLERA EL PAJONAL </t>
  </si>
  <si>
    <t xml:space="preserve">HUGO HERNANDEZ ATENCIA </t>
  </si>
  <si>
    <t>DIAG 15 #14-144</t>
  </si>
  <si>
    <t xml:space="preserve">LICORES PROVINCIA BAR </t>
  </si>
  <si>
    <t>JOSE ARRIETA ARRIETA</t>
  </si>
  <si>
    <t>CRA 12#14-116</t>
  </si>
  <si>
    <t>CAMPO LICORES</t>
  </si>
  <si>
    <t>92032459-9</t>
  </si>
  <si>
    <t>RAFAEL HUMBERTO CAMPO DE LA OSSA</t>
  </si>
  <si>
    <t>CRA 9 #4B - 58</t>
  </si>
  <si>
    <t>RAFAELCAMPODELAOSSA@GMAIL.COM</t>
  </si>
  <si>
    <t xml:space="preserve">LICORES LA 14 </t>
  </si>
  <si>
    <t>64870350-8</t>
  </si>
  <si>
    <t>KELLY ROCIO AGUAS MADERA</t>
  </si>
  <si>
    <t>CALLE 14B # 15 - 51</t>
  </si>
  <si>
    <t>KAGUASMADERA@GMAIL.COM</t>
  </si>
  <si>
    <t>26/06/2025</t>
  </si>
  <si>
    <t>24/04/2024</t>
  </si>
  <si>
    <t>BAR EL DESPECHO</t>
  </si>
  <si>
    <t>79887101-1</t>
  </si>
  <si>
    <t>EBER GAMARRAR</t>
  </si>
  <si>
    <t>CRA 17 #24-21</t>
  </si>
  <si>
    <t>PUNTO FRIO LA ESPERANZA</t>
  </si>
  <si>
    <t>1100401904-8</t>
  </si>
  <si>
    <t xml:space="preserve">MARIA FERNANDA RODRIGUEZ VERGARA </t>
  </si>
  <si>
    <t>CRA 14 #5 - 145</t>
  </si>
  <si>
    <t>MARIFER_23_15@HOTMAIL.COM</t>
  </si>
  <si>
    <t xml:space="preserve">ESTADERO LAS BRISAS </t>
  </si>
  <si>
    <t>72128543-0</t>
  </si>
  <si>
    <t xml:space="preserve">EBER RAFAEL ORTEGA DOMINGUEZ </t>
  </si>
  <si>
    <t>CALLE 5 #10-14</t>
  </si>
  <si>
    <t>EVERORTEGA265@GMAIL.COM</t>
  </si>
  <si>
    <t xml:space="preserve">LICORES ESQUINA CALIENTE </t>
  </si>
  <si>
    <t>92027783-0</t>
  </si>
  <si>
    <t>EDGAR RICARDO RODRIGUEZ ROMERO</t>
  </si>
  <si>
    <t>CRA 11 #5 - 03</t>
  </si>
  <si>
    <t>LICORESESQUINACALIENTE@GMAIL.COM</t>
  </si>
  <si>
    <t xml:space="preserve">CAOBA RESTO - BAR </t>
  </si>
  <si>
    <t>1007183532-8</t>
  </si>
  <si>
    <t>ANDRES FELIPE ROMERO ATENCIA</t>
  </si>
  <si>
    <t>CALLE 1 #  10-66</t>
  </si>
  <si>
    <t>ANDRESROMERO71299@GMAIL.COM</t>
  </si>
  <si>
    <t>15/08/2025</t>
  </si>
  <si>
    <t>BODEGA DE ENSAMBLE DE ALIMENTOS Y BEBIDAS ASOSINCE #1</t>
  </si>
  <si>
    <t>CRA 14B #12A-85</t>
  </si>
  <si>
    <t>26/04/2025</t>
  </si>
  <si>
    <t xml:space="preserve">SAN MARCOS </t>
  </si>
  <si>
    <t xml:space="preserve">TOSCANA RUSTICO </t>
  </si>
  <si>
    <t>CL 19 # 09 -40</t>
  </si>
  <si>
    <t>RAMI EXPRESS</t>
  </si>
  <si>
    <t>CL 19# 13-45</t>
  </si>
  <si>
    <t>DELICIAS MIAS</t>
  </si>
  <si>
    <t>CL 19 # 9-53</t>
  </si>
  <si>
    <t xml:space="preserve">RAPIYENER </t>
  </si>
  <si>
    <t>CR 27 # 21 -85</t>
  </si>
  <si>
    <t xml:space="preserve">TEXAS COMIDAS </t>
  </si>
  <si>
    <t>CALLE 26 # 28-26</t>
  </si>
  <si>
    <t xml:space="preserve">PIZZA LA FAMA </t>
  </si>
  <si>
    <t>PLAZA PORRA</t>
  </si>
  <si>
    <t xml:space="preserve">YORKINGDELAFAMA@OUTLPPL.COM </t>
  </si>
  <si>
    <t>PIZZA HOUSE</t>
  </si>
  <si>
    <t>POR LA PLAZA PORRA</t>
  </si>
  <si>
    <t xml:space="preserve">CARLOSRIBAZA1718@GMAIL.COM </t>
  </si>
  <si>
    <t>PAPA-PARE</t>
  </si>
  <si>
    <t>BARRIO SUCRE</t>
  </si>
  <si>
    <t xml:space="preserve">LIAPRASCA96@HOTMAIL.COM </t>
  </si>
  <si>
    <t>LA PERRA DEL FIRU</t>
  </si>
  <si>
    <t xml:space="preserve">LOS ANGELES </t>
  </si>
  <si>
    <t>TUCHI RESTAURANTE</t>
  </si>
  <si>
    <t>CL 20 # 27-04</t>
  </si>
  <si>
    <t>AHUMADOS LA CAPITAL</t>
  </si>
  <si>
    <t>KR 27 # 21-15</t>
  </si>
  <si>
    <t>SAN MARCOS</t>
  </si>
  <si>
    <t>SAL Y PIMIENTA</t>
  </si>
  <si>
    <t>BARRIO KENNEDY</t>
  </si>
  <si>
    <t xml:space="preserve">JLEONM0480@HOTMAIL.COM </t>
  </si>
  <si>
    <t>EL PATILLAZO #2</t>
  </si>
  <si>
    <t>CALLE 19 # 15-16</t>
  </si>
  <si>
    <t>RANCHO FRESCO O.H</t>
  </si>
  <si>
    <t>33197688-2</t>
  </si>
  <si>
    <t>CALLE 19 # 7-131</t>
  </si>
  <si>
    <t xml:space="preserve">MARYIRIS02@HOTMAIL.COM </t>
  </si>
  <si>
    <t xml:space="preserve">RESTAURANTE BAR GUACARI </t>
  </si>
  <si>
    <t>CALLE 19 # 23-71</t>
  </si>
  <si>
    <t>POLLOS LUQUE</t>
  </si>
  <si>
    <t>FERNANDO NAVARRO DUMAR</t>
  </si>
  <si>
    <t>COMIDAS RAPIDAS LA FARRA</t>
  </si>
  <si>
    <t>CALLE 22 CR 14A-15</t>
  </si>
  <si>
    <t>LLANERA LA 22</t>
  </si>
  <si>
    <t>CALLE 22 # 23-48</t>
  </si>
  <si>
    <t xml:space="preserve">RESTAURANTE COPACABANA </t>
  </si>
  <si>
    <t>CALLE 19 # 11 -05</t>
  </si>
  <si>
    <t xml:space="preserve">TABERNA PIDIENDO FRIA </t>
  </si>
  <si>
    <t>CR 29 # 14-39</t>
  </si>
  <si>
    <t xml:space="preserve">NORYESTELA@HOTMAIL.COM </t>
  </si>
  <si>
    <t xml:space="preserve">RESTAURANTE LA TALANQUERA </t>
  </si>
  <si>
    <t>REMBERTO JOAQUIN ARBOLEDA SOLANO</t>
  </si>
  <si>
    <t>CALLE 19 M 2 L2</t>
  </si>
  <si>
    <t xml:space="preserve">LOS TRES RANCHOS </t>
  </si>
  <si>
    <t>SANTA ISABEL ARROYO PEREZ</t>
  </si>
  <si>
    <t>CL 15 CR 33-100</t>
  </si>
  <si>
    <t>69.5%</t>
  </si>
  <si>
    <t xml:space="preserve">RESTAURANTE LOS RANCHOS </t>
  </si>
  <si>
    <t xml:space="preserve">BARRIO SAN JOSE </t>
  </si>
  <si>
    <t>PANADERIA Y REPOSTERIA CHOCOPAN</t>
  </si>
  <si>
    <t>VIVIANA ALVAREZ NISPERUZA</t>
  </si>
  <si>
    <t>CL 22 CR 23</t>
  </si>
  <si>
    <t xml:space="preserve">ANSELMOCORREA1@HOTMAIL.COM </t>
  </si>
  <si>
    <t>RESTAURANTE CHINO PENGYOU</t>
  </si>
  <si>
    <t xml:space="preserve">ASADOS CALICHE </t>
  </si>
  <si>
    <t>BARRIO EL PRADO</t>
  </si>
  <si>
    <t xml:space="preserve">RESTAURANTE EL COTIZADO </t>
  </si>
  <si>
    <t>CALLE 19 MZ 2 LC 21</t>
  </si>
  <si>
    <t>CALLE 19 # 23-104</t>
  </si>
  <si>
    <t xml:space="preserve">EILEEN CAFETERIA Y RESTAURANTE </t>
  </si>
  <si>
    <t>CLL 15 #</t>
  </si>
  <si>
    <t xml:space="preserve">PANADERIA Y RESTAURANTE LA SORPRESA </t>
  </si>
  <si>
    <t>CR 24  # 18-07</t>
  </si>
  <si>
    <t>PANADERIA ANTOJITOS</t>
  </si>
  <si>
    <t>CALLE 19 CR 16-172</t>
  </si>
  <si>
    <t xml:space="preserve">PANADERIA Y REPOTERIA DULCE TENTACION </t>
  </si>
  <si>
    <t>CR 24 # 19-21</t>
  </si>
  <si>
    <t xml:space="preserve">TIENDA CAMPO NUEVO </t>
  </si>
  <si>
    <t>CALLE 30 # 13-71</t>
  </si>
  <si>
    <t>GRANERO LOS PAISITAS # 2</t>
  </si>
  <si>
    <t>1005682618-6</t>
  </si>
  <si>
    <t>CALLE 22 # 12-9</t>
  </si>
  <si>
    <t>DEPOSITO Y LEGUMBRERIA LA ECONOMIA #4</t>
  </si>
  <si>
    <t>DISTRIBUIDORA J Y H LA MAYE</t>
  </si>
  <si>
    <t xml:space="preserve">MAYERLIN-0848@HMAIL.COM </t>
  </si>
  <si>
    <t xml:space="preserve">ABASTOS DONDE PELLO </t>
  </si>
  <si>
    <t>CALLE 15 # 34A-50</t>
  </si>
  <si>
    <t xml:space="preserve">EDINSON.VERGARA@GMAIL.COM </t>
  </si>
  <si>
    <t>GRANERO EL ANTIOQUEÑO</t>
  </si>
  <si>
    <t>CALLE 12 #15-89</t>
  </si>
  <si>
    <t xml:space="preserve">YESSICA1997@GMAIL.COM </t>
  </si>
  <si>
    <t>GRANERO ANTIOQUIA LOCAL 2</t>
  </si>
  <si>
    <t>CALLE 15 CR 24 LOCAL 2</t>
  </si>
  <si>
    <t xml:space="preserve">GRANERO BELLA VISTA </t>
  </si>
  <si>
    <t>CALLE 21 # 38-15</t>
  </si>
  <si>
    <t xml:space="preserve">GRANERO EL BOMBAZO </t>
  </si>
  <si>
    <t>CALLE 19 # 24-18</t>
  </si>
  <si>
    <t xml:space="preserve">TIENDA DINA LUZ </t>
  </si>
  <si>
    <t>CALLE 19 # 32 -103</t>
  </si>
  <si>
    <t xml:space="preserve">TIENDA DONDE DIANA </t>
  </si>
  <si>
    <t xml:space="preserve">CR 27 # 22 ESQUINA </t>
  </si>
  <si>
    <t>TIENDA DONDE DIANA #2 (DISTRIBUIDORA DE AGUA )</t>
  </si>
  <si>
    <t>CALLE 21 # 22-44</t>
  </si>
  <si>
    <t xml:space="preserve">TIENDA DIVINO NIÑO </t>
  </si>
  <si>
    <t>CR 25 # 23-55</t>
  </si>
  <si>
    <t>TIENDA LA 20</t>
  </si>
  <si>
    <t>CALLE 20 #26-44</t>
  </si>
  <si>
    <t xml:space="preserve">TIENDA POPULAR </t>
  </si>
  <si>
    <t>CR 34 # 18-35</t>
  </si>
  <si>
    <t xml:space="preserve">TIENDA CRISTALIMA </t>
  </si>
  <si>
    <t>CALLE 19 # 23A-23</t>
  </si>
  <si>
    <t xml:space="preserve">COMPRASCRISTALIMA@GMAIL.COM </t>
  </si>
  <si>
    <t xml:space="preserve">SUPERTIENDA GAMA </t>
  </si>
  <si>
    <t>CALLE 19 # 11-02</t>
  </si>
  <si>
    <t xml:space="preserve">TIENDA EL GANGAZO </t>
  </si>
  <si>
    <t>CALLE 22 # 22-05</t>
  </si>
  <si>
    <t>ABASTOS LAS FLORES</t>
  </si>
  <si>
    <t>CALLE 19 # 13-18</t>
  </si>
  <si>
    <t xml:space="preserve">TIENDA EL EDEN </t>
  </si>
  <si>
    <t>CALLE 24 # 25A-60</t>
  </si>
  <si>
    <t>CRISTIAN BLABER FONT</t>
  </si>
  <si>
    <t>USR-11498@D1.COM.CO</t>
  </si>
  <si>
    <t>TIENDA CRISTALIMA  # 2</t>
  </si>
  <si>
    <t>CALLE 19 # 23A-25</t>
  </si>
  <si>
    <t xml:space="preserve">MERCADITO EL PROPIO </t>
  </si>
  <si>
    <t>CALLE 19 # 18-04</t>
  </si>
  <si>
    <t xml:space="preserve">TIENDA YULIS </t>
  </si>
  <si>
    <t>CR 35 # 18-96</t>
  </si>
  <si>
    <t>SUPERTIENDA Y DROGERIA OLIMPICA  SA</t>
  </si>
  <si>
    <t>STO 328</t>
  </si>
  <si>
    <t>CR 26 # 18-92</t>
  </si>
  <si>
    <t>ASTO328@OLIMPICA.COM.CO</t>
  </si>
  <si>
    <t>TIENDA ARA 0440</t>
  </si>
  <si>
    <t>NUNO MIGUEL NENEZ SERENO</t>
  </si>
  <si>
    <t>CR 24 # 18A-06</t>
  </si>
  <si>
    <t>TIENDA ARA 1002 TEXAS</t>
  </si>
  <si>
    <t>CALLE 21 # 29-187</t>
  </si>
  <si>
    <t>JORGE.ARAGON@JERONIMO-MARTINS.COM</t>
  </si>
  <si>
    <t>ARGEMIRO DIAZ/LUIS ROJAS</t>
  </si>
  <si>
    <t xml:space="preserve">ESTADERO EL ENCANTO </t>
  </si>
  <si>
    <t>CALLE 15 # 29-80</t>
  </si>
  <si>
    <t xml:space="preserve">SINDYTATI86@GMAIL.COM </t>
  </si>
  <si>
    <t xml:space="preserve">ESTADERO VILLA MANUELA </t>
  </si>
  <si>
    <t>TABERNA PUERTO AMOR</t>
  </si>
  <si>
    <t>KR 29 # 14-44</t>
  </si>
  <si>
    <t xml:space="preserve">LUYJH24@HOTMAIL.COM </t>
  </si>
  <si>
    <t>KIOSCO CARIBE</t>
  </si>
  <si>
    <t xml:space="preserve">JAKAROL03@GMAIL.COM </t>
  </si>
  <si>
    <t>A Y S SUPER Y LICORES</t>
  </si>
  <si>
    <t>CALLE 19 # 20-36</t>
  </si>
  <si>
    <t xml:space="preserve">SHIVIPANAMA507@HOTMAIL.COM </t>
  </si>
  <si>
    <t>ESTADERO LA NUEVA UNIVERSIDAD J Y J</t>
  </si>
  <si>
    <t>ESTADERO CAMPO NUEVO</t>
  </si>
  <si>
    <t>ESTADERO EL ACOGEDOR</t>
  </si>
  <si>
    <t xml:space="preserve">MANUELJOSMENDOZA@GMAIL.COM </t>
  </si>
  <si>
    <t xml:space="preserve">TABERNA RIKARENA </t>
  </si>
  <si>
    <t>CALLE 12 # 29-35</t>
  </si>
  <si>
    <t xml:space="preserve">OVERTOMAGUAS@GMAIL.COM </t>
  </si>
  <si>
    <t xml:space="preserve">ESTADERO BAHAMAS SAN MARCOS </t>
  </si>
  <si>
    <t xml:space="preserve">CALLE PUERTO REAL </t>
  </si>
  <si>
    <t xml:space="preserve">TOVARVERGARAOMARRAFAEL@GMAIL.COM </t>
  </si>
  <si>
    <t xml:space="preserve">KIOSKO EL MIRADOR </t>
  </si>
  <si>
    <t>10879444-6</t>
  </si>
  <si>
    <t>CALLE 22 # 25-23</t>
  </si>
  <si>
    <t>ESTADERO Y ESTANCO  LA TERRAZA</t>
  </si>
  <si>
    <t>CR 24 # 21 - 08</t>
  </si>
  <si>
    <t xml:space="preserve">RODHER_20@HOTMAIL.COM </t>
  </si>
  <si>
    <t>NAPOLES LOUNGE CLUB</t>
  </si>
  <si>
    <t>10888244-8</t>
  </si>
  <si>
    <t>CALLE 19 # 13 - 44</t>
  </si>
  <si>
    <t xml:space="preserve">BILLARES EL CACIQUE SM </t>
  </si>
  <si>
    <t>CALLE 19 # 19-40</t>
  </si>
  <si>
    <t xml:space="preserve">MARIA VARILLA TERRAZA BAR </t>
  </si>
  <si>
    <t>CR 22 CALLE 20-04</t>
  </si>
  <si>
    <t xml:space="preserve">STO 328 (EXPENDIO DE CARNES) </t>
  </si>
  <si>
    <t xml:space="preserve">SANDUNGA VIP SAN MARCOS </t>
  </si>
  <si>
    <t>CALLE 19 # 24-61</t>
  </si>
  <si>
    <t>AYS SUPER LICORES</t>
  </si>
  <si>
    <t>CL 19 # 12-20</t>
  </si>
  <si>
    <t xml:space="preserve">INGRISPAOLA OBIEDO </t>
  </si>
  <si>
    <t xml:space="preserve">CALLE 19 # CRA 24 </t>
  </si>
  <si>
    <t xml:space="preserve">ELISABETH  CALDERA GOMEZ </t>
  </si>
  <si>
    <t>ARLIANYS PEREZ AMAÑA</t>
  </si>
  <si>
    <t>MARICELA PETRO</t>
  </si>
  <si>
    <t xml:space="preserve">LUISANGELIPLATA </t>
  </si>
  <si>
    <t>TIENDA EL ÉXITO</t>
  </si>
  <si>
    <t>CR 22 # 22-04</t>
  </si>
  <si>
    <t>TERRANOVA RESTAURANTE BAR</t>
  </si>
  <si>
    <t>CR 20 #23-05</t>
  </si>
  <si>
    <t xml:space="preserve">IBIZA FOOD Y DRINK </t>
  </si>
  <si>
    <t>CALLE 19 # 16-81</t>
  </si>
  <si>
    <t>RESTAURANTE COMO EN CASA</t>
  </si>
  <si>
    <t>CL 19 # 25-87</t>
  </si>
  <si>
    <t>CEVICHERIA MIRAMAR BEER´S</t>
  </si>
  <si>
    <t>BARRIO   CENTRO</t>
  </si>
  <si>
    <t xml:space="preserve">LEIMAR926@HOTMAIL.COM </t>
  </si>
  <si>
    <t xml:space="preserve">ESTADERO LA PESCA </t>
  </si>
  <si>
    <t>EXPENDIO TRES CHORRO</t>
  </si>
  <si>
    <t>CARNICERÍA EL CARMEN</t>
  </si>
  <si>
    <t>EXPENDIO DE POLLO</t>
  </si>
  <si>
    <t>EXPENDIO DE CARNES LA VICTORIA</t>
  </si>
  <si>
    <t>TODO CARNES LA TRONCAL</t>
  </si>
  <si>
    <t>CARNICERÍA LA VIRGEN DEL CARMEN</t>
  </si>
  <si>
    <t>CARNICERÍA LA VICTORIANA</t>
  </si>
  <si>
    <t>CARNICERÍA CRISTALIMA # 2</t>
  </si>
  <si>
    <t>AFRICA BAR CLUB</t>
  </si>
  <si>
    <t>CALLE 19 CR 12-111</t>
  </si>
  <si>
    <t>SUPER TIENDA LA ESPECIAL</t>
  </si>
  <si>
    <t>CR 10 # 1A-59</t>
  </si>
  <si>
    <t>DELIFRESH HELADERIA Y  COMIDAS RAPIDAS</t>
  </si>
  <si>
    <t xml:space="preserve">AIDETHDIAZ22@GMAIL.COM </t>
  </si>
  <si>
    <t>PANADERIA LA ESPECIAL</t>
  </si>
  <si>
    <t>ESTADERO CAMPO AMOR</t>
  </si>
  <si>
    <t>CALLE 19 # 11-46</t>
  </si>
  <si>
    <t xml:space="preserve">RAMIROALBEY@GMAIL.COM  </t>
  </si>
  <si>
    <t>TIENDA Y TERRAZA TROPICAL</t>
  </si>
  <si>
    <t>CR 30 # 20-116</t>
  </si>
  <si>
    <t>MEKATOS LA 22</t>
  </si>
  <si>
    <t>GUERRERO EXPRESS</t>
  </si>
  <si>
    <t>CALLE 22 # 17-95</t>
  </si>
  <si>
    <t xml:space="preserve">PANADERIA NAYAN </t>
  </si>
  <si>
    <t>CR 24 CALLE 18 -155</t>
  </si>
  <si>
    <t>CALLE 20 #23</t>
  </si>
  <si>
    <t>SALSAMENTARIA Y DESECHABLES EL PALACIO DEL PANADERO</t>
  </si>
  <si>
    <t xml:space="preserve">YESID2022@GMAIL.COM </t>
  </si>
  <si>
    <t xml:space="preserve">TIENDA CARMENCITA </t>
  </si>
  <si>
    <t xml:space="preserve">RESTAURANTE DONDE ELY </t>
  </si>
  <si>
    <t>CALLE 15 # 20 -16</t>
  </si>
  <si>
    <t xml:space="preserve">RESTAURANTE EL BUEN SABOR DE SAN MARCOS </t>
  </si>
  <si>
    <t>CR 24 # 20 -66</t>
  </si>
  <si>
    <t xml:space="preserve">RESTAURANTE LAS HAMACAS </t>
  </si>
  <si>
    <t>CALLE 19 # 10-10</t>
  </si>
  <si>
    <t xml:space="preserve">SIERRAOTEROROGER@GMAIL.COM </t>
  </si>
  <si>
    <t xml:space="preserve">TEQUILLA BAR </t>
  </si>
  <si>
    <t>CALLE 19 # 20-24</t>
  </si>
  <si>
    <t xml:space="preserve">BILLARES LOS MANGUITOS </t>
  </si>
  <si>
    <t>CALLE 19 # 20-05</t>
  </si>
  <si>
    <t>RESTAURANTE DEL SAN JORGE Y LA MOJANA</t>
  </si>
  <si>
    <t>CR 24 # 19 - 91</t>
  </si>
  <si>
    <t xml:space="preserve">HSANJORGEPLAZA@GMAIL.COM </t>
  </si>
  <si>
    <t>KIOSKO EL FUETE</t>
  </si>
  <si>
    <t>CALLE 22 # 23 - 84</t>
  </si>
  <si>
    <t>LINAGOJA474@GMAIL.COM</t>
  </si>
  <si>
    <t>ARROYITO SILVER</t>
  </si>
  <si>
    <t>CALLE 19 # 20 - 17</t>
  </si>
  <si>
    <t xml:space="preserve">DISTRIBUIDORA EL PUNTO </t>
  </si>
  <si>
    <t>CR 24 # 18-60</t>
  </si>
  <si>
    <t xml:space="preserve">GRANERO CANA </t>
  </si>
  <si>
    <t>CALLE 19  # 21-31</t>
  </si>
  <si>
    <t xml:space="preserve">GRANERO EL MONO </t>
  </si>
  <si>
    <t>CALLE 18 # 17B -46</t>
  </si>
  <si>
    <t xml:space="preserve">TIENDA BETHEL </t>
  </si>
  <si>
    <t>CR 24 # 13-24</t>
  </si>
  <si>
    <t xml:space="preserve">TIENDA DOBLE M </t>
  </si>
  <si>
    <t>CR 11 # 22A-20</t>
  </si>
  <si>
    <t xml:space="preserve">TIENDA DONDE MAYI  </t>
  </si>
  <si>
    <t>CALLE 26 # 13-15</t>
  </si>
  <si>
    <t>TIENDA JULIANA YIRETH</t>
  </si>
  <si>
    <t>CALLE 24 # 35-80</t>
  </si>
  <si>
    <t xml:space="preserve">TIENDA SUSANA </t>
  </si>
  <si>
    <t>CALLE 23 # 25- 128</t>
  </si>
  <si>
    <t>TIENDA YALIS R</t>
  </si>
  <si>
    <t>CR 75 # 18-96</t>
  </si>
  <si>
    <t xml:space="preserve">TIENDA EL BUEN PRECIO </t>
  </si>
  <si>
    <t>CR 3 4-12</t>
  </si>
  <si>
    <t xml:space="preserve">TIENDA MI DELEITE DE SAN MARCOS </t>
  </si>
  <si>
    <t>CALLE 19 # 18-118</t>
  </si>
  <si>
    <t xml:space="preserve">RESTAURANTE LOS CORALES </t>
  </si>
  <si>
    <t>CALLE 19 # 16-192</t>
  </si>
  <si>
    <t>CDI INFANCIA FELIZ SEDE FERNAN FORTICH</t>
  </si>
  <si>
    <t>CDI INFANCIA FELIZ SEDE PTO LOPEZ</t>
  </si>
  <si>
    <t>INSTUTUCION EDUCATIVA SAN MARCOS - SEDE SAN RAFAEL</t>
  </si>
  <si>
    <t>BR SAN RAFAEL 1</t>
  </si>
  <si>
    <t>INSTITUCION EDUCATIVA  SAN MARCOS -  SEDE PRINCIPAL</t>
  </si>
  <si>
    <t>CL 23 CR 28-21</t>
  </si>
  <si>
    <t>INSTITUCION EDUCATIVA  SAN JOSE SEDE PRINCCIPAL</t>
  </si>
  <si>
    <t>TV 35 # 36 A -25</t>
  </si>
  <si>
    <t>90.5%</t>
  </si>
  <si>
    <t>FUNDACION EDUCATIVA ROBERTO VILLEGAS</t>
  </si>
  <si>
    <t xml:space="preserve">HOGAR DE BIENESTAR FAMILIAR LA FE DE DIOS </t>
  </si>
  <si>
    <t xml:space="preserve">KATIA MILENA PRASCA FALON </t>
  </si>
  <si>
    <t>MELVISTEJADAROMERO@GMAIL.COM</t>
  </si>
  <si>
    <t>ASOCIACION FAMILIAS Y COMUNIDADES DE COLOMBIA</t>
  </si>
  <si>
    <t xml:space="preserve">HOGAR DE BIENTESTAR FAMILIAR  LOS PATITOS </t>
  </si>
  <si>
    <t>MARINELA VERGARA SOTO MAYOR</t>
  </si>
  <si>
    <t>CR 15 # 28-31</t>
  </si>
  <si>
    <t>LOURDESSALGADO451@GMAIL.COM</t>
  </si>
  <si>
    <t>COMEDOR ESCOALR I.E MONSEÑOR SANTOS</t>
  </si>
  <si>
    <t>FUNADACION EDUCATIVA ROBERTO VILLEGAS</t>
  </si>
  <si>
    <t xml:space="preserve">HOGAR DE BIENESTAR FAMILIAR  LOS ANGELITOS </t>
  </si>
  <si>
    <t>CL 21 # 17-47</t>
  </si>
  <si>
    <t>LUZMARINAMADERA2019@GMAIL.COM</t>
  </si>
  <si>
    <t>HOGAR DE BIENESTAR FAMILIAR  CARITA ALEGRES</t>
  </si>
  <si>
    <t>VEREDA EL LLANO</t>
  </si>
  <si>
    <t>DIANAREQUENA1992@GMAIL.COM</t>
  </si>
  <si>
    <t>HOGAR DE BIENESTAR MIS PEQUEÑOS JARDIN INFANTIL</t>
  </si>
  <si>
    <t>KATIA MILENA PRASCA MADERA</t>
  </si>
  <si>
    <t>CR 34 # 18-113</t>
  </si>
  <si>
    <t>CRISTINALVAREZ1953@GMAIL.COM</t>
  </si>
  <si>
    <t>HOGAR DE BIENESTAR FAMILIAR  MI REPOSO</t>
  </si>
  <si>
    <t>HOGAR DE BIENESTAR FAMILIAR  MIS PEQUEÑOS TRAVIESOS</t>
  </si>
  <si>
    <t xml:space="preserve"> HOGAR DE BIENESTAR FAMILIAR LOS PEQUEÑITOS</t>
  </si>
  <si>
    <t>CR 22 A  # 10-37</t>
  </si>
  <si>
    <t xml:space="preserve">HOGAR DE BIENESTAR FAMILIAR  LOS ANGELES </t>
  </si>
  <si>
    <t xml:space="preserve">HOGAR DE BIENESTAR FAMILIAR HOGAR DIVINO NIÑO </t>
  </si>
  <si>
    <t xml:space="preserve">HOGAR DE BIENESTAR  EL DIVINO NIÑO </t>
  </si>
  <si>
    <t>HOGAR DE BIENESTAR MI ESPERANZA</t>
  </si>
  <si>
    <t>FUNDACION EDUCATIVA ROBERTO VILEGAS L</t>
  </si>
  <si>
    <t>MIS PAYASITOS</t>
  </si>
  <si>
    <t>KATIA MILENA PRASCA CORTES</t>
  </si>
  <si>
    <t>823003087-1</t>
  </si>
  <si>
    <t xml:space="preserve"> TRAV 35</t>
  </si>
  <si>
    <t xml:space="preserve">FERNANDO NAVARRO DUMAR </t>
  </si>
  <si>
    <t>MI LINDO HOGAR</t>
  </si>
  <si>
    <t xml:space="preserve">MIS TRES CORAZONES </t>
  </si>
  <si>
    <t>CDI EL BUEN COMIENZO DEL SABER</t>
  </si>
  <si>
    <t>HOGAR EL BUEN PASTOR</t>
  </si>
  <si>
    <t>HOGAR DE BIENESTAR FAMILIAR LOS TRES OSITOS</t>
  </si>
  <si>
    <t>HOGAR DE BIENESTAR FAMILIAR HOGAR LOS PITUFOS</t>
  </si>
  <si>
    <t>HOGAR DE BIENESTAR FAMILIAR LA MANO DE DIOS</t>
  </si>
  <si>
    <t xml:space="preserve"> MIS PEQUEÑOS ANGELITOS</t>
  </si>
  <si>
    <t>230030087-1</t>
  </si>
  <si>
    <t>CALLE 22 #30-41</t>
  </si>
  <si>
    <t>NULITABATHERRERA@HOTMAIL.COM</t>
  </si>
  <si>
    <t xml:space="preserve">HOGAR DE BIENESTAR FAMILIAR  HELADINO </t>
  </si>
  <si>
    <t xml:space="preserve">HOGAR CARITAS ALEGRES </t>
  </si>
  <si>
    <t>KATIA MILENA PRASCA CORTEZ</t>
  </si>
  <si>
    <t>TV 25 # 36-30</t>
  </si>
  <si>
    <t>YESENIAFALON4@GMAIL.COM</t>
  </si>
  <si>
    <t>HOGAR DE BIENESTAR FAMILIAR UDS LOS OSITOS</t>
  </si>
  <si>
    <t>HOGAR DE BIENESTAR FAMILIAR UDS MI LINDO HOGAR</t>
  </si>
  <si>
    <t>HOGAR DE BIENESTAR FAMILIAR (UDS) LOS PAJARITOS</t>
  </si>
  <si>
    <t>CL 22 CR 20</t>
  </si>
  <si>
    <t>MARIAOYOS1065@GMAIL.COM</t>
  </si>
  <si>
    <t>HOGAR DE BIENESTAR FAMILIAR UDS LOS ANGELITOS</t>
  </si>
  <si>
    <t>HOGAR DE BIENESTAR FAMILIAR UDS SAN JOSE</t>
  </si>
  <si>
    <t>CR 35 # 15-95</t>
  </si>
  <si>
    <t>YULI.CHIMA09@GMAIL.COM</t>
  </si>
  <si>
    <t xml:space="preserve">CENTRO DE BIENESTAR SAN MARCOS </t>
  </si>
  <si>
    <t xml:space="preserve">CENTRO DE VIDA REFUGIO DE AMOR </t>
  </si>
  <si>
    <t xml:space="preserve">CDI HUELLAS DE AMOR </t>
  </si>
  <si>
    <t>HOGAR DE BIENESTAR FAMILIAR  LOS HIJOS DEL REY</t>
  </si>
  <si>
    <t>CDI CARRUSEL DE LA ALEGRIA</t>
  </si>
  <si>
    <t xml:space="preserve">COMEDOR ESCOLAR IE SAN JOSE </t>
  </si>
  <si>
    <t xml:space="preserve">INSTITUCION EDUCATIVA SAN MARCOS- SEDE CAMPO NUEVO </t>
  </si>
  <si>
    <t>CR 13 # 23</t>
  </si>
  <si>
    <t>INSTTUCION EDUCATIVA SAN MARCOS - SEDE SAN MARQUITOS</t>
  </si>
  <si>
    <t>CL 25 A # 22 B -86</t>
  </si>
  <si>
    <t>CJ SERVICIOS Y SUSMINISTROS SAS</t>
  </si>
  <si>
    <t xml:space="preserve">SERVICIO DE ALIMENTACION INTRAHOSPITALARIO ESE II NIVEL </t>
  </si>
  <si>
    <t>CORINA CASTILLO LOPEZ</t>
  </si>
  <si>
    <t>CL 22 # 20-22</t>
  </si>
  <si>
    <t>CJSERVICIOSYSUMINISTROS2@GMAIL.COM</t>
  </si>
  <si>
    <t>ASOCIACION DE CAMPESINOS AFROCOLOMBIANOS DEL GOLFO</t>
  </si>
  <si>
    <t xml:space="preserve">BODEGA DE ALMACENAMIENTO DE ALIMENTOS </t>
  </si>
  <si>
    <t>ELKIN DAVID ROMERO GOMEZ</t>
  </si>
  <si>
    <t>CL 5 # 9-8</t>
  </si>
  <si>
    <t>ACASAJO11@GMAIL.COM</t>
  </si>
  <si>
    <t xml:space="preserve">ASOCIACION DE CAMPESINOS DE LA SABANA </t>
  </si>
  <si>
    <t>JOTA MARIO VILLEGAS GONZALEZ</t>
  </si>
  <si>
    <t>CL 19 CR 32 # 32-13</t>
  </si>
  <si>
    <t>ASOCARIBE2024@HOTMAIL.COM</t>
  </si>
  <si>
    <t xml:space="preserve">ASOCIACION DE PADRES DE FAMILIA DE LOS HOGARES DE BIENESTAR DE LOS BARRIOS MALAMBITO-SAN JOSE </t>
  </si>
  <si>
    <t xml:space="preserve">ANA HOYOS ACOSTA </t>
  </si>
  <si>
    <t>CL 7 -10B-30</t>
  </si>
  <si>
    <t>ASOBOLIVAR2023@GMAIL.COM</t>
  </si>
  <si>
    <t>CARLOS ACOSTA</t>
  </si>
  <si>
    <t>SURTIVARIEDADES EL SEMBRADOR SAS</t>
  </si>
  <si>
    <t>MARIA ESTHER PRASCA  TARRA</t>
  </si>
  <si>
    <t>CL 4 # 13-20</t>
  </si>
  <si>
    <t>KATYMILE2785@GMAIL.COM</t>
  </si>
  <si>
    <t>DISTRI SAN MARCOS SAS</t>
  </si>
  <si>
    <t>DISTRIBUCIONES L.S.Q.S.P.S</t>
  </si>
  <si>
    <t>LUIS JAVIER QUINTERO OSPINA</t>
  </si>
  <si>
    <t>CL 19 # 12-07</t>
  </si>
  <si>
    <t>GERENCIADISTRISANMARCOS@GMAIL.COM</t>
  </si>
  <si>
    <t>CL 18 # 31-56</t>
  </si>
  <si>
    <t>ROBERTOVILLEGAS0013@GMAIL.COM</t>
  </si>
  <si>
    <t>ASOCIACION DE MUNICIPÍOS SOSTENIBLES DE COLOMBIA</t>
  </si>
  <si>
    <t>ELIAS BARONA RIOS</t>
  </si>
  <si>
    <t>CL 21 # 32 A 865</t>
  </si>
  <si>
    <t>ASOCIACION@ASOMUCOL.GOV.CO</t>
  </si>
  <si>
    <t xml:space="preserve">ASOCIACION DE MADRES COMUNITARIAS Y PADRES DE FAMILIA DE LA MODALIDAD FAMI MUNICIPIO DE LA UNION SUCRE </t>
  </si>
  <si>
    <t>ANDREA CAROLINA JIMENEZ DIAZ</t>
  </si>
  <si>
    <t>CR 23 # 21-38</t>
  </si>
  <si>
    <t>ASOMADRESCOMUNITARIOS2024@HOTMAIL.COM</t>
  </si>
  <si>
    <t>RANCHO FRESCO OH</t>
  </si>
  <si>
    <t>OLGA HERRERA ALVAREZ</t>
  </si>
  <si>
    <t>CL 19 # 7-131</t>
  </si>
  <si>
    <t>INVERSIONES D &amp; G</t>
  </si>
  <si>
    <t>ANTAÑO BAR</t>
  </si>
  <si>
    <t>YOLIMA SANTI FIGUEROA</t>
  </si>
  <si>
    <t>CL 19 # 16-17</t>
  </si>
  <si>
    <t>ANTAÑO@GMAIL.COM</t>
  </si>
  <si>
    <t xml:space="preserve">TENAMPA BAR </t>
  </si>
  <si>
    <t>JAIME DAVISD ALTAMAR MESTRA</t>
  </si>
  <si>
    <t>CL 19 # 12-111</t>
  </si>
  <si>
    <t>BEIDEMEJIA24@GMAIL.COM</t>
  </si>
  <si>
    <t>JARAVA VASQUEZ JOSE MARIO</t>
  </si>
  <si>
    <t>BODEGA DE ALMACENAMIENTO DE ALIMENTOS</t>
  </si>
  <si>
    <t>JOSE MARIO JARAVA VAZQUEZ</t>
  </si>
  <si>
    <t>CR 22 # 22-16</t>
  </si>
  <si>
    <t>MANDIJARAVA@GMAIL.COM</t>
  </si>
  <si>
    <t xml:space="preserve">AREPATACON </t>
  </si>
  <si>
    <t xml:space="preserve">SANTIAGO RAMIREZ </t>
  </si>
  <si>
    <t>115244280-1</t>
  </si>
  <si>
    <t>CR 19 CALLE 21-07</t>
  </si>
  <si>
    <t>SANTIAGO.RM03@GMAIL.COM</t>
  </si>
  <si>
    <t>MIGUEL TOUS</t>
  </si>
  <si>
    <t xml:space="preserve">ASADERO Y RESTAURANTE CHISPAZO DE CALI </t>
  </si>
  <si>
    <t>KARLA LOZANO ORTIZ</t>
  </si>
  <si>
    <t>CR 18 # 20-8</t>
  </si>
  <si>
    <t>karlalozanoortiz@hotmail.com</t>
  </si>
  <si>
    <t>FAVORABLE CON REQUERIMINETOS</t>
  </si>
  <si>
    <t xml:space="preserve">AUTOMERCADO NELSON  </t>
  </si>
  <si>
    <t xml:space="preserve">NELSON BERRIO GUTIERREZ </t>
  </si>
  <si>
    <t>BILLARES LA LLANERA</t>
  </si>
  <si>
    <t xml:space="preserve">VICTOR MARTINEZ TEHERAN </t>
  </si>
  <si>
    <t>1101447714-7</t>
  </si>
  <si>
    <t>CALLE 20 #18-62</t>
  </si>
  <si>
    <t xml:space="preserve">BURGERT STATION </t>
  </si>
  <si>
    <t>ANDRES EDUARDO BANQUEZ</t>
  </si>
  <si>
    <t>CR 20 # 17-06</t>
  </si>
  <si>
    <t xml:space="preserve">CARNES Y PARRILLA </t>
  </si>
  <si>
    <t>HUBER CARVAJAL LINDARTE</t>
  </si>
  <si>
    <t>CR 20 # 19 -74</t>
  </si>
  <si>
    <t>CARNESYPARRILLASANONOFRE@GMAIL.COM</t>
  </si>
  <si>
    <t xml:space="preserve">MIGUEL TOUS </t>
  </si>
  <si>
    <t xml:space="preserve">ELKIN DARIO OCAMPO </t>
  </si>
  <si>
    <t>70695458-6</t>
  </si>
  <si>
    <t>CR 20 CALLE 23 - 19</t>
  </si>
  <si>
    <t>17/07/2025</t>
  </si>
  <si>
    <t xml:space="preserve">GRANERO EL FINQUERO </t>
  </si>
  <si>
    <t xml:space="preserve">LUZ TERESA ZULUAGA </t>
  </si>
  <si>
    <t>43055252-2</t>
  </si>
  <si>
    <t>CALLE 18 # 22-04</t>
  </si>
  <si>
    <t>ABIGAILALVAREZ775@HOTMAIL.COM</t>
  </si>
  <si>
    <t>17/7/2025</t>
  </si>
  <si>
    <t xml:space="preserve">DEPOSITO Y LEGUMBRES EL SANTUARIO </t>
  </si>
  <si>
    <t xml:space="preserve">MARINA LUZ DUQUE LONDOÑO </t>
  </si>
  <si>
    <t>CALLE 26 # 16-33</t>
  </si>
  <si>
    <t>SAN ONOFRE</t>
  </si>
  <si>
    <t>DISTRTFO S.A.S</t>
  </si>
  <si>
    <t>ODIS MIGUEL TORRES BLANCO</t>
  </si>
  <si>
    <t>CALLE 26 # 18 - 75</t>
  </si>
  <si>
    <t>310 8111623</t>
  </si>
  <si>
    <t>DISTRITFO@GMAIL.COM</t>
  </si>
  <si>
    <t>EL PALACIO DEL LICOR</t>
  </si>
  <si>
    <t xml:space="preserve">ANGELICA LUCIA MESO </t>
  </si>
  <si>
    <t>64521784-4</t>
  </si>
  <si>
    <t>CALLE 21 # 17-86</t>
  </si>
  <si>
    <t xml:space="preserve">ESTADERO EL COSTEÑO FELIZ </t>
  </si>
  <si>
    <t xml:space="preserve">ESTADERO Y GALLERA EL TREMENDO </t>
  </si>
  <si>
    <t xml:space="preserve">ARGELIO PEREZ SILGADO </t>
  </si>
  <si>
    <t>KR 27 CALLE 31-54</t>
  </si>
  <si>
    <t>ESTANCO Y PUNTO FRIO TINTIPAN</t>
  </si>
  <si>
    <t xml:space="preserve">DANIELA DIAZ OSORIO </t>
  </si>
  <si>
    <t>1193558692-4</t>
  </si>
  <si>
    <t>CR 20 CALLE 8-42</t>
  </si>
  <si>
    <t xml:space="preserve">GALLERA Y ESTADERO EL INVASOR </t>
  </si>
  <si>
    <t xml:space="preserve">DEIBIS DURAN JULIO </t>
  </si>
  <si>
    <t>1101445788-2</t>
  </si>
  <si>
    <t>KR 12 25-55</t>
  </si>
  <si>
    <t xml:space="preserve">GRANERO CON GUSTO </t>
  </si>
  <si>
    <t xml:space="preserve">JOSE BUITRAGO </t>
  </si>
  <si>
    <t>CALLE 24 CR 21 -36</t>
  </si>
  <si>
    <t xml:space="preserve">JAIME BOTERO ZULUAGA </t>
  </si>
  <si>
    <t>70694421-1</t>
  </si>
  <si>
    <t>CR 18 # 25 -40</t>
  </si>
  <si>
    <t>JAIMEB40@HOTMAIL.COM</t>
  </si>
  <si>
    <t xml:space="preserve">GRANERO EL BUEN PRECIO </t>
  </si>
  <si>
    <t xml:space="preserve">WILLIAM DUQUE </t>
  </si>
  <si>
    <t>CR 18 # 23-05</t>
  </si>
  <si>
    <t xml:space="preserve">GRANERO EL ÉXITO </t>
  </si>
  <si>
    <t xml:space="preserve">CRISTIAN ZAPATA GOMEZ </t>
  </si>
  <si>
    <t>CALLE 22 # 22-10</t>
  </si>
  <si>
    <t>HOGAR DE BIENESTAR  SAN ONOFRE</t>
  </si>
  <si>
    <t xml:space="preserve">MILDRE PAOLA OSORIO BERRIO </t>
  </si>
  <si>
    <t>823001211-8</t>
  </si>
  <si>
    <t>CALLE 14 CR 18-24</t>
  </si>
  <si>
    <t xml:space="preserve">HOGAR INFANTIL SAN ONOFRE </t>
  </si>
  <si>
    <t xml:space="preserve">GUSTAVO ACOSTA RICARDO </t>
  </si>
  <si>
    <t xml:space="preserve">CALLE 20 EL PUERTO </t>
  </si>
  <si>
    <t xml:space="preserve">HOTEL Y RESTAURANTE LA POLILLERA </t>
  </si>
  <si>
    <t xml:space="preserve">SANDRA MARTINEZ OSORIO </t>
  </si>
  <si>
    <t>2562060-1</t>
  </si>
  <si>
    <t>CALLE 29 # 24-45</t>
  </si>
  <si>
    <t>27/06/2024</t>
  </si>
  <si>
    <t xml:space="preserve">HOTEL Y RESTAURANTE SAN ONOFRE </t>
  </si>
  <si>
    <t xml:space="preserve">ESTELLA MEDINA </t>
  </si>
  <si>
    <t xml:space="preserve">LA TRONCAL </t>
  </si>
  <si>
    <t>KIOSCO EL PEPO</t>
  </si>
  <si>
    <t>ELIECER BLANCO URRUTIA</t>
  </si>
  <si>
    <t>CALLE 29 CR 30-47</t>
  </si>
  <si>
    <t xml:space="preserve">LA CASA DEL PANADERO </t>
  </si>
  <si>
    <t xml:space="preserve">CARLOS PATIÑO CONTRERAS </t>
  </si>
  <si>
    <t>CR 19 # 22-22</t>
  </si>
  <si>
    <t xml:space="preserve">LEGUMBRE GUADALUPE </t>
  </si>
  <si>
    <t xml:space="preserve">GUADALUPE RODRIGUEZ </t>
  </si>
  <si>
    <t>CALLE 19 # 19-80</t>
  </si>
  <si>
    <t xml:space="preserve">LEGUMBRES EL CHEVO </t>
  </si>
  <si>
    <t xml:space="preserve">RICHARD GOMEZ </t>
  </si>
  <si>
    <t>CR 21 CALLE 24-7</t>
  </si>
  <si>
    <t>LLANERA Y RESTAURANTE EL REPOSO</t>
  </si>
  <si>
    <t>MARIA ISABEL ALCON</t>
  </si>
  <si>
    <t>CALLE 26 # 13 -42</t>
  </si>
  <si>
    <t>ISABELALCON50@GMAIL.COM</t>
  </si>
  <si>
    <t xml:space="preserve">LLANERA Y RESTAURANTE LA VIRGEN </t>
  </si>
  <si>
    <t xml:space="preserve">NELSON BLANCO </t>
  </si>
  <si>
    <t>CALLE 29 30-43</t>
  </si>
  <si>
    <t xml:space="preserve">LLANERA Y RESTAURANTE LOS TRES SAZONES </t>
  </si>
  <si>
    <t xml:space="preserve">OMAR ZAPA </t>
  </si>
  <si>
    <t>CALLE 29 # 17-64</t>
  </si>
  <si>
    <t xml:space="preserve">MERCADIARIO </t>
  </si>
  <si>
    <t xml:space="preserve">NORVEI PELAEZ </t>
  </si>
  <si>
    <t>CR 16 # 21A-14</t>
  </si>
  <si>
    <t xml:space="preserve">MINITIENDA EL PARAISO </t>
  </si>
  <si>
    <t xml:space="preserve">ELKIN PELAEZ </t>
  </si>
  <si>
    <t>CR 19 # 16-106</t>
  </si>
  <si>
    <t>PANADERIA Y RESTAURANTE RICOPAN</t>
  </si>
  <si>
    <t>GABRIEL ARROYO AGAMEZ</t>
  </si>
  <si>
    <t>CR 19 CALLE 21-15</t>
  </si>
  <si>
    <t>RICOPANSANONOFRE@GMAIL.COM</t>
  </si>
  <si>
    <t xml:space="preserve">PIZZA LA BOMBA </t>
  </si>
  <si>
    <t xml:space="preserve">KARINA BLANCO HOYOS </t>
  </si>
  <si>
    <t>CALLE 29 # 17-40</t>
  </si>
  <si>
    <t>PUERTO BAHIA</t>
  </si>
  <si>
    <t>JOSE ANDRES BARBOZA</t>
  </si>
  <si>
    <t>92448667-0</t>
  </si>
  <si>
    <t>CR 20 #15-57</t>
  </si>
  <si>
    <t>PUNTO FRIO Y ESTADERO LA BENDICION</t>
  </si>
  <si>
    <t xml:space="preserve">GREGORIA SILGADO </t>
  </si>
  <si>
    <t>64523962-8</t>
  </si>
  <si>
    <t>CALLE 20 # 24-24</t>
  </si>
  <si>
    <t xml:space="preserve">RESTAURANTE ANTIOQUEÑO </t>
  </si>
  <si>
    <t xml:space="preserve">GABRIEL JAIME MARIN </t>
  </si>
  <si>
    <t xml:space="preserve">CENTRO PLAZA PRINCIPAL </t>
  </si>
  <si>
    <t xml:space="preserve">RESTAURANTE CIELO ABIERTO </t>
  </si>
  <si>
    <t xml:space="preserve">MODESTA GUTIERRES TORRES </t>
  </si>
  <si>
    <t>CR 29 # 18-06</t>
  </si>
  <si>
    <t xml:space="preserve">RESTAURANTE DONDE PETRA </t>
  </si>
  <si>
    <t>YULI CONSUELO MORELOS</t>
  </si>
  <si>
    <t xml:space="preserve">RINCON DEL MAR </t>
  </si>
  <si>
    <t xml:space="preserve">RESTAURANTE DONDE TULIO </t>
  </si>
  <si>
    <t xml:space="preserve">YADIS MACEA </t>
  </si>
  <si>
    <t>CALLE 29 # 18-45</t>
  </si>
  <si>
    <t xml:space="preserve">RESTAURANTE EL ESQUINAZO </t>
  </si>
  <si>
    <t xml:space="preserve">ANIBAL FIGUEROA </t>
  </si>
  <si>
    <t>CALLE 18# 53-16</t>
  </si>
  <si>
    <t xml:space="preserve">RESTAURANTE HOTEL SAN ONOFRE </t>
  </si>
  <si>
    <t xml:space="preserve">ALEXANDER BLANCO BERRIO </t>
  </si>
  <si>
    <t xml:space="preserve">LA PLAZA CENTRO </t>
  </si>
  <si>
    <t xml:space="preserve">RESTAURANTE JIMMY SON </t>
  </si>
  <si>
    <t xml:space="preserve">JIMMY TEHERAN ARIAS </t>
  </si>
  <si>
    <t>CALLE 29 CR 16-45</t>
  </si>
  <si>
    <t xml:space="preserve">RESTAURANTE KATATUMBA </t>
  </si>
  <si>
    <t xml:space="preserve">RAFAEL BLANCO </t>
  </si>
  <si>
    <t>CALLE 21 # 18-14</t>
  </si>
  <si>
    <t xml:space="preserve">KELLY OLMOS BLANCO </t>
  </si>
  <si>
    <t xml:space="preserve">CR 20 CENTRO </t>
  </si>
  <si>
    <t xml:space="preserve">RESTAURANTE LA BOMBA </t>
  </si>
  <si>
    <t>CALLE 29 # 14-40</t>
  </si>
  <si>
    <t xml:space="preserve">RESTAURANTE LA FANTASTICA DEL SABOR </t>
  </si>
  <si>
    <t xml:space="preserve">ESTELA MEZA GUTIERREZ </t>
  </si>
  <si>
    <t>CR 20 # 19-50</t>
  </si>
  <si>
    <t>DIEGOALEJANDROALVAROLUNA@GMAIL.COM</t>
  </si>
  <si>
    <t xml:space="preserve">RESTAURANTE LA MANO DE DIOS </t>
  </si>
  <si>
    <t xml:space="preserve">RUTH RODRIGUEZ </t>
  </si>
  <si>
    <t xml:space="preserve">BARRIO MANGA </t>
  </si>
  <si>
    <t xml:space="preserve">RESTAURANTE LA TRONCAL </t>
  </si>
  <si>
    <t>LUZ MAERY GUZMAN</t>
  </si>
  <si>
    <t>TRONCAL VIA CARTAGENA</t>
  </si>
  <si>
    <t>16/6/2025</t>
  </si>
  <si>
    <t xml:space="preserve">RESTAURANTE LA VACA ASADA </t>
  </si>
  <si>
    <t xml:space="preserve">REMBERTO POSADA </t>
  </si>
  <si>
    <t xml:space="preserve">CALLE EL PUERTO </t>
  </si>
  <si>
    <t xml:space="preserve">RESTAURANTE LOS ABETOS </t>
  </si>
  <si>
    <t xml:space="preserve">FANNY BLANCO </t>
  </si>
  <si>
    <t>CR 29 # 17-92</t>
  </si>
  <si>
    <t xml:space="preserve">RESTAURANTE MARY </t>
  </si>
  <si>
    <t xml:space="preserve">CLEOTILDE HERRERA </t>
  </si>
  <si>
    <t xml:space="preserve">CALLE 18 # 90CENTRO </t>
  </si>
  <si>
    <t xml:space="preserve">RESTAURANTE RESERVA NATURAL SANGUARE </t>
  </si>
  <si>
    <t xml:space="preserve">ALVARO HERNAN ROLDAN AMAYA </t>
  </si>
  <si>
    <t>RINCON DEL MAR KM 14</t>
  </si>
  <si>
    <t xml:space="preserve">SERVIMUNDO </t>
  </si>
  <si>
    <t xml:space="preserve">ROBERTO REVOLLO ESCUDERO </t>
  </si>
  <si>
    <t>9044691-1</t>
  </si>
  <si>
    <t>CALLE 21 # 17-15</t>
  </si>
  <si>
    <t xml:space="preserve">SUPERTIENDA LA LUZ </t>
  </si>
  <si>
    <t xml:space="preserve">JOSUE KALETH BARBOZA </t>
  </si>
  <si>
    <t>CR 19 # 24-89</t>
  </si>
  <si>
    <t xml:space="preserve">SUPERTIENDA MEDELLIN </t>
  </si>
  <si>
    <t xml:space="preserve">LUIS DUQUE SERNA </t>
  </si>
  <si>
    <t>CR 29 # 17/50</t>
  </si>
  <si>
    <t xml:space="preserve">SUPERTIENDA Y DROGUERIA OLIMPICA </t>
  </si>
  <si>
    <t>CR 20 # 19A-48</t>
  </si>
  <si>
    <t>ASTO332@OLIMPICA.COM.CO</t>
  </si>
  <si>
    <t xml:space="preserve">SUPERTIENDA YOMIS </t>
  </si>
  <si>
    <t xml:space="preserve">YOMIS THERAN ARIAS </t>
  </si>
  <si>
    <t xml:space="preserve">TRONCAL SALIDA A SINCELEJO </t>
  </si>
  <si>
    <t xml:space="preserve">TIENDA 12 DE DICIEMBRE </t>
  </si>
  <si>
    <t xml:space="preserve">SHIRELY SOLANO </t>
  </si>
  <si>
    <t xml:space="preserve">CALLE PAJONAL </t>
  </si>
  <si>
    <t xml:space="preserve">LIBERIO ORTIZ PORRAS </t>
  </si>
  <si>
    <t>CR 22 # 149-48</t>
  </si>
  <si>
    <t xml:space="preserve">TIENDA ALBA </t>
  </si>
  <si>
    <t xml:space="preserve">CARMEN DEL TORO PALENCIA </t>
  </si>
  <si>
    <t>CALLE 28 # 21-55</t>
  </si>
  <si>
    <t>TIENDA ARA 0193</t>
  </si>
  <si>
    <t xml:space="preserve">CRA  # 20-41 </t>
  </si>
  <si>
    <t xml:space="preserve">TIENDA CRISTO VIENE </t>
  </si>
  <si>
    <t xml:space="preserve">NORBEY PELAEZ GUARIN </t>
  </si>
  <si>
    <t xml:space="preserve">BARRIO PALITO PLAZA DE TOROS </t>
  </si>
  <si>
    <t>CR 20 # 19-128</t>
  </si>
  <si>
    <t>TIENDA DE MI BARRIO</t>
  </si>
  <si>
    <t xml:space="preserve">GUILLERMO MARTINEZ BERRIO </t>
  </si>
  <si>
    <t>CR 27 # 29 -07</t>
  </si>
  <si>
    <t xml:space="preserve">TIENDA DON GUSTO </t>
  </si>
  <si>
    <t xml:space="preserve">GUSTAVO BUITRAGO </t>
  </si>
  <si>
    <t>CALLE 21 CR 24</t>
  </si>
  <si>
    <t xml:space="preserve">TIENDA DONDE EMILENA </t>
  </si>
  <si>
    <t xml:space="preserve">EMILENA BERRIO CARMONA </t>
  </si>
  <si>
    <t>CR 27 CALLE 33B-14</t>
  </si>
  <si>
    <t xml:space="preserve">TIENDA DONDE HENRY </t>
  </si>
  <si>
    <t xml:space="preserve">ELIZABETH BERRIO CARMONA </t>
  </si>
  <si>
    <t xml:space="preserve">BARRIO PORVENIR </t>
  </si>
  <si>
    <t xml:space="preserve">TIENDA DONDE MILENA </t>
  </si>
  <si>
    <t xml:space="preserve">MILENA BERRIO CARDONA </t>
  </si>
  <si>
    <t xml:space="preserve">TIENDA EL CALEÑO </t>
  </si>
  <si>
    <t xml:space="preserve">OSMEDIA OLIVO CARDENAS </t>
  </si>
  <si>
    <t>CR 27 CALLE 23 -24</t>
  </si>
  <si>
    <t xml:space="preserve">TIENDA EL CARNERO </t>
  </si>
  <si>
    <t xml:space="preserve">NORALBA BLANCO </t>
  </si>
  <si>
    <t>CALLE 18 # 17 -20</t>
  </si>
  <si>
    <t xml:space="preserve">TIENDA EL COPE </t>
  </si>
  <si>
    <t xml:space="preserve">ALFONSO GUTIERREZ MANGA </t>
  </si>
  <si>
    <t>CR 20 CALLE 17B-68</t>
  </si>
  <si>
    <t xml:space="preserve">BARRIO LA BALSA </t>
  </si>
  <si>
    <t xml:space="preserve">SAN ONOFRE </t>
  </si>
  <si>
    <t xml:space="preserve">TIENDA EL MONACO </t>
  </si>
  <si>
    <t xml:space="preserve">JAVIER SERPA SALAZAR </t>
  </si>
  <si>
    <t>CR 24 CALLE 18-36</t>
  </si>
  <si>
    <t xml:space="preserve">JULIO MANUEL TORRES </t>
  </si>
  <si>
    <t>CALLE 18 # 24-05</t>
  </si>
  <si>
    <t xml:space="preserve">TIENDA EL PAISA </t>
  </si>
  <si>
    <t xml:space="preserve">JAVIER QUIÑONEZ MARTINEZ </t>
  </si>
  <si>
    <t>CR 27 # 30-25</t>
  </si>
  <si>
    <t>JUAN DAVID DUQUE</t>
  </si>
  <si>
    <t>CR 19 # 17-04</t>
  </si>
  <si>
    <t xml:space="preserve">TIENDA EL PORVENIR </t>
  </si>
  <si>
    <t xml:space="preserve">IMBRE CASTILLO </t>
  </si>
  <si>
    <t>CR 27 # 30A-77</t>
  </si>
  <si>
    <t xml:space="preserve">TIENDA EL PROGRESO </t>
  </si>
  <si>
    <t xml:space="preserve">JORGE MELENDEZ </t>
  </si>
  <si>
    <t>CR 20 # 14A-58A</t>
  </si>
  <si>
    <t xml:space="preserve">TIENDA ELO </t>
  </si>
  <si>
    <t xml:space="preserve">ELOISA SILGADO TEHERAN  </t>
  </si>
  <si>
    <t>CR 20 CALLE 23-83</t>
  </si>
  <si>
    <t xml:space="preserve">TIENDA EMANUEL </t>
  </si>
  <si>
    <t xml:space="preserve">RAMIRO ZARZA ROQUEME </t>
  </si>
  <si>
    <t>TIENDA EXITO</t>
  </si>
  <si>
    <t>EDEUDY USTATE MARTINEZ</t>
  </si>
  <si>
    <t>CALLE 19 KR 17-6</t>
  </si>
  <si>
    <t>23/06/2022</t>
  </si>
  <si>
    <t xml:space="preserve">TIENDA ÉXITO </t>
  </si>
  <si>
    <t xml:space="preserve">KATHERINE ITURRIAGO </t>
  </si>
  <si>
    <t>CALLE 19 CR 17 # 06</t>
  </si>
  <si>
    <t xml:space="preserve">TIENDA GENESIS </t>
  </si>
  <si>
    <t xml:space="preserve">GENESIS GUZMAN GUERRERO </t>
  </si>
  <si>
    <t>CR 21 # 15A-38</t>
  </si>
  <si>
    <t xml:space="preserve">TIENDA GIRA EL SOL </t>
  </si>
  <si>
    <t xml:space="preserve">TULIO MARTINEZ MERCADO </t>
  </si>
  <si>
    <t xml:space="preserve">CASERIO AGUAS NEGRAS </t>
  </si>
  <si>
    <t xml:space="preserve">TIENDA JULIANA   </t>
  </si>
  <si>
    <t xml:space="preserve">JOSE MIGUEL HERRERA </t>
  </si>
  <si>
    <t xml:space="preserve">TIENDA KATYA </t>
  </si>
  <si>
    <t xml:space="preserve">ESTHER MESTRE THERAN </t>
  </si>
  <si>
    <t>CR 20 # 14A-16</t>
  </si>
  <si>
    <t>TIENDA LA 27</t>
  </si>
  <si>
    <t xml:space="preserve">LENIS ANAYA OSORIO </t>
  </si>
  <si>
    <t>CR 27 # 34-39</t>
  </si>
  <si>
    <t xml:space="preserve">OLGA BARBOZA ZAPATA </t>
  </si>
  <si>
    <t>CR 20 # 26-31</t>
  </si>
  <si>
    <t xml:space="preserve">ELEANA ALVAREZ </t>
  </si>
  <si>
    <t xml:space="preserve">TIENDA LA CURVA </t>
  </si>
  <si>
    <t xml:space="preserve">JOSE BERRIO CARMONA </t>
  </si>
  <si>
    <t>CALLE 28 # 21A-46</t>
  </si>
  <si>
    <t xml:space="preserve">YORLI JULIO AVILA </t>
  </si>
  <si>
    <t>CALLE 29 # 17A-61</t>
  </si>
  <si>
    <t xml:space="preserve">TIENDA LA MANO DE DIOS </t>
  </si>
  <si>
    <t xml:space="preserve">BERENA MENDOZA GOMEZ </t>
  </si>
  <si>
    <t>CALLE 14 CR 20 -102</t>
  </si>
  <si>
    <t xml:space="preserve">TIENDA LA NUEVA </t>
  </si>
  <si>
    <t xml:space="preserve">ERMES ANGULO </t>
  </si>
  <si>
    <t xml:space="preserve">JADER ABUS CHAVEZ </t>
  </si>
  <si>
    <t>CR 21 CALLE 22-06</t>
  </si>
  <si>
    <t xml:space="preserve">EUSEBIA BLANCO ALVAREZ </t>
  </si>
  <si>
    <t>CALLE 29 CR 26 -41</t>
  </si>
  <si>
    <t xml:space="preserve">TIENDA THYBELUZ </t>
  </si>
  <si>
    <t xml:space="preserve">EUCLIDES INSIGNARES </t>
  </si>
  <si>
    <t>CRA 20 # 27-12</t>
  </si>
  <si>
    <t>HOGAR COMUNITARIO SUEÑOS DE NIÑOS</t>
  </si>
  <si>
    <t>MARLENYS SALAZAR BELLO</t>
  </si>
  <si>
    <t>823002136-8</t>
  </si>
  <si>
    <t>CRA 20 #16-86</t>
  </si>
  <si>
    <t>VENANCIA JULIO SILGADO</t>
  </si>
  <si>
    <t>CRA 20 #10</t>
  </si>
  <si>
    <t>GRANOS Y LEGUMBRES ÉXITO</t>
  </si>
  <si>
    <t>CRISTIAN IZQUIERDO BELLO</t>
  </si>
  <si>
    <t>CALLE EL COMERCIO</t>
  </si>
  <si>
    <t>TIENDA LAS TRES PIEDRAS</t>
  </si>
  <si>
    <t>EDUARDO GUARIN CIRO</t>
  </si>
  <si>
    <t>71290123-9</t>
  </si>
  <si>
    <t>CRA 19 #15-30</t>
  </si>
  <si>
    <t>TIENDA TRES PIEDRAS</t>
  </si>
  <si>
    <t>EDUARDO GUARIN</t>
  </si>
  <si>
    <t>KR 19 #15-30</t>
  </si>
  <si>
    <t xml:space="preserve">BRAYAN BANEGAS </t>
  </si>
  <si>
    <t>CALLE EL PUERTO</t>
  </si>
  <si>
    <t>BUÑUELOS PAN</t>
  </si>
  <si>
    <t>JAVIER USECHE GOMEZ</t>
  </si>
  <si>
    <t>CLL 20 #21 - 30</t>
  </si>
  <si>
    <t>JAVIERUSECHEGOMEZ1@GMAIL.COM</t>
  </si>
  <si>
    <t xml:space="preserve">ANGIE TORRADO PAEZ </t>
  </si>
  <si>
    <t>CORREGIMIENTO PALMIRA</t>
  </si>
  <si>
    <t>DULCERIA NAPOLITANA</t>
  </si>
  <si>
    <t>JUAN PABLO OROSTEGUI</t>
  </si>
  <si>
    <t>KRA 20 #19-101</t>
  </si>
  <si>
    <t>JPOROSTEGUI@HOTMAIL.COM</t>
  </si>
  <si>
    <t xml:space="preserve">DULCERIA SURTI DULCES </t>
  </si>
  <si>
    <t>KRA 18 # 23 - 72</t>
  </si>
  <si>
    <t>LUISLUISGM89@GMAIL.COM</t>
  </si>
  <si>
    <t>ESTADERO BAR PUNTO ROJO</t>
  </si>
  <si>
    <t>ARIANNY VARGAS BARRETO</t>
  </si>
  <si>
    <t>89228013-2</t>
  </si>
  <si>
    <t>CLL 26 #14-35</t>
  </si>
  <si>
    <t>ARIANNYBUA07@GMAIL.COM</t>
  </si>
  <si>
    <t>ESTADERO Y EVENTOS LAS TECAS</t>
  </si>
  <si>
    <t>JOSE ALEJANDRO TORRES ALVAREZ</t>
  </si>
  <si>
    <t>KRA 21 #12-62</t>
  </si>
  <si>
    <t>DARIANLUCIA2307@GMAIL.COM</t>
  </si>
  <si>
    <t>ESTANCO LA CENTRAL</t>
  </si>
  <si>
    <t>JUNIOR JULIO AVILA</t>
  </si>
  <si>
    <t>KRA 18 #24-68</t>
  </si>
  <si>
    <t>JUNIORJULIOAVILA@GMAIL.COM</t>
  </si>
  <si>
    <t>CLL 4F #40 - 07</t>
  </si>
  <si>
    <t>CORREGIMIENTO PAJONAL</t>
  </si>
  <si>
    <t>CORR. PALO ALTO</t>
  </si>
  <si>
    <t>SABANA DE MUCACA</t>
  </si>
  <si>
    <t>LICORERA Y PUNTO FRIO LA 18</t>
  </si>
  <si>
    <t>ANA ADELA MONZO JULIO</t>
  </si>
  <si>
    <t>23183842-1</t>
  </si>
  <si>
    <t>KRA 18 CLL 23 - 27</t>
  </si>
  <si>
    <t>ANADELA-1884@GMAIL.COM</t>
  </si>
  <si>
    <t>SURTI  POLLO</t>
  </si>
  <si>
    <t>SANDRA ZULUAGA GOMEZ</t>
  </si>
  <si>
    <t>CLL 22#18-10</t>
  </si>
  <si>
    <t>SANDRAZULUAGA72@OUTLOOK.COM</t>
  </si>
  <si>
    <t>TIENDA Y CARNICERIA PAISA</t>
  </si>
  <si>
    <t>JOSE ANDREY ORTIZ</t>
  </si>
  <si>
    <t>KRA 18 # 23-33</t>
  </si>
  <si>
    <t>OVERNARVAEZPEREZ@GMAIL.COM</t>
  </si>
  <si>
    <t xml:space="preserve">RESTAURANTE LA BENDICIÓN </t>
  </si>
  <si>
    <t>JOSE LUIS ALVAREZ TEHERAN</t>
  </si>
  <si>
    <t>CLL 26 #25 - 102</t>
  </si>
  <si>
    <t>JHOSELITO02@HOTMAIL.COM</t>
  </si>
  <si>
    <t>BILLAR - CLUB RD</t>
  </si>
  <si>
    <t xml:space="preserve">ANDRES BLANCO ARROYO </t>
  </si>
  <si>
    <t>KRA 18 #20-80 LOCAL 2</t>
  </si>
  <si>
    <t>DLANOR@HOTMAIL.COM</t>
  </si>
  <si>
    <t>CDI CAMPO DE LAS FLORES</t>
  </si>
  <si>
    <t>CALLE 20 #13-41</t>
  </si>
  <si>
    <t>15/5/2025</t>
  </si>
  <si>
    <t>ESTADERO - BAR LOS LAURELES</t>
  </si>
  <si>
    <t>YURLEZ ZAPATA VELEZ</t>
  </si>
  <si>
    <t>1035875612-1</t>
  </si>
  <si>
    <t>CLL 19 KRA 29-42</t>
  </si>
  <si>
    <t>ELBROWN.EDB500@GMAIL.COM</t>
  </si>
  <si>
    <t>DISCOTECA NOCHES DE KARAOKE</t>
  </si>
  <si>
    <t>FERNANDO ALBERTO SALAZAR</t>
  </si>
  <si>
    <t>KRA 20 #10-49</t>
  </si>
  <si>
    <t>FERNANDOSALAZARSALAZAR12345@GMAIL.COM</t>
  </si>
  <si>
    <t>CARNES Y VIVERES LA BENDICIÓN DE DIOS</t>
  </si>
  <si>
    <t>ZULANNYS RODRIGUEZ MORILLO</t>
  </si>
  <si>
    <t>ESTADERO BELLAKEO</t>
  </si>
  <si>
    <t>PIEDAD JULIO VALERO</t>
  </si>
  <si>
    <t>KRA 24 PLAZA DE TOROS</t>
  </si>
  <si>
    <t>LEGUNBRERIA EL PUERTO</t>
  </si>
  <si>
    <t>JUAN DAVID CASTAÑEDA</t>
  </si>
  <si>
    <t>KRA 20 #22-7</t>
  </si>
  <si>
    <t>MEGATIENDA NAPOLITANA</t>
  </si>
  <si>
    <t>ELKIN CARO OCAMPO</t>
  </si>
  <si>
    <t>KRA 20 #19-7</t>
  </si>
  <si>
    <t>MEGATIENDANAPOLITANA_025@GMAIL.COM</t>
  </si>
  <si>
    <t>MARISCOS Y CARNES LA PLAYA S.A.S</t>
  </si>
  <si>
    <t>ELVIRA BLANCO BANQUEZ</t>
  </si>
  <si>
    <t>901247151-3</t>
  </si>
  <si>
    <t>CALLE LAS FLORES  CORREGIMIENTO BERRUGAS</t>
  </si>
  <si>
    <t>CARNESYMARISCOSLAPLAYA@HOTMAIL,COM</t>
  </si>
  <si>
    <t>DADOR DE FRIO</t>
  </si>
  <si>
    <t>CAMAZUGO S.A,S</t>
  </si>
  <si>
    <t>CARLOS ZULUAGA</t>
  </si>
  <si>
    <t>901366452-5</t>
  </si>
  <si>
    <t>KR 20# 21-6</t>
  </si>
  <si>
    <t>FACTURACINCARLOSZULUAGA@HOTMAIL.COM</t>
  </si>
  <si>
    <t>98.5%</t>
  </si>
  <si>
    <t>ASOCIACIÓN AFROCOLOMBIANA DE ASENTAMIENTO ANCESTRAL</t>
  </si>
  <si>
    <t xml:space="preserve">  HOGAR DE BIENESTAR PARAISO ANGELICAL </t>
  </si>
  <si>
    <t>FRANK GALINDO RUIZ</t>
  </si>
  <si>
    <t>900759939-3</t>
  </si>
  <si>
    <t>CR 13 # 2-220</t>
  </si>
  <si>
    <t>FRANKGALINDOR@HOTMAIL.COM</t>
  </si>
  <si>
    <t xml:space="preserve"> EL BUEN PRECIO  </t>
  </si>
  <si>
    <t xml:space="preserve">CLAUDIA BUITRAGO JIMENEZ </t>
  </si>
  <si>
    <t xml:space="preserve">AV LOS ESTUDIANTES </t>
  </si>
  <si>
    <t xml:space="preserve"> HOGAR  DE BIENESTAR TRAVESURAS</t>
  </si>
  <si>
    <t>CR 5 # 13-29 BARRIO ROSARIO</t>
  </si>
  <si>
    <t xml:space="preserve"> HOGAR DE BIENESTAR  MICKEY </t>
  </si>
  <si>
    <t>8230020607-7</t>
  </si>
  <si>
    <t>CALLE 7 # 10-49</t>
  </si>
  <si>
    <t xml:space="preserve"> HOGAR DE BIENESTAR DIANI</t>
  </si>
  <si>
    <t>CRA 15 #21-7</t>
  </si>
  <si>
    <t xml:space="preserve"> HOGAR DE BIENESTAR MIS ANGELITOS </t>
  </si>
  <si>
    <t>CR 13 # 18-23</t>
  </si>
  <si>
    <t>ASOCIAÓN AFROCOLOMBIANA DE ASENTAMIENTO ANCESTRAL</t>
  </si>
  <si>
    <t xml:space="preserve"> HOGAR DE BIENESTAR VIVAN LOS NIÑOS</t>
  </si>
  <si>
    <t>CR 12 # 5-100</t>
  </si>
  <si>
    <t xml:space="preserve"> PANADERIA MANA </t>
  </si>
  <si>
    <t xml:space="preserve">JOSE DAVID HERNANDEZ </t>
  </si>
  <si>
    <t>CR 9 # 23-18</t>
  </si>
  <si>
    <t>ABASTOS CORAZON DE JESUS</t>
  </si>
  <si>
    <t>CRISTIAN SERNA</t>
  </si>
  <si>
    <t>CALLE 13 #8-11</t>
  </si>
  <si>
    <t xml:space="preserve">ANTAÑO </t>
  </si>
  <si>
    <t xml:space="preserve">MARTIN ELIAS CASTILLA </t>
  </si>
  <si>
    <t>CR 9 # 9-37</t>
  </si>
  <si>
    <t xml:space="preserve">ASADOS EL CARNUDO </t>
  </si>
  <si>
    <t xml:space="preserve">JORGE LUIS ESPINOSA VERGARA </t>
  </si>
  <si>
    <t>3975265-1</t>
  </si>
  <si>
    <t>CARRETERA TRONCAL VIA MAGANGUE</t>
  </si>
  <si>
    <t>JORGEESPINOSAVERGARA@GMAIL.COM</t>
  </si>
  <si>
    <t>RICHAR JIMENEZ</t>
  </si>
  <si>
    <t>28/08/2024</t>
  </si>
  <si>
    <t xml:space="preserve">ASADOS Y COMIDAS RAPIDAS EL BUEN SABOR </t>
  </si>
  <si>
    <t xml:space="preserve">EVER BLANCO FIGUEROA </t>
  </si>
  <si>
    <t>CR 9 # 24-02</t>
  </si>
  <si>
    <t>SAN PEDRO</t>
  </si>
  <si>
    <t xml:space="preserve">ASOCIACION GESTORA Y ASEORA PARA EL DESARROLLO RURAL </t>
  </si>
  <si>
    <t xml:space="preserve">ELVANA ROSA DAVILA RAMIREZ </t>
  </si>
  <si>
    <t>CALLE 14 # 17-49</t>
  </si>
  <si>
    <t>ASODAMAS Y GUAYABALITO -  BEIBILANDIA</t>
  </si>
  <si>
    <t>KR 13 # 18-47</t>
  </si>
  <si>
    <t>ASODAMAS Y GUAYABALITO -  EL DIVINO NIÑO</t>
  </si>
  <si>
    <t>8230026607-7</t>
  </si>
  <si>
    <t>CR 4 # 7-26</t>
  </si>
  <si>
    <t>ASODAMAS Y GUAYABALITO -  HOGAR CHIQUITIN</t>
  </si>
  <si>
    <t>LUIS ALBERTO HERRERA</t>
  </si>
  <si>
    <t>BARRIO KENEEDY</t>
  </si>
  <si>
    <t>KR 17 # 17-7</t>
  </si>
  <si>
    <t>ASODAMAS Y GUAYABALITO -  HOGAR NIÑO JESUS</t>
  </si>
  <si>
    <t xml:space="preserve">CALLE 7 #10-48 BARRIO SAN ROQUE </t>
  </si>
  <si>
    <t>ASODAMAS Y GUAYABALITO -  HOGAR TATY</t>
  </si>
  <si>
    <t>CR 13 # 21C - 40</t>
  </si>
  <si>
    <t xml:space="preserve">BABYLANDIA </t>
  </si>
  <si>
    <t xml:space="preserve">ELIECER PATERNINA PATERNINA </t>
  </si>
  <si>
    <t>BAR LA 10</t>
  </si>
  <si>
    <t xml:space="preserve">JORGE LUIS ROMERO CUELLO </t>
  </si>
  <si>
    <t>CALLE 10 # 9-15</t>
  </si>
  <si>
    <t xml:space="preserve">BILLARES LA DINASTIA </t>
  </si>
  <si>
    <t>BILLARES LOS DOS AMIGOS</t>
  </si>
  <si>
    <t xml:space="preserve">MARIA SANES AGUILERA </t>
  </si>
  <si>
    <t>CR 14 # 21-08</t>
  </si>
  <si>
    <t>BODEGA AFROSAN PEDRO</t>
  </si>
  <si>
    <t>NARY ROSA GARRIDO RAMIREZ</t>
  </si>
  <si>
    <t>900507716-7</t>
  </si>
  <si>
    <t>CRA14#15-90</t>
  </si>
  <si>
    <t>PIMESAS2018@GMAIL.COM</t>
  </si>
  <si>
    <t xml:space="preserve">BOHEMIA DISCO BAR </t>
  </si>
  <si>
    <t xml:space="preserve">ARNALDO CAMPO ARRIETA </t>
  </si>
  <si>
    <t>CALLE 10 #19-19</t>
  </si>
  <si>
    <t>CARNES FINAS AAESA CARNICERIA</t>
  </si>
  <si>
    <t xml:space="preserve">AMAURIS CASTILLA 
</t>
  </si>
  <si>
    <t>CARRERA 9 N 20-114</t>
  </si>
  <si>
    <t>CR 14 # 11-5</t>
  </si>
  <si>
    <t xml:space="preserve">CENTRO DE VIDA EXPERIENCIA Y SABIDURIA </t>
  </si>
  <si>
    <t xml:space="preserve">LUIS RICARDO MENDOZA HERNANDEZ </t>
  </si>
  <si>
    <t>CR 17A # 16-15</t>
  </si>
  <si>
    <t xml:space="preserve">COMEDOR ESCOLAR I.E. SAN PEDRO  CLAVER </t>
  </si>
  <si>
    <t xml:space="preserve">EIVANA RAMIREZ DAVILA </t>
  </si>
  <si>
    <t xml:space="preserve">COMEDOR ESCOLAR INTITUCION EDUCATIVA  SANTA ROSA DE LIMA </t>
  </si>
  <si>
    <t xml:space="preserve">EIVANA   RAMIREZ DAVILA </t>
  </si>
  <si>
    <t>CALLE 15 #35-10</t>
  </si>
  <si>
    <t>COMEDOR ESCOLAR SAN IGNACIO</t>
  </si>
  <si>
    <t>INGRIS MEZA</t>
  </si>
  <si>
    <t>BARRIO SAN IGNACIO</t>
  </si>
  <si>
    <t>COMEDOR ESCOLAR SAN JUAN BOSCO</t>
  </si>
  <si>
    <t>INGRIS MENA</t>
  </si>
  <si>
    <t>COMEDOR ESCOLAR SEDE EL ROSAL</t>
  </si>
  <si>
    <t>BARRIO EL ROSAL</t>
  </si>
  <si>
    <t>COMIDAS RAPIDAS LA 9</t>
  </si>
  <si>
    <t xml:space="preserve">KARINA TATIANA  TOVAR </t>
  </si>
  <si>
    <t>CR 9 # 21-10</t>
  </si>
  <si>
    <t xml:space="preserve">COMIDAS RAPIDAS SOL SABOR </t>
  </si>
  <si>
    <t xml:space="preserve">VERONICA PINEDA LOBO </t>
  </si>
  <si>
    <t>CR 9 # 17-39</t>
  </si>
  <si>
    <t>DEDILOCO</t>
  </si>
  <si>
    <t>LEONELY TOVAR</t>
  </si>
  <si>
    <t>CLL 13 N 8.03</t>
  </si>
  <si>
    <t xml:space="preserve">DELICIAS GRATINADA </t>
  </si>
  <si>
    <t xml:space="preserve">RONAL MARTINEZ LUNA </t>
  </si>
  <si>
    <t>CR 9 # 12-08</t>
  </si>
  <si>
    <t>DISTRIBUCCION DE ALIMENTOS PARA HBC</t>
  </si>
  <si>
    <t>JUAN OLIVEROS</t>
  </si>
  <si>
    <t>CRA 13 #16-32</t>
  </si>
  <si>
    <t xml:space="preserve">EL BARRIL DE CARLOS </t>
  </si>
  <si>
    <t>CARLOS MARIO ORTEGA</t>
  </si>
  <si>
    <t>110017311-9</t>
  </si>
  <si>
    <t>CRA 14 #15-36</t>
  </si>
  <si>
    <t>EL JILGERO # 3</t>
  </si>
  <si>
    <t xml:space="preserve">SAMIR OVIEDO MENEDEZ </t>
  </si>
  <si>
    <t>TV 22 1B-21</t>
  </si>
  <si>
    <t>ESTADERO DONDE ASTRID</t>
  </si>
  <si>
    <t xml:space="preserve">RAMIRO DEL CRISTO </t>
  </si>
  <si>
    <t>CLL 25 CRA 24-27</t>
  </si>
  <si>
    <t xml:space="preserve">ESTADERO EL JILGERO </t>
  </si>
  <si>
    <t>YULIETH BARON ROMERO</t>
  </si>
  <si>
    <t xml:space="preserve">ESTADERO EL PAGUATE </t>
  </si>
  <si>
    <t>MILAGRO PEREZ</t>
  </si>
  <si>
    <t>64479270-1</t>
  </si>
  <si>
    <t>CLL 25#8A-21</t>
  </si>
  <si>
    <t>RAFAEL DIAZ</t>
  </si>
  <si>
    <t>73208113-4</t>
  </si>
  <si>
    <t>TV 21 #1A-40</t>
  </si>
  <si>
    <t>ESTADERO LA CUEVA</t>
  </si>
  <si>
    <t>CARLOS ADOLFO TAMARA AGUILERA</t>
  </si>
  <si>
    <t>92186657-1</t>
  </si>
  <si>
    <t>TV 3C # 14 - 57</t>
  </si>
  <si>
    <t>ESTADERO LA SOMBRITA</t>
  </si>
  <si>
    <t>ALEXANDER MANJARREZ</t>
  </si>
  <si>
    <t>92131657-1</t>
  </si>
  <si>
    <t>TRV 21 #3-16</t>
  </si>
  <si>
    <t>DAVIKOLATRONICK@GMAIL.COM</t>
  </si>
  <si>
    <t xml:space="preserve">ESTADERO LAS CABAÑAS </t>
  </si>
  <si>
    <t xml:space="preserve">MAGOLA MARTINEZ ACOSTA </t>
  </si>
  <si>
    <t>CALLE 25 # 21-38</t>
  </si>
  <si>
    <t>ESTADERO LOS MANGOS #2</t>
  </si>
  <si>
    <t xml:space="preserve">FRANY EVELIS GUERRA HERNANDEZ </t>
  </si>
  <si>
    <t>CALLE 25 # 2A-8</t>
  </si>
  <si>
    <t xml:space="preserve">RANCHO GRANDE MI HERMANO Y YO </t>
  </si>
  <si>
    <t>ESTADERO MI HERMANO Y YO RANCHO GRANDE</t>
  </si>
  <si>
    <t>JORGE TOVAR BENITEZ</t>
  </si>
  <si>
    <t>KRA 1 #24-36</t>
  </si>
  <si>
    <t>BETOLUGO@HOTMAIL.COM</t>
  </si>
  <si>
    <t>13/08/2025</t>
  </si>
  <si>
    <t xml:space="preserve">ANDRES REDONDO </t>
  </si>
  <si>
    <t>ESTADERO TRIPLE HHH</t>
  </si>
  <si>
    <t>LUIS TOVAR</t>
  </si>
  <si>
    <t>92508975-2</t>
  </si>
  <si>
    <t>CL 25 TV 22A</t>
  </si>
  <si>
    <t xml:space="preserve">ESTADERO Y BILLARES LA FACHADA </t>
  </si>
  <si>
    <t xml:space="preserve">ROCIO GAMARRA ATENCIA </t>
  </si>
  <si>
    <t>64479146-6</t>
  </si>
  <si>
    <t>CALLE 25 # 21-30</t>
  </si>
  <si>
    <t>GALLERA Y CANCHA DE TEJO EL BRUJO</t>
  </si>
  <si>
    <t>AURA MENESES</t>
  </si>
  <si>
    <t>BARRIO SUBESTACION</t>
  </si>
  <si>
    <t xml:space="preserve">GRANERO EL SKORPION </t>
  </si>
  <si>
    <t xml:space="preserve">FRANCISCO ALEXANDER SALAZAR </t>
  </si>
  <si>
    <t>CR 9 # 13-13</t>
  </si>
  <si>
    <t xml:space="preserve">GRANERO EL TRIUNFO </t>
  </si>
  <si>
    <t xml:space="preserve">JUAN BAUTISTA SERNA </t>
  </si>
  <si>
    <t>CALLE 15 # 9-30</t>
  </si>
  <si>
    <t xml:space="preserve">GRANERO ESCORPION DE SAN PEDRO </t>
  </si>
  <si>
    <t xml:space="preserve">FRANCISCO SALAZAR </t>
  </si>
  <si>
    <t>CR 9 #13A-13</t>
  </si>
  <si>
    <t xml:space="preserve">GRANERO MERCA MAX </t>
  </si>
  <si>
    <t xml:space="preserve">JHON JAIRO SERNA FERNANDEZ </t>
  </si>
  <si>
    <t>CR 9 # 13-25</t>
  </si>
  <si>
    <t xml:space="preserve">GRANERO SAN PEDRO </t>
  </si>
  <si>
    <t xml:space="preserve">ANDRES DUQUE DUQUE </t>
  </si>
  <si>
    <t>70694162-7</t>
  </si>
  <si>
    <t>KR 9 #13-82</t>
  </si>
  <si>
    <t>GRANERO SERNA</t>
  </si>
  <si>
    <t>CRISTIAN ALEXANDER SERNA</t>
  </si>
  <si>
    <t>CALLE 19 #10-5</t>
  </si>
  <si>
    <t xml:space="preserve">ASOCIACION AFROCOLOMBIANA DE ASENTAMIENTO ANCESTRAL MUNICIPIO DE SAN PEDRO </t>
  </si>
  <si>
    <t xml:space="preserve">HOGAR DE BIENESTAR FAMILIAR MI SONRISA </t>
  </si>
  <si>
    <t>FRANS GALINDO RUIZ</t>
  </si>
  <si>
    <t>900759939-2</t>
  </si>
  <si>
    <t>KR 16 # 12-15</t>
  </si>
  <si>
    <t>DALGISRAMIREZ12@GMAIL.COM</t>
  </si>
  <si>
    <t>14/11/2025</t>
  </si>
  <si>
    <t xml:space="preserve">RICHARD JIMENEZ </t>
  </si>
  <si>
    <t>´PROGRAMACION</t>
  </si>
  <si>
    <t>HOGAR DE BIENESTAR AMIGUITOS</t>
  </si>
  <si>
    <t>ELIECER PATERNINA</t>
  </si>
  <si>
    <t>CR 4 # 6-9</t>
  </si>
  <si>
    <t xml:space="preserve">HOGAR DE BIENESTAR AMIGUITOS PEQUEÑOS </t>
  </si>
  <si>
    <t>CR 6 #6-9</t>
  </si>
  <si>
    <t xml:space="preserve">HOGAR DE BIENESTAR DULCE NOMBRE </t>
  </si>
  <si>
    <t>CR 3A # 24-47</t>
  </si>
  <si>
    <t>28/7/2025</t>
  </si>
  <si>
    <t>ANDRES REDONDO</t>
  </si>
  <si>
    <t>HOGAR DE BIENESTAR LOS CAPULLITOS</t>
  </si>
  <si>
    <t>KR 14 #16-20 BARRIO KENEDY</t>
  </si>
  <si>
    <t xml:space="preserve">HOGAR DE BIENESTAR MARIA JOSE </t>
  </si>
  <si>
    <t>CLL 13 #14-3</t>
  </si>
  <si>
    <t>HOGAR DE BIENESTAR MI PEQUEÑO AMOR</t>
  </si>
  <si>
    <t>CLL 11 #6-25</t>
  </si>
  <si>
    <t xml:space="preserve">ASOCIACION AFROCOLOMBIANA </t>
  </si>
  <si>
    <t xml:space="preserve">HOGAR DE BIENESTAR FAMILIAR MI PICARDIA </t>
  </si>
  <si>
    <t>FRAN GALINDO RUIZ</t>
  </si>
  <si>
    <t>KR 17 # 14-21</t>
  </si>
  <si>
    <t>GRISELISCHIMA@GMAIL.COM</t>
  </si>
  <si>
    <t>RICHARD JIMENEZ</t>
  </si>
  <si>
    <t>25/09/2024</t>
  </si>
  <si>
    <t>HOGAR DE BIENESTAR TANIS</t>
  </si>
  <si>
    <t>CR 12 # 21B-19</t>
  </si>
  <si>
    <t xml:space="preserve">JUAN PIZZA </t>
  </si>
  <si>
    <t xml:space="preserve">JOSE LUIS GUERRERO BARRAZA </t>
  </si>
  <si>
    <t>CR 9 # 12-25</t>
  </si>
  <si>
    <t xml:space="preserve">KIOSKO LA CEIBA </t>
  </si>
  <si>
    <t xml:space="preserve">NAYIBE RAMIREZ DE VITAL </t>
  </si>
  <si>
    <t>CALLE 25 # 8-62</t>
  </si>
  <si>
    <t xml:space="preserve">LA ESQUINA ROSA </t>
  </si>
  <si>
    <t xml:space="preserve">EMID ARRIETA CORREA </t>
  </si>
  <si>
    <t>CALLE 10 # 8-03</t>
  </si>
  <si>
    <t>LA PAMPARA KAST KOOD</t>
  </si>
  <si>
    <t xml:space="preserve">CLAUDIA VILAR </t>
  </si>
  <si>
    <t>CRA 9 N22-85</t>
  </si>
  <si>
    <t>LA VOLUNTAD DE DIOS</t>
  </si>
  <si>
    <t>VEREDA PERENDENGUE</t>
  </si>
  <si>
    <t xml:space="preserve">LICORERA EL INDIO </t>
  </si>
  <si>
    <t>CAMILA GONZALLEZ  GARCIA</t>
  </si>
  <si>
    <t>CR 8 # 22-75</t>
  </si>
  <si>
    <t xml:space="preserve">LOS NIÑOS BUENOS </t>
  </si>
  <si>
    <t>EDILMA MARTINEZ FLORES</t>
  </si>
  <si>
    <t>CR 3 # 7-23</t>
  </si>
  <si>
    <t>MAOS PIZZA</t>
  </si>
  <si>
    <t>KEILE AGUIRRE</t>
  </si>
  <si>
    <t>TV. 21#0-18</t>
  </si>
  <si>
    <t xml:space="preserve">MERCADITO MEDELLIN TIENDA </t>
  </si>
  <si>
    <t xml:space="preserve">ARGEMIRO TORO TABARES </t>
  </si>
  <si>
    <t>CALLE 21B #11-8</t>
  </si>
  <si>
    <t xml:space="preserve">PANADERIA Y REPOSTERIA TRIGO PAN </t>
  </si>
  <si>
    <t xml:space="preserve">CAROLINA SARMIENTO PLATA </t>
  </si>
  <si>
    <t>28024223-1</t>
  </si>
  <si>
    <t>CR 9 # 14-06</t>
  </si>
  <si>
    <t>SAMUELBARTRE@GMAIL.COM</t>
  </si>
  <si>
    <t>PROCURA GLOBAL SAS</t>
  </si>
  <si>
    <t>ASTRID PAOLA</t>
  </si>
  <si>
    <t>CRA 17#16-15</t>
  </si>
  <si>
    <t>RANCHO´E PALMA DISCO BAR</t>
  </si>
  <si>
    <t xml:space="preserve">EDWIN MONRROY </t>
  </si>
  <si>
    <t xml:space="preserve">RESTAURANTE CENTRAL </t>
  </si>
  <si>
    <t xml:space="preserve">REBECA ISABEL CRUZ </t>
  </si>
  <si>
    <t>CR 9 # 17-14</t>
  </si>
  <si>
    <t>RESTAURANTE EL CONDUCTOR</t>
  </si>
  <si>
    <t>ERLIS SIERRA NAVARRO</t>
  </si>
  <si>
    <t>CR 8 # 24-49</t>
  </si>
  <si>
    <t>RESTAURANTE EL VIEJO MARTO</t>
  </si>
  <si>
    <t>MARIA PACHECO CAMPO</t>
  </si>
  <si>
    <t>CALLE 25 #8-81</t>
  </si>
  <si>
    <t xml:space="preserve">RESTAURANTE GRAN VIA SAN PEDRO </t>
  </si>
  <si>
    <t xml:space="preserve">JUAN CARLOS QUINCHIA </t>
  </si>
  <si>
    <t>CALLE 25 # 8B-72</t>
  </si>
  <si>
    <t>JUANCQP76@GMAIL.COM</t>
  </si>
  <si>
    <t xml:space="preserve">RESTAURANTE LAS CABAÑAS </t>
  </si>
  <si>
    <t>CALLE 25 DG 15 -54</t>
  </si>
  <si>
    <t xml:space="preserve">RESTAURANTE LAS PISCINAS SAN PEDRO </t>
  </si>
  <si>
    <t xml:space="preserve">ALEX JOSE ALVAREZ SANTO </t>
  </si>
  <si>
    <t>CR 12 # 12-67</t>
  </si>
  <si>
    <t xml:space="preserve">RESTAURANTE LOS KIOSKOS </t>
  </si>
  <si>
    <t xml:space="preserve">NORIS JIMENEZ ARRIETA </t>
  </si>
  <si>
    <t>CR 13 # 86-06</t>
  </si>
  <si>
    <t>SINALOA CLUB DANCE</t>
  </si>
  <si>
    <t xml:space="preserve">JOSE JAVIER VERGARA </t>
  </si>
  <si>
    <t>CR 9 # 19-56</t>
  </si>
  <si>
    <t xml:space="preserve">SUPERMERCADO EL TRIUNFO </t>
  </si>
  <si>
    <t xml:space="preserve">JORGE SERNA SERNA </t>
  </si>
  <si>
    <t>CR 9  # 14-28</t>
  </si>
  <si>
    <t xml:space="preserve">SUPERTIENDA LOS ALMENDROS </t>
  </si>
  <si>
    <t xml:space="preserve">WILBER AGULERA SOLORZANO </t>
  </si>
  <si>
    <t>CR 7 # 20-07</t>
  </si>
  <si>
    <t>TIENDA  LA ESQUINA AMARILLA</t>
  </si>
  <si>
    <t>FRANCISCO ALEXANDER SALAZAR</t>
  </si>
  <si>
    <t>CALLE 14 #22-30 BARRIO PRIMERO DE MAYO</t>
  </si>
  <si>
    <t>TIENDA ARA 033</t>
  </si>
  <si>
    <t>CR 9 # 15-43</t>
  </si>
  <si>
    <t>DIMAS.ANAYA@JERONIMO-MARTINS.COM</t>
  </si>
  <si>
    <t xml:space="preserve">TIENDA AUDY </t>
  </si>
  <si>
    <t xml:space="preserve">AUDREY MEDINA BATISTA </t>
  </si>
  <si>
    <t>CR 13 # 23-05</t>
  </si>
  <si>
    <t xml:space="preserve">TIENDA BETSY LILIANA </t>
  </si>
  <si>
    <t xml:space="preserve">NELFY PALENCIA BERTEL </t>
  </si>
  <si>
    <t>FAVORBLE CON REQUERIMIENTOS</t>
  </si>
  <si>
    <t xml:space="preserve">TIENDA DE JUAN </t>
  </si>
  <si>
    <t xml:space="preserve">LEONARDO VARGAS AGUDELO </t>
  </si>
  <si>
    <t>CR 9 # 19-61</t>
  </si>
  <si>
    <t xml:space="preserve">TIENDA EL CACIQUE </t>
  </si>
  <si>
    <t xml:space="preserve">JOSE DAVID SANCHEZ </t>
  </si>
  <si>
    <t>CR 13 # 2-16</t>
  </si>
  <si>
    <t xml:space="preserve">TIENDA EL CONDUCTOR </t>
  </si>
  <si>
    <t>CALLE 25 # 8-25</t>
  </si>
  <si>
    <t xml:space="preserve">TIENDA EL GANGAZO PAISA </t>
  </si>
  <si>
    <t xml:space="preserve">DAVID SALAZAR CASTRILLON </t>
  </si>
  <si>
    <t xml:space="preserve">CARRETERA TRONCAL </t>
  </si>
  <si>
    <t xml:space="preserve">TIENDA EL PARAISO LD </t>
  </si>
  <si>
    <t xml:space="preserve">LUZ ELENA DAGER </t>
  </si>
  <si>
    <t>CR 8 # 19-20</t>
  </si>
  <si>
    <t xml:space="preserve">TIENDA EL ROSAL </t>
  </si>
  <si>
    <t xml:space="preserve">OVER QUIROZ BARRIOS </t>
  </si>
  <si>
    <t>CR 7 # 22-74</t>
  </si>
  <si>
    <t xml:space="preserve">TIENDA EL SANTUARIO </t>
  </si>
  <si>
    <t xml:space="preserve">JORGE LUIS SERNA </t>
  </si>
  <si>
    <t>CR 9 #15-5</t>
  </si>
  <si>
    <t xml:space="preserve">TIENDA EL TIN </t>
  </si>
  <si>
    <t xml:space="preserve">JHONNY JARABA DE HOYOS </t>
  </si>
  <si>
    <t>CR 13 # 21C-4</t>
  </si>
  <si>
    <t xml:space="preserve">JESUS DAVID PEREZ </t>
  </si>
  <si>
    <t>CALLE 25 # 8-4</t>
  </si>
  <si>
    <t>TIENDA LA 13</t>
  </si>
  <si>
    <t xml:space="preserve">JOSE CARLOS MARTINEZ </t>
  </si>
  <si>
    <t>CR 13 # 9 -8</t>
  </si>
  <si>
    <t xml:space="preserve">TIENDA LA 21 </t>
  </si>
  <si>
    <t xml:space="preserve">JULIO PATERNINA </t>
  </si>
  <si>
    <t>CR 9 # 21 -10</t>
  </si>
  <si>
    <t xml:space="preserve">TIENDA LA CANDELARIA </t>
  </si>
  <si>
    <t xml:space="preserve">GERMANIA ARRIETA SANCHEZ </t>
  </si>
  <si>
    <t>CR 13 # 9-65</t>
  </si>
  <si>
    <t xml:space="preserve">TIENDA LA CRUZ </t>
  </si>
  <si>
    <t xml:space="preserve">LUIS HERNANDEZ BOHORQUEZ </t>
  </si>
  <si>
    <t>CR 15 # 18-37</t>
  </si>
  <si>
    <t xml:space="preserve">TIENDA LA INMACULADA </t>
  </si>
  <si>
    <t xml:space="preserve">EZEQUIEL GOMEZ GARCIA </t>
  </si>
  <si>
    <t>CALLE 14 # 16-5</t>
  </si>
  <si>
    <t xml:space="preserve">SANTANDER ORTEGA NOVOA </t>
  </si>
  <si>
    <t>CR 14 # 15-98</t>
  </si>
  <si>
    <t xml:space="preserve">DAISON DIAZ SANTERO </t>
  </si>
  <si>
    <t>CR 4 # 7-36</t>
  </si>
  <si>
    <t xml:space="preserve">TIENDA LA PALESTINA </t>
  </si>
  <si>
    <t xml:space="preserve">ELENA LUZ ACOSTA </t>
  </si>
  <si>
    <t>CR 15 # 18-66</t>
  </si>
  <si>
    <t xml:space="preserve">TIENDA LA TIENDA </t>
  </si>
  <si>
    <t xml:space="preserve">CARMENZA MEZA CHIMA </t>
  </si>
  <si>
    <t>CALLE 13 # 16-07</t>
  </si>
  <si>
    <t xml:space="preserve">RAMIRO ROMERO </t>
  </si>
  <si>
    <t>CALLE 1 # 2-105</t>
  </si>
  <si>
    <t xml:space="preserve">TIENDA LOS PAISAS </t>
  </si>
  <si>
    <t xml:space="preserve">LUZ AMANDA LOPEZ GONZALEZ </t>
  </si>
  <si>
    <t>CALLE 13 # 15-06</t>
  </si>
  <si>
    <t>jhonmercado2201@gmail.com</t>
  </si>
  <si>
    <t>TIENDA MERCADO NUEVO</t>
  </si>
  <si>
    <t>FRANCISCO SALAZAR</t>
  </si>
  <si>
    <t>70697877-8</t>
  </si>
  <si>
    <t>AV. LOS ESTUDIANTES #5-06</t>
  </si>
  <si>
    <t xml:space="preserve">TIENDA MI BENDICION </t>
  </si>
  <si>
    <t xml:space="preserve">LUIS EDUARDO SIERRA </t>
  </si>
  <si>
    <t>CALLE 7 # 12-67</t>
  </si>
  <si>
    <t xml:space="preserve">TIENDA MIXTA  </t>
  </si>
  <si>
    <t xml:space="preserve">FRANCISCO MONTOYA </t>
  </si>
  <si>
    <t>CALLE 14 # 23-13</t>
  </si>
  <si>
    <t xml:space="preserve">TIENDA QUIEN COMO DIOS </t>
  </si>
  <si>
    <t xml:space="preserve">ANDRIS MENDOZA SANCHEZ </t>
  </si>
  <si>
    <t>CALLE 11 # 17-08</t>
  </si>
  <si>
    <t xml:space="preserve">JOSE NAVARRO </t>
  </si>
  <si>
    <t>CALLE 17 # 10-77</t>
  </si>
  <si>
    <t xml:space="preserve">TIENDA SAN MARTIN DE LOBA </t>
  </si>
  <si>
    <t xml:space="preserve">YAIR SEGUNDO BARRIOS </t>
  </si>
  <si>
    <t>CR 9 # 19-15</t>
  </si>
  <si>
    <t xml:space="preserve">TIENDA SAN PEDRO </t>
  </si>
  <si>
    <t xml:space="preserve">ONEIDA SANCHEZ </t>
  </si>
  <si>
    <t>CALLE 7 # 22-74</t>
  </si>
  <si>
    <t>TOTUMAZO  RESTAURANTE BAR</t>
  </si>
  <si>
    <t>KEIDY ROMERO</t>
  </si>
  <si>
    <t>CALLE 28 # 8-62</t>
  </si>
  <si>
    <t>LOGISTICA Y GESTIONES BENITO</t>
  </si>
  <si>
    <t>INSTITUCION EDUCATIVA DE SAN MATEO SEDE PRINCIPAL</t>
  </si>
  <si>
    <t>ANYI TORRADO PAEZ</t>
  </si>
  <si>
    <t>CRA 3 CALLE 7-90</t>
  </si>
  <si>
    <t>INSTITUCION EDUCATIVA DE SAN MATEO SEDE ROVIRA</t>
  </si>
  <si>
    <t>CRA 3 CALLE 5-03</t>
  </si>
  <si>
    <t xml:space="preserve">INSTITUCION EDUCATIVA LOS CAMAJONES SEDE ROVIRA </t>
  </si>
  <si>
    <t>VEREDA SAN JOSE</t>
  </si>
  <si>
    <t>VEREDA ALONSO</t>
  </si>
  <si>
    <t>CALLE PRINCIPAL VEREDA RANCHO LARGO</t>
  </si>
  <si>
    <t>SALSAMENTARIA CENTRAL PARK</t>
  </si>
  <si>
    <t>GABRIEL SERRANO GUERRA</t>
  </si>
  <si>
    <t>KRA 9 #13-66</t>
  </si>
  <si>
    <t>SALSAMENTARIACENTRALPARK@GMAIL.COM</t>
  </si>
  <si>
    <t>PANADERIA KATY</t>
  </si>
  <si>
    <t>1104013069-2</t>
  </si>
  <si>
    <t>KRA 12 CLL 13-36</t>
  </si>
  <si>
    <t>KATYJAIME07@GMAIL.COM</t>
  </si>
  <si>
    <t>TODO PLAZA</t>
  </si>
  <si>
    <t>FRANCISCO SALAZAR DUQUE</t>
  </si>
  <si>
    <t>KRA 9 #29-3</t>
  </si>
  <si>
    <t>AUTOSERVICIOSANPEDROAS@GMAIL.COM</t>
  </si>
  <si>
    <t>GASTROBAR EL NUEVO CIELITO</t>
  </si>
  <si>
    <t>CLEMENTE MONROY CAMPO</t>
  </si>
  <si>
    <t>1043653375-6</t>
  </si>
  <si>
    <t>CLL 25 #813-80</t>
  </si>
  <si>
    <t>MONROYEDWIN58@HOTMAIL.COM</t>
  </si>
  <si>
    <t>HOGAR DE BIENESTAR MARIA JOSE 2</t>
  </si>
  <si>
    <t>LA TERRAZA BACANA</t>
  </si>
  <si>
    <t>LUIS MIGUEL GUERRA ASENCIO</t>
  </si>
  <si>
    <t>CLL 25 KRA 2A - 8</t>
  </si>
  <si>
    <t>ISLENACAMPO@GMAIL.COM</t>
  </si>
  <si>
    <t>PUNTO PARRILLA</t>
  </si>
  <si>
    <t>CLAUDIA GONZALEZ</t>
  </si>
  <si>
    <t>64480070-7</t>
  </si>
  <si>
    <t>KRA 6 #19-32</t>
  </si>
  <si>
    <t>CAREDURADAMEN@GMAIL.COM</t>
  </si>
  <si>
    <t xml:space="preserve">ASOCIACION DE MADRES COMUNITARIA DE HBFTRADICIONAL Y FAMI DEL MUNICIPIO DE SAN PEDRO </t>
  </si>
  <si>
    <t>BODEGA DE ALMACENAMIENTO ASOTRADISAN</t>
  </si>
  <si>
    <t>ANA GISSELA ALVAREZ</t>
  </si>
  <si>
    <t>901891631-8</t>
  </si>
  <si>
    <t>CARRERA 11 CALLE 15-63</t>
  </si>
  <si>
    <t>ASOSANPEDROTRADIFAMI@GMAIL.COM</t>
  </si>
  <si>
    <t>EXPENDIO DE CARNE OLIMPICA</t>
  </si>
  <si>
    <t>JULIO OSORIO ESPRIELLA</t>
  </si>
  <si>
    <t>asto325@olimpica.com</t>
  </si>
  <si>
    <t xml:space="preserve">HOGAR COMUNITARIO  MI SEGUNDO HOGAR </t>
  </si>
  <si>
    <t>LILIA GONZALES</t>
  </si>
  <si>
    <t>CR 10A #18-40</t>
  </si>
  <si>
    <t>ANAGOMEZPEREZ2321@GMAIL.COM</t>
  </si>
  <si>
    <t xml:space="preserve">JESUS DANIEL RAMOS </t>
  </si>
  <si>
    <t xml:space="preserve">HOGAR COMUNITARIO MIS PEQUEÑAS TRAVESURAS </t>
  </si>
  <si>
    <t xml:space="preserve">LILIANA GONZALEZ </t>
  </si>
  <si>
    <t>CONDE8091@HOTMAIL.COM</t>
  </si>
  <si>
    <t xml:space="preserve">HOGAR COMUNITARIO MIS 15 ANGELITOS </t>
  </si>
  <si>
    <t>CALLE 8 CR 9 #34</t>
  </si>
  <si>
    <t>ANAVICTORIABUELVAS740@GMAIL.COM</t>
  </si>
  <si>
    <t>HOGAR COMUNITARIO LOS PEQUEÑINES</t>
  </si>
  <si>
    <t>BARRIO SANTUARIO</t>
  </si>
  <si>
    <t>HOGAR DE BIENESTAR CARDONA</t>
  </si>
  <si>
    <t>MAGALIS DIAZ ALVAREZ</t>
  </si>
  <si>
    <t>CR 9 CALLE 17-14</t>
  </si>
  <si>
    <t>INSTITUCION EDUCATIVA  PEQUEÑO MARINO</t>
  </si>
  <si>
    <t>INGRIS MENA ALVIZ</t>
  </si>
  <si>
    <t>901687022-9</t>
  </si>
  <si>
    <t>LOGISTICA Y GESTION BENITO SAS</t>
  </si>
  <si>
    <t>INSTITUCION EDUCATIVA LAS PALMAS SEDE PRINCIPAL</t>
  </si>
  <si>
    <t>CORREGIMIENTO LAS PALMAS PITA ABAJO</t>
  </si>
  <si>
    <t xml:space="preserve">CENTRO EDUCATIVO NUEVA ERA SEDE SANTA LUCIA </t>
  </si>
  <si>
    <t xml:space="preserve">VEREDA SANTA LUCIA </t>
  </si>
  <si>
    <t xml:space="preserve">CENTRO EDUCATIVO PITA EN MEDIO </t>
  </si>
  <si>
    <t xml:space="preserve">CORREGIMIENTO PITA EN MEDIO </t>
  </si>
  <si>
    <t xml:space="preserve">CENTRO EDUCATIVO PUERTO VIEJO SEDE PALO BLANCO </t>
  </si>
  <si>
    <t xml:space="preserve">CORREGIMIENTO PALO BLANCO </t>
  </si>
  <si>
    <t xml:space="preserve">INSTITUCION EDUCATIVA PUERTO VIEJO - SEDE PRINCIPAL </t>
  </si>
  <si>
    <t xml:space="preserve">CORREGIMIENTO PUERTO VIEJO </t>
  </si>
  <si>
    <t>04/0672025</t>
  </si>
  <si>
    <t>SANTIAGO DE TOLÚ</t>
  </si>
  <si>
    <t>INSTITUCION EDUCATIVA  MANUEL GONZALEZ HERAZO</t>
  </si>
  <si>
    <t>CALLE 16 #10-79</t>
  </si>
  <si>
    <t>CDI ESPERANZA DE LOS NIÑOS</t>
  </si>
  <si>
    <t>800188895-4</t>
  </si>
  <si>
    <t>CALLE 23 #601</t>
  </si>
  <si>
    <t>CDI CRECIENDO FELICES 2</t>
  </si>
  <si>
    <t>MARIA CAMILA PEREZ DIAZ</t>
  </si>
  <si>
    <t>CALLE 14 ENTRE 2 Y 3</t>
  </si>
  <si>
    <t>CDI CRECIENDO FELICES 1</t>
  </si>
  <si>
    <t>CALLE 26 ENTRE 3 Y 4</t>
  </si>
  <si>
    <t xml:space="preserve"> HOGAR COMINUTARIO CARITAS ALEGRES</t>
  </si>
  <si>
    <t>BARRIO LUIS CARLOS GALAN</t>
  </si>
  <si>
    <t xml:space="preserve">HOGAR COMUNITARIO INFANCIA DE JESUS </t>
  </si>
  <si>
    <t>CR 7 CALLE 8-38</t>
  </si>
  <si>
    <t>CECILIABERRIO@HOTMAIL.COM</t>
  </si>
  <si>
    <t>AFROBERRUGAS - HOGAR INFANTIL DE JESUS MIO</t>
  </si>
  <si>
    <t>CALLE 20 #6-137</t>
  </si>
  <si>
    <t xml:space="preserve"> HOGAR ABEJITA MAYA </t>
  </si>
  <si>
    <t>LUZ ELENA BARBOZA MELENDEZ</t>
  </si>
  <si>
    <t>800146193-2</t>
  </si>
  <si>
    <t>PITA ABAJO</t>
  </si>
  <si>
    <t>AFROBERRUGA - HOGAR NIÑOS FELICES 2</t>
  </si>
  <si>
    <t>YULIETH ESTREMOR BLANCO</t>
  </si>
  <si>
    <t>CALLE 5A #8-3</t>
  </si>
  <si>
    <t>PEREZUNIGAMARICULA@GMAIL.COM</t>
  </si>
  <si>
    <t xml:space="preserve">HOGAR COMUNITARIO MIS NIÑOS </t>
  </si>
  <si>
    <t>CALLE 14 #7-56</t>
  </si>
  <si>
    <t>HOGAR MIS ANGELITOS #1</t>
  </si>
  <si>
    <t xml:space="preserve">CALLE PRINCIPAL CORREG PITA ABAJO </t>
  </si>
  <si>
    <t>YERLISVILLERO@HOTMAIL.COM</t>
  </si>
  <si>
    <t>88, 5%</t>
  </si>
  <si>
    <t xml:space="preserve"> HOGAR DE BIENESTAR MIS ANGELITOS #2</t>
  </si>
  <si>
    <t xml:space="preserve">CALLE 33B CR 1 VIA EL FRANCES  </t>
  </si>
  <si>
    <t>juanaaguilarmontero79@gmail.com</t>
  </si>
  <si>
    <t>09/'8/2024</t>
  </si>
  <si>
    <t xml:space="preserve">HOGAR COMUNITARIO LOS ENANITOS </t>
  </si>
  <si>
    <t>CR 7 #11-35</t>
  </si>
  <si>
    <t>LILIANAAVG@GMAIL.COM</t>
  </si>
  <si>
    <t>13/05/I2025</t>
  </si>
  <si>
    <t xml:space="preserve">HOGAR DE BIENESTAR CARITA DE ANGEL </t>
  </si>
  <si>
    <t>CALLE 26 #5-14</t>
  </si>
  <si>
    <t>HOGAR INFANTIL SEMILLAS DE AMOR</t>
  </si>
  <si>
    <t>CLL 18 CRA 10-16</t>
  </si>
  <si>
    <t>HOGAR DE BIENESTAR NUESTRA SEÑORA DE FATIMA</t>
  </si>
  <si>
    <t>800144364-1</t>
  </si>
  <si>
    <t>CLL 20 #19-18</t>
  </si>
  <si>
    <t xml:space="preserve">FUNDACION EMPRENDER CON CORAZON </t>
  </si>
  <si>
    <t>CENTRO DE VIDA DE TOLU</t>
  </si>
  <si>
    <t xml:space="preserve">CINTHYA PAOLA BALETA PERALTA </t>
  </si>
  <si>
    <t>900646668-7</t>
  </si>
  <si>
    <t>CALLE 10 CRA 15-16</t>
  </si>
  <si>
    <t xml:space="preserve">VICTOR CERRO/ARGEMIRO DIAZ </t>
  </si>
  <si>
    <t>TIENDA SUMERCAR</t>
  </si>
  <si>
    <t>LUIS BERRIO ALTAMIRANDA</t>
  </si>
  <si>
    <t>CR 10 CALLE 18</t>
  </si>
  <si>
    <t>TIENDA MOLONGA</t>
  </si>
  <si>
    <t>HENIRY DAVID GOMEZ CONTRERAS</t>
  </si>
  <si>
    <t>CALLE 1 #1-56</t>
  </si>
  <si>
    <t>DARELLGOMEZJIMENEZ@GMAIL.COM</t>
  </si>
  <si>
    <t>TIENDA MERCA FACIL</t>
  </si>
  <si>
    <t>JORGE MUÑOZ</t>
  </si>
  <si>
    <t>CALLE 18 CR 4</t>
  </si>
  <si>
    <t>CL 17 # 1-82</t>
  </si>
  <si>
    <t>USR-11684@D1.COM.CO</t>
  </si>
  <si>
    <t>ARGEMIRO DIAZ /VICTOR CERRO</t>
  </si>
  <si>
    <t>TERRAZA RESTAURANTE LA 15</t>
  </si>
  <si>
    <t xml:space="preserve">AUGUSTO ANTONIO RIBAS </t>
  </si>
  <si>
    <t>AVENIDA 1 CALLE 15</t>
  </si>
  <si>
    <t>LICORERA CANELA CAÑA CAVA</t>
  </si>
  <si>
    <t>CELIDET MELENDEZ JULIO</t>
  </si>
  <si>
    <t>CL 16 CR 7-87</t>
  </si>
  <si>
    <t xml:space="preserve">ESTADERO Y RESTAURANTE MI RANCHITO </t>
  </si>
  <si>
    <t>TENILDA ISABEL SANCHEZ</t>
  </si>
  <si>
    <t>CR 1 # 1A-130</t>
  </si>
  <si>
    <t>BEBIDAS DEL CARIBE G.M S.A.S</t>
  </si>
  <si>
    <t>HENRY MAURICIO LOAIZA CIFUENTES</t>
  </si>
  <si>
    <t>901724848-4</t>
  </si>
  <si>
    <t>CRA 10 C # 16 - 35 BARRIO SAN FELIPE</t>
  </si>
  <si>
    <t>3216678014 - 3044014196</t>
  </si>
  <si>
    <t>BEBIDASDELCARIBEGM.OPERACIONES@GMAIL.COM</t>
  </si>
  <si>
    <t>BAR ADITA</t>
  </si>
  <si>
    <t>DIADA ISABEL GUERRA OROZCO</t>
  </si>
  <si>
    <t>CRA 6 #12-70</t>
  </si>
  <si>
    <t>DIADAGUERRA7@GMAIL.COM</t>
  </si>
  <si>
    <t>CR 2 # 16-40</t>
  </si>
  <si>
    <t>CALLE 16 # 9-23</t>
  </si>
  <si>
    <t>COORDINADOR.OPERACIONES.R6@JEROMARTINS.COM</t>
  </si>
  <si>
    <t>TIENDA ARA 0384</t>
  </si>
  <si>
    <t xml:space="preserve">JORGE MANUEL CALDEIRA DOS SANTOS </t>
  </si>
  <si>
    <t>CALLE 15 # 2-06</t>
  </si>
  <si>
    <t>SUNRISE COFFEE</t>
  </si>
  <si>
    <t>MANRIQUE OCTAVIO DE JESUS</t>
  </si>
  <si>
    <t>AV 1 12-28</t>
  </si>
  <si>
    <t>madeyco.@hotmail.com</t>
  </si>
  <si>
    <t xml:space="preserve">RESTAURANTE Y ASADERO POLLO ARANA TOLU </t>
  </si>
  <si>
    <t xml:space="preserve">ANGEL SEGUNDO GARCIA </t>
  </si>
  <si>
    <t xml:space="preserve">RESTAURANTE DON CATO </t>
  </si>
  <si>
    <t>ENRIQUETA BARRAGAN</t>
  </si>
  <si>
    <t>22763581-1</t>
  </si>
  <si>
    <t>AV 1 # 22-22</t>
  </si>
  <si>
    <t>CONTACTOPLAYAMAR@GMAIL.COM</t>
  </si>
  <si>
    <t>FAVORABLE CON REQUIERIMIENTOS</t>
  </si>
  <si>
    <t>RESTAURANTE PAISA EL PALMAR</t>
  </si>
  <si>
    <t>RINCON HENCIO SANDRA MILENA</t>
  </si>
  <si>
    <t>CALLE 8 CR 10 -30</t>
  </si>
  <si>
    <t>MIGUELHENCIO2019@HOTMAIL.COM</t>
  </si>
  <si>
    <t xml:space="preserve">RESTAURANTE LOS OLIVOS </t>
  </si>
  <si>
    <t>SINDY BLANCO PERTUZ</t>
  </si>
  <si>
    <t>BARRIO EL ARROYITO</t>
  </si>
  <si>
    <t>GLORIA LUCIA TAFUR CAMPO</t>
  </si>
  <si>
    <t>23216665-1</t>
  </si>
  <si>
    <t xml:space="preserve">AV LA PLAYA </t>
  </si>
  <si>
    <t xml:space="preserve">RESTAURANTE DOÑA PAU </t>
  </si>
  <si>
    <t xml:space="preserve">ALBERTO  ENRIQUE PACHECO </t>
  </si>
  <si>
    <t>CALLE 16 ENTRE 7 Y 8</t>
  </si>
  <si>
    <t>RESTAURANTE CON AROMA DE CAFE</t>
  </si>
  <si>
    <t>PEDRO NEL OSPINA AGAMEZ</t>
  </si>
  <si>
    <t>92230439-0</t>
  </si>
  <si>
    <t>AV 1 #11-50</t>
  </si>
  <si>
    <t>OSPINA2205@HOTMAIL.COM</t>
  </si>
  <si>
    <t xml:space="preserve">RESTAURANTE CASA DEL MAR </t>
  </si>
  <si>
    <t xml:space="preserve">NEYLL MARTINEZ ALVAREZ </t>
  </si>
  <si>
    <t>AV 1 # 7-38</t>
  </si>
  <si>
    <t>NMARTINEZ_93@HOTMAIL.COM</t>
  </si>
  <si>
    <t>RESTAURANTE CAN-CAN</t>
  </si>
  <si>
    <t>MARITZA FERNANDEZ</t>
  </si>
  <si>
    <t>CR 1 # 15-18</t>
  </si>
  <si>
    <t>RESTAURANTECANCAN@GMAIL.COM</t>
  </si>
  <si>
    <t>1409/2022</t>
  </si>
  <si>
    <t>POLLOS EL REY</t>
  </si>
  <si>
    <t>LUIS GUILLERMO PINTO RIZZO</t>
  </si>
  <si>
    <t>CL 16 NO 8-9</t>
  </si>
  <si>
    <t>PANADERIA Y REPOSTERIA EL PARQUE</t>
  </si>
  <si>
    <t xml:space="preserve">LUZ AIDEE PLATA </t>
  </si>
  <si>
    <t>CALLE 15 # 3-10</t>
  </si>
  <si>
    <t>HELIOD5218@GMAIL.COM</t>
  </si>
  <si>
    <t>LA PAILA DEL SAZON DEL CARMEN</t>
  </si>
  <si>
    <t>TILSON MANUEL VERGARA VELASQUEZ</t>
  </si>
  <si>
    <t>CL 16 NO 7-87</t>
  </si>
  <si>
    <t xml:space="preserve">LA COCINA PACHO SABOR </t>
  </si>
  <si>
    <t>LA CASA DEL PANADERO JESSY</t>
  </si>
  <si>
    <t>HUGO MEJIA</t>
  </si>
  <si>
    <t>CALLE 17 CR 7</t>
  </si>
  <si>
    <t xml:space="preserve">JUGOS RESTAURANTE CACHACO </t>
  </si>
  <si>
    <t>JULIAN ALBERTO URIBE</t>
  </si>
  <si>
    <t>CALLE 15 #3-48</t>
  </si>
  <si>
    <t xml:space="preserve">HOTEL RESTAURANTE PIEDRA VERDE </t>
  </si>
  <si>
    <t xml:space="preserve">HERDAN DARIO </t>
  </si>
  <si>
    <t>71588383-8</t>
  </si>
  <si>
    <t>AV 1A  #18-110</t>
  </si>
  <si>
    <t>GRUPO HOTELERO BL STYLE S.A.S</t>
  </si>
  <si>
    <t>HOTEL MAKARY</t>
  </si>
  <si>
    <t>901371193-1</t>
  </si>
  <si>
    <t>KILOMETRO 3 VIA A TOLU</t>
  </si>
  <si>
    <t>HOTEL CASA COLONIAL DE TOLU</t>
  </si>
  <si>
    <t>ANGIE CAROLINA TOSCANO HAWASLY</t>
  </si>
  <si>
    <t>CALLE 16 #2-47</t>
  </si>
  <si>
    <t>ANGIEHAWAS@HOTMAIL.COM</t>
  </si>
  <si>
    <t>HOTEL BAHIA AZUL</t>
  </si>
  <si>
    <t>HERIBERTO GUERRA OCAMPO</t>
  </si>
  <si>
    <t>901460955-1</t>
  </si>
  <si>
    <t>CALL 5 N 22 - 332</t>
  </si>
  <si>
    <t>henryosorno@yahoo.es</t>
  </si>
  <si>
    <t xml:space="preserve">DMAR COMEDOR </t>
  </si>
  <si>
    <t xml:space="preserve">MARIA LUISA JULIO </t>
  </si>
  <si>
    <t xml:space="preserve">CALLE 20 CR 1 </t>
  </si>
  <si>
    <t>DMAR.COMEDOR@GMAIL.COM</t>
  </si>
  <si>
    <t>DIEGO MARTINEZ TRUJILLO</t>
  </si>
  <si>
    <t>CALLE 17 CON CR 3</t>
  </si>
  <si>
    <t>CASA HOTEL Y RESTUARANTE DIOS Y MAS</t>
  </si>
  <si>
    <t>PAULA TOBON</t>
  </si>
  <si>
    <t>CRA 2A 18-04</t>
  </si>
  <si>
    <t>PA.TOBON@HOTMAIL.COM</t>
  </si>
  <si>
    <t xml:space="preserve">ASADOS Y RESTAURANTE EL MONTAÑERO </t>
  </si>
  <si>
    <t xml:space="preserve">NATALIA SALAZAR </t>
  </si>
  <si>
    <t>CR 1 # 15-74</t>
  </si>
  <si>
    <t>NATYKAR123.NS@GMAIL.COM</t>
  </si>
  <si>
    <t>ASADERO POLLO RICO</t>
  </si>
  <si>
    <t>QUITIUN QUITIUN ISAIN</t>
  </si>
  <si>
    <t>CL 16</t>
  </si>
  <si>
    <t>LA CHINGADA GASTRO BAR</t>
  </si>
  <si>
    <t>MORIQUE OCTAVIO DE JESUS</t>
  </si>
  <si>
    <t>900648506-1</t>
  </si>
  <si>
    <t>CRA 1 #12-28</t>
  </si>
  <si>
    <t>MADEYCO@HOTMAIL.COM</t>
  </si>
  <si>
    <t>PANADERIA LA MAYOR DE TOLU</t>
  </si>
  <si>
    <t>ARISTIZABAL CASTAÑO</t>
  </si>
  <si>
    <t>CLL 16#4-07</t>
  </si>
  <si>
    <t>JORGEANDRES930211@HOTMAIL.COM</t>
  </si>
  <si>
    <t>HOTELES CAVALOA S.A.S</t>
  </si>
  <si>
    <t>LOA HOTEL</t>
  </si>
  <si>
    <t>LONCER SILFREDO MEJIA ROSSO</t>
  </si>
  <si>
    <t>901377681-2</t>
  </si>
  <si>
    <t>CLL 5 N° 24 - 300</t>
  </si>
  <si>
    <t>LOAHOTELS@GMAIL.COM</t>
  </si>
  <si>
    <t>MI RANCHITO #2 GASTROBAR</t>
  </si>
  <si>
    <t xml:space="preserve">JUAN SEBASTIAN SAMPES RIVAS </t>
  </si>
  <si>
    <t>1005746262-5</t>
  </si>
  <si>
    <t>CRA #1A - 130</t>
  </si>
  <si>
    <t>JUANSAMPERTOUSR@GMAIL.COM</t>
  </si>
  <si>
    <t>RESTAURANTE LA CHAMA</t>
  </si>
  <si>
    <t xml:space="preserve">ORLANDO HERNANDEZ </t>
  </si>
  <si>
    <t xml:space="preserve">CALLE 8A BARRIO EL CARMEN </t>
  </si>
  <si>
    <t>ANA ISABEL LARA CAICEDO</t>
  </si>
  <si>
    <t>CR 4 CALLE 4A BARRIO BELLA VISTA</t>
  </si>
  <si>
    <t>BILLARES UNION</t>
  </si>
  <si>
    <t xml:space="preserve">JULIAN HERNANDEZ </t>
  </si>
  <si>
    <t>CALLE SINCELEJO</t>
  </si>
  <si>
    <t>HDEZDAVID9617@GMAIL.COM</t>
  </si>
  <si>
    <t xml:space="preserve">GRANERO MACAJAN </t>
  </si>
  <si>
    <t xml:space="preserve">MARIO SUAREZ SUAREZ </t>
  </si>
  <si>
    <t xml:space="preserve">CENTRO PARQUE PRINCIPAL </t>
  </si>
  <si>
    <t>ESTADERO Y BILLARES LA GUZMANIA</t>
  </si>
  <si>
    <t>LUCIMACO GUZMAN</t>
  </si>
  <si>
    <t xml:space="preserve">CALLE EL POZO </t>
  </si>
  <si>
    <t>RAULEDU441@GMAIL.COM</t>
  </si>
  <si>
    <t xml:space="preserve">TIENDA DONDE AMI </t>
  </si>
  <si>
    <t xml:space="preserve">LUISA BELLO CARTILLO </t>
  </si>
  <si>
    <t xml:space="preserve">YASMIRI MORENO BAENA </t>
  </si>
  <si>
    <t xml:space="preserve"> TV 4 # 7-55 CALLE EL POZO </t>
  </si>
  <si>
    <t xml:space="preserve">HOTEL SUEÑOS DORADOS </t>
  </si>
  <si>
    <t>JOSE JUAQUIN VERGARA GARCIA</t>
  </si>
  <si>
    <t>5884964-6</t>
  </si>
  <si>
    <t>CRA 2 CL 2 7-99</t>
  </si>
  <si>
    <t>VERJANJJ@HOTMAIL.COM</t>
  </si>
  <si>
    <t xml:space="preserve">ARGEMIRO DIAZ/GUILLERMO CARBALLO </t>
  </si>
  <si>
    <t>ASOCIACION PADRES DE FAMILIA 7 DE AGOSTO( HOGAR DE BIENESTAR SONRISA Y AMOR)</t>
  </si>
  <si>
    <t xml:space="preserve">LISETH GUTIERREZ </t>
  </si>
  <si>
    <t>82300353-0</t>
  </si>
  <si>
    <t>CALLE 8 DG 6-10</t>
  </si>
  <si>
    <t>RESTAURANTE EL PASTEL SABANERO</t>
  </si>
  <si>
    <t xml:space="preserve">YULIENA VERGARA </t>
  </si>
  <si>
    <t>1047380510-6</t>
  </si>
  <si>
    <t>BARRIO BELLASVISTA</t>
  </si>
  <si>
    <t>ASOCIACION MULTISECTORIAL AHINCO (HOGAR DE BIENESTAR DULCE AMANECER)</t>
  </si>
  <si>
    <t>CALLE 4 CR 2A-7 CORREGIMIENTO CARACOL</t>
  </si>
  <si>
    <t>MPATERNINADIAZ16@GMAIL.COM.COM</t>
  </si>
  <si>
    <t>TOLUVIEJO</t>
  </si>
  <si>
    <t>ESTADERO Y CANCHA DE TEJO EL LABERINTO</t>
  </si>
  <si>
    <t>ARIEL SEVILLA PATERNINA</t>
  </si>
  <si>
    <t>9237429-7</t>
  </si>
  <si>
    <t>CR 1 #2A-5L</t>
  </si>
  <si>
    <t>ARYLICE1906@GMAIL.COM</t>
  </si>
  <si>
    <t xml:space="preserve">TIENDA LA REBAJA TOLUVIEJO </t>
  </si>
  <si>
    <t>JORGE ELIECER LOZANO</t>
  </si>
  <si>
    <t xml:space="preserve">TV 4 # 3-18 CALLE SINCELEJO </t>
  </si>
  <si>
    <t xml:space="preserve">TIENDA Y VARIEDADES EL PUNTO DE JAVIE </t>
  </si>
  <si>
    <t xml:space="preserve">JAVIER ROJAS TABAGUIZA </t>
  </si>
  <si>
    <t>CALLE 39 # 6A-38</t>
  </si>
  <si>
    <t>ASOCIACION MULTISECTORIAL AHINCO (DIOS ES AMOR)</t>
  </si>
  <si>
    <t>CALLE 3 CR 5-21</t>
  </si>
  <si>
    <t>HOGAR COMUNITARIO (LOS CARIÑOSITOS)</t>
  </si>
  <si>
    <t>CALLE 3A DG 3-8</t>
  </si>
  <si>
    <t>ASOCIACION MULTISECTORIAL (MI PEQUEÑO HOGAR)</t>
  </si>
  <si>
    <t>CALLE 2 CR A-21</t>
  </si>
  <si>
    <t xml:space="preserve">ASOCIACION MULTISECTORIAL  AHINCO (DIVINO NIÑO) </t>
  </si>
  <si>
    <t>CR 2 CALLE 2-110</t>
  </si>
  <si>
    <t xml:space="preserve">ASOCIACION DE PADRES DE FAMILIA BARRIO 7 DE AGOSTO (LOS INQUIETOS) </t>
  </si>
  <si>
    <t>CALLE 2 CR 2-20</t>
  </si>
  <si>
    <t>ASOCIACIONMULTISECTORIALAHINCO@GAMIL.COM</t>
  </si>
  <si>
    <t>ASOCIACION MULTISECTORIAL AHINCO (MIS PEQUEÑOS GENIOS)</t>
  </si>
  <si>
    <t>CORREG FLORAL</t>
  </si>
  <si>
    <t>ASOCIACIÓN DE PADRES DE FAMILIA DE HOGARES DE BIENESTAR FAMILIAR DE PALMIRA</t>
  </si>
  <si>
    <t>HOGAR COMUNITARIO MIS PEQUEÑINES</t>
  </si>
  <si>
    <t>DENIS DIAZ PATERNINA</t>
  </si>
  <si>
    <t>800138452-1</t>
  </si>
  <si>
    <t>MZ 4 LOTE 10</t>
  </si>
  <si>
    <t>SIRISPATERNINA7@GMAIL.COM</t>
  </si>
  <si>
    <t>ASOCIACION MULTISECTORIAL AHINCO (MIS ANGELITOS)</t>
  </si>
  <si>
    <t>CR 6 CALLE 10BIS 19</t>
  </si>
  <si>
    <t>HOGAR COMUNITARIO CASA DE AMOR</t>
  </si>
  <si>
    <t xml:space="preserve">SAN RAFAEL </t>
  </si>
  <si>
    <t>LAPALMIRAASOCIACIÓN@HOTMAIL.COM</t>
  </si>
  <si>
    <t>ASOCIACION MULTISECTORIAL AHINCO (EL BUEN PASTORCITO)</t>
  </si>
  <si>
    <t>CR 6A # 9-56</t>
  </si>
  <si>
    <t xml:space="preserve">ADEL ALBERTO TOUS COLON </t>
  </si>
  <si>
    <t>CALLE 8A # 6A-07</t>
  </si>
  <si>
    <t xml:space="preserve">ESTADERO A LO MAGO </t>
  </si>
  <si>
    <t>DAIBER JOSE TUIRAN PERALTA</t>
  </si>
  <si>
    <t>92231302-5</t>
  </si>
  <si>
    <t>CALLE 10 # 6A-169</t>
  </si>
  <si>
    <t>REMAKASHE02162715@HOTMAIL.COM</t>
  </si>
  <si>
    <t>BILLARES LAS TRES RRR</t>
  </si>
  <si>
    <t xml:space="preserve">RODRIGO RAFAEL ROMERO </t>
  </si>
  <si>
    <t xml:space="preserve">DIAG 6 # 6 19 BARRIO EL CARMEN </t>
  </si>
  <si>
    <t>ESTADERO GALLERA EL CARMEN</t>
  </si>
  <si>
    <t>OSCAR ROMERO ACOSTA</t>
  </si>
  <si>
    <t>1102880914-2</t>
  </si>
  <si>
    <t>BARRIO EL AROMA</t>
  </si>
  <si>
    <t>OSCARROMERO1898@HOTMAIL.COM</t>
  </si>
  <si>
    <t xml:space="preserve">RESTAURANTE DONDE MARIANA </t>
  </si>
  <si>
    <t xml:space="preserve">MARIANA BARRAGAN </t>
  </si>
  <si>
    <t xml:space="preserve">BARRIO BELLAVISTA </t>
  </si>
  <si>
    <t>ASOCIACION MULTISECTORIAL AHINCO (NIÑOS FELICES)</t>
  </si>
  <si>
    <t>CALLE 9 BIS CR 6-3 BARRIO VILLA ETY</t>
  </si>
  <si>
    <t>MALEJAPALMERA95@GMAIL.COM</t>
  </si>
  <si>
    <t xml:space="preserve">ESTADERO Y CANCHA DE TEJO DONDE LICHO </t>
  </si>
  <si>
    <t xml:space="preserve">SANDRA SALCEDO SEVILLA </t>
  </si>
  <si>
    <t xml:space="preserve">CR 2 # 2A CALLE NUEVA </t>
  </si>
  <si>
    <t>sandrasalcedosevilla@hotmail.com</t>
  </si>
  <si>
    <t xml:space="preserve">RESTOBAR LA CURVA </t>
  </si>
  <si>
    <t xml:space="preserve">ADIANA SIERRA GUZMAN </t>
  </si>
  <si>
    <t>CR 2 CALLE 1C PALMIRA</t>
  </si>
  <si>
    <t xml:space="preserve">ESTADERO EL PAPA DE LOS POLLITOS </t>
  </si>
  <si>
    <t xml:space="preserve">ONILDE MARTINEZ LOPEZ </t>
  </si>
  <si>
    <t>CR 6 #6A-40</t>
  </si>
  <si>
    <t>BILLARES EL LOCO DE TOLUVIEJO</t>
  </si>
  <si>
    <t xml:space="preserve">MAYRA ALEJANDRA BALMACEDA </t>
  </si>
  <si>
    <t>CR 6D #8A-46</t>
  </si>
  <si>
    <t xml:space="preserve">GRANERO CALI </t>
  </si>
  <si>
    <t xml:space="preserve">YERALDIN LLENERIS CALI </t>
  </si>
  <si>
    <t>CALLE 4 CR 4 -63</t>
  </si>
  <si>
    <t>LLANERA Y RESTAURANTE SAN JACINTO</t>
  </si>
  <si>
    <t>VISMARY SILGADO</t>
  </si>
  <si>
    <t>33106214-6</t>
  </si>
  <si>
    <t>DIAG 2 # 3-53</t>
  </si>
  <si>
    <t>ASOCIACION MULTISECTORIAL  AHINCO HOGAR DE BIENESTAR NIÑOS TRAVIESOS</t>
  </si>
  <si>
    <t>DG 2 #2-53 CALLE COLOSO</t>
  </si>
  <si>
    <t>ASOCIACION MULTISECTORIAL  AHINCO HOGAR DE BIENESTAR NIÑOS UNIDOS</t>
  </si>
  <si>
    <t xml:space="preserve">BARRIO VILLA UNION </t>
  </si>
  <si>
    <t>LA TRAMPA RESTO BAR</t>
  </si>
  <si>
    <t xml:space="preserve">JHON VALENCIA ESCOBAR </t>
  </si>
  <si>
    <t>1108763725-8</t>
  </si>
  <si>
    <t>DG 2 #8C-84</t>
  </si>
  <si>
    <t xml:space="preserve">CARNES Y LEGUMBRES MERCATODO </t>
  </si>
  <si>
    <t xml:space="preserve">ANA MILENA FERIA </t>
  </si>
  <si>
    <t>DIAG 2 # 5-5</t>
  </si>
  <si>
    <t xml:space="preserve">GRANERO EL PAISITA JORGE </t>
  </si>
  <si>
    <t xml:space="preserve">JORGE GIRALDO JIMENEZ </t>
  </si>
  <si>
    <t xml:space="preserve">ESTADERO EL PANAL </t>
  </si>
  <si>
    <t>SOL ALVAREZ HERNANDEZ</t>
  </si>
  <si>
    <t xml:space="preserve">CALLE 10 #4-80 BARRIO VILLA ETY </t>
  </si>
  <si>
    <t>PANADERIA BOCATOS</t>
  </si>
  <si>
    <t>EVA PUERTA VERGARA</t>
  </si>
  <si>
    <t>DG 2 KR 6-50</t>
  </si>
  <si>
    <t>BILLARES PALMAHIA</t>
  </si>
  <si>
    <t>JOHN VALENCIA</t>
  </si>
  <si>
    <t>TV 4 #6-45 CALLE EL POZO</t>
  </si>
  <si>
    <t>JHONJVALES@HOTMAIL.COM</t>
  </si>
  <si>
    <t xml:space="preserve">BILLARES EL CARMEN </t>
  </si>
  <si>
    <t xml:space="preserve">OMAR PERALTA </t>
  </si>
  <si>
    <t xml:space="preserve">CANCHA EL OASIS </t>
  </si>
  <si>
    <t xml:space="preserve">JOSE URZOLA ROCHA </t>
  </si>
  <si>
    <t xml:space="preserve">CALLE GUAYACAN </t>
  </si>
  <si>
    <t>JOSEURZOLAROCHA89@GMAIL.COM</t>
  </si>
  <si>
    <t>BILLARES LA TRONCAL</t>
  </si>
  <si>
    <t xml:space="preserve">ANA TUIRAN MONTES </t>
  </si>
  <si>
    <t>23221601-9</t>
  </si>
  <si>
    <t>BARRIO LA TRONCAL</t>
  </si>
  <si>
    <t>ANATUIRAN454@GMAIL.COM</t>
  </si>
  <si>
    <t>ESTANCO BAR SINALOA</t>
  </si>
  <si>
    <t>EDUAR NUÑEZ</t>
  </si>
  <si>
    <t>92276585-6</t>
  </si>
  <si>
    <t>TV 4 # 2-47</t>
  </si>
  <si>
    <t xml:space="preserve">SURTIGRANOS AC </t>
  </si>
  <si>
    <t xml:space="preserve">ALVARO CACERES CACERES </t>
  </si>
  <si>
    <t xml:space="preserve">TV 4 CALLE 3 -150 CALLE </t>
  </si>
  <si>
    <t>LA BENDICION DE DIOS</t>
  </si>
  <si>
    <t>NAUDI YENERIS</t>
  </si>
  <si>
    <t>800197712-3</t>
  </si>
  <si>
    <t>KR 2 # 4-28</t>
  </si>
  <si>
    <t xml:space="preserve">TIENDA DULCE EXPRES </t>
  </si>
  <si>
    <t xml:space="preserve">WINDY CAMARGO BERTEL </t>
  </si>
  <si>
    <t xml:space="preserve">DIAG 3 # 4 -17 CALLE SAN JOSE </t>
  </si>
  <si>
    <t xml:space="preserve">SUPERTIENDA LA GANGITA </t>
  </si>
  <si>
    <t xml:space="preserve">RUBEN GIRALDO </t>
  </si>
  <si>
    <t xml:space="preserve">CALLE 3 # 2-35 BARRIO SAN JOSE </t>
  </si>
  <si>
    <t>LICORERA LA ESTACA</t>
  </si>
  <si>
    <t>SANDRA URREA GAZABON</t>
  </si>
  <si>
    <t>DG 3 CALLE 3A-36</t>
  </si>
  <si>
    <t>SANDRAURREA_17@HOTMAIL.COM</t>
  </si>
  <si>
    <t xml:space="preserve">TIENDA J Y G </t>
  </si>
  <si>
    <t xml:space="preserve">JAIRO VILLALOBO </t>
  </si>
  <si>
    <t xml:space="preserve">BARRIO VIDA TRANQUILA </t>
  </si>
  <si>
    <t xml:space="preserve">ANA MILENA INFANTE </t>
  </si>
  <si>
    <t>TV 6 # 6-88</t>
  </si>
  <si>
    <t xml:space="preserve">GRANERO LA GANGA </t>
  </si>
  <si>
    <t xml:space="preserve">DANNY ALEXANDER </t>
  </si>
  <si>
    <t>70385141-7</t>
  </si>
  <si>
    <t>DIAG 2- 6A-06</t>
  </si>
  <si>
    <t xml:space="preserve">PROVEEDORA J Y G </t>
  </si>
  <si>
    <t>92277604-2</t>
  </si>
  <si>
    <t>JAVIGLOI@HOTMAIL.COM</t>
  </si>
  <si>
    <t xml:space="preserve">TIENDA LA PLACITA </t>
  </si>
  <si>
    <t xml:space="preserve">JOSE ROMAN MUÑOZ </t>
  </si>
  <si>
    <t>CL 9 TV 4-53</t>
  </si>
  <si>
    <t xml:space="preserve">RESTAURANTE POPULAR </t>
  </si>
  <si>
    <t xml:space="preserve">EGILSIA GONZALEZ LOPEZ </t>
  </si>
  <si>
    <t>CR 8 # 4-82</t>
  </si>
  <si>
    <t>CEMY0707@GMAIL.COM</t>
  </si>
  <si>
    <t>TIENDA LA NIÑA DANA</t>
  </si>
  <si>
    <t xml:space="preserve">JULIO LOPEZ BUELVAS </t>
  </si>
  <si>
    <t xml:space="preserve">CR 4 CALLE 5 -50CALLE REAL </t>
  </si>
  <si>
    <t xml:space="preserve">FOOD PARRILLA Y COMIDAS RAPIDAS </t>
  </si>
  <si>
    <t xml:space="preserve">KATERINE COLON GARCIA </t>
  </si>
  <si>
    <t>TV 4 CALLE 6 -27 LOCAL 1</t>
  </si>
  <si>
    <t>CANCHA EL TRASMAYO</t>
  </si>
  <si>
    <t>HUMBERTO MENDOZA</t>
  </si>
  <si>
    <t>9043917-9</t>
  </si>
  <si>
    <t>BARRIO SAN RAFAEL</t>
  </si>
  <si>
    <t>HUMBERTOBELLOMENDOZA@HOTMAIL.COM</t>
  </si>
  <si>
    <t>MARIA ROMERO</t>
  </si>
  <si>
    <t>23220458-7</t>
  </si>
  <si>
    <t>VILLA ETY</t>
  </si>
  <si>
    <t>MARIAEUROMERO@GMAILCOM</t>
  </si>
  <si>
    <t xml:space="preserve">LEGUMBRE VERDURAS Y GRANOS </t>
  </si>
  <si>
    <t xml:space="preserve">MARNOLYS FUNEZ </t>
  </si>
  <si>
    <t>DIAG 2 # 4-51</t>
  </si>
  <si>
    <t>FUNDACION PARA EL DESARROLLO SOCIAL Y AMBIENTAL DE SUCRE</t>
  </si>
  <si>
    <t>CENTRO DE VIDA MARIA ANGEL</t>
  </si>
  <si>
    <t>ENRIQUE CARLOS LOPEZ</t>
  </si>
  <si>
    <t>900193793-4</t>
  </si>
  <si>
    <t>DIAGONAL 3 # 5 -19</t>
  </si>
  <si>
    <t>FUNDESUC2018@GMAIL.COM</t>
  </si>
  <si>
    <t xml:space="preserve">DISTRIBUIDORA JULY </t>
  </si>
  <si>
    <t>ASOCIACION ULTISECTORIAL AHINCO(NIÑOS FELICES)</t>
  </si>
  <si>
    <t>DG 2 #2-3-5 CALLE COLOSO</t>
  </si>
  <si>
    <t>ASOCIACION MULTISECTORIAL AHINCO MIS PRIMERAS TRAVESURAS</t>
  </si>
  <si>
    <t>CALLE 2A#6-19 BARRIO VILLA UNION</t>
  </si>
  <si>
    <t xml:space="preserve">RESTAURANTE  Y COMIDAS RAPIDAS SABOR CELESTIAL </t>
  </si>
  <si>
    <t xml:space="preserve">ADRIANA DEL CARMEN ASCENCIO HUERTAS </t>
  </si>
  <si>
    <t xml:space="preserve">TRANSV 4 #13 </t>
  </si>
  <si>
    <t>ADRIANAAH2016@HOTMAIL.COM</t>
  </si>
  <si>
    <t xml:space="preserve">TIENDA EL TRIO </t>
  </si>
  <si>
    <t xml:space="preserve">NILSON ARROYO MARTINEZ </t>
  </si>
  <si>
    <t>CALLE 6 CR 8 -2</t>
  </si>
  <si>
    <t xml:space="preserve">TIENDA Y VARIEDADES HERMANOS SIMANCAS </t>
  </si>
  <si>
    <t xml:space="preserve">MARINELYS SIMANCA OZUNA </t>
  </si>
  <si>
    <t xml:space="preserve">CR 1D # 3-14 LA PALMIRA </t>
  </si>
  <si>
    <t xml:space="preserve">HOTEL Y RESTAURANTE SAN FERNANDO </t>
  </si>
  <si>
    <t xml:space="preserve">ALBA LIZARAZO BENITEZ </t>
  </si>
  <si>
    <t>CALLE 10 # 7-94</t>
  </si>
  <si>
    <t>FUNDACION SOCIAL Y CULTURAL AGROAMBIENTE</t>
  </si>
  <si>
    <t>LILIANA LUCIA BUELVAS  RIOS</t>
  </si>
  <si>
    <t>900414123-8</t>
  </si>
  <si>
    <t>CLL SAN JOSE</t>
  </si>
  <si>
    <t>AGROAMBIENTE.ONG@HOTMAIL.COM</t>
  </si>
  <si>
    <t>HOGAR COMUNITARIO MI PRIMERA SONRISA</t>
  </si>
  <si>
    <t>ANDUER RAFAEL VILLADIEGO</t>
  </si>
  <si>
    <t>800169896-0</t>
  </si>
  <si>
    <t xml:space="preserve">TV 6 CLL 6- 54 EL AROMA </t>
  </si>
  <si>
    <t>lineyarroyo30@hotmail.com</t>
  </si>
  <si>
    <t>CANCHA DE TEJO EL OASIS</t>
  </si>
  <si>
    <t>JOSE DANIEL URZOLA ROCHA</t>
  </si>
  <si>
    <t>CRA 3#4-69</t>
  </si>
  <si>
    <t>wakaferrero89@gmail.com</t>
  </si>
  <si>
    <t>BAR ESTADERO NAI CLUB</t>
  </si>
  <si>
    <t>TATIANA ANDREA JIIMENEZ RAMOS</t>
  </si>
  <si>
    <t>1468413600-1</t>
  </si>
  <si>
    <t>CRA 4B CLL 1-120 TRONCAL</t>
  </si>
  <si>
    <t>tattianajimenez05@gmail.com</t>
  </si>
  <si>
    <t xml:space="preserve">BAR LA TRONCAL  </t>
  </si>
  <si>
    <t>DELIA JOAQUINA CHAVEZ LANDAZURY</t>
  </si>
  <si>
    <t>1108759230-9</t>
  </si>
  <si>
    <t>CRA # 1-80 LA TRONCAL</t>
  </si>
  <si>
    <t>dchavez12020@autlook.es</t>
  </si>
  <si>
    <t>ESTANCO LA FORTUNA</t>
  </si>
  <si>
    <t>ANA CAROLINA ZABALETA ROMERO</t>
  </si>
  <si>
    <t>110876657-3</t>
  </si>
  <si>
    <t>CRA 6D # 8A-44</t>
  </si>
  <si>
    <t>anaczromero@gmail.com</t>
  </si>
  <si>
    <t xml:space="preserve">TIERRA DE GOSEN 7 ESTRELLAS </t>
  </si>
  <si>
    <t>ESMERLISA ISABEL CAMAÑO NARVAEZ</t>
  </si>
  <si>
    <t>64545996-2</t>
  </si>
  <si>
    <t>DG 2A-TV 4</t>
  </si>
  <si>
    <t>300422880-7</t>
  </si>
  <si>
    <t>EMILIAR2000@GMAIL.COM</t>
  </si>
  <si>
    <t>JOSE DOMINGUEZ</t>
  </si>
  <si>
    <t xml:space="preserve">CRA 6A #9A </t>
  </si>
  <si>
    <t>INSTITUCIÓN EDUCATIVA INMACULADA CONCEPCIÓN - SEDE PRINCIPAL</t>
  </si>
  <si>
    <t>CARRETERA PRINCIPAL VIA TOLUVIEJO</t>
  </si>
  <si>
    <t>INSTITUCIÓN EDUCATIVA INMACULADA CONCEPCIÓN - SEDE LA ESPERANZA</t>
  </si>
  <si>
    <t>CALLE PRINCIPAL LA ESPERANZA</t>
  </si>
  <si>
    <t>HOGAR COMUNITARIO GOTITAS DE AMOR</t>
  </si>
  <si>
    <t>CL 5A #5-98</t>
  </si>
  <si>
    <t>LAPALMIRAASOCIACION@HOTMAIL.COM</t>
  </si>
  <si>
    <t>HOGAR COMUNITARIO MI SUEÑITO</t>
  </si>
  <si>
    <t>KRA 5 #3-47</t>
  </si>
  <si>
    <t>HOGAR COMUNITARIO MUNDO DE ILUSIONES</t>
  </si>
  <si>
    <t>CALLE LA GALLERA</t>
  </si>
  <si>
    <t>HOGAR COMUNITARIO SONRISITAS DE AMOR</t>
  </si>
  <si>
    <t>CALLE PRINCIPAL VARSOVIA - SAN RAFAEL</t>
  </si>
  <si>
    <t>HOGAR COMUNITARIO CARITAS ALEGRES</t>
  </si>
  <si>
    <t>KRA 5A #1-22</t>
  </si>
  <si>
    <t>HOGAR COMUNITARIO CARITA DE ANGEL</t>
  </si>
  <si>
    <t>KRA 1  CLL24</t>
  </si>
  <si>
    <t>ISANA CONGELADOS COL SAS</t>
  </si>
  <si>
    <t>901815796-0</t>
  </si>
  <si>
    <t>CLL6 #24 CALLE TOLÚ</t>
  </si>
  <si>
    <t>INFOISANACONGELADOS@GMAIL.COM</t>
  </si>
  <si>
    <t>CENTRO EDUCATIVO CAÑITO</t>
  </si>
  <si>
    <t>BARRIO CAÑITO ABAJO</t>
  </si>
  <si>
    <t>I.E. TECNICO AGROPECUARIO CARACOL - SEDE LOS ALTOS</t>
  </si>
  <si>
    <t>CARRETERAS LOS ALTOS</t>
  </si>
  <si>
    <t>IGLESIA CENTRO FAMILIAR CRISTIANO</t>
  </si>
  <si>
    <t>CDI LUZ PARA LAS NACIONES</t>
  </si>
  <si>
    <t>900004967-1</t>
  </si>
  <si>
    <t>TV 4 #3 - 100</t>
  </si>
  <si>
    <t>COCDI0907@GMAIL.COM</t>
  </si>
  <si>
    <t>LA GOZADERA TOLUVIEJO</t>
  </si>
  <si>
    <t>ERMINIA VILLEGAS GUTIERREZ</t>
  </si>
  <si>
    <t>64704391-1</t>
  </si>
  <si>
    <t>CLL 9 KRA 6 -10</t>
  </si>
  <si>
    <t>VILKERMINIA465@GMAIL.COM</t>
  </si>
  <si>
    <t>I.E. MACAJAN</t>
  </si>
  <si>
    <t>CARRETERA A SAN ONOFRE</t>
  </si>
  <si>
    <t xml:space="preserve">EL MERENDERO </t>
  </si>
  <si>
    <t>LILIANA RODRIGUEZ PATERNINA</t>
  </si>
  <si>
    <t xml:space="preserve">VARIANTE VIA TOLÚ </t>
  </si>
  <si>
    <t xml:space="preserve">COMIDAS RAPIDAS LA BOQUILLA </t>
  </si>
  <si>
    <t>ALVARO JOSE CAMAÑO</t>
  </si>
  <si>
    <t>DG 3 CLL 3A - 26</t>
  </si>
  <si>
    <t>FERCHO PERROS EXPRESS</t>
  </si>
  <si>
    <t>SAMUEL FERNANDO ARRIETA RODRIGUEZ</t>
  </si>
  <si>
    <t>CALLE VIDA TRANQUILA</t>
  </si>
  <si>
    <t>ASOCIACION DE PADRES DE FAMILIADE HOGARES D BIENESTAR DE LOS BARRIOS SANTIAGO LAS MARGARITAS</t>
  </si>
  <si>
    <t xml:space="preserve">CDI ENMANUEL </t>
  </si>
  <si>
    <t>SUSANA FLORES ARAUJO</t>
  </si>
  <si>
    <t>823000511-8</t>
  </si>
  <si>
    <t>cale 6 #10-23</t>
  </si>
  <si>
    <t>RECURSOSHUMANOSLASMARGARITAS1@GMAIL.COM</t>
  </si>
  <si>
    <t>CDI LUIS JOSE GUERRA (USD)</t>
  </si>
  <si>
    <t>CORREGIMIENTO DE MACAJAN</t>
  </si>
  <si>
    <t>D1 S.A.S.</t>
  </si>
  <si>
    <t>TIENDA D1 TOLUVIEJO</t>
  </si>
  <si>
    <t>ALFREDO LINERO</t>
  </si>
  <si>
    <t>TV 4-3 - 192 CALLE SAN JOSE</t>
  </si>
  <si>
    <t>ALFREDOLINERO@D1.COM.CO</t>
  </si>
  <si>
    <t>91.75%</t>
  </si>
  <si>
    <t>BOCADOS FOODS SAS</t>
  </si>
  <si>
    <t>PANADERIA BOCADO</t>
  </si>
  <si>
    <t>DICKSON NIGRINIS GARCIA</t>
  </si>
  <si>
    <t>DG 2 KRA 6 -50</t>
  </si>
  <si>
    <t>INFOBOCADOSFOODS@GMAIL.COM</t>
  </si>
  <si>
    <t>INSETUR DE COLOMBIA SAS</t>
  </si>
  <si>
    <t>CL 1 CR 33-141 SECTO SEGUNDA ENSENADA RUTA UNO</t>
  </si>
  <si>
    <t>HOTEL.FRAGATA.COVEÑAS@GMAIL.COM</t>
  </si>
  <si>
    <t>JAVIER OSVALDO RAMIREZ MARTINEZ SAS</t>
  </si>
  <si>
    <t>CL 10 #22 13 51</t>
  </si>
  <si>
    <t>SUPERMERCADOORIENTECOVENAS@GMAIL.COM</t>
  </si>
  <si>
    <t>ADRIAN MORALES/CARLOS  ACOSTA</t>
  </si>
  <si>
    <t>CORPORACION PARA EL FOMENTO DEL BIENESTAR SOCIAL FOMBISOL</t>
  </si>
  <si>
    <t>LILIAN LUCIA ORDOÑEZ VERGARA</t>
  </si>
  <si>
    <t>CARRETERA TRONCAL VIA LORICA</t>
  </si>
  <si>
    <t>27/02/2025</t>
  </si>
  <si>
    <t>BATALLON DE COMANDO Y APOYO DE INFANTERIA DE MARINA N°6</t>
  </si>
  <si>
    <t>COMISION DE ALIMENTACION DEL BATALLON DE COMANDO Y APOYO N°6</t>
  </si>
  <si>
    <t>ADRIAN MORALES/ CARLOS ACOSTA</t>
  </si>
  <si>
    <t>SUPERMERCADO ORIENTE</t>
  </si>
  <si>
    <t>JAVIER OSVALDO RAMIREZ MARTINEZ</t>
  </si>
  <si>
    <t>CL 10 #22B-51</t>
  </si>
  <si>
    <t>ASOCIADA A PETICIONES, QUEJAS Y RECLAMOS</t>
  </si>
  <si>
    <t>TIENDA ARA 1098</t>
  </si>
  <si>
    <t xml:space="preserve">PEDRO MANUEL DE CASTRO </t>
  </si>
  <si>
    <t>CL 5 # 19 28</t>
  </si>
  <si>
    <t>NOTIFICACIONESJUDICIALES@JERONIMO-MARTINS.COM</t>
  </si>
  <si>
    <t xml:space="preserve">D1 SAS </t>
  </si>
  <si>
    <t xml:space="preserve">TIENDA D1 SAN PEDRO </t>
  </si>
  <si>
    <t xml:space="preserve">CARLOS ALBERTO LIEBANO CASTILLO </t>
  </si>
  <si>
    <t>Cra 9#14-43</t>
  </si>
  <si>
    <t>321 255 0279</t>
  </si>
  <si>
    <t>alfredo.linero@d1com.co</t>
  </si>
  <si>
    <t>26/112025</t>
  </si>
  <si>
    <t xml:space="preserve">FAORABLE CON REQUERIMIENTOS </t>
  </si>
  <si>
    <t>CARLOS ACOSTA/ADRIAN MORALES/ARGEMIRO DIAZ</t>
  </si>
  <si>
    <t xml:space="preserve">DESTRUCCION DE PRODUCTOS </t>
  </si>
  <si>
    <t xml:space="preserve">NEIL JAVIER BADRAN LIZARAZO </t>
  </si>
  <si>
    <t>ALIMENTABD@GMAIL.COM</t>
  </si>
  <si>
    <t xml:space="preserve">COROZAL </t>
  </si>
  <si>
    <t>PUNTO FRIO LOS BALCANOES</t>
  </si>
  <si>
    <t>EDGAR ALFREDO TOVAR MARTINEZ</t>
  </si>
  <si>
    <t>CR 21 CL 35 A 14</t>
  </si>
  <si>
    <t>edgartobvar22@hotmail.com</t>
  </si>
  <si>
    <t>28/11/2025</t>
  </si>
  <si>
    <t>LICORES SAMU XPRESS</t>
  </si>
  <si>
    <t>SERLEYS DEL CARMEN RODRIGUEZ PEEREZ</t>
  </si>
  <si>
    <t>CL 41 A 19 E 81 AP 03</t>
  </si>
  <si>
    <t>rodriguez_0311@hotmail.com</t>
  </si>
  <si>
    <t>PORCENTAJE DE
 CUMPLIMIENTO</t>
  </si>
  <si>
    <t>CARNES Y/O PRODUCTOS CARNICOS COMESTIBLES</t>
  </si>
  <si>
    <t xml:space="preserve"> CARCELARIOS O PENITENCIARIOS(USPEC)</t>
  </si>
  <si>
    <t>EXPENDIO PRODUCTO DE LA PESCA</t>
  </si>
  <si>
    <t>JUGOS, FRUTERIA Y/O HELADERIA</t>
  </si>
  <si>
    <t>ENSAMBLE PAQUETES DE ALIMENTOS</t>
  </si>
  <si>
    <t xml:space="preserve">EXPENDIO DE CARNE </t>
  </si>
  <si>
    <t xml:space="preserve">BODEGA DEL CANASTO </t>
  </si>
  <si>
    <t>CL 40 216-16</t>
  </si>
  <si>
    <t>luis.german@jeronimomartins.com</t>
  </si>
  <si>
    <t>ANYI LICETH TORRADO PAEZ</t>
  </si>
  <si>
    <t>ASOCIACION DE PADRES DE FAMILIA DE HOGARES COMUNITARIOS DE BIENESTAR CORREGIMIENTO DE CUIBA</t>
  </si>
  <si>
    <t>MARCOS JOSE CORPAS CADRAZO</t>
  </si>
  <si>
    <t>ASOCIACION DE PADRES DE FAMILIA DE LOS HOGARES COMUNITARIOS DE BIENESTAR DEL CORREGIMIENTO DE CUIBA</t>
  </si>
  <si>
    <t>CL 8 # 11-07</t>
  </si>
  <si>
    <t>CARMENZA PAOLA MORENO</t>
  </si>
  <si>
    <t>ALFREDO LINERO NAVARRO</t>
  </si>
  <si>
    <t>USR-12124@01.COM.CO</t>
  </si>
  <si>
    <t xml:space="preserve">BODEGA ENSAMBLE DE ALIMENTOS PROGRAMA DE ALIMENTACION ESCOLAR </t>
  </si>
  <si>
    <t>ELVANA ROSA RAMIREZ DAVILA</t>
  </si>
  <si>
    <t>CL 9 # 7-70</t>
  </si>
  <si>
    <t>DECOMISO DE PRODUCTOS</t>
  </si>
  <si>
    <t>SUPERTIENDA Y DROGUERIAS OLIMPICA SA</t>
  </si>
  <si>
    <t>JULIO ESPRIELLA OSORIO</t>
  </si>
  <si>
    <t>ASTO322@OLIMPICA.COM.CO</t>
  </si>
  <si>
    <t>CARLOS ACOSTA/ADRIAN MORALES</t>
  </si>
  <si>
    <t>SUPERTIENDA Y DROGUERIA OLIMPICA 322</t>
  </si>
  <si>
    <t>BATALLON DE COMANDO Y APOYO DE INFANTERIA DE MARINA N° 1</t>
  </si>
  <si>
    <t>JAVIER ALBERTO URIBE LARROTA</t>
  </si>
  <si>
    <t>COALBACAIM1@ARMADA.MIL.CO</t>
  </si>
  <si>
    <t>PUNTO FRIO LOS BALCONES</t>
  </si>
  <si>
    <t>COMUNIDAD INDIGENA ZENU DE SAN JOSE DE PILETA</t>
  </si>
  <si>
    <t>BAVARIA Y CIA S.C.A</t>
  </si>
  <si>
    <t>BAVARIA CENTRO DE DISTRIBUCION COROZAL</t>
  </si>
  <si>
    <t>KM 4 VIA SINCEELJO - COROZAL</t>
  </si>
  <si>
    <t>NOTIFICACIONS@SB-INBEV.COM</t>
  </si>
  <si>
    <t xml:space="preserve">A TEMPERATURA AMBIENTE </t>
  </si>
  <si>
    <t xml:space="preserve">ALMACENAMIENTO </t>
  </si>
  <si>
    <t>COMUNIDAD INDIGENA ZENU SAN JOSE DE PILETA</t>
  </si>
  <si>
    <t>BODEGA ENSAMBLE DE ALIMENTOS</t>
  </si>
  <si>
    <t>CARMEN JULIA BERTEL MERCADO</t>
  </si>
  <si>
    <t>CL 38 B 31 A-6</t>
  </si>
  <si>
    <t>EL CARMEN RESTAURANT</t>
  </si>
  <si>
    <t>Lorenaurangoarrieta@hotmail.com</t>
  </si>
  <si>
    <t>69.2%</t>
  </si>
  <si>
    <t>acostasalcedopedro@gmail.com</t>
  </si>
  <si>
    <t>Blas Antonio Villegas pinedo</t>
  </si>
  <si>
    <t>Blasvillegas@outlook.com</t>
  </si>
  <si>
    <t>FABORABLE CO REQUERIMIENTOS</t>
  </si>
  <si>
    <t>FABORABLE CON REQUERIMIENTOS</t>
  </si>
  <si>
    <t>fFABORABLE CON REQUERIMIENTOS</t>
  </si>
  <si>
    <t>tereavila26@hotmail.com</t>
  </si>
  <si>
    <t xml:space="preserve">Rocío del Carmen Dávila correa </t>
  </si>
  <si>
    <t>Rodacoen@hotmail.com</t>
  </si>
  <si>
    <t xml:space="preserve">Club billares la kdemia de Buenavista </t>
  </si>
  <si>
    <t>kevin32@hotmail.com</t>
  </si>
  <si>
    <t xml:space="preserve">La oficina billard clud Buenavista </t>
  </si>
  <si>
    <t xml:space="preserve">Didier José Martinez Jiménez </t>
  </si>
  <si>
    <t>Carrera 8#5-55</t>
  </si>
  <si>
    <t>didierjmj189@gmail.com</t>
  </si>
  <si>
    <t>ANITAUPEREZ_12@HOTMAIL.COM</t>
  </si>
  <si>
    <t>FAVORABLE CON REQUERIMIERNTOS</t>
  </si>
  <si>
    <t xml:space="preserve">EL VERDADERO REY DEL SABOR </t>
  </si>
  <si>
    <t>JOSE GREGORIO CORREA</t>
  </si>
  <si>
    <t>CALLE 28 #25-58</t>
  </si>
  <si>
    <t xml:space="preserve">CARBON Y BRASA EL FLAKO </t>
  </si>
  <si>
    <t>LUZ DARYS FUNEZ</t>
  </si>
  <si>
    <t>KR 26 # 36-07</t>
  </si>
  <si>
    <t>CR 26 #29-69</t>
  </si>
  <si>
    <t>ATO</t>
  </si>
  <si>
    <t>RESTAURANTE SABRO</t>
  </si>
  <si>
    <t>CLL 40 #30-24</t>
  </si>
  <si>
    <t xml:space="preserve">TRONCO SANCOCHO Y ALGO MAS </t>
  </si>
  <si>
    <t>CARBON Y BRASAS EL FLAKO</t>
  </si>
  <si>
    <t>ANDRES PARRILLA RESTAURANTE</t>
  </si>
  <si>
    <t>RESTAURANTE NUEVA CHINA</t>
  </si>
  <si>
    <t>CR 21 CL 40A-7</t>
  </si>
  <si>
    <t>DELIPOLLO</t>
  </si>
  <si>
    <t>KATERINE MARTINEZ</t>
  </si>
  <si>
    <t>CR 20 40B-05</t>
  </si>
  <si>
    <t>LA HORNILLA DEL SABOR</t>
  </si>
  <si>
    <t>MARIA FERNANDA MEZA PELUFO</t>
  </si>
  <si>
    <t>DG 35 CRA 19E-27</t>
  </si>
  <si>
    <t>ARROCES AZAFRAN GOURMET Y ALGO MAS</t>
  </si>
  <si>
    <t>CESAR EDUARDO PALMET</t>
  </si>
  <si>
    <t>CL 40</t>
  </si>
  <si>
    <t>SANA RICURA FITNESS FOOD</t>
  </si>
  <si>
    <t>MARIA MARGARITA GARCIA ASCENCIO</t>
  </si>
  <si>
    <t>ASADOS DON DAVID</t>
  </si>
  <si>
    <t>JESÚS RODRIGUEZ CUMPLIDO</t>
  </si>
  <si>
    <t>CALLE 40 # 22A -37</t>
  </si>
  <si>
    <t xml:space="preserve">BANDEJA EXPRESS RESTAURANTE </t>
  </si>
  <si>
    <t>MARIELA HERNANDEZ</t>
  </si>
  <si>
    <t>CR 21 # 36A-56</t>
  </si>
  <si>
    <t xml:space="preserve">EL TIZON DORADO </t>
  </si>
  <si>
    <t>NOEMIS DEL SOCORRO</t>
  </si>
  <si>
    <t>TV 35-26B-65</t>
  </si>
  <si>
    <t>RESTO BAR D´PAPOZZ</t>
  </si>
  <si>
    <t>SERVIO MARTINEZ CUELLO</t>
  </si>
  <si>
    <t>CLL 38A #32-40</t>
  </si>
  <si>
    <t>CARLOS MARIO SOLORZANO PETANO</t>
  </si>
  <si>
    <t>CR 21 32B-64</t>
  </si>
  <si>
    <t>NATIVOS COROZAL</t>
  </si>
  <si>
    <t>FILIBERTO AMARIS GUARDIA</t>
  </si>
  <si>
    <t>CR 24 #30-34 BARRIO CENTRO</t>
  </si>
  <si>
    <t>JOSECORREAM555@GMAIL.COM</t>
  </si>
  <si>
    <t>80.5</t>
  </si>
  <si>
    <t>delparquehotelcorozal@gmail.com</t>
  </si>
  <si>
    <t>luzdaryf2409@gmail.com</t>
  </si>
  <si>
    <t xml:space="preserve">franciscogamba29@gmail.com </t>
  </si>
  <si>
    <t>MARIA PAULINA GUEVARA RODRIGUEZ</t>
  </si>
  <si>
    <t>FACTURACIONNUEVACHINA@GMAIL.COM</t>
  </si>
  <si>
    <t>RESTAURANTE EL BUEN SABOR</t>
  </si>
  <si>
    <t>OMAIRA LUZMARY PINEDA MARTINEZ</t>
  </si>
  <si>
    <t>CL 32 KR  29-20 APTO 102</t>
  </si>
  <si>
    <t>omairapineda514@gmail.com</t>
  </si>
  <si>
    <t>Soluciones Integrales el Sembrador SAS</t>
  </si>
  <si>
    <t xml:space="preserve">Servicio de alimentación Hospital Universitario S/jo sede Corozal </t>
  </si>
  <si>
    <t xml:space="preserve">Evelio Enrique Salcedo Navarro </t>
  </si>
  <si>
    <t>Calle 32 No 31-65</t>
  </si>
  <si>
    <t xml:space="preserve">elsembradorsoluciones@hotmail.com </t>
  </si>
  <si>
    <t>PANADERIA LA FAVORITA</t>
  </si>
  <si>
    <t>RIGOBERTO MARIN</t>
  </si>
  <si>
    <t>CR 28 32A-18</t>
  </si>
  <si>
    <t>CASA ROSA COROZAL</t>
  </si>
  <si>
    <t>ROSARIO DEL SOCORRO GONZALEZ DE URUETA</t>
  </si>
  <si>
    <t xml:space="preserve">CALLE 29 # 27-12 </t>
  </si>
  <si>
    <t>CASA-ROSASINCELEJO@HOTMAIL.COM</t>
  </si>
  <si>
    <t>CRA 25 #28-2 CENTRO</t>
  </si>
  <si>
    <t>JUAN.DJK@GMAIL.COM</t>
  </si>
  <si>
    <t>rodorecuerdos15@gmail.com</t>
  </si>
  <si>
    <t>34.5%</t>
  </si>
  <si>
    <t xml:space="preserve">SUSPENSION TOTAL DE TRABAJOS Y SERVCIOS </t>
  </si>
  <si>
    <t>CAFETERIA Y CONGELADOS LA PAISA</t>
  </si>
  <si>
    <t>PASABOCAS BOCADOS</t>
  </si>
  <si>
    <t>WAFFOS</t>
  </si>
  <si>
    <t>REFRESQUERIA PUNTO PAISA</t>
  </si>
  <si>
    <t>PASABOCAS MONACOX</t>
  </si>
  <si>
    <t>ELENA SANABRIA CAFÉ Y ALGO MAS</t>
  </si>
  <si>
    <t>CL 40 ESQUINA CALIENTE</t>
  </si>
  <si>
    <t>CR 21A CL 36A-76 APTO 01</t>
  </si>
  <si>
    <t>CR 28 N°32-49</t>
  </si>
  <si>
    <t>CR 21 N°32A-41</t>
  </si>
  <si>
    <t>CR 21 CL 32A-92</t>
  </si>
  <si>
    <t>CL 30 #23-28 B CENTRO</t>
  </si>
  <si>
    <t xml:space="preserve">Sandra Morales Martínez </t>
  </si>
  <si>
    <t xml:space="preserve">Sandra morlesm98@gmail.com </t>
  </si>
  <si>
    <t>ESTEFANIA PATIÑO JARAMILLO</t>
  </si>
  <si>
    <t>brandon.montenegro@cecar.edu.co</t>
  </si>
  <si>
    <t>EFRAIN ANTONIO MANOTAS SANABRIA</t>
  </si>
  <si>
    <t>ALBA LUZ PEREZ ARRIETA</t>
  </si>
  <si>
    <t>CRA 21 DG 35-33 B. VALPARAISO</t>
  </si>
  <si>
    <t>RODRIGUEZ_0311@HOTMAIL.COM</t>
  </si>
  <si>
    <t xml:space="preserve">DON PIZZETO </t>
  </si>
  <si>
    <t>ANDRES PÉREZ MENDOZA</t>
  </si>
  <si>
    <t>CL 35 N°29-46</t>
  </si>
  <si>
    <t>SINCINATY BURGUER</t>
  </si>
  <si>
    <t>EL CLUB</t>
  </si>
  <si>
    <t>PAULA ANDREA TOBIO RAMIREZ</t>
  </si>
  <si>
    <t>CALLE 30 # 24-08 B. CENTRO</t>
  </si>
  <si>
    <t>NANO`S EXPRESS BURGUER</t>
  </si>
  <si>
    <t>FABIAN JOSE RIVERO DOMINGUEZ</t>
  </si>
  <si>
    <t>CRA 22 # 29-61 B. SAN MIGUEL</t>
  </si>
  <si>
    <t>AKAPELLA COCINA ARTESANAL</t>
  </si>
  <si>
    <t>CRA 27 # 32-63 B. SAN JUAN</t>
  </si>
  <si>
    <t>JEISLY BELTRAN BARRIOS</t>
  </si>
  <si>
    <t>PEPITOS EXPRESS COROZAL</t>
  </si>
  <si>
    <t>MELISA ANDREA MERCADO PUCHE</t>
  </si>
  <si>
    <t>CL 30 # 24-8 B. CENTRO</t>
  </si>
  <si>
    <t xml:space="preserve">COCA COLA FEMSA </t>
  </si>
  <si>
    <t>BODEGA DE ALMACENAMIENTO COCA COLA</t>
  </si>
  <si>
    <t xml:space="preserve">FARUD ROJAS </t>
  </si>
  <si>
    <t>KR 27D # 15-75</t>
  </si>
  <si>
    <t>AGENCIA LOGISTICA DE LAS FUERZAS MILITARES</t>
  </si>
  <si>
    <t>CENTRO DE ALMACENAMIENTO Y DISTRIBUCION CADS COROZAL</t>
  </si>
  <si>
    <t>ATALIBAR HERNANDEZ MURILLO</t>
  </si>
  <si>
    <t>TR DE OCCIDENTE KM 1 VIA COROZAL - SINCELEJO</t>
  </si>
  <si>
    <t>HAROL.MERCADO@AGENCIALOGISTICA.GOV.CO</t>
  </si>
  <si>
    <t>EXPENDIO DE CARNE LA BONANZA</t>
  </si>
  <si>
    <t>EXPENDIO DON CHANCHO</t>
  </si>
  <si>
    <t>ALEXANDER ALVAREZ GRANADOS</t>
  </si>
  <si>
    <t>LORENZO JOSE BARRIOS CASTILLA</t>
  </si>
  <si>
    <t>CL 30 N°26-27</t>
  </si>
  <si>
    <t>CR 24 N°32-158</t>
  </si>
  <si>
    <t>Erik campo ruizdiaz</t>
  </si>
  <si>
    <t xml:space="preserve">campoerick653@gmail.com </t>
  </si>
  <si>
    <t>LICORES MONACO MR</t>
  </si>
  <si>
    <t>MARIO ALBERTO NIEBLES BERTEL</t>
  </si>
  <si>
    <t>CR 20 41A-35 LOCAL 02</t>
  </si>
  <si>
    <t>marioniebles89@gmail.com</t>
  </si>
  <si>
    <t>75.5</t>
  </si>
  <si>
    <t>LA FANIA SALSA Y BERBENA GASTROBAR</t>
  </si>
  <si>
    <t>JUAN DAVID SOTO CASTRO</t>
  </si>
  <si>
    <t>CL 40 21G-41</t>
  </si>
  <si>
    <t>juan9010.jds@gmail.com</t>
  </si>
  <si>
    <t>70.5</t>
  </si>
  <si>
    <t>La esquina cervecera Lec Bar J y D</t>
  </si>
  <si>
    <t xml:space="preserve">Ruby Gracia Salgado </t>
  </si>
  <si>
    <t>Calle 30 No 22-03</t>
  </si>
  <si>
    <t xml:space="preserve">rubygracia@gmail.com </t>
  </si>
  <si>
    <t xml:space="preserve">LICORES VA Y VEN </t>
  </si>
  <si>
    <t>MONARKA LICORERA BAR</t>
  </si>
  <si>
    <t>DEIMER ANTONIO ACOSTA ALVAREZ</t>
  </si>
  <si>
    <t>DEIMER2793@HOTMAIL.COM</t>
  </si>
  <si>
    <t>HECTOR HERNAN ALZATE CASTRO</t>
  </si>
  <si>
    <t>ASOCIACION DE PADRES DE FAMILIA DE LOS HOGARES COMUNITARIOS DE GALERAS N° 3</t>
  </si>
  <si>
    <t>ASOCIACION DE MADRES COMUNITARIAS TODO POR COLOMBIA</t>
  </si>
  <si>
    <t>BODEGA DE ENSAMBLE DE ALIMENTOS</t>
  </si>
  <si>
    <t>LINA MARIA RIVADENEIRA BEDOYA</t>
  </si>
  <si>
    <t>CL 5 # 1-163</t>
  </si>
  <si>
    <t>FUNDACOIONTODOPORCOLOMBIA@HOTMAIL.COM</t>
  </si>
  <si>
    <t>ASOCIACION BALUARTE CAMPESINA AGROINDUSTRIAL Y DE ORGANIZACIÓN DE LA MOJANA</t>
  </si>
  <si>
    <t>BODEGA DE ENSAMBLE # 1</t>
  </si>
  <si>
    <t>LEVIS DANITH MONTES ACOSTA</t>
  </si>
  <si>
    <t>CL 6 # 1-163</t>
  </si>
  <si>
    <t>FEDEMOJANA@GMAIL.COM</t>
  </si>
  <si>
    <t>ENSAMBLE MENU</t>
  </si>
  <si>
    <t xml:space="preserve">CASINO SERVICIO DE ALIMENTACION </t>
  </si>
  <si>
    <t>GROUP FOOD SERVICE COMPANY</t>
  </si>
  <si>
    <t>CORREGIMIENTO CAYO DE PALMA</t>
  </si>
  <si>
    <t>GROUPFSCOMPANY@GMAIL.COM</t>
  </si>
  <si>
    <t>96.5%</t>
  </si>
  <si>
    <t>GROUP SERVICE REGIONAL SAN JORGE</t>
  </si>
  <si>
    <t>GRANERO EL GRANO DE ORO</t>
  </si>
  <si>
    <t>DECOMISO Y DESTRUCCION DE PRODUCTOS</t>
  </si>
  <si>
    <t>CL 11 A CR 6</t>
  </si>
  <si>
    <t>SUPERTIENDAS OLIMPICA 318</t>
  </si>
  <si>
    <t>DESNATURALIZACION Y DESTRUCCION DE PRODUCTOS</t>
  </si>
  <si>
    <t>SUPERTIENDA Y DROGUERIA OLIMPICA SAS</t>
  </si>
  <si>
    <t>SUSPENSION TOTAL DE TRABAJOS O SERVICIOS AREA DE PANADERIA</t>
  </si>
  <si>
    <t>ÉXITO TOLU</t>
  </si>
  <si>
    <t>CARLOS MARIO GIRALDO</t>
  </si>
  <si>
    <t>CL 15 # 2-48 LC 1</t>
  </si>
  <si>
    <t>NJUDICIALES@GRUPO-ÉXITO.COM</t>
  </si>
  <si>
    <t>EXPENDIO DE CARNE ÉXITO</t>
  </si>
  <si>
    <t>TIENDA ARA 0266</t>
  </si>
  <si>
    <t>CR 20 # 23-41</t>
  </si>
  <si>
    <t>CDI 12 DE OCTUBRE</t>
  </si>
  <si>
    <t>CR 24 CALLE 27 #10</t>
  </si>
  <si>
    <t>CR 14 C CL 27 A -05</t>
  </si>
  <si>
    <t>CR 20 # 25 -102</t>
  </si>
  <si>
    <t>STO 319 EXPENDIO DE CARNES</t>
  </si>
  <si>
    <t>DESTRUCCION Y DECOMISO DE PRODUCTOS</t>
  </si>
  <si>
    <t>SUSPENSIONTOTAL DE TRABAJOS O SERVICIOS</t>
  </si>
  <si>
    <t>DESNATURALIZACION Y DESTRUCCION D EPRODUCTOS</t>
  </si>
  <si>
    <t>ALEX03CASTROS@GMAIL.COM</t>
  </si>
  <si>
    <t>CL 32 25 45</t>
  </si>
  <si>
    <t>YOELAZ091@GMAIL.COM</t>
  </si>
  <si>
    <t>JERONMO MARTINS COLOMBIA SAS</t>
  </si>
  <si>
    <t>TIENDA ARA 0272</t>
  </si>
  <si>
    <t>CR 11 # 8-24</t>
  </si>
  <si>
    <t>CR 11 5-81</t>
  </si>
  <si>
    <t>95.25%</t>
  </si>
  <si>
    <t>CENTRO DE VIDA BUENA VIDA</t>
  </si>
  <si>
    <t>DESNATURALIZACION DE EPRODUCTOS</t>
  </si>
  <si>
    <t>BEBIDAS DEL CARIBE</t>
  </si>
  <si>
    <t>FUNDACION VENGA A MI Y DESCANSEN</t>
  </si>
  <si>
    <t>CENTRO DE VIDA JERUSALEM</t>
  </si>
  <si>
    <t>GABRIEL ANTONIO MEDRANO TAPIA</t>
  </si>
  <si>
    <t>FINCA ESTAMBUL</t>
  </si>
  <si>
    <t>FUNVEAMYDES2008QHOTMAIL.COM</t>
  </si>
  <si>
    <t>PEDRO MANUEL DE CASTRO SOARES DOS SANTOS</t>
  </si>
  <si>
    <t>CL 5 # 19-28</t>
  </si>
  <si>
    <t>NOTIFICACIONES.JUDICIALES@JERONIMO-MARTINS.COM</t>
  </si>
  <si>
    <t>CRISTIAN VBABLER FONT</t>
  </si>
  <si>
    <t>96.75%</t>
  </si>
  <si>
    <t>ALIMENTA SAS</t>
  </si>
  <si>
    <t>ALIMENTA LOGISTICA QUE NUTRE</t>
  </si>
  <si>
    <t>CL 9 A # 9-45</t>
  </si>
  <si>
    <t>ENSAMBLE DE ALIEMNTOS</t>
  </si>
  <si>
    <t>LUIS ROJAS/EDINSON MARTINEZ</t>
  </si>
  <si>
    <t>CONSORCIO PERSONA MAYOR SAN MARCOS 2025</t>
  </si>
  <si>
    <t>MARIANA ARRIETA AGUAS</t>
  </si>
  <si>
    <t>CR 15 18-15</t>
  </si>
  <si>
    <t>FUNRENESVID@GMAIL.COM</t>
  </si>
  <si>
    <t>CENTRO DE VIDA DEJANDO HUELLAS</t>
  </si>
  <si>
    <t>ASOCIACION GESTORA Y ASESORA PARA EL DESARROLLO SOCIAL</t>
  </si>
  <si>
    <t>CENTRO DE ACOPIO 1 SAMPUES</t>
  </si>
  <si>
    <t>EVIANA ROSA RAMIREZ DAVILA</t>
  </si>
  <si>
    <t xml:space="preserve">CL 24 # 18-4 B </t>
  </si>
  <si>
    <t>ASENDEMOS2014@GMAIL.COM</t>
  </si>
  <si>
    <t>UNION TEMPORAL PERSONA MAYOR 2025</t>
  </si>
  <si>
    <t>EN EQUIPO POR NUESTROS ABUELOS</t>
  </si>
  <si>
    <t>MONICA FLOREZ PEREZ</t>
  </si>
  <si>
    <t>CORREGIMIENTO SABANALARGA</t>
  </si>
  <si>
    <t>UTPERSONAMAYORSAMPUES2025@GMAIL.COM</t>
  </si>
  <si>
    <t>ADRIAN MORALES</t>
  </si>
  <si>
    <t>ASOCIACION DE PADRES DE FAMILIA DE LOS HOFARES COMUNITARIOS DE GALERAS N| 3</t>
  </si>
  <si>
    <t>JARDIN COMUNITARIO TIERRA DE COLORES</t>
  </si>
  <si>
    <t>INSTITUCION EDUCATIVA ISMAEL CONTRERAS MENESES - SEDE GOLFO DE MORROSQUILLO</t>
  </si>
  <si>
    <t xml:space="preserve">INSTITUCION EDUCATIVA ISMAEL CONTRERAS MENESES - SEDE PRINCIPAL </t>
  </si>
  <si>
    <t>CR 2 CL 2-64</t>
  </si>
  <si>
    <t>INSTITUCION EDUCATIVA TECNICA PIO XII SEDE BELLA VISTA</t>
  </si>
  <si>
    <t>CR 3 2-128</t>
  </si>
  <si>
    <t>ADRIAN MORALES/VICTOR CERRO</t>
  </si>
  <si>
    <t>MARBELLA ZAFARI BEACH COVEÑAS S.A.S</t>
  </si>
  <si>
    <t>JADER MIGUEL RAMIREZ ESPITIA</t>
  </si>
  <si>
    <t>CL 5 CR 15-174</t>
  </si>
  <si>
    <t>MARBELHA.SAFARIBEACH@GMAIL.COM</t>
  </si>
  <si>
    <t>FUNDACION CON LUZ VERDE</t>
  </si>
  <si>
    <t>CENTRO DE VIDA NUESTRA SEÑORA DE FATIMA</t>
  </si>
  <si>
    <t>ALVARO ENRIQUE HERNANDEZ PEREZ</t>
  </si>
  <si>
    <t>CL 7 N° 5-6</t>
  </si>
  <si>
    <t>CENTRODEVIDAPALMITO@GMAIL.COM</t>
  </si>
  <si>
    <t>INSTITUCION EDUCATIVA HERIBERTO GARCIA GARRIDO</t>
  </si>
  <si>
    <t xml:space="preserve">YOELIS SUSANA PERALTA BURGOS </t>
  </si>
  <si>
    <t>DG 6 CL 2B</t>
  </si>
  <si>
    <t>SAN JUAN DE BETULIA</t>
  </si>
  <si>
    <t xml:space="preserve">RESTAURANTE DONDE LIBIA </t>
  </si>
  <si>
    <t>FOGON Y SAZON</t>
  </si>
  <si>
    <t>HELADERIA REAL</t>
  </si>
  <si>
    <t>TIENDA MERCA YA</t>
  </si>
  <si>
    <t>ASOCABRERO HOGAR MI JARDINCITO</t>
  </si>
  <si>
    <t>ESTADERO LOS SABANALES DONDE LAURA</t>
  </si>
  <si>
    <t xml:space="preserve">AUTOSERVICIO BETULIA </t>
  </si>
  <si>
    <t>RESTAURANTE BLANCO Y NEGRO</t>
  </si>
  <si>
    <t xml:space="preserve">TIENDA Y HELADERIA DELEITE </t>
  </si>
  <si>
    <t>GRANERO Y LEGUMBRES BETULIA</t>
  </si>
  <si>
    <t xml:space="preserve"> TIENDA ARA 0907</t>
  </si>
  <si>
    <t xml:space="preserve">MERCA TODO TIENDA </t>
  </si>
  <si>
    <t>TIENDA MIXTA EL CAMPO</t>
  </si>
  <si>
    <t xml:space="preserve">RESTAURANTE Y HELADERIA CAPRI </t>
  </si>
  <si>
    <t xml:space="preserve">EL FUTURO DE LOS NIÑOS </t>
  </si>
  <si>
    <t>HOGAR DE BIENESTAR MI CASITA</t>
  </si>
  <si>
    <t>HOGAR DE BIENESTAR MI DIVINO NIÑO</t>
  </si>
  <si>
    <t>CDI LOS  CAMPANOS</t>
  </si>
  <si>
    <t>BILLARES EL VOLCAN</t>
  </si>
  <si>
    <t>ASOMEGA S.A.S</t>
  </si>
  <si>
    <t xml:space="preserve">LIBIA ANGEL VERGARA </t>
  </si>
  <si>
    <t xml:space="preserve">MARIA QUIROZ MENDOZA </t>
  </si>
  <si>
    <t>INES MARIA ORTEGA</t>
  </si>
  <si>
    <t>DARY LUZ ACOSTA VERGARA</t>
  </si>
  <si>
    <t>IVAN ANDRES HERAZO</t>
  </si>
  <si>
    <t>RAMIRO CHAMORRO SALCEDO</t>
  </si>
  <si>
    <t>DUVIS HERNANDEZ</t>
  </si>
  <si>
    <t xml:space="preserve">CARLOS GOMEZ ALZATE </t>
  </si>
  <si>
    <t>MILENIS GOMEZ</t>
  </si>
  <si>
    <t>SOL BARRIOS ALVAREZ</t>
  </si>
  <si>
    <t>ROCIRIS ACOSTA</t>
  </si>
  <si>
    <t>JERONIMO MARTINS COLOMBIA S.A.S</t>
  </si>
  <si>
    <t xml:space="preserve">IVAN ALVAREZ HERAZO </t>
  </si>
  <si>
    <t>SILVIO HOYOS RAMIREZ</t>
  </si>
  <si>
    <t xml:space="preserve">ENA ACOSTA ASCENCIO </t>
  </si>
  <si>
    <t xml:space="preserve">ANA MARCELA HOYOS ACOSTA </t>
  </si>
  <si>
    <t xml:space="preserve">MARIA ORTEGA LARA </t>
  </si>
  <si>
    <t>RAMIRO CHAMORRO</t>
  </si>
  <si>
    <t>ELVIRA ALVAREZ MERCADO</t>
  </si>
  <si>
    <t>NELLY GALLEGO</t>
  </si>
  <si>
    <t>901219075-2</t>
  </si>
  <si>
    <t xml:space="preserve">CALLE 5 CR 5 </t>
  </si>
  <si>
    <t>DG 31 10B-9</t>
  </si>
  <si>
    <t>CALLE 6 # 9-04</t>
  </si>
  <si>
    <t>CALLE 4 # 8-83</t>
  </si>
  <si>
    <t xml:space="preserve">CALLE 3 # 2A- 94 PLAYON </t>
  </si>
  <si>
    <t>CR 6 # 2-8</t>
  </si>
  <si>
    <t>CR 1 # 1-19</t>
  </si>
  <si>
    <t>CALLE 3 # 4-18</t>
  </si>
  <si>
    <t>CALLE 6 # 6A-26</t>
  </si>
  <si>
    <t>CR 9 # 4-25 BARRIO MALAMBITO</t>
  </si>
  <si>
    <t>DIAG 3 # 10-58 BARRIO LA PAZ</t>
  </si>
  <si>
    <t>DIAG 5 CR 6</t>
  </si>
  <si>
    <t>CALLE 6 # 6A-13</t>
  </si>
  <si>
    <t>CALLE 6 # 7-24</t>
  </si>
  <si>
    <t>CALLE 7 # 2-30</t>
  </si>
  <si>
    <t>CALLE 6 # 6-9</t>
  </si>
  <si>
    <t>CALLE 5 # 5-9</t>
  </si>
  <si>
    <t>CALLE 6A CR 9A -43</t>
  </si>
  <si>
    <t>CORREGIMIENTO LOMA ALTA</t>
  </si>
  <si>
    <t>CLL 8 CR 7-39</t>
  </si>
  <si>
    <t>CALLE 3 CRA 3 41</t>
  </si>
  <si>
    <t>DG 56 17 CENTRO</t>
  </si>
  <si>
    <t>GRANEROBETULIA_CARLOS@HOTMAIL.COM</t>
  </si>
  <si>
    <t>JORGE.ARANGO@JERONIMO-MARTINS.COM</t>
  </si>
  <si>
    <t>MELANISMERCADO8@GMAIL.COM</t>
  </si>
  <si>
    <t>PREPARACION DE ALIMENTOS</t>
  </si>
  <si>
    <t xml:space="preserve">MEDIO </t>
  </si>
  <si>
    <t xml:space="preserve">OVEJAS </t>
  </si>
  <si>
    <t>PIÑATERIA CONFITERIA HELADERIA CENTRAL</t>
  </si>
  <si>
    <t>PAISA PLUS AUTOSERVICIO</t>
  </si>
  <si>
    <t xml:space="preserve">PANADERIA JUANDI PAN </t>
  </si>
  <si>
    <t>DEPOSITO EL REGRESO M.C</t>
  </si>
  <si>
    <t>TIENDA DONDE MARIO</t>
  </si>
  <si>
    <t xml:space="preserve">CDI HOGAR INFANTIL SAN FRANCISCO </t>
  </si>
  <si>
    <t>CDI MILAGRO DE VIDA</t>
  </si>
  <si>
    <t xml:space="preserve">CLUB LA BLOQUERA </t>
  </si>
  <si>
    <t xml:space="preserve">URBAN BEER L.A. OVEJAS </t>
  </si>
  <si>
    <t xml:space="preserve">IBIZA BAR </t>
  </si>
  <si>
    <t xml:space="preserve">LICORES SANTA RITA </t>
  </si>
  <si>
    <t xml:space="preserve">KIOSKO LA GRAN PARADA </t>
  </si>
  <si>
    <t>FRUTAS Y VERDURAS CINDY</t>
  </si>
  <si>
    <t xml:space="preserve">KIOSKO EL CONDUCTOR </t>
  </si>
  <si>
    <t>SURTIDORA OVEJAS</t>
  </si>
  <si>
    <t>TIENDAS ARA 0139</t>
  </si>
  <si>
    <t xml:space="preserve">LLANERA LA IMPERIAL </t>
  </si>
  <si>
    <t xml:space="preserve">TIENDA YINETH OVEJAS </t>
  </si>
  <si>
    <t xml:space="preserve">CAFETERIA DANNA </t>
  </si>
  <si>
    <t xml:space="preserve">BILLARES Y ESTADERO RATON BORRACHO </t>
  </si>
  <si>
    <t xml:space="preserve">CDI CRECIENDO FELIZ SEDE FLOR DEL MONTE </t>
  </si>
  <si>
    <t xml:space="preserve">CDI CRECIENDO FELIZ SEDE LA PEÑA </t>
  </si>
  <si>
    <t>DELI POLLO</t>
  </si>
  <si>
    <t xml:space="preserve">BILLARES OLIMPICA DE OVEJAS </t>
  </si>
  <si>
    <t>RESTAURANTE CAFETERIA DONDE TERE</t>
  </si>
  <si>
    <t>RESTAURANTE LA MONA</t>
  </si>
  <si>
    <t xml:space="preserve">KIOSKO LA BENDICION DE DIOS </t>
  </si>
  <si>
    <t>INVERSIONES RACF</t>
  </si>
  <si>
    <t>VALHALLA CLUB DE BILLARES</t>
  </si>
  <si>
    <t>ESTADERO TERRAZA PARRANDERA LA 17</t>
  </si>
  <si>
    <t>YOLIMA GARCIA ORTEGA</t>
  </si>
  <si>
    <t xml:space="preserve">REINALDO DE JESUS SALAZAR </t>
  </si>
  <si>
    <t xml:space="preserve">RAMIRO PEREZ ACOSTA </t>
  </si>
  <si>
    <t xml:space="preserve">PEDRO PABLO CASTILLA HERNANDEZ </t>
  </si>
  <si>
    <t xml:space="preserve">PATRICIA MARGARITA DIAZ BARRIO </t>
  </si>
  <si>
    <t>MARIO VILORIA MONTES</t>
  </si>
  <si>
    <t xml:space="preserve">LUIS FRANCISCO ESTRADA </t>
  </si>
  <si>
    <t xml:space="preserve">LUIS EDUARDO MENDOZA </t>
  </si>
  <si>
    <t xml:space="preserve">LUIS ALFREDO BUELVAS </t>
  </si>
  <si>
    <t>JUVENAL MUÑOZ</t>
  </si>
  <si>
    <t xml:space="preserve">JULIO CESAR JULIO VASQUEZ </t>
  </si>
  <si>
    <t>JULIO BELTRAN BARRO</t>
  </si>
  <si>
    <t xml:space="preserve">JULIA BARBOZA GUTIERREZ </t>
  </si>
  <si>
    <t>JHON JAIRO DUQUE</t>
  </si>
  <si>
    <t xml:space="preserve">JAIDER JOSE CHIMA MENDOZA </t>
  </si>
  <si>
    <t xml:space="preserve">HEREDY MERCADO MUÑOZ </t>
  </si>
  <si>
    <t xml:space="preserve">HELEN VASQUEZ PEREZ </t>
  </si>
  <si>
    <t xml:space="preserve">HECTOR JOSE GARCIA </t>
  </si>
  <si>
    <t>GABRIEL BERMUDEZ</t>
  </si>
  <si>
    <t>FRANCISCA ISABEL MONTES PEREZ</t>
  </si>
  <si>
    <t xml:space="preserve">CLAUDIA ESTHER RUBIO LOPEZ </t>
  </si>
  <si>
    <t xml:space="preserve">CARMEN ELENA PEREZ CHAMORRO </t>
  </si>
  <si>
    <t xml:space="preserve">ALBERTO GARAVITO VILLALBA </t>
  </si>
  <si>
    <t>JAVIER DAVID HERMOSILLA TORRES</t>
  </si>
  <si>
    <t>RUDIS PATRICIA CARDENAS</t>
  </si>
  <si>
    <t>CR 15 # 31-23</t>
  </si>
  <si>
    <t>CR 16 # 24-25</t>
  </si>
  <si>
    <t>CALLE 22 DIAG 22-73</t>
  </si>
  <si>
    <t>CR 16 # 21-51</t>
  </si>
  <si>
    <t>22897276-5</t>
  </si>
  <si>
    <t>CRA 16 CALLE 20 ESQUINA</t>
  </si>
  <si>
    <t>CR 15 #15-128</t>
  </si>
  <si>
    <t>CLL 31 CR 17A-28</t>
  </si>
  <si>
    <t>CALLE 22 # 22-98</t>
  </si>
  <si>
    <t>CLL 30B 16-24</t>
  </si>
  <si>
    <t>DG 13 CALLE 11A-124</t>
  </si>
  <si>
    <t>TRANS 29B 64</t>
  </si>
  <si>
    <t>CR 17 # 31-17</t>
  </si>
  <si>
    <t>CR 15 # 19-59</t>
  </si>
  <si>
    <t>CR 17 # 26-27</t>
  </si>
  <si>
    <t>CALLE 25 # 7A-94</t>
  </si>
  <si>
    <t>CR 16 # 24-124</t>
  </si>
  <si>
    <t>CR 23 # 23-49</t>
  </si>
  <si>
    <t>CLL 22 DG 22-73</t>
  </si>
  <si>
    <t>CR 20 #21-146</t>
  </si>
  <si>
    <t>CR 13 20-27</t>
  </si>
  <si>
    <t>CR 20 # 21-402</t>
  </si>
  <si>
    <t>1045022048-2</t>
  </si>
  <si>
    <t>CRA6 CLL 22-07</t>
  </si>
  <si>
    <t>CR 14 #20-25</t>
  </si>
  <si>
    <t>CRA 15 # 20-57</t>
  </si>
  <si>
    <t>CR 17 # 23-07</t>
  </si>
  <si>
    <t>CR 16 CALLE 22-25</t>
  </si>
  <si>
    <t>CR 17 # 19-08</t>
  </si>
  <si>
    <t>TR 15 CL 28-5</t>
  </si>
  <si>
    <t xml:space="preserve">CR 18 # 30C CALLE LAS FLOREZ </t>
  </si>
  <si>
    <t>CALLE 21 #15-21</t>
  </si>
  <si>
    <t>CR 15 CALLE 26B-37</t>
  </si>
  <si>
    <t>CLL 25 n5-84</t>
  </si>
  <si>
    <t>64895291-1</t>
  </si>
  <si>
    <t>CRA 17A N30</t>
  </si>
  <si>
    <t>CANYO2010@GMAIL.COM</t>
  </si>
  <si>
    <t>ELVISFELIPE@GMAIL.COM</t>
  </si>
  <si>
    <t>EMEBA318@GMAIL.COM</t>
  </si>
  <si>
    <t>NATALYET18@GMAIL.COM</t>
  </si>
  <si>
    <t>RESTAUANTE</t>
  </si>
  <si>
    <t>94.5</t>
  </si>
  <si>
    <t>89.25%</t>
  </si>
  <si>
    <t>86.75%</t>
  </si>
  <si>
    <t>93.25%</t>
  </si>
  <si>
    <t>CR 16 # 21-68</t>
  </si>
  <si>
    <t>92.75%</t>
  </si>
  <si>
    <t>TIENDA ARA 0139</t>
  </si>
  <si>
    <t>CR 15 # 20-25</t>
  </si>
  <si>
    <t>FRANCISCO.TORRES@JERONIMO-MARTINS.COM</t>
  </si>
  <si>
    <t xml:space="preserve">DESNATURALIZACION DE PRODUCTOS </t>
  </si>
  <si>
    <t>PANADERIA EDI</t>
  </si>
  <si>
    <t>DEPOSITO MAGANGUÉ</t>
  </si>
  <si>
    <t>ASOCIACION DE PADRES DE FAMILIA DEL BARRIO EL CABRERO - HOGAR COMUNITARIO LOS ENANITOS VERDES</t>
  </si>
  <si>
    <t>ASOCIACION DE PADRES DE FAMILIA DEL BARRIO EL CABRERO-HCB LOS SOLDADITOS</t>
  </si>
  <si>
    <t>HOGAR DE BIENESTAR LOS PATOS</t>
  </si>
  <si>
    <t>RESTAURANTE LUZ MARY</t>
  </si>
  <si>
    <t xml:space="preserve">HOGAR DE BIENESTAR LOS PAJARITOS </t>
  </si>
  <si>
    <t>HOGAR DE BIENESTAR LOS ANTURIOS</t>
  </si>
  <si>
    <t>TIENDA MERCATODO</t>
  </si>
  <si>
    <t>RESTAURANTE DONDE CANDE</t>
  </si>
  <si>
    <t>RESTAURANTE DELICIAS AL CARBON</t>
  </si>
  <si>
    <t>PUNTO FRIO CERO GRADO</t>
  </si>
  <si>
    <t>HOGAR DE BIENESTAR LOS CEDRITOS</t>
  </si>
  <si>
    <t>HOGAR COMUNITARIO LA PAZ</t>
  </si>
  <si>
    <t>HOGAR DE BIENESTAR CARITA FELIZ</t>
  </si>
  <si>
    <t xml:space="preserve">ESTADERO Y BILLARES EL LIDER </t>
  </si>
  <si>
    <t>KITO BURGER</t>
  </si>
  <si>
    <t>TIENDA LAS 3 B</t>
  </si>
  <si>
    <t xml:space="preserve">HOGAR DE BIENESTAR DIOS ES AMOR </t>
  </si>
  <si>
    <t>RESTAURANTE DONDE UBALDA</t>
  </si>
  <si>
    <t xml:space="preserve">HOGAR DE BIENESTAR LOS OLIVOS </t>
  </si>
  <si>
    <t>PANADERIA CRISTY</t>
  </si>
  <si>
    <t>HOGAR  DE BIENESTAR LOS ROMITAS</t>
  </si>
  <si>
    <t xml:space="preserve">RESTAURANTE DONDE FABIO </t>
  </si>
  <si>
    <t xml:space="preserve">RESTAURANTE DONDE NELLY </t>
  </si>
  <si>
    <t>HOGAR DE BIENESTAR OSITOS</t>
  </si>
  <si>
    <t xml:space="preserve">HOGAR COMUNITARIO EL LIMON </t>
  </si>
  <si>
    <t xml:space="preserve">BILLARES LA AMISTAD </t>
  </si>
  <si>
    <t>TIENDA DUBY</t>
  </si>
  <si>
    <t>TIENDA URBINA</t>
  </si>
  <si>
    <t xml:space="preserve">ASOCIACION DE PADRES DE FAMILIA BARRIO EL CABRERO-LOS PEQUEÑINES </t>
  </si>
  <si>
    <t xml:space="preserve">GRANERO LOS PAISITAS </t>
  </si>
  <si>
    <t>LA GOTA FRIA</t>
  </si>
  <si>
    <t xml:space="preserve">TIENDA LEILA </t>
  </si>
  <si>
    <t>RESTAURANTE LA ESTACION # 1</t>
  </si>
  <si>
    <t xml:space="preserve">HOGAR DE BIENESTAR EL REY </t>
  </si>
  <si>
    <t>TIENDA EL TATO</t>
  </si>
  <si>
    <t xml:space="preserve"> HCBF LA MANO DE DIOS </t>
  </si>
  <si>
    <t xml:space="preserve">HOGAR DE BIENESTAR LINDAS PERSONITAS </t>
  </si>
  <si>
    <t>RESTAURANTE DOÑA  BLANCA</t>
  </si>
  <si>
    <t xml:space="preserve">TIENDA JULIO </t>
  </si>
  <si>
    <t xml:space="preserve">ASOCIACION DE PADRES DE FAMILIA BARRIO EL CABRERO-LOS PATICOS </t>
  </si>
  <si>
    <t xml:space="preserve">TIENDA DONDE JUANCHO </t>
  </si>
  <si>
    <t>ABASTOS VILLA B</t>
  </si>
  <si>
    <t xml:space="preserve">TIENDA MAGANGUE </t>
  </si>
  <si>
    <t xml:space="preserve">RESTAURANTE DONDE CUCO </t>
  </si>
  <si>
    <t xml:space="preserve">BODEGA ASENDEMOS </t>
  </si>
  <si>
    <t>TIENDA JUNIN</t>
  </si>
  <si>
    <t xml:space="preserve">DISTRIBEBIDAS LTDA </t>
  </si>
  <si>
    <t xml:space="preserve">LA TIENDECITA </t>
  </si>
  <si>
    <t xml:space="preserve">SURTI TIENDA PLAZA NUEVA </t>
  </si>
  <si>
    <t xml:space="preserve">LIVERPOOL - 8 </t>
  </si>
  <si>
    <t xml:space="preserve">RESTAURANTE LINO </t>
  </si>
  <si>
    <t>EDILBERTO RUIZ GOMEZ</t>
  </si>
  <si>
    <t>JOSÉ MOTES LLIRENE</t>
  </si>
  <si>
    <t>MARIBEL BARRIOS ANGEL</t>
  </si>
  <si>
    <t>JESUS GREGORIO BELLO</t>
  </si>
  <si>
    <t xml:space="preserve">ENEL VANEGAS RINCON </t>
  </si>
  <si>
    <t xml:space="preserve">ARGEMIRO ANTONIO MENESES </t>
  </si>
  <si>
    <t>SIXTO GUZMAN BLANQUICETH</t>
  </si>
  <si>
    <t>MARIA UBALDA TORREZ RUZ</t>
  </si>
  <si>
    <t>CRISTINA SANCHES YEPEZ</t>
  </si>
  <si>
    <t xml:space="preserve">FABIO SALAZAR ORDOÑEZ </t>
  </si>
  <si>
    <t xml:space="preserve">ZUNILDA CANCHILA NAVARRO </t>
  </si>
  <si>
    <t xml:space="preserve">FERNANDO ALVAREZ </t>
  </si>
  <si>
    <t xml:space="preserve">DUBY ARRYO LARA </t>
  </si>
  <si>
    <t>WILIAN ORTIZ CABRALES</t>
  </si>
  <si>
    <t xml:space="preserve">ELKIN DURANDO ZAPATA </t>
  </si>
  <si>
    <t xml:space="preserve">JAIME POVEA AVILA </t>
  </si>
  <si>
    <t xml:space="preserve">LEILA AGUAS </t>
  </si>
  <si>
    <t>SILVIA OSPINO RAMOS</t>
  </si>
  <si>
    <t xml:space="preserve">MARIA SUSANA SALAS </t>
  </si>
  <si>
    <t>WILLIAM CANDELARIO JAMID BENAVIDEZ</t>
  </si>
  <si>
    <t xml:space="preserve">LUIS ENRIQUE MARTINEZ </t>
  </si>
  <si>
    <t xml:space="preserve">ESILDA CORONADO </t>
  </si>
  <si>
    <t xml:space="preserve">JULIO FIDEL MEJIA </t>
  </si>
  <si>
    <t xml:space="preserve">JUAN VILLAMIZAR AGUAS </t>
  </si>
  <si>
    <t xml:space="preserve">FERNANDO DONADO </t>
  </si>
  <si>
    <t xml:space="preserve">LICETH RIOS AGUAS </t>
  </si>
  <si>
    <t xml:space="preserve">FRANCISCO BALLESTERO AGUAS </t>
  </si>
  <si>
    <t xml:space="preserve">JAVIER JOSE AGUAS </t>
  </si>
  <si>
    <t xml:space="preserve">ROGER VERGARA </t>
  </si>
  <si>
    <t xml:space="preserve">GLEINER ALVAREZ MENDOZA </t>
  </si>
  <si>
    <t xml:space="preserve">GLEDIS MARIA GARCIA </t>
  </si>
  <si>
    <t>HARINSON GOMEZ</t>
  </si>
  <si>
    <t>LINO SALCEDO DIAZ</t>
  </si>
  <si>
    <t>BARRIO JUNIN</t>
  </si>
  <si>
    <t>9623522-5</t>
  </si>
  <si>
    <t>LA PALMA</t>
  </si>
  <si>
    <t>PUEBLO NUEVO</t>
  </si>
  <si>
    <t>CORREGIMIENTO HATO NUEVO</t>
  </si>
  <si>
    <t>901219075-5</t>
  </si>
  <si>
    <t>CORREGIMIENTO LA PALMA</t>
  </si>
  <si>
    <t>CALLE 9 BARRIO JUNIN</t>
  </si>
  <si>
    <t>SANTA LUCIA</t>
  </si>
  <si>
    <t>SAN CAYETANO</t>
  </si>
  <si>
    <t>BARRIO ZULIA</t>
  </si>
  <si>
    <t xml:space="preserve">BARRIO ZULIA </t>
  </si>
  <si>
    <t>CR 1 #4-98</t>
  </si>
  <si>
    <t>CRA 2 N19-111</t>
  </si>
  <si>
    <t>CORREGIMIENTO DE MALAMBO</t>
  </si>
  <si>
    <t>BARRIO ZULIA CRA 2</t>
  </si>
  <si>
    <t>CORREGIMIENTO SAN JOSE</t>
  </si>
  <si>
    <t>BARRIO ROMA</t>
  </si>
  <si>
    <t>CR 2 # 14-38</t>
  </si>
  <si>
    <t>CALLE LA ALBARRADA</t>
  </si>
  <si>
    <t>KR 6A 55 SUR-5</t>
  </si>
  <si>
    <t>CARRERA 6A NO 55-80</t>
  </si>
  <si>
    <t>CR 2 CALLE 11 13</t>
  </si>
  <si>
    <t>CORREGIMIENTO DE NARIÑO</t>
  </si>
  <si>
    <t>CR 1 SUR CALLE 6-70</t>
  </si>
  <si>
    <t>CR 3 # 4B-05</t>
  </si>
  <si>
    <t>CR 7 # 6-86</t>
  </si>
  <si>
    <t>BARRIO LOS ALMENDROS</t>
  </si>
  <si>
    <t xml:space="preserve">CR 2 7 DE MARZO </t>
  </si>
  <si>
    <t>CORREGIMIENTO BAZO PUREZA</t>
  </si>
  <si>
    <t>901217075-2</t>
  </si>
  <si>
    <t>CR 15 # 04 -33</t>
  </si>
  <si>
    <t>CLL LA ALBARRADA</t>
  </si>
  <si>
    <t xml:space="preserve">CR 2 BARRIO ZULIA </t>
  </si>
  <si>
    <t>CALLE 10 # 7A -44</t>
  </si>
  <si>
    <t>CARRERA 3 NO 21-01 BARRIO 7 DE MARZO</t>
  </si>
  <si>
    <t>CORREGIMIENTO DE OREGERO</t>
  </si>
  <si>
    <t>BARRIO 7 DE MARZO CARRERA 2 NO 21-77</t>
  </si>
  <si>
    <t>CALLE 8 CR 1 SUR -28</t>
  </si>
  <si>
    <t>CR 5  SUR 8B-25</t>
  </si>
  <si>
    <t>CR 6 #4-36</t>
  </si>
  <si>
    <t>CALLE 9 -11 JUNIN</t>
  </si>
  <si>
    <t xml:space="preserve">BARRIO ROMA </t>
  </si>
  <si>
    <t xml:space="preserve">BARRIO SANTA LUCIA </t>
  </si>
  <si>
    <t xml:space="preserve">PLAZA NUEVA </t>
  </si>
  <si>
    <t xml:space="preserve">URB VILLA B </t>
  </si>
  <si>
    <t>84.75%</t>
  </si>
  <si>
    <t xml:space="preserve">81.5% </t>
  </si>
  <si>
    <t>84.25%</t>
  </si>
  <si>
    <t>83.5 %</t>
  </si>
  <si>
    <t>Hogar Comunitario Sagrado corazón de Jesús No 2</t>
  </si>
  <si>
    <t xml:space="preserve">Lizeth Paola Hernández Henriquez </t>
  </si>
  <si>
    <t xml:space="preserve">Calle 34 # 29-63 </t>
  </si>
  <si>
    <t xml:space="preserve">asociacioncreamosfuturo2023@gmail.com </t>
  </si>
  <si>
    <t>85.5</t>
  </si>
  <si>
    <t xml:space="preserve">ASOCIACION DE PADRES DE FAMILIA DE LOS HOGARES DE BIENESTAR BARRIO 7 DE AGOSTO </t>
  </si>
  <si>
    <t xml:space="preserve">HOGAR COMUNITARIO NIÑO JESUS </t>
  </si>
  <si>
    <t>ANDUER RAFAEL VILLADIEGO SANTOS</t>
  </si>
  <si>
    <t>CALLE 14 # 28-44 NELSON MARTELO</t>
  </si>
  <si>
    <t>NADINAPEREZALVAREZ@GMAIL.COM</t>
  </si>
  <si>
    <t>ASOCIACION DE PADRES DE FAMILIA DE LOS HOGARES DE BIENESTAR BARRIO 7 DE AGOSTO</t>
  </si>
  <si>
    <t xml:space="preserve">CL 47 21K -05 B. DULCE NOMBRE </t>
  </si>
  <si>
    <t>ASOSIETE2024@GMAIL.COM</t>
  </si>
  <si>
    <t>ASOCIACION CREAMOS FUTURO</t>
  </si>
  <si>
    <t>HOGAR DE BIENESTAR MI PEQUEÑO JARDIN</t>
  </si>
  <si>
    <t>LISETH PAOLA HERNANDEZ HENRIQUEZ</t>
  </si>
  <si>
    <t>CRA 2A # 12-51 B. SAN CARLOS</t>
  </si>
  <si>
    <t xml:space="preserve">FVAVORABLE CON REQUERIMIENTOS </t>
  </si>
  <si>
    <t xml:space="preserve">EL DIVINO NIÑO </t>
  </si>
  <si>
    <t>INSTITUCION EDUCATIVA CALLEJON - SEDE PRINCIPAL</t>
  </si>
  <si>
    <t>CORREGIMIENTO CALLEJON</t>
  </si>
  <si>
    <t xml:space="preserve">INSTITUCION EDUCATIVA ANIBAL GANDARA - SEDE EL SITIO </t>
  </si>
  <si>
    <t xml:space="preserve">INSTITUCION EDUCATIVA CALLEJON - SEDE PALMITAL </t>
  </si>
  <si>
    <t>INSTUTUCION EDUCATIVA CALLEJON - SEDE GRILLO ALEGRE</t>
  </si>
  <si>
    <t>CORREGIMIENTO GRILLO ALEGRE</t>
  </si>
  <si>
    <t xml:space="preserve">CENTRO EDUCATIVO CORNETA - SEDE LAS TABLITAS </t>
  </si>
  <si>
    <t xml:space="preserve">CORREGIMIENTO LAS TABLITAS </t>
  </si>
  <si>
    <t>INSTITUCION EDUCATIVA COSTA RICA SEDE LAS CHICHAS</t>
  </si>
  <si>
    <t>INSTITUCION EDUCATIVA VICTOR ZUBIRIA SEDE ESCUELA DE NIÑAS</t>
  </si>
  <si>
    <t>INSTITUCION EDUCATIVA VICTOR ZUBIRIA  SEDE PRINCIPAL</t>
  </si>
  <si>
    <t>CR 11 5-55</t>
  </si>
  <si>
    <t>CR 11 -5 50</t>
  </si>
  <si>
    <t xml:space="preserve">INSTITUCION EDUCATIVA VICTOR ZUBIRIA - SEDE LAS CAMPESINAS </t>
  </si>
  <si>
    <t>INSTITUCION EDUCATIVA  LA CONCORDIA  - SEDE PRINCIPAL</t>
  </si>
  <si>
    <t xml:space="preserve">INSTITUCION EDCATIVA GAVALDA - SEDE PRINCIPAL </t>
  </si>
  <si>
    <t xml:space="preserve">SAN JUAN DE BETULIA </t>
  </si>
  <si>
    <t>INSTITUCION EDUCATIVA LOMA ALTA - SEDE PRINCIPAL</t>
  </si>
  <si>
    <t>INSTITUCION EDUCATIVA SABANETA - SEDE SANTO TOMAS</t>
  </si>
  <si>
    <t>VEREDA SANTO TOMAS</t>
  </si>
  <si>
    <t>INSTITUCION EDUCATIVA SABANETA - SEDE VILLA LOPEZ</t>
  </si>
  <si>
    <t>CORREGIMIENTO VILLA LOPEZ</t>
  </si>
  <si>
    <t>INSTITUCION EDUCATIVA TECNICO AGROPECUARIA DE ALBANIA - SEDE PRIMARIA</t>
  </si>
  <si>
    <t>CORREGIMIENTO DE ALBANIA</t>
  </si>
  <si>
    <t xml:space="preserve">INSTITUCION EDUCATIVA EL RINCON </t>
  </si>
  <si>
    <t>INSTUTUCION EDUCATIVA RAFAEL NUÑEZ - SEDE PRINCIPAL</t>
  </si>
  <si>
    <t>INSTITUCION EDUCATIVA PUEBLO NUEVO - SEDE PRINCIPAL</t>
  </si>
  <si>
    <t>CORREGIMIENTO PUEBLO NUEVO</t>
  </si>
  <si>
    <t>INSTITUCION EDUCATIVA SIMON BOLIVAR - SEDE PRINCIPAL</t>
  </si>
  <si>
    <t xml:space="preserve">CORREGIMIENTO LA PALMA </t>
  </si>
  <si>
    <t>CORREGIMIENTO CAMAJON</t>
  </si>
  <si>
    <t>INSTITUCION EDUCATIVA INMACULADA CONCEPCION - SEDE PRINCIPAL</t>
  </si>
  <si>
    <t xml:space="preserve">SOLICITUD OFICIAL </t>
  </si>
  <si>
    <t xml:space="preserve">VARSOVIA </t>
  </si>
  <si>
    <t>LA SIRIA</t>
  </si>
  <si>
    <t>INSTUTUCION EDUCATIVA HERIBERTO GARCIA GARRIDO - SEDE LA SIRIA</t>
  </si>
  <si>
    <t>INSTITUCION EDUCATIVA INDIGENA PUEBLECITO</t>
  </si>
  <si>
    <t>INSTITUCION EDUCATIVA INDIGENA GUAIMI</t>
  </si>
  <si>
    <t>INSTITUCION EDUCATIVA INDIGENA SAN MARTIN</t>
  </si>
  <si>
    <t>SAN MIGUEL</t>
  </si>
  <si>
    <t>CENTRO EDUCATIVO INDIGENA EL MINUTO DE DIOS</t>
  </si>
  <si>
    <t>CENTRO AZUL</t>
  </si>
  <si>
    <t>VEREDA MARIN</t>
  </si>
  <si>
    <t xml:space="preserve">VEREDA MINUTO DE EDIOS </t>
  </si>
  <si>
    <t xml:space="preserve">CENTRO EDUCATIVO INDIGENA EL MUNUTO DE DIOS </t>
  </si>
  <si>
    <t xml:space="preserve">VEREDA GUAIMARAL </t>
  </si>
  <si>
    <t>VEREDA PALMAR BRILLANTE</t>
  </si>
  <si>
    <t>CENTRO EDUCATIVO INDIGENA SAN MARTIN</t>
  </si>
  <si>
    <t>VEREDA LA GRANJA</t>
  </si>
  <si>
    <t>UT CRECIENDO JUNTOS PAE 2026</t>
  </si>
  <si>
    <t>utcreciendojuntos2026@gmail.com</t>
  </si>
  <si>
    <t>CENTRO EDUCATIVO LAS CANDELARIAS - SEDE PRINCIPAL</t>
  </si>
  <si>
    <t>UNION TEMPORAL CRECIENDO JUNTOS PAE 2026</t>
  </si>
  <si>
    <t>CL 10 N 6-13</t>
  </si>
  <si>
    <t>utccreciendojuntos2026@gmail.com</t>
  </si>
  <si>
    <t>CORREGIMIENTO TOMALA</t>
  </si>
  <si>
    <t>INSTITUCION INDIGENA  INDG SAN MARTIN DE LOBA - SEDE LA GRANJA</t>
  </si>
  <si>
    <t>LA GRANJA</t>
  </si>
  <si>
    <t xml:space="preserve">CORREGIMIENTO MORALITO </t>
  </si>
  <si>
    <t>INSTITUCION EDUCATIVA RANCHO LARGO SEDE PRINCIPAL</t>
  </si>
  <si>
    <t>INSTITUCION EDUCATIVA RANCHO LARGO SEDE CALIFORNIA</t>
  </si>
  <si>
    <t xml:space="preserve">CENTRO EDUCATIVO LOS CAMAJONES - SEDE SAN JOSE </t>
  </si>
  <si>
    <t>HOGAR DE BIENESTAR LOS TRAVIESOS</t>
  </si>
  <si>
    <t>CR 31 C # 21</t>
  </si>
  <si>
    <t>YAJAIRATORRES225@GMAIL.COM</t>
  </si>
  <si>
    <t>HOGAR DE BIENESTAR SANTA TERESITA DEL NIÑO JESUS</t>
  </si>
  <si>
    <t xml:space="preserve">HOGAR DE BIENESTAR TRAVIESO </t>
  </si>
  <si>
    <t xml:space="preserve">INSTITUCION EDUCATIVA SAN JAUN BAUTISTA - SEDE SAN VICENTE </t>
  </si>
  <si>
    <t>KATRIN EALO HERAZO</t>
  </si>
  <si>
    <t>CR 4F N° 40-07 MZ 1 LT 2</t>
  </si>
  <si>
    <t>VIGOMAR09"HOTMAIL.COM</t>
  </si>
  <si>
    <t xml:space="preserve">MZ 4 LOTE 19 </t>
  </si>
  <si>
    <t>VIVIANA DEL SOCORRO GOEZ MARTINEZ</t>
  </si>
  <si>
    <t>DORDY MARTINEZ NAVARRO</t>
  </si>
  <si>
    <t>NUEVA ESTACION</t>
  </si>
  <si>
    <t>DORDYMARTINEZ5@GMAIL.COM</t>
  </si>
  <si>
    <t xml:space="preserve">MAJAGUAL </t>
  </si>
  <si>
    <t xml:space="preserve"> ASOCIACION DE PADRES DE FAMILIA SANTUARIO CALLE NUEVA DEL MUNICIPIO DE SANTIAGO DE TOLU</t>
  </si>
  <si>
    <t>FUNDACION SOCIAL ALTAGRACIA</t>
  </si>
  <si>
    <t>KATRIN DE LAS MERCEDES EALO HERAZO</t>
  </si>
  <si>
    <t>CL 45 # 21 H -29 BARRIO SIETE DE AGOSTO</t>
  </si>
  <si>
    <t xml:space="preserve">92.5% </t>
  </si>
  <si>
    <t>CL 40 C # 40-39 BARRIO BRUSELAS</t>
  </si>
  <si>
    <t>INSTITUCION EDUCATIVA GABRIEL GARCIA MARQUEZ - SEDE OSPINA PEREZ</t>
  </si>
  <si>
    <t>CR 30 CL 28 BARRIO OSPINA PEREZ</t>
  </si>
  <si>
    <t>INSTITUCION EDUCATIVA GABRIEL GARCIA MARQUEZ - SEDE PRINCIPAL</t>
  </si>
  <si>
    <t>CR 34 # 50-251</t>
  </si>
  <si>
    <t>INSTITUCION EDUCATIVA FRANCISCO JOSE DE CALDAS  - SEDE TRES DE MARZO</t>
  </si>
  <si>
    <t xml:space="preserve">CR 22 # 12-17 BARRIO CARTAGENA DE INDIAS </t>
  </si>
  <si>
    <t>INSTITUCION EDUCATIVA FRANCISCO JOSE DE CALDAS -  SEDE ONCE DE NOVIEMBRE</t>
  </si>
  <si>
    <t>CR 26 # 11-75 BARRIO ONCE DE NOVIEMBRE</t>
  </si>
  <si>
    <t>INSTITUCION EDUCATIVA FRANCISCO JOSE DE CALDAS -SEDE MONSEÑOR</t>
  </si>
  <si>
    <t>CL 31 # 24-40 BARRIO SAN MIGUEL</t>
  </si>
  <si>
    <t xml:space="preserve">INSTITUCION EDUCATIVA. FRANCISCO JOSE DE CALDAS -  SEDE JOSEFINA </t>
  </si>
  <si>
    <t>CL 27 # 29-52  BARRIO LA JOSEFINA</t>
  </si>
  <si>
    <t>INSTITUCION EDUCATIVA FRANCISCO JOSE DE CALDAS-SEDE PRINCIPAL</t>
  </si>
  <si>
    <t>CL 27 # 29-52 A BARRIO SAN FRANCISCO</t>
  </si>
  <si>
    <t xml:space="preserve"> HOGAR DE BIENESTAR LOS PEQUEÑOS SABIOS</t>
  </si>
  <si>
    <t xml:space="preserve"> HOGAR DE BIENESTAR NIÑOS FELICES </t>
  </si>
  <si>
    <t xml:space="preserve">CL 42 # 19 B -69 BARRIO </t>
  </si>
  <si>
    <t xml:space="preserve"> INSTITUCION EDUCATIVA  PIO XII -  SEDE HIJOS DEL CHOFER</t>
  </si>
  <si>
    <t>CL 38 C # 30-08 BARRIO LAS FLORES</t>
  </si>
  <si>
    <t>INSTITUCION EDUCATIVA PIO XII  - SEDE PRINCIPAL</t>
  </si>
  <si>
    <t>CL 37 A # 29-53 BARRIO EL PARQUESITO</t>
  </si>
  <si>
    <t>INSTITUCION EDUCATIVA NORMAL SUPERIOR - SEDE PRINCIPAL</t>
  </si>
  <si>
    <t>CL 32 # 30-30</t>
  </si>
  <si>
    <t>INSTITUCION EDUCATIVA LICEO CARMELO PERCY VERGARA - SEDE HOGAR DEL NIÑO</t>
  </si>
  <si>
    <t>INSTITUCION EDUCATIVA CARMELO PERCY VERGARA - SEDE VALPARAISO</t>
  </si>
  <si>
    <t>CL 37 # 21-19</t>
  </si>
  <si>
    <t>INSTITUCION EDUCATIVA LICEO CARMELO PERCY VERGARA - SEDE IGNACIO MUÑOZ JARABA</t>
  </si>
  <si>
    <t>CL 40 A # 21 H - 10 AV CARMELO PERCY VERGARA</t>
  </si>
  <si>
    <t>INSTITUCION EDUCATIVA LICEO CARMELO PERCY - SEDE SOR MARIA ANGELICA</t>
  </si>
  <si>
    <t>CR 42 # 21 J -21 BARRIO SAN IGNACIO</t>
  </si>
  <si>
    <t xml:space="preserve">INSTITUCION EDUCATIVA  GABRIEL GARCIA MARQUEZ  - SEDE SANTA ROSA DE LIMA </t>
  </si>
  <si>
    <t>CALLE 29 # 28-28 BARRIO OSPINA PEREZ</t>
  </si>
  <si>
    <t xml:space="preserve">Liverpool Liquor Store CZU </t>
  </si>
  <si>
    <t xml:space="preserve">Deimer Acosta Álvarez </t>
  </si>
  <si>
    <t>Cra 21 No 40-15</t>
  </si>
  <si>
    <t>deimer2793@hotmail.com</t>
  </si>
  <si>
    <t>Unión Temporal Creciendo Juntos PAE 2026</t>
  </si>
  <si>
    <t>84.5</t>
  </si>
  <si>
    <t xml:space="preserve"> INSTITUCION EDUCATIVA EL MAMON - SEDE CANTA GALLO </t>
  </si>
  <si>
    <t>UTCRECIENDOJUNTOS2026@GMAIL.COM</t>
  </si>
  <si>
    <t>CALLE PRINCIPAL CORREGIMIENTO CANTAGALLO</t>
  </si>
  <si>
    <t xml:space="preserve">INSTITUCION EDUCATIVA LAS PEÑAS </t>
  </si>
  <si>
    <t>UNION TEMPORAL INDIGENA PAIP SUCRE</t>
  </si>
  <si>
    <t>YOREISY ESTEFANI BUITRAGO DOMINGUEZ</t>
  </si>
  <si>
    <t>CL 3 CR 4 N°15 CORREGIMIENTOS LAS PEÑAS</t>
  </si>
  <si>
    <t>uniontemporalindigenapaip@gmail.com</t>
  </si>
  <si>
    <t>INSTITUCION EDUCATIVA COSTA RICA - SEDE PRINCIPAL</t>
  </si>
  <si>
    <t>VEREDA COSTA RICA</t>
  </si>
  <si>
    <t>VEREDA JONEY</t>
  </si>
  <si>
    <t>89.50%</t>
  </si>
  <si>
    <t>CENTRO EDUCATIVO EL CIELO - SEDE JONEY</t>
  </si>
  <si>
    <t>64.5%</t>
  </si>
  <si>
    <t xml:space="preserve">LUIS ROJAS </t>
  </si>
  <si>
    <t>87.5</t>
  </si>
  <si>
    <t>CORREGIMIENTO SAN JOSE DE RIVERA</t>
  </si>
  <si>
    <t>ESTADERO Y ESTANCO "LA PARADA"</t>
  </si>
  <si>
    <t>CHIQUINQUIRA MACHADO RODRIGUEZ</t>
  </si>
  <si>
    <t>Cra 5 Salida a San Rafael</t>
  </si>
  <si>
    <t>chiquinquiramachado3@gmail.com</t>
  </si>
  <si>
    <t>SOLICITUD DEL INETRESADO</t>
  </si>
  <si>
    <t>LA TABERNA DE "JAPY"</t>
  </si>
  <si>
    <t>LUIS ANGEL PADILLA MENESES</t>
  </si>
  <si>
    <t xml:space="preserve">Cra 3 # 11B - 70 Sector Frente al Cementerio </t>
  </si>
  <si>
    <t>abogadoluisangelpadilla@gmail.com</t>
  </si>
  <si>
    <t>DISTRIBUIDORA "PUNTO CORONA"</t>
  </si>
  <si>
    <t>MAIRA ALEXANDRA LIZARAZO AGUAS</t>
  </si>
  <si>
    <t>Cra 3 # 11B - 50 Sector Frente al Cementerio</t>
  </si>
  <si>
    <t>linamariarondonlizarazo@gmail.com</t>
  </si>
  <si>
    <t>PROVISIONES SAN JOSÉ ROMERO 1 SAS</t>
  </si>
  <si>
    <t>ALBERTO MANUEL OSPINO CARVAJAL</t>
  </si>
  <si>
    <t>Barrio Vista Hermosa</t>
  </si>
  <si>
    <t>sanjoseprovisiones@gmail.com</t>
  </si>
  <si>
    <t>A TEMPERATURA ABIENTE</t>
  </si>
  <si>
    <t xml:space="preserve">INSTITUCIÓN EDUCATIVA TÉCNICO AGROPECUARIA DON GABRIEL </t>
  </si>
  <si>
    <t>Calle principal Don Gabriel</t>
  </si>
  <si>
    <t xml:space="preserve">INSTITUCION EDUCATIVA CANUTAL </t>
  </si>
  <si>
    <t>Calle de los estudiantes, Canutal</t>
  </si>
  <si>
    <t>TIENDA MERCALUZ</t>
  </si>
  <si>
    <t>CALLE 13 N 12 - 4 BARRIO EL COMERCIO</t>
  </si>
  <si>
    <t>68.5</t>
  </si>
  <si>
    <t>PUERTO PRINCIPAL BARRIO EL LIMON</t>
  </si>
  <si>
    <t>MARA LUZ FARRAYANS ORTEGA</t>
  </si>
  <si>
    <t>CALLE 12 N 5 - 5 BARRIO EL PUERTO</t>
  </si>
  <si>
    <t>Utecreciendojuntos2026@gmail.com</t>
  </si>
  <si>
    <t xml:space="preserve">COREGIMIENTO LOMA ALTA </t>
  </si>
  <si>
    <t>INSTITUCION EDUCATIVA SAN MARCOS - SEDE MONSEÑOR SANTOS</t>
  </si>
  <si>
    <t>Tra35 #36a/calle 25a#22H</t>
  </si>
  <si>
    <t>unicreciendojuntos2026@gmail.com</t>
  </si>
  <si>
    <t xml:space="preserve">FAVORABLE CON REQUERIMIENTOs </t>
  </si>
  <si>
    <t>Corregimiento Libertad</t>
  </si>
  <si>
    <t>utcreciendojuntospae2026@gmail.com</t>
  </si>
  <si>
    <t>DISCO BAR INSOMNIO</t>
  </si>
  <si>
    <t>JUAN JOSE PEREZ ORTEGA</t>
  </si>
  <si>
    <t xml:space="preserve">Carretera Troncal Km 4 Macajan </t>
  </si>
  <si>
    <t>macajan100@hotmail.com</t>
  </si>
  <si>
    <t>INSTITUCION EDUCATIVA INDIGENA PALMIRA</t>
  </si>
  <si>
    <t xml:space="preserve">YOREISY ESTEFANI BUITRAGO DOMÍNGUEZ </t>
  </si>
  <si>
    <t xml:space="preserve">Calle El Colegio Palmira </t>
  </si>
  <si>
    <t>UNIONTEMPORALINDIGENAPAIP@GMAIL.COM</t>
  </si>
  <si>
    <t>UNIÓN TEMPORAL INDÍGENA PAIP SUCRE 2026</t>
  </si>
  <si>
    <t>INSTITUCION EDUCATIVA VARSOVIA</t>
  </si>
  <si>
    <t>ASOCIACION DE PADRES DE FAMILIA Y OTRO</t>
  </si>
  <si>
    <t>HOGAR DE BIENESTAR LOS CARACOLES</t>
  </si>
  <si>
    <t>HOGAR DE BIENESTAR  CORAZONCITO</t>
  </si>
  <si>
    <t>ASOCIACION DE PADRES DE FAMILIA BARRIO ARRIBA Y OTROS</t>
  </si>
  <si>
    <t>HOGAR DE BIENESTAR LOS COLIBRIES</t>
  </si>
  <si>
    <t>HOGAR DE BIENESTAR NAZARET</t>
  </si>
  <si>
    <t>HOGAR DE BIENESTAR LA PEQUEÑA LULU</t>
  </si>
  <si>
    <t xml:space="preserve">HOGAR DE BIENESTAR LOS TIGRILLOS </t>
  </si>
  <si>
    <t>HOGAR DE BIENESTAR DIOS VERÁ</t>
  </si>
  <si>
    <t>HOGAR DE BIENESTAR LA ROSA</t>
  </si>
  <si>
    <t>HOGAR DE BIENESTAR LOS INOCENTES</t>
  </si>
  <si>
    <t>HOGAR DE BIENESTAR LA LLAMITA</t>
  </si>
  <si>
    <t>ASOCIACION DE MUJERES GESTORAS COMUNITARIAS DE LOS MONTES DE MARÍA MUGESCO</t>
  </si>
  <si>
    <t>HOGAR DE BINESTAR LAS MERCEDES</t>
  </si>
  <si>
    <t xml:space="preserve">HOGAR DE BIENESTAR LOS MANGLARES </t>
  </si>
  <si>
    <t>HOGAR DE BIENESTAR LOS PITIN</t>
  </si>
  <si>
    <t>HOGAR DE BIENESTAR EL CASCABEL</t>
  </si>
  <si>
    <t xml:space="preserve">HOGAR DE BIENESTAR EL FUTURO </t>
  </si>
  <si>
    <t>HOGAR DE BIENESTAR EL ENCANTO</t>
  </si>
  <si>
    <t>HOGAR DE BIENESTAR  LOS LEONCITOS</t>
  </si>
  <si>
    <t>HOGAR DE BIENESTAR EL MILAGRO</t>
  </si>
  <si>
    <t>HOGAR DE BIENESTAR LOS AMIGOS</t>
  </si>
  <si>
    <t xml:space="preserve">ASOCIACION DE PADRES DE FAMILIA BARRIO ARRIBA Y OTROS </t>
  </si>
  <si>
    <t>HOGAR DE BIENESTAR MI REINO</t>
  </si>
  <si>
    <t>FUNDACION NIÑOS DE PAZ</t>
  </si>
  <si>
    <t>INSTITUCION EDUCATIVA SAN MATEO - SEDE RUFINO ALVAREZ SALGADO</t>
  </si>
  <si>
    <t xml:space="preserve">CR 3 -26 CL 10 </t>
  </si>
  <si>
    <t xml:space="preserve">ASOCIACION DE PADRES DE FAMILIA DE LOS PROGRAMAS DE BIENESTAR DEL MUNICIPIO DE OVEJAS </t>
  </si>
  <si>
    <t>MARIA JOSE VILLADIEGO CASTILLO</t>
  </si>
  <si>
    <t>CL 5 CR 3-280 CORREGIMIENTO FLOR DEL MONTE</t>
  </si>
  <si>
    <t>APFBBFOVEJAS@GMAIL.COM</t>
  </si>
  <si>
    <t>ADRIAN MORALES/CARLOS SERPA/CARLOS ACOSTA/ARGEMIRO DIAZ</t>
  </si>
  <si>
    <t>CR 4 # 4-195 CORREGIMIENTO LA PEÑA</t>
  </si>
  <si>
    <t xml:space="preserve">INSTITUCION EDUCATIVA COSTA RICA - SEDE PROVIDENCIA </t>
  </si>
  <si>
    <t>76.5</t>
  </si>
  <si>
    <t xml:space="preserve">Vereda El Floral carretera a Palmira </t>
  </si>
  <si>
    <t>rosacazes2000@gmail.com</t>
  </si>
  <si>
    <t xml:space="preserve">INSTITUCION EDUCATIVA TECNICO AGROPECUARIA DE HATO NUEVO - SEDE VILLA NUEVA </t>
  </si>
  <si>
    <t xml:space="preserve">VEREDA VILLANUEVA </t>
  </si>
  <si>
    <t xml:space="preserve">INSTITUCION EDUCATIVA COSTA RICA - SEDE CALIFORNIA </t>
  </si>
  <si>
    <t>VEREDA CALIFORNIA</t>
  </si>
  <si>
    <t>INSTITUCION EDUCATIVA  SAN LUIS BELTRAN</t>
  </si>
  <si>
    <t>Corregimiento San Luis</t>
  </si>
  <si>
    <t>Cra 5 calle Real</t>
  </si>
  <si>
    <t>utcreciendojuntos2026@gmsil.com</t>
  </si>
  <si>
    <t xml:space="preserve">86.5% </t>
  </si>
  <si>
    <t>Calle 40 No 22-08</t>
  </si>
  <si>
    <t>angelparra875@gmail.com</t>
  </si>
  <si>
    <t>Mirley tatiana lazaro Gutiérrez</t>
  </si>
  <si>
    <t>paolaperez0714@gmail.com</t>
  </si>
  <si>
    <t>norysbeltran46@gmail.com</t>
  </si>
  <si>
    <t xml:space="preserve">HOTEL GROUP  BL - PALMA LINDA </t>
  </si>
  <si>
    <t>HOGAR DE BIENESTAR EL BUEN PASTOR</t>
  </si>
  <si>
    <t>INSTITUCION EDUCATIVA EL COROZAL - SEDE PRINCIPAL</t>
  </si>
  <si>
    <t xml:space="preserve">ASOMAJAGUAL </t>
  </si>
  <si>
    <t xml:space="preserve">HOGAR MIS CAPULLITOS </t>
  </si>
  <si>
    <t xml:space="preserve">HOGAR SAN JOSE </t>
  </si>
  <si>
    <t>HOGAR LOS INQUIETOS DE GRAMALOTICO</t>
  </si>
  <si>
    <t>CL 4 #1-26 CAYO DE LA CRUZ</t>
  </si>
  <si>
    <t>ASODAMAS Y GUAYABALITO</t>
  </si>
  <si>
    <t xml:space="preserve">HOGAR DE BIENESTAR FAMILIAR MI FANTASIA </t>
  </si>
  <si>
    <t>CENTRO EDUCATIVO LOS CAYITOS</t>
  </si>
  <si>
    <t>CENTRO EDUCATIVO EL CIELO - SEDE LOS COMUNEROS</t>
  </si>
  <si>
    <t xml:space="preserve">Vereda Desbarrancado </t>
  </si>
  <si>
    <t>CENTRO EDUCATIVO EL CIELO - SEDE NUEVO MANZANARES</t>
  </si>
  <si>
    <t>Vereda Nuevo Manzanares</t>
  </si>
  <si>
    <t>69.5</t>
  </si>
  <si>
    <t xml:space="preserve">CENTRO EDUCATIVO CHAPINERO - SEDE PRINCIPAL </t>
  </si>
  <si>
    <t>Corregimiento Chapinero</t>
  </si>
  <si>
    <t>86.5</t>
  </si>
  <si>
    <t>FAVORABLE CON REQUERIMIENTOs</t>
  </si>
  <si>
    <t>ALEJANDRO RODRIGUEZ ALFONSO</t>
  </si>
  <si>
    <t>cbacaim6@armada.mil.co</t>
  </si>
  <si>
    <t>96.5</t>
  </si>
  <si>
    <t>97.5</t>
  </si>
  <si>
    <t>ASOCIACION DE PADRES DE FAMILIAS SANTUARIO</t>
  </si>
  <si>
    <t>OLGA LUCIA PICO CEPELA</t>
  </si>
  <si>
    <t>PICOCAPELAO@GMAIL.COM</t>
  </si>
  <si>
    <t>CR 2 CL 17A - 393</t>
  </si>
  <si>
    <t>GRUPO HOTELERO BL STYLE SAS</t>
  </si>
  <si>
    <t>HOTEL KPRE COVEÑAS</t>
  </si>
  <si>
    <t>CONTABILIDAD@OLASTICGROUP.COM.CO</t>
  </si>
  <si>
    <t>UNION TEMPORAL CRECIENDO JUNTOS 2026</t>
  </si>
  <si>
    <t xml:space="preserve">CRR #4-56 BARRIO COREA </t>
  </si>
  <si>
    <t xml:space="preserve">JARDIN AGRUPADO PIMPONES DEL SABER </t>
  </si>
  <si>
    <t xml:space="preserve">CENTRO DUCATIVO PANTANITO - SEDE LA COROCERA </t>
  </si>
  <si>
    <t>VEREDA LA COROCERA</t>
  </si>
  <si>
    <t>CENTRO EDUCATIVO PANTANITO SEDE SAN JACINTO</t>
  </si>
  <si>
    <t>VEREDA JACINTO</t>
  </si>
  <si>
    <t>78.5</t>
  </si>
  <si>
    <t>Sandregalvanjimenez08@mail.com</t>
  </si>
  <si>
    <t>INSTITUCION EDUCATIVA LA  CONCEPCION - SEDE PRINCIPAL</t>
  </si>
  <si>
    <t xml:space="preserve">Cra 4 F # 38 - 69 Mz 2 </t>
  </si>
  <si>
    <t>Sara Isabel Perez Ruz</t>
  </si>
  <si>
    <t xml:space="preserve">CALLE 3 # 8-15 BARRIO SAN MARTIN </t>
  </si>
  <si>
    <t>ruzsara@gmail.com</t>
  </si>
  <si>
    <t xml:space="preserve">FABOORABLE CON REQUERIMIENTOS </t>
  </si>
  <si>
    <t xml:space="preserve">FABORABLE CON REQUERIMIENTOS </t>
  </si>
  <si>
    <t>Osiris Eleida Lozano Molina</t>
  </si>
  <si>
    <t>osirislozano27@hotmail.com</t>
  </si>
  <si>
    <t>FUNDACION JOVENES PROSUCRE</t>
  </si>
  <si>
    <t xml:space="preserve">INSTITUCION EDUCATIVA DE GUARANDA </t>
  </si>
  <si>
    <t>Yulis Paola Carriaso Bustamante</t>
  </si>
  <si>
    <t>Barrio San Pablo</t>
  </si>
  <si>
    <t>jovenesprosucre@gmail.com</t>
  </si>
  <si>
    <t>asobayotros@gmail.com</t>
  </si>
  <si>
    <t>MUJERES GESTORA COMUNITARIAS DE LOS MONTES DE MARIA "MUJESCO"</t>
  </si>
  <si>
    <t>LIZDANIS MADERA ARRIETA</t>
  </si>
  <si>
    <t>VEREDA MATA DE PITA</t>
  </si>
  <si>
    <t>casaamigasmujesco@yahoo.com</t>
  </si>
  <si>
    <t>KEYLIS TOVAR ORTEGA</t>
  </si>
  <si>
    <t>casasamigasmugesco@yahoo.com</t>
  </si>
  <si>
    <t>EDINSON MANUEL MARTINEZ CHAVEZ</t>
  </si>
  <si>
    <t>UNION TEMPORAL CRCIENDO JUNTOS PAE 2026</t>
  </si>
  <si>
    <t xml:space="preserve">MIGUEL JOSE PRASCA PAYARES </t>
  </si>
  <si>
    <t>jomoher215@gmail.com</t>
  </si>
  <si>
    <t>CINDY HERNANDEZ</t>
  </si>
  <si>
    <t>ARGEMIRO DIAZ/CARLOS SERPA</t>
  </si>
  <si>
    <t>89.5</t>
  </si>
  <si>
    <t>81.5</t>
  </si>
  <si>
    <t>91.5</t>
  </si>
  <si>
    <t>INSTITUCION EDUCATIVA EL PALMAR - SEDE VILLA COLOMBIA</t>
  </si>
  <si>
    <t>VEREDA VILLA COLOMBIA</t>
  </si>
  <si>
    <t>ANDRES SALGADO</t>
  </si>
  <si>
    <t>CENTRO EDUCATIVO EL PALMAR - SEDE PRINCIPAL</t>
  </si>
  <si>
    <t>VEREDA EL PALMAR</t>
  </si>
  <si>
    <t>82.5</t>
  </si>
  <si>
    <t xml:space="preserve">UNION TEMPORAL INDIGENA PAIP SUCRE </t>
  </si>
  <si>
    <t>Yoreisy Estefani Buitrago Dominguez</t>
  </si>
  <si>
    <t>Cr 13 # 24-100</t>
  </si>
  <si>
    <t>uniontemporalindigenapaid@gmail.com</t>
  </si>
  <si>
    <t xml:space="preserve">INSTITUCION EDCATIVA TECNICO AGROPECURIA INDIGENA ESCOBAR ARRIBA </t>
  </si>
  <si>
    <t xml:space="preserve">Yorelis y Estefany Buitrago Dominguez </t>
  </si>
  <si>
    <t xml:space="preserve">Yorelsy Estefaní Buitrago Domínguez </t>
  </si>
  <si>
    <t>CANCHA DE TEJO LA SUBASTA</t>
  </si>
  <si>
    <t xml:space="preserve">Carlos Ensuncho Matiaz </t>
  </si>
  <si>
    <t>Calle 17 # 13 A - 5</t>
  </si>
  <si>
    <t>carlosensuncho.m@gmail.com</t>
  </si>
  <si>
    <t>UNION TEMPORAL CRECIENDO JUNTOS</t>
  </si>
  <si>
    <t xml:space="preserve">INSTITUCION  DUCATIVA LA VENTURA- SEDE PRINCIPAL </t>
  </si>
  <si>
    <t xml:space="preserve">CORREGIMIENTO DE LA VENTURA </t>
  </si>
  <si>
    <t xml:space="preserve">CENTRO EDUCATIVO SAN ROQUE </t>
  </si>
  <si>
    <t xml:space="preserve">CLL 1 1-118 SAN ROQUE </t>
  </si>
  <si>
    <t>INSTITUCIÓN EDUCATIVA SABANETA SEDE PRINCIPAL</t>
  </si>
  <si>
    <t>ESTADERO Y BAR MI BESITO PREFERIDO</t>
  </si>
  <si>
    <t>KARINA PATRICIA MARTÍNEZ ARRIETA</t>
  </si>
  <si>
    <t>CARRERA 2 CALLE 7 - 35 P1 AP101 BARRIO MEDELLÍN</t>
  </si>
  <si>
    <t>Karrieta021@gmail.com</t>
  </si>
  <si>
    <t>BAR 99</t>
  </si>
  <si>
    <t>OLMOS MARTÍNEZ JULIO OLIMPO</t>
  </si>
  <si>
    <t>CALLE 8 NÚMERO 2 - 53 PLAZA DE TOROS</t>
  </si>
  <si>
    <t>pflomar-43@hotmail.com</t>
  </si>
  <si>
    <t>CENTRO RECREACIONAL LOS COCOS</t>
  </si>
  <si>
    <t>ÉMIRO JOSÉ AVILÉZ TOVAR</t>
  </si>
  <si>
    <t>CARRERA 3B CALLE 16 - 55 BARRIO MOCHILA</t>
  </si>
  <si>
    <t>avilezemiro57@gmail.com</t>
  </si>
  <si>
    <t>71.5</t>
  </si>
  <si>
    <t>XIOMARA HERAZO</t>
  </si>
  <si>
    <t>TERRAZA DE LEONOR</t>
  </si>
  <si>
    <t>ESTEFANÍA ACOSTA PATRÓN</t>
  </si>
  <si>
    <t>CALLE 6 CARRERA 8 - 25 CALLE REAL</t>
  </si>
  <si>
    <t>acostaestefania332@gmail.com</t>
  </si>
  <si>
    <t>UNION TEMPORAL  CRECIENDO JUNTOS PAE 2026</t>
  </si>
  <si>
    <t>CENTRO EUCATIVO LA QUEBRA</t>
  </si>
  <si>
    <t>LA QUEBRADA</t>
  </si>
  <si>
    <t>utcreciendojuntos2026@gimail.com</t>
  </si>
  <si>
    <t>INSTITUCION EDUCATIVA MARIA INMACULADA</t>
  </si>
  <si>
    <t>CL 22 # 14-80</t>
  </si>
  <si>
    <t>ustecreciendojuntos2026@gmail.com</t>
  </si>
  <si>
    <t xml:space="preserve">INSTITUCION EDUCATIVA TECNICO DIVERSIFICADO LAS FLORES </t>
  </si>
  <si>
    <t>Yureisy Buitrago domingez</t>
  </si>
  <si>
    <t>Corregimiento de las flores</t>
  </si>
  <si>
    <t>Uniontemporal@gmail.com</t>
  </si>
  <si>
    <t>UNION TEMPORAL CRECIENDO JUNTO PAE 2026</t>
  </si>
  <si>
    <t>UTECRECIENDOJUNTOSPAE2026@GMAIL.COM</t>
  </si>
  <si>
    <t>UTCRECIENDOJUNTOSPAE2026@GMAIL.COM</t>
  </si>
  <si>
    <t xml:space="preserve">DINASTIA PARILLA BAR </t>
  </si>
  <si>
    <t>Raul Dario Fernandez Villa</t>
  </si>
  <si>
    <t>calle 15 # 1 av la playa</t>
  </si>
  <si>
    <t>grupoinprotek@gmail.com</t>
  </si>
  <si>
    <t>INSTITUCION EDUCATIVA CAMAJON SEDE PRINCIPAL</t>
  </si>
  <si>
    <t>utceeciendojuntos@gmail.com</t>
  </si>
  <si>
    <t>ASOCIACIÓN DE PADRES DE FAMILIA SAN JOSÉ DE MAJAGUAL</t>
  </si>
  <si>
    <t>LAURA ESTELA ROYERO FERIA</t>
  </si>
  <si>
    <t>losromitasucre@gmail.com</t>
  </si>
  <si>
    <t xml:space="preserve">CORREGIMIENTO NARANJAL </t>
  </si>
  <si>
    <t>INSRITUCION EDUCATIVA MANUEL ALVAREZ SAMPAYO</t>
  </si>
  <si>
    <t xml:space="preserve">ASOCIACION GESTORA Y ASESORA PARA EL DESARROLLO SOCIAL </t>
  </si>
  <si>
    <t>HOGAR AGRUPADO LOS SUCREÑITOS</t>
  </si>
  <si>
    <t>CL 11 # 4-59</t>
  </si>
  <si>
    <t xml:space="preserve">ASOCIACIÓN DE PADRES DE FAMILIA SAN JOSÉ DE MAJAGUAL     </t>
  </si>
  <si>
    <t>JULIO CUELLO MARTINEZ</t>
  </si>
  <si>
    <t xml:space="preserve">CORREGIMIENTO BAJO GRANDE </t>
  </si>
  <si>
    <t>HOGAR DE BIENESTAR LOS PALMITOS</t>
  </si>
  <si>
    <t>CORREGIMEINTO PUEBLO NUEVO</t>
  </si>
  <si>
    <t>INSTITUCION EDUCATIVA SAN IGNACIO - SEDE PRINCIPAL</t>
  </si>
  <si>
    <t>CORREGIMENTO LA GUARIPA</t>
  </si>
  <si>
    <t xml:space="preserve"> HOGAR DE BIE BIENESTAR LOS PITUFOS </t>
  </si>
  <si>
    <t xml:space="preserve">VEREDA SAN JOSE DE CALASTRABA </t>
  </si>
  <si>
    <t>UTCRECIEBDOJUNTOS2026@GMAIL.COM</t>
  </si>
  <si>
    <t>CR 5 # 11-04</t>
  </si>
  <si>
    <t>29/02/2026</t>
  </si>
  <si>
    <t>CORREGIMIENTO DE GRANADA</t>
  </si>
  <si>
    <t>UNIÓN TEMPORAL CRECIENDO JUNTOS PAE 2026</t>
  </si>
  <si>
    <t>CARRETERA VIA  A PALMITO</t>
  </si>
  <si>
    <t>YOVANNY SIMANCAS OSUNA</t>
  </si>
  <si>
    <t>BODEGA DE ALMACENAMIENTO HERMANOS SIMANCA</t>
  </si>
  <si>
    <t>YOVANNY-1978@OUTLOOK.COM</t>
  </si>
  <si>
    <t xml:space="preserve">INSTITUCION EDUCATIVA  TECNICO AGROPECUARIO LAS PIEDRAS </t>
  </si>
  <si>
    <t>INSTITUCION EDUCATIVA INDIGENA PALMIRA - SEDE EL FLORAL</t>
  </si>
  <si>
    <t>FUNDACIÓN PARA EL DESARROLLO SOSTENIBLE DE LA REGIÓN CARIBE</t>
  </si>
  <si>
    <t>ARNOVIS ANDRÉS AMAYA PINEDO</t>
  </si>
  <si>
    <t>funregioncaribe@gmail.com</t>
  </si>
  <si>
    <t>ARNOVIS ANDRES AMAYA HERNANDEZ</t>
  </si>
  <si>
    <t>73.5</t>
  </si>
  <si>
    <t>MERLY KATIANA LÁZARO VERGARA</t>
  </si>
  <si>
    <t>CALLE 1 CRA 1 - 20 CORREGIMIENTO LA CEIBA</t>
  </si>
  <si>
    <t>asomicolombia@hotmail.com</t>
  </si>
  <si>
    <t>HOGAR MIS PEQUEÑAS TRAVESURAS</t>
  </si>
  <si>
    <t xml:space="preserve">CALLE 6 CRA 2 - 87 CORREGIMIENTO LA CEIBA </t>
  </si>
  <si>
    <t>ASOCIACIÓN CREAMOS FUTURO</t>
  </si>
  <si>
    <t>LIZETH PAOLA HERNANDEZ HENRIQUEZ</t>
  </si>
  <si>
    <t>CR 26 48A-18</t>
  </si>
  <si>
    <t>asociacioncreamosfuturo2023@gmail.com</t>
  </si>
  <si>
    <t>CL 38A N°38-05</t>
  </si>
  <si>
    <t>ASOCIACIÓN DE PADRES DE FAMILIA DE LOS HOGARES DE BIENESTAR DEL BARRIO 7 DE AGOSTO DE COROZAL SUCRE</t>
  </si>
  <si>
    <t>KR 7 CL 8-45</t>
  </si>
  <si>
    <t>asosiete2024@gmail.com</t>
  </si>
  <si>
    <t>CARNE Y/O PRODUCTOS CARNICOS COMESTIBLES</t>
  </si>
  <si>
    <t>ASOCIACIÓN CAMPESINA AGROPECUARIA MUNICIPAL DE SAN PEDRO</t>
  </si>
  <si>
    <t xml:space="preserve">BODEGA ENSAMBLE DE ALIMENTOS </t>
  </si>
  <si>
    <t>DANIELA ANDREA SANCHEZ ATENCIA</t>
  </si>
  <si>
    <t xml:space="preserve">Calle 31 # 22-3 San Miguel </t>
  </si>
  <si>
    <t>asocamagrosanpedro@gmail.com</t>
  </si>
  <si>
    <t>HOGAR DE BIENESTAR EL OSITO</t>
  </si>
  <si>
    <t>88.25</t>
  </si>
  <si>
    <t xml:space="preserve">ASOCIACIÓN DE PADRES DE FAMILIA DE HOGARES DE BIENESTAR DEL MUNICIPIO DE MAJAGUAL </t>
  </si>
  <si>
    <t>CDI TAMBORERITOS SEDE 1</t>
  </si>
  <si>
    <t>HERMEN DE JESÚS ESPITIA ORDOÑEZ</t>
  </si>
  <si>
    <t>asomajagual2020@gmail.com</t>
  </si>
  <si>
    <t>92.5</t>
  </si>
  <si>
    <t>CDI TAMBORERITOS SEDE 2</t>
  </si>
  <si>
    <t xml:space="preserve">CL 6 17-41 CALLE LAS DAMAS </t>
  </si>
  <si>
    <t>ASOCIACION DE CAMPESINOS EL SURTIDOR</t>
  </si>
  <si>
    <t>BODEGA DE ENSAMBLE ASOCIACIÓN DE CAMPESINOS EL SURTIDOR</t>
  </si>
  <si>
    <t>ROBERTO LUIS VILLEGAS CUELLO</t>
  </si>
  <si>
    <t>CL 18 #32-56</t>
  </si>
  <si>
    <t>robertoluisvillegascuello@gmail.com</t>
  </si>
  <si>
    <t>ENSAMBLE ALIMENTOS</t>
  </si>
  <si>
    <t>ASOCIACIÓN CAMPESINOS AFRODESENDIENTES DE LA MOJANA</t>
  </si>
  <si>
    <t xml:space="preserve">BODEGA DE ALMACENAMIENTO DE ALIMENTO </t>
  </si>
  <si>
    <t>MIGUEL JOSÉ PRASCA CORTEZ</t>
  </si>
  <si>
    <t>Calle 19 # 37 A - 15</t>
  </si>
  <si>
    <t>robertovillegas0013@gmail.com</t>
  </si>
  <si>
    <t>DISTRIBUIDORA CAMPESINOS DE LA MOJANA SAS</t>
  </si>
  <si>
    <t>BODEGA DE ENSAMBLE DISTRIBUIDORA CAMPESINOS DE LA MOJANA</t>
  </si>
  <si>
    <t>EVAN SANDRID CLEMENTE ZABALETA</t>
  </si>
  <si>
    <t>Cra 32 # 15 - 60</t>
  </si>
  <si>
    <t>distribuidoracampesionasas@gmail.com</t>
  </si>
  <si>
    <t>DISTRIBUIDORA Y PROVEEDORA EL BOSQUE SAS</t>
  </si>
  <si>
    <t>BODEGA ENSAMBLE DISTRIBUIDORA Y PROVEEDORA EL BOSQUE</t>
  </si>
  <si>
    <t xml:space="preserve">JUAN DAVID PRASCA VILLEGAS </t>
  </si>
  <si>
    <t>Carrera 32 # 15 -60</t>
  </si>
  <si>
    <t>distriproveedoraelbosque@gmail.com</t>
  </si>
  <si>
    <t>ASOCIACION DE PADRES DE FAMILIA DE LOS HOGARES DE BIENESTAR FAMILIAR DEL MUNUCIPIO DE SINCE</t>
  </si>
  <si>
    <t>ENSAMBLE PAQUETES</t>
  </si>
  <si>
    <t xml:space="preserve">HCBF MIS PEQUEÑAS ILUSIONES </t>
  </si>
  <si>
    <t>HOGAR DE BIENESTAR EL DIVINO NIÑO</t>
  </si>
  <si>
    <t>CL 13  8-65</t>
  </si>
  <si>
    <t xml:space="preserve"> HOGAR DE BIENESTAR MI PEQUEÑO MUNDO</t>
  </si>
  <si>
    <t>HOGAR DE BIENESTAR GOTITAS DE AMOR</t>
  </si>
  <si>
    <t xml:space="preserve"> HOGAR DE BIENESTAR MI NUEVO HOGAR</t>
  </si>
  <si>
    <t>ASOCIACION PADRES DE FAMILIA HOGARES DE BIENESTAR SINCE #1</t>
  </si>
  <si>
    <t>INSTITUCION EDUCATIVA EL MAMON - SEDE PRINCIPAL</t>
  </si>
  <si>
    <t>CALLE PRINCIPAL CORREGIMIENTO EL MAMON</t>
  </si>
  <si>
    <t xml:space="preserve">INSTITUCION EDUCATIVA TOFOME - SEDE PRINCIPAL </t>
  </si>
  <si>
    <t xml:space="preserve">INSTITUCION EDUCATIVA EL MANON - SEDE LA SOLERA </t>
  </si>
  <si>
    <t>CALLE PRINCIPAL LA SOLERA</t>
  </si>
  <si>
    <t xml:space="preserve">ASOCIACION MI COLOMBIA </t>
  </si>
  <si>
    <t>HOGAR DE BIENESTAR MI PEQUEÑA SOLEDAD</t>
  </si>
  <si>
    <t>Calle 32#28-15-2 luving mall</t>
  </si>
  <si>
    <t>Cra 21 No 52-04</t>
  </si>
  <si>
    <t>HOGAR DE BIENESTAR MI BELLO MUNDO</t>
  </si>
  <si>
    <t>Kra 26 No 11-104</t>
  </si>
  <si>
    <t>HOGAR DE BIENESTAR LOS CHIQUITINES</t>
  </si>
  <si>
    <t xml:space="preserve"> HOGAR DE BIENESTAR LOS PAYASITOS </t>
  </si>
  <si>
    <t>M2 20 LOTE 14 B. DULCE NOMBRE</t>
  </si>
  <si>
    <t>LIZET PAOLA HERNANDEZ HENRIQUEZ</t>
  </si>
  <si>
    <t>CRA 27 48A-04 B. LA PAZ</t>
  </si>
  <si>
    <t>HOGAR COMUNITARIO CORALITO DE PIEDRA</t>
  </si>
  <si>
    <t>CRA 22A #50-47 B. DULCE NOMBRE</t>
  </si>
  <si>
    <t>ZUMO E COCO BARUCH</t>
  </si>
  <si>
    <t>CL 5A 2A 26 - SECTOR LA COQUERITA</t>
  </si>
  <si>
    <t>zumoecoco15@gmai.com</t>
  </si>
  <si>
    <t>CLAUDIA ELENA TABAREZ ALVAREZ</t>
  </si>
  <si>
    <t>CL 2 # 10 - 45 - SECTOR LA ISLA</t>
  </si>
  <si>
    <t>brahyanns.0@gmail.com</t>
  </si>
  <si>
    <t>REINA LUZ ALMANZA CUY</t>
  </si>
  <si>
    <t>CL 3A CR 264 101  02</t>
  </si>
  <si>
    <t>pollorikoocovenas@gmail.com</t>
  </si>
  <si>
    <t xml:space="preserve">CENTRO EDUCATIVO PALMIRA - SEDE PRINCIPAL </t>
  </si>
  <si>
    <t xml:space="preserve">INSTITUCION EDUCATIVA SAN FRANCISCO - SEDE PRINCIPAL </t>
  </si>
  <si>
    <t xml:space="preserve">GRANJA ETNOTURISTICA EL LIMONAR SAS </t>
  </si>
  <si>
    <t xml:space="preserve">GRANJA ETNOTURISTICA EL LIMONAR </t>
  </si>
  <si>
    <t>MARTA BEATRIZ HERNANDEZ RUIZ</t>
  </si>
  <si>
    <t xml:space="preserve">Cr 1 calle 8-8 </t>
  </si>
  <si>
    <t>beatrizhr25@hotmail.com</t>
  </si>
  <si>
    <t xml:space="preserve">JORGE MARIO VERGARA </t>
  </si>
  <si>
    <t>SILVANA PATRICIA LEONEL BARRETO</t>
  </si>
  <si>
    <t>Cr 13 -14- 132</t>
  </si>
  <si>
    <t>chirvoleones1506@gmail.com</t>
  </si>
  <si>
    <t>PEOGRAMACION</t>
  </si>
  <si>
    <t>RESTAURANTE SABOR GALERANO</t>
  </si>
  <si>
    <t>GABRIEL ANTONIO MEJIA NAVARRO</t>
  </si>
  <si>
    <t>Cr 12 - 9 - 39</t>
  </si>
  <si>
    <t>gabrieljosemejia@gmail.com</t>
  </si>
  <si>
    <t>76.6</t>
  </si>
  <si>
    <t>Calle 7° # 13 - 24 Barrio Tamaguz</t>
  </si>
  <si>
    <t>Calle 1A # 11A - Bis - 24 Barrio Luz Amanda</t>
  </si>
  <si>
    <t>rosbalme2@gmail.com</t>
  </si>
  <si>
    <t xml:space="preserve">CARRERA 9 #11 A -5 LAS CANDELARIAS </t>
  </si>
  <si>
    <t>centenoseverichedianamaria@hotmail.com</t>
  </si>
  <si>
    <t>UNIÓN TEMPORAL INDIGENA PANZENU</t>
  </si>
  <si>
    <t xml:space="preserve">CALLE PRINCIPAL CORREGIMIENTO VILLA LIBIA </t>
  </si>
  <si>
    <t>ontemporalindigenapanzenu@gmail.com</t>
  </si>
  <si>
    <t>CORREGIMIENTO LA ESPERANZA</t>
  </si>
  <si>
    <t>NINFA AURORA  SIERRA MACIAS</t>
  </si>
  <si>
    <t xml:space="preserve">CALLE 7 #12-15 - BARRIO EL SILENCIO </t>
  </si>
  <si>
    <t>ninfaaurora@gmail.com</t>
  </si>
  <si>
    <t>ASOCIACIÓN DE PADRES DE FAMILIA DE LOS BARRIOS LAS DAMAS Y GUAYABALITO ASODAMAS</t>
  </si>
  <si>
    <t xml:space="preserve">JESUS HERRERA BUELVAS </t>
  </si>
  <si>
    <t>BARRIO VISTA HERMOSA</t>
  </si>
  <si>
    <t>duoselinachavez@gmail.com</t>
  </si>
  <si>
    <t>damasdeguyabalito@hotmail.com</t>
  </si>
  <si>
    <t>ingriscastropinillo263@gmail.com</t>
  </si>
  <si>
    <t xml:space="preserve">FECHA ULTIMA ANTEPENULTIMA </t>
  </si>
  <si>
    <t>FECHA PENULTIMA</t>
  </si>
  <si>
    <t xml:space="preserve">FECHA VISITA ANPENULTIMA </t>
  </si>
  <si>
    <t>ASOCIACION DE PADRES DE FAMILIA DE LOS HCB LAS DAMAS Y GUAYABALITO</t>
  </si>
  <si>
    <t>Corregimiento Centro Poblado De San Roque</t>
  </si>
  <si>
    <t>solagalvisabigael@gmail.com</t>
  </si>
  <si>
    <t>LINA PEREZ</t>
  </si>
  <si>
    <t>INSTITUCION EDUCATIVA SAN FRANCISCO</t>
  </si>
  <si>
    <t>VEREDA SAN FRANCISCO</t>
  </si>
  <si>
    <t>ASOCIACIÓN DE MADRES COMUNITARIAS DE LOS HOGARES DE BIENESTAR TADI</t>
  </si>
  <si>
    <t>ANA ALVATES MONTIEL</t>
  </si>
  <si>
    <t>olgaponce779@gmail.com</t>
  </si>
  <si>
    <t>BILLARES GUATAPURY</t>
  </si>
  <si>
    <t>Yadira Isabel Puentes Calle</t>
  </si>
  <si>
    <t>Calle 24 # 134-144</t>
  </si>
  <si>
    <t>luzelenacruz@hotmail.com</t>
  </si>
  <si>
    <t>SOLICITUD DEL INTERESAEDO</t>
  </si>
  <si>
    <t>LA BOMBA CLUB</t>
  </si>
  <si>
    <t>Luz Elena Cruz Pacheco</t>
  </si>
  <si>
    <t>Cll 24 # 13A - 144 Loc 5</t>
  </si>
  <si>
    <t>perla1593@hotmail.com</t>
  </si>
  <si>
    <t xml:space="preserve">INSTITUCION EDUCATIVA INDIGENA SABANAS DE LA NEGRA - SEDE PRINCIPAL </t>
  </si>
  <si>
    <t>CMI Sabanas De La Negra</t>
  </si>
  <si>
    <t xml:space="preserve">INSTITUCION EDUCATIVA SEGOVIA - SEDE PRINCIPAL </t>
  </si>
  <si>
    <t>ANYI LISETH TORRADO PÁEZ</t>
  </si>
  <si>
    <t xml:space="preserve">CALLE PRINCIPAL CORREGIMIENTO DE SEGOVIA </t>
  </si>
  <si>
    <t>YORELSY ESTEFANI BUITRAGO DOMÍNGUEZ</t>
  </si>
  <si>
    <t>CARMENZA PAOLA MORENO/CARLOS SERPA</t>
  </si>
  <si>
    <t>PQRS</t>
  </si>
  <si>
    <t xml:space="preserve">CENTRO EDUCATIVO INDIGENA CALLE LARGA </t>
  </si>
  <si>
    <t>Calle 11 # 11-111</t>
  </si>
  <si>
    <t>CALLE PRINCIPAL CABILDO INDIGENA LOMA DE PIEDRA</t>
  </si>
  <si>
    <t>INSTITUCIÓN EDUCATIVA TÉCNICO AGROPECUARIO INDÍGENA ESCOBAR ARRIBA SEDE EL RETIRO</t>
  </si>
  <si>
    <t xml:space="preserve">CORREGIMIENTO ESCOBAR ARRIBA EL RETIRO </t>
  </si>
  <si>
    <t xml:space="preserve">Corregimiento Mata De Caña </t>
  </si>
  <si>
    <t>SOLICITUD OFCIAL</t>
  </si>
  <si>
    <t>JOSE FLORES</t>
  </si>
  <si>
    <t>CENTRO EDUCATIVO INDIGENA CALLE LARGA - SEDE PIEDRAS BLANCAS</t>
  </si>
  <si>
    <t xml:space="preserve">CORREGIMIENTO PIEDRAS BLANCAS </t>
  </si>
  <si>
    <t xml:space="preserve">INSTUTUCION EDUCATIVA SAN FRANCISCO EL PAKY - SEDE PRINCIPAL </t>
  </si>
  <si>
    <t>INSTITUCION EDUCATIVA MATEO PEREZ</t>
  </si>
  <si>
    <t xml:space="preserve">INSTITUCION EDUCATIVA SAN FRANCISCO EL PAKY - SEDE PAN SEÑOR  </t>
  </si>
  <si>
    <t>INSTITUCION EDUCATIVA INDIGENA SAN JOSE HUERTAS CHICA - SEDE EL GUAIMARO</t>
  </si>
  <si>
    <t>CENTRO EDUCATIVO INDIGENA MEJOR ESQUINA - SEDE PRINCIPAL</t>
  </si>
  <si>
    <t>VEREDA EL MARTILLO</t>
  </si>
  <si>
    <t>INSTITUCION EDUCATIVA INDIGENA CHUPUNDUN</t>
  </si>
  <si>
    <t>UNIONTEMPPRALPAIP2024@GMAIL.COM</t>
  </si>
  <si>
    <t>ASOCIACION DE PADRES DE FAMILIA DE LOS HOGARES DE BIENESTAR DE LOS BARRIOS BOLIVAR MALAMBITO SAN JOSE LAS MOCHILAS</t>
  </si>
  <si>
    <t>HOGAR COMUNITARIO DE BIENESTAR FAMILIAR SAGRADO CORAZON DE JESUS</t>
  </si>
  <si>
    <t>ESCOBAR SOLORZANO KEYLA LUCIA</t>
  </si>
  <si>
    <t>CL 7 10 B 20 BRR LA PAZ</t>
  </si>
  <si>
    <t>asobolivar2023@gmail.com</t>
  </si>
  <si>
    <t>HOGAR DE BIENETSAR LOS PITUFOS #1</t>
  </si>
  <si>
    <t xml:space="preserve">LLANERA BRISAS DE CORDOBA </t>
  </si>
  <si>
    <t>YAQUELIN CASTRO</t>
  </si>
  <si>
    <t>yaquelincastro1983@gmail.com</t>
  </si>
  <si>
    <t>Cra23#21-50</t>
  </si>
  <si>
    <t>dadryhaha22@gmail.com</t>
  </si>
  <si>
    <t>INSTITUCION EDUCATIVA TECNICO DIVERSIFICADO LAS FLORES - SEDE  PAJARAL</t>
  </si>
  <si>
    <t>VEREDA PAJARAL</t>
  </si>
  <si>
    <t xml:space="preserve">INSTITUCION EDUCATIVA SAN JOSE - SEDE LAS CANDELARIAS </t>
  </si>
  <si>
    <t>BARRIO LAS CANDELARIAS</t>
  </si>
  <si>
    <t>utcreciendosjuntos2026@gimail.com</t>
  </si>
  <si>
    <t xml:space="preserve">FERNANDO NAVARRO </t>
  </si>
  <si>
    <t>MANABI BAR EXPRESS</t>
  </si>
  <si>
    <t xml:space="preserve">CARMEN LUZ FLOREZ LOPEZ </t>
  </si>
  <si>
    <t>Calle19#17-103</t>
  </si>
  <si>
    <t>carmenluzflorezlopez@gmail.com</t>
  </si>
  <si>
    <t>HOGAR DE BIENESTAR LOS PATICOS</t>
  </si>
  <si>
    <t>MARINELA VERGARA SOTOMAYOR</t>
  </si>
  <si>
    <t>lourdessalgado452@gmail.com</t>
  </si>
  <si>
    <t>CENTRO EDUCATIVO AGUACATE - SEDE EL CACIQUE</t>
  </si>
  <si>
    <t>VEREDA CACIQUE</t>
  </si>
  <si>
    <t>ASOCIACIÓN DE MADRES COMUNITARIAS DE LOS HOGARES DE BIENESTAR FAMILIAR</t>
  </si>
  <si>
    <t xml:space="preserve">CDI SAN PEDRO </t>
  </si>
  <si>
    <t xml:space="preserve">ANA GISELA ALVAREZ MATIEL </t>
  </si>
  <si>
    <t>ASOSAMPEDROTRADIFAMI@GMAIL.COM</t>
  </si>
  <si>
    <t xml:space="preserve">ARGEMIRO DIAZ </t>
  </si>
  <si>
    <t>HOGAR DE BIENESTAR MIS FANTASIAS</t>
  </si>
  <si>
    <t>Calle 17 #17-07</t>
  </si>
  <si>
    <t>frankgalindor@hotmail.com</t>
  </si>
  <si>
    <t xml:space="preserve">CENTRO EDUCATIVO LOS CAMAJONES - SEDE NUMANCIA </t>
  </si>
  <si>
    <t>CORREGIMIENTO NUMAMCIA</t>
  </si>
  <si>
    <t>ENTRO EUDCATIVO NUEVA ERA - SEDE EL PALMAR</t>
  </si>
  <si>
    <t>ANYI LISETH TORADO PAEZ</t>
  </si>
  <si>
    <t xml:space="preserve">VEREDA EL PALMAR </t>
  </si>
  <si>
    <t>utcreciendojuntos2026@gamil.com</t>
  </si>
  <si>
    <t>uniotemporalindigenapaip@gmail.com</t>
  </si>
  <si>
    <t>ASOCIACION DE MADRES COMUNITARIAS Y PADRES DE FAMILIA DE LA MODALIDAD FAMI MUNICIPIO</t>
  </si>
  <si>
    <t xml:space="preserve">CDI PIMPONES DE COLORES </t>
  </si>
  <si>
    <t>ANDRE CAROLINA JIMENEZ DIAZ</t>
  </si>
  <si>
    <t>CR 23 N° 21-38</t>
  </si>
  <si>
    <t>ARNOVIS ANDRES ANAYA PINEDO</t>
  </si>
  <si>
    <t>ARGEMIRO DIAZ</t>
  </si>
  <si>
    <t xml:space="preserve">INSTITUCION EDUCATIVA EL MAMON - SEDE PUMPUMA </t>
  </si>
  <si>
    <t>CALLE PRINCIPAL PUMPUMA</t>
  </si>
  <si>
    <t>INSTITUCION EDUCATIVA EL MAMON - SEDE PUEBLO BUHO</t>
  </si>
  <si>
    <t>CALLE PRINCIPAL PUEBLO BUHO</t>
  </si>
  <si>
    <t>INSTITUCION EDUCATIVA EL MAMON - SEDE CAÑO LA LATA</t>
  </si>
  <si>
    <t xml:space="preserve">CALLE P´RINCIPAL CAÑO LA LATA </t>
  </si>
  <si>
    <t>Cll 3 Cra 3A - 760</t>
  </si>
  <si>
    <t>70.5%</t>
  </si>
  <si>
    <t>RESTAURANTE Y ESTADERO LA JAULA</t>
  </si>
  <si>
    <t>INGRY BARRETO PEREZ</t>
  </si>
  <si>
    <t>Cll 3 Cra 3B # 8</t>
  </si>
  <si>
    <t>rosb437@gmail.com</t>
  </si>
  <si>
    <t>EL PALMOLIVE</t>
  </si>
  <si>
    <t>yorleidap@hotmail.com</t>
  </si>
  <si>
    <t>HOGAR DE BIENESTAR MIS PRIMERAS ILUSIONES</t>
  </si>
  <si>
    <t>Calle 32#28-15-2- living mall</t>
  </si>
  <si>
    <t>jabeto1707@gmail.com</t>
  </si>
  <si>
    <t>Jorgeliasgomezgarcia@gmail.com</t>
  </si>
  <si>
    <t xml:space="preserve">ALTOQUE </t>
  </si>
  <si>
    <t xml:space="preserve">JAIME ACOSTA MADIEGO VERGARA </t>
  </si>
  <si>
    <t>MASSER SAS</t>
  </si>
  <si>
    <t>FINCA RIO RITA LOTE 2</t>
  </si>
  <si>
    <t xml:space="preserve">ASOCIACIÓN CREAMOS FUTURO </t>
  </si>
  <si>
    <t xml:space="preserve">HOGAR COMUNITARIO MIS NIÑOS FELICES </t>
  </si>
  <si>
    <t xml:space="preserve">LIZETH PAOLA HERNÁNDEZ HENRIQUEZ </t>
  </si>
  <si>
    <t xml:space="preserve">Calle 34 No 29-63 barrio Boston </t>
  </si>
  <si>
    <t>OLGA REGINA PÉREZ GÓMEZ</t>
  </si>
  <si>
    <t>PASTELES OLGA PIÑA DE COLOMBIA</t>
  </si>
  <si>
    <t>CR 31A 39A-20</t>
  </si>
  <si>
    <t>tirsorafael25@hotmail.com</t>
  </si>
  <si>
    <t>64.5</t>
  </si>
  <si>
    <t xml:space="preserve">HOGAR COMUNITARIO ANGEL DE MI GUARDA </t>
  </si>
  <si>
    <t>CR 27D 15-75</t>
  </si>
  <si>
    <t>DANELYS LUCIA PÉREZ CONDE</t>
  </si>
  <si>
    <t>CR 26 CL 34-31</t>
  </si>
  <si>
    <t>daneprz1901@gmail.com</t>
  </si>
  <si>
    <t>66.5%</t>
  </si>
  <si>
    <t>HOGAR COMUNITARIO SEMILLAS DE PAZ</t>
  </si>
  <si>
    <t>CRA 23A #48-27 B. LA PAZ</t>
  </si>
  <si>
    <t>ASOCIACIONSIETEDEAGOSTO@HOTMAIL.COM</t>
  </si>
  <si>
    <t xml:space="preserve">JULIO DAVID CUELLO RIVERA </t>
  </si>
  <si>
    <t>juliocuello35939@gmail.com</t>
  </si>
  <si>
    <t xml:space="preserve">REMBERTO DE JESÚS DE LA OSSA LARA </t>
  </si>
  <si>
    <t>funsalsincelejo@hotmail.com</t>
  </si>
  <si>
    <t>67.5</t>
  </si>
  <si>
    <t xml:space="preserve">CAÑA FLECHA </t>
  </si>
  <si>
    <t>marbelha.safaribeach@gmail.com</t>
  </si>
  <si>
    <t xml:space="preserve">EL ROBLE </t>
  </si>
  <si>
    <t>BARBARA ROSA NOREÑA OSSA</t>
  </si>
  <si>
    <t>CL 2 #  1-545 PUERTO VIEJO</t>
  </si>
  <si>
    <t>barbaraossa304@hotmail.com</t>
  </si>
  <si>
    <t>72.5</t>
  </si>
  <si>
    <t>anaprada557@hotmail.com</t>
  </si>
  <si>
    <t xml:space="preserve">CALLE PRINCIPAL CORREGIMIENTO PALMITAL </t>
  </si>
  <si>
    <t xml:space="preserve">COMEDOR ESCOLAR INSTUTICION EDUCATIVA CALLEJON - SEDE TIERRA SANTA </t>
  </si>
  <si>
    <t xml:space="preserve">Calle Principal </t>
  </si>
  <si>
    <t>JAN CARLOS BENITEZ</t>
  </si>
  <si>
    <t>monicadiazsuarez@mail.com</t>
  </si>
  <si>
    <t>Calle 12 14 145</t>
  </si>
  <si>
    <t>cecilianavarro449@gmail.com</t>
  </si>
  <si>
    <t>domingoramosruz@gmail.com</t>
  </si>
  <si>
    <t>CR 16 #18B-54 CALLE SANTANDER</t>
  </si>
  <si>
    <t>julio_yuinis@hotmail.com</t>
  </si>
  <si>
    <t>HOGAR D EBIENESTRA MI DULCE SUEÑO</t>
  </si>
  <si>
    <t>CORREGIMIENTO CEIBA</t>
  </si>
  <si>
    <t>lauryhonoria@gmail.com</t>
  </si>
  <si>
    <t>62.5%</t>
  </si>
  <si>
    <t>FUNDACIÓN SOCIAL ALTAGRACIA</t>
  </si>
  <si>
    <t>INSTITUCIÓN EDUCATIVA FRANCISCO JOSE DE CALDAS SEDE LA JOSEFINA</t>
  </si>
  <si>
    <t>KR 18 27-63</t>
  </si>
  <si>
    <t>RESTAURANTE CONDOMINIO PUNTEPIEDRA</t>
  </si>
  <si>
    <t>ASOCIACIÓN GESTORA Y ASESORA PARA EL DESARROLLO SOCIAL</t>
  </si>
  <si>
    <t>INSTITUCION EDUCATIVA ANTONIO NARIÑO SEDE PRINCIPAL</t>
  </si>
  <si>
    <t>EIVANA RAMÍREZ DÁVILA</t>
  </si>
  <si>
    <t>Calle San Roque</t>
  </si>
  <si>
    <t>acendemos@outlouk.es</t>
  </si>
  <si>
    <t>INSTITUCION EDUCATIVA GALERAS SEDE CHIQUITÍN</t>
  </si>
  <si>
    <t>Cr 4 Gig 11 A</t>
  </si>
  <si>
    <t>INSTITUCION EDUCATIVA GALERAS SEDE DE GALILEA</t>
  </si>
  <si>
    <t xml:space="preserve">Barrio san Martin </t>
  </si>
  <si>
    <t>josemontiel@gmail.com</t>
  </si>
  <si>
    <t>wendyromero1999@gmail.com</t>
  </si>
  <si>
    <t>noregistra@gmail.com</t>
  </si>
  <si>
    <t>ASOCIACIÓN GESTORA Y ASESORA PARA EL DESARROLLO SOCIAL (ASENDEMOS)</t>
  </si>
  <si>
    <t xml:space="preserve">BODEGA ALMACENAMIENTO DE ALIMENTOS ASENDEMOS </t>
  </si>
  <si>
    <t>EVIANA ROSA RAMÍREZ DÁVILA</t>
  </si>
  <si>
    <t xml:space="preserve">CR  16 No 7-12 </t>
  </si>
  <si>
    <t>asendemos@outlook.es</t>
  </si>
  <si>
    <t xml:space="preserve">ESTADERO EL CERVECERO H.H </t>
  </si>
  <si>
    <t>noregistra@no.com</t>
  </si>
  <si>
    <t xml:space="preserve">INSTITUCION EDUCATIVA SAN JOSE - SEDE SAN VICENTE DE PAUL </t>
  </si>
  <si>
    <t>Barrio san vicente</t>
  </si>
  <si>
    <t>pintojosezambrano@gmail.com</t>
  </si>
  <si>
    <t>CR 20 # 21-470 CARRETERA TRONCAL</t>
  </si>
  <si>
    <t>CLAUDIARUBIOLOPEZ@GMAIL.COM</t>
  </si>
  <si>
    <t>WILLIAN FRANCISCO ROMERO FLOREZ</t>
  </si>
  <si>
    <t>CARRERA 20 # 33-40</t>
  </si>
  <si>
    <t>EDSOVEJAS_SAS@HOTMAIL.COM</t>
  </si>
  <si>
    <t>ASOCIACIÓN DE MADRES COMUNITARIAS DE LOS HOGARES DE BIENESTAR</t>
  </si>
  <si>
    <t>HOGAR COMUNITARIO MIS DULCES ANGELES</t>
  </si>
  <si>
    <t>ANA ALVAREZ MONTIEL</t>
  </si>
  <si>
    <t>OLGAPONCE733@GMAIL.COM</t>
  </si>
  <si>
    <t xml:space="preserve">CENTRO EDUCATIVO INDÍGENA ESCOBAR ARRIBA SEDE PRINCIPAL </t>
  </si>
  <si>
    <t xml:space="preserve">YORELSI ESTEFANI BUITRAGO DOMÍNGUEZ </t>
  </si>
  <si>
    <t xml:space="preserve">CORREGIMIENTO ESCOBAR ARRIBA </t>
  </si>
  <si>
    <t xml:space="preserve">INSTITUCIÓN EDUCATIVA INDÍGENA SAGRADO CORAZÓN DE JESÚS SEDE EL GUAIMARO </t>
  </si>
  <si>
    <t xml:space="preserve">CORREGIMIENTO EL GUAIMARO </t>
  </si>
  <si>
    <t>CORREGIMIENTO CALLE FRIA</t>
  </si>
  <si>
    <t>INSTITUCION EDUCATIVA INDÍGENA SAN JOSÉ DE HUERTAS CHICA SEDE PRINCIPAL</t>
  </si>
  <si>
    <t>COMUNIDAD INDIGENA HUERTAS CHICA</t>
  </si>
  <si>
    <t>UNIÓN TEMPORAL INDIGENA PAIP SUCRE</t>
  </si>
  <si>
    <t>CORREGIMIENTO LOS PEREZ</t>
  </si>
  <si>
    <t>COMUNIDAD INDIGENA VILLA NUEVA</t>
  </si>
  <si>
    <t xml:space="preserve">INSTITUCION EDUCATIVA LICEO CARMELO PERCY VERGARA - SEDE PRINCIPAL </t>
  </si>
  <si>
    <t>Cielo del Carmen Vergara menco</t>
  </si>
  <si>
    <t>Calle 8#13-5</t>
  </si>
  <si>
    <t xml:space="preserve">ENSAMBLE PAQUETES DE ALIMENTOS </t>
  </si>
  <si>
    <t xml:space="preserve">ENSAMBLE PAUQUETES DE ALIMENTOS </t>
  </si>
  <si>
    <t>SABOR EXPRES</t>
  </si>
  <si>
    <t xml:space="preserve">FAVIO VERGARA ARRIETA </t>
  </si>
  <si>
    <t>CR 67# 2-3</t>
  </si>
  <si>
    <t xml:space="preserve">FAVORABLE CON REQUERIMEINTOS </t>
  </si>
  <si>
    <t xml:space="preserve">ARGEMIRO DIAZ /ADRIAN MORALES </t>
  </si>
  <si>
    <t>NANCY DEL SOCORRO  DIAZ VANEGAS</t>
  </si>
  <si>
    <t>ASOCIACION DE PADRES DE FAMILIA DE LOS HOGARES COMUNITARIOS DE BIENESTAR DEL MUNICIPIO DE CAIMITO</t>
  </si>
  <si>
    <t xml:space="preserve">CDI PEQUEÑOS CREDAORES </t>
  </si>
  <si>
    <t xml:space="preserve">DANIELA GREGORIA DAVILA CARDOZO </t>
  </si>
  <si>
    <t>Calle 9 # 11 - 9</t>
  </si>
  <si>
    <t>asopadrecaimito@gmail.com</t>
  </si>
  <si>
    <t>MARLENIS ROMERO PLAZA</t>
  </si>
  <si>
    <t>Cl 13 cr 12 - 31</t>
  </si>
  <si>
    <t>evercampo1@hotmail.com</t>
  </si>
  <si>
    <t>SERGIO ANDRES DIAZ CALY</t>
  </si>
  <si>
    <t>sergiodiaz@gmail.com</t>
  </si>
  <si>
    <t>yanethdiaz083@gmail.com</t>
  </si>
  <si>
    <t xml:space="preserve">PANADERÍA DELIPAN </t>
  </si>
  <si>
    <t>VICTOR MADERA PALENCIA</t>
  </si>
  <si>
    <t>CR 4 CL 3 - 34</t>
  </si>
  <si>
    <t>MADERAVICTOR176@GMAIL.COM</t>
  </si>
  <si>
    <t>MI DIVINO NIÑO</t>
  </si>
  <si>
    <t>CHINULITO</t>
  </si>
  <si>
    <t>yarleivanega@gmail.com</t>
  </si>
  <si>
    <t xml:space="preserve">MELCY SOFIA DIAZ CONTRERAS </t>
  </si>
  <si>
    <t>PROGHRAMACION</t>
  </si>
  <si>
    <t>CENTRO EDUCATIVO DE PILETA</t>
  </si>
  <si>
    <t>CL 14 KR 26A-04</t>
  </si>
  <si>
    <t>PROGRAMACVION</t>
  </si>
  <si>
    <t xml:space="preserve">HOGAR COMUNITARIO MIS ANGELITOS </t>
  </si>
  <si>
    <t xml:space="preserve">ENCARNACION DEL ROSARIO CONTRERAS MEDINA </t>
  </si>
  <si>
    <t>CRA 26 #12-429 B. LOS ALMENDROS</t>
  </si>
  <si>
    <t>JULICASILLO12345@GMAIL.COM</t>
  </si>
  <si>
    <t>YULENA ISABEL GUERRA SALCEDO</t>
  </si>
  <si>
    <t>93.5</t>
  </si>
  <si>
    <t>95.5</t>
  </si>
  <si>
    <t>MARGARITA ROSA ARRIETA FLOREZ</t>
  </si>
  <si>
    <t>margarita1060@live.com</t>
  </si>
  <si>
    <t>ELVIRA ISABEL MARTINEZ AGUAS</t>
  </si>
  <si>
    <t>BRASAS Y SAZÓN DOÑA MATTY</t>
  </si>
  <si>
    <t>CARLOS DAVID VERGARA GUERRA</t>
  </si>
  <si>
    <t>CL 40 33-139</t>
  </si>
  <si>
    <t>URNANA</t>
  </si>
  <si>
    <t>vergaraguerracarlos@gmail.com</t>
  </si>
  <si>
    <t>CALI BRASA LA DOLOROSA</t>
  </si>
  <si>
    <t xml:space="preserve">GILBERTO CAUSIL BURGOS </t>
  </si>
  <si>
    <t>ESKINAKLIENTE PARRILLA BEER</t>
  </si>
  <si>
    <t>FERNANDO ANDRES RODELO MEZA</t>
  </si>
  <si>
    <t>CR 21 40A-24B. TENDAL</t>
  </si>
  <si>
    <t>MALUVAMEZ11@HOTMAIL.COM</t>
  </si>
  <si>
    <t xml:space="preserve">YULENA GUERRA SALCEDO </t>
  </si>
  <si>
    <t>CR 21 40A-4 B. EL TENDAL</t>
  </si>
  <si>
    <t>POLLO ARABE COROZAL</t>
  </si>
  <si>
    <t>VIVIAN FERNANDA AGUAS DORADO</t>
  </si>
  <si>
    <t>CR 26 #27-49 B. CENTRO</t>
  </si>
  <si>
    <t>ARABEPOLLO5@GMAIL.COM</t>
  </si>
  <si>
    <t>MANUEL DAVID PATERNINA CARDOZO</t>
  </si>
  <si>
    <t>CL  34 cra 35-7</t>
  </si>
  <si>
    <t>manueldpaternina@hotmail.com</t>
  </si>
  <si>
    <t xml:space="preserve">CDI LAS DELICIAS </t>
  </si>
  <si>
    <t xml:space="preserve">CARMEN JULIA BERTEL </t>
  </si>
  <si>
    <t>CL 18 # 19-20</t>
  </si>
  <si>
    <t>CARLOS SERPA/CARLOS ACOSTA/ADRIAN MORALESD</t>
  </si>
  <si>
    <t>TV 35 # 38 C -5</t>
  </si>
  <si>
    <t>CARLOS SERPA/CARLOS ACOSTA</t>
  </si>
  <si>
    <t>CLL 8 #1 - 20</t>
  </si>
  <si>
    <t>OLGA LUCIA PICO CAPELA</t>
  </si>
  <si>
    <t>LUIS CARLOS MARTINEZ HERNANDEZ</t>
  </si>
  <si>
    <t>CR 3 4B - 11 SEC. LA COQUERITA</t>
  </si>
  <si>
    <t>PROGRAQMACION</t>
  </si>
  <si>
    <t>CARLOS ACOSTA/ADRIAN MORALES/CARLOS SERPA</t>
  </si>
  <si>
    <t>Km 3 3 ENSENADA</t>
  </si>
  <si>
    <t>ROOFTOP SOLEA</t>
  </si>
  <si>
    <t>FABIAN ESTEBAN PEREZ GUERRA</t>
  </si>
  <si>
    <t>INVERSIONES Y PROYECTOS CEA SAS</t>
  </si>
  <si>
    <t xml:space="preserve">CL 15 21B 19 </t>
  </si>
  <si>
    <t>ESTEBAN2014,EP@GMAIL.COM</t>
  </si>
  <si>
    <t>JM NEGOCIOS SAS</t>
  </si>
  <si>
    <t>CALLE 4 CR 4-29 ALICANTE</t>
  </si>
  <si>
    <t>NEGOCIO.JM@GMAIL.COM</t>
  </si>
  <si>
    <t xml:space="preserve">ASADERO POLLO RIKO COVEÑAS CENTRAL </t>
  </si>
  <si>
    <t xml:space="preserve">PARADOR 24 HORAS </t>
  </si>
  <si>
    <t>ROBINSON GIRALDO</t>
  </si>
  <si>
    <t>CL 41 -25 GUAYABAL</t>
  </si>
  <si>
    <t>ROBINSONGIRALDO@GMAIL.COM</t>
  </si>
  <si>
    <t xml:space="preserve">CONSORCIO MANOS QUE NUTREN </t>
  </si>
  <si>
    <t xml:space="preserve">BODEGA ALMACENAMIENTO DE ALIMENTOS </t>
  </si>
  <si>
    <t>CR 25 # 86-29</t>
  </si>
  <si>
    <t>CONSORCIOMANOSQUENUTREN@GMAIL.COM</t>
  </si>
  <si>
    <t>ALMACENAMIENTO DE ALIMENTOS</t>
  </si>
  <si>
    <t xml:space="preserve">ALMACENAMIENTO A TEMPÉRATURA AMBIENTE </t>
  </si>
  <si>
    <t xml:space="preserve">APARTA HOTEL ISLA MAGICA </t>
  </si>
  <si>
    <t>APARTA HOTEL ACAPULCO</t>
  </si>
  <si>
    <t>GLORIA INES ROJAS</t>
  </si>
  <si>
    <t>CL 4 21-223</t>
  </si>
  <si>
    <t>YULI@SALMARYLUNA.COM</t>
  </si>
  <si>
    <t>RESTAURANTE EL LAGUITO</t>
  </si>
  <si>
    <t>INVERSIONES EL LAGUITO BURGOS SAS</t>
  </si>
  <si>
    <t>CALLE 5 # 8B -60</t>
  </si>
  <si>
    <t>UTBANA</t>
  </si>
  <si>
    <t>INVERSIONESELLAGUITOBURGOS52@GMAIL.COM</t>
  </si>
  <si>
    <t xml:space="preserve">HOTEL PALMA REAL </t>
  </si>
  <si>
    <t>JHON EDINSON ZAPATA AGUIRRE</t>
  </si>
  <si>
    <t>CL 4 # 20-160</t>
  </si>
  <si>
    <t>GERENCIAWEHOME@GMAIL.COM</t>
  </si>
  <si>
    <t>BILLARES Y ESTADERO CONTRY CLUB</t>
  </si>
  <si>
    <t>OVIS JOSE MESTRA VEGA</t>
  </si>
  <si>
    <t>CL 4  11A 220 SECTOR ISLA GALLINAZO</t>
  </si>
  <si>
    <t>OVISVEGA1989@GAMIAL.COM</t>
  </si>
  <si>
    <t>FAVORABLE CON RQUERIMIENTOS</t>
  </si>
  <si>
    <t>LA TRANQUERA BEACH SAS</t>
  </si>
  <si>
    <t xml:space="preserve">LA TRANQUERA BEACH </t>
  </si>
  <si>
    <t xml:space="preserve">VIV IER NORBEY CASTRILLON ZULUAGA </t>
  </si>
  <si>
    <t>CL 5 # 18-132</t>
  </si>
  <si>
    <t>CONTACTOQUIERNVINJAR@GMAIL.COM</t>
  </si>
  <si>
    <t>PUNTO CORONA COVEÑAS</t>
  </si>
  <si>
    <t>JULIAN ERNEY ARATECO SANCHEZ</t>
  </si>
  <si>
    <t>CL 4 CR 4 80</t>
  </si>
  <si>
    <t>JULIANERNEY@GMAIL.COM</t>
  </si>
  <si>
    <t>HOTEL COVEÑAS PALYA DIVINA SAS</t>
  </si>
  <si>
    <t>RESTAURANTE HOTEL PLAYA DIVINA</t>
  </si>
  <si>
    <t xml:space="preserve">LEON HUMBERTO ZAPATA </t>
  </si>
  <si>
    <t>RESTAURANTE HOTEL VAIA</t>
  </si>
  <si>
    <t>UNION TEMPÓRAL VAIA</t>
  </si>
  <si>
    <t>SECTOR ISLA GALLINAZO</t>
  </si>
  <si>
    <t xml:space="preserve">CENTRO EDUCATIVO LA MARTA - SEDE LA MARTA </t>
  </si>
  <si>
    <t>CENTRO EDUCATIVO ISLA GALLINAZO</t>
  </si>
  <si>
    <t>CL 2 CL 8B 4</t>
  </si>
  <si>
    <t>MAMALIRACSV@GMAIL.COM</t>
  </si>
  <si>
    <t>ROBERTO SEPULVEDA FLOREZ</t>
  </si>
  <si>
    <t xml:space="preserve">RESTAURANTE HOTEL KATHYMAR </t>
  </si>
  <si>
    <t>HECTOR OBANDO BEDOYA</t>
  </si>
  <si>
    <t>HECTOROBANDO1@HOTMAIL.COM</t>
  </si>
  <si>
    <t xml:space="preserve">CR 4-3 12 3 CORA </t>
  </si>
  <si>
    <t>nancygamarra.23@hotmail.com</t>
  </si>
  <si>
    <t>PROGRAMACIOPN</t>
  </si>
  <si>
    <t xml:space="preserve">ASOCIACION PADRES DE FAMILIA COREA DE PALO ALTO </t>
  </si>
  <si>
    <t>quirozeludith8@gmail.com</t>
  </si>
  <si>
    <t>HOGAR DE BIENESTAR MOTITAS DE ALGODÓN</t>
  </si>
  <si>
    <t>CL 37 -3</t>
  </si>
  <si>
    <t xml:space="preserve">ASOCIACION DE PADRES DE FAMILIA CORREGIMIENTO COREA DE PALO ALTO </t>
  </si>
  <si>
    <t>monicacontrerasarrieta@hotmail.com</t>
  </si>
  <si>
    <t>HOGAR DE BIENESTAR MINI</t>
  </si>
  <si>
    <t>samirmiangel968@gmail.com</t>
  </si>
  <si>
    <t>samirmontiel@gmail.com</t>
  </si>
  <si>
    <t xml:space="preserve">CLARA LUZ ATENCIA </t>
  </si>
  <si>
    <t>arteagaatenciaargenida@gmail.com</t>
  </si>
  <si>
    <t>LUISA FERNANDA RIVAS BOHORQUEZ</t>
  </si>
  <si>
    <t>Cr 16 2a 11</t>
  </si>
  <si>
    <t>LuisaFrivas20@gmail.com</t>
  </si>
  <si>
    <t xml:space="preserve">BODEGA ALMACENAMIENTO PAE </t>
  </si>
  <si>
    <t>CL 9 11 39</t>
  </si>
  <si>
    <t xml:space="preserve">ALMACENAMIENTO A TEMPERATURA AMBIENTE </t>
  </si>
  <si>
    <t xml:space="preserve">INSTITUCION EDUCATIVA SAN ROQUE - SEDE PRINCIPAL </t>
  </si>
  <si>
    <t>acendemos@outlook.es</t>
  </si>
  <si>
    <t>Cr 18 c9 19</t>
  </si>
  <si>
    <t>DON CAMARON</t>
  </si>
  <si>
    <t xml:space="preserve">Calle real </t>
  </si>
  <si>
    <t>elviaortega512@gmail.com</t>
  </si>
  <si>
    <t>Cra 3 No 5-32</t>
  </si>
  <si>
    <t>mburgos705@gmail.com</t>
  </si>
  <si>
    <t>LAUDITH BURGOS CERVANTES</t>
  </si>
  <si>
    <t>EILEN ELENA LOREO VIDES</t>
  </si>
  <si>
    <t>loreneilen@gmail.com</t>
  </si>
  <si>
    <t>RESTAURANTE TRADIZIONALE SABOR A CASA</t>
  </si>
  <si>
    <t>GRACIA ELENA PADILLA MARTINEZ</t>
  </si>
  <si>
    <t>Cra 5 # 6 - 48 Av. Nueva Granada</t>
  </si>
  <si>
    <t>martinezw2018@hotmail.com</t>
  </si>
  <si>
    <t>HABETH FRANCO YEPEZ</t>
  </si>
  <si>
    <t>Cra 4 # 4 - 113 Calle 2° del Comercio</t>
  </si>
  <si>
    <t>francocardozam@gmail.com</t>
  </si>
  <si>
    <t>MUJERES GESTORAS DE LOS MONTES DE MARIA "MUGESCO"</t>
  </si>
  <si>
    <t>roshelinmarinrodelo@gmail.com</t>
  </si>
  <si>
    <t>KELLIS TOVAR ORTEGA</t>
  </si>
  <si>
    <t>barrio brisas del rio en No 2</t>
  </si>
  <si>
    <t>menavarro26@hotmail.com</t>
  </si>
  <si>
    <t xml:space="preserve">cl 1 san vicente </t>
  </si>
  <si>
    <t>82.8</t>
  </si>
  <si>
    <t>PROPGRAMACION</t>
  </si>
  <si>
    <t>FUNDACION JOVENES PROSUCRE "FUPPROSUCRE"</t>
  </si>
  <si>
    <t>CENTRO DE VIDA SEMBRANDO AMOR PALMARITICO</t>
  </si>
  <si>
    <t>YULI PAOLA CARRIAZO BUSTAMANTE</t>
  </si>
  <si>
    <t>Urbanizacion Villa Berta Corregimiento de Palmaritico</t>
  </si>
  <si>
    <t>centrodevidapalmaritico13@gmail.com</t>
  </si>
  <si>
    <t>MUJERES GESTORAS COMUNITARIA DE LOS MONTES DE MARIA "MUGESCO"</t>
  </si>
  <si>
    <t>BAR Y ESTADERO "EL GORDITO DEL VACILE"</t>
  </si>
  <si>
    <t>Calle 3 # 5- 16 Calle Nueva Ola</t>
  </si>
  <si>
    <t>yolandamachadorodriguez8@gmail.com</t>
  </si>
  <si>
    <t xml:space="preserve">RESTAURANTE 20 DE ENERO </t>
  </si>
  <si>
    <t>8A-04 av lso estudiantes</t>
  </si>
  <si>
    <t>julioroberto20191810@gmail.com</t>
  </si>
  <si>
    <t>katherine del valle guevara ruiz</t>
  </si>
  <si>
    <t>cra 5-4 36 el comercio|</t>
  </si>
  <si>
    <t>katerineguevara450@gmail.com</t>
  </si>
  <si>
    <t>castilloespitaletamariadelcarmen@gmail.com</t>
  </si>
  <si>
    <t>JOSE JORGE RICARDO,FERNEL DE LA OSSA</t>
  </si>
  <si>
    <t>analobo30@hotmail.com</t>
  </si>
  <si>
    <t>claumar1320@gmail.com</t>
  </si>
  <si>
    <t xml:space="preserve">RESTAURANTE DONDE MARBELYS </t>
  </si>
  <si>
    <t xml:space="preserve">MARBELYS SÁNCHEZ MARTÍNEZ </t>
  </si>
  <si>
    <t xml:space="preserve">CR 12 CL 14-31 </t>
  </si>
  <si>
    <t>39275240.3</t>
  </si>
  <si>
    <t xml:space="preserve">CL 14 8A - 32 AV NUÑEZ </t>
  </si>
  <si>
    <t>nonurocardo14@gmail.com</t>
  </si>
  <si>
    <t>JOS JORGE RICARDO, FERNEL DE LA OSSA</t>
  </si>
  <si>
    <t xml:space="preserve">YULEIBIS MARIA GUERRA DIAZ </t>
  </si>
  <si>
    <t>yulguerra1990@gmail.com</t>
  </si>
  <si>
    <t>FUNDACION TEGIENDO DESARROLLO</t>
  </si>
  <si>
    <t>YANETH DEL CARMEN BLANCO ANGULO</t>
  </si>
  <si>
    <t>AV 1 # 34-50 LAS TIENDAS LOCAL 11</t>
  </si>
  <si>
    <t>funtedes@hotmail.com</t>
  </si>
  <si>
    <t>FUNDACIÓN TEGIENDO DESARROLLO</t>
  </si>
  <si>
    <t>CENTRO DE VIDA EDAD DE ORO</t>
  </si>
  <si>
    <t xml:space="preserve">CRR 12 # 21 -74 </t>
  </si>
  <si>
    <t>LUIS FERNANDO ROJAS HERAZO/LUIS ROJAS</t>
  </si>
  <si>
    <t xml:space="preserve">ASOCIACION DE PADRES DE FAMILIA DE RESTAURANTES ESCOLARES MARIA FLORES Y PUERTO DAJER </t>
  </si>
  <si>
    <t>asocfliaspuertodajer@gmail.com</t>
  </si>
  <si>
    <t>Cruz Felicia Contreras Cassiani</t>
  </si>
  <si>
    <t>Barrio Nuevo Milenio</t>
  </si>
  <si>
    <t>jaider@gmai.com</t>
  </si>
  <si>
    <t xml:space="preserve">RESTAURANTE AVENIDA DEL SABOR </t>
  </si>
  <si>
    <t xml:space="preserve">Diana González Pérez </t>
  </si>
  <si>
    <t xml:space="preserve">Calle 5 # 25 - 05 barrio el silencio </t>
  </si>
  <si>
    <t>gonzalesperez2509@gmail.com</t>
  </si>
  <si>
    <t>MAURICIO VELILLA</t>
  </si>
  <si>
    <t>reinaleguia23@gmail.com</t>
  </si>
  <si>
    <t>HOGAR DE BIENESTAR MIS ANGELITOS</t>
  </si>
  <si>
    <t>JOSE GABRIEL ARREOLA NAVARRO</t>
  </si>
  <si>
    <t>arreolayorladis@gmail.com</t>
  </si>
  <si>
    <t>ROSA ELVIRA TORRES ARRIETA</t>
  </si>
  <si>
    <t>CL 5 15-63</t>
  </si>
  <si>
    <t>rosatorre29@gmail.com</t>
  </si>
  <si>
    <t>RESTAURANTE LA PAISITA</t>
  </si>
  <si>
    <t xml:space="preserve">INSTITUCIÓN EDUCATIVA ESCUELA NORMAL SUPERIOR DE LA MOJANA SEDE PRINCIPAL </t>
  </si>
  <si>
    <t xml:space="preserve">CL 7 N. 5 - 17 barrio las delicias </t>
  </si>
  <si>
    <t xml:space="preserve">INSTITUCIÓN EDUCATIVA ESCUELA NORMAL SUPERIOR DE LA MOJANA SEDE JOSÉ GAVALDA </t>
  </si>
  <si>
    <t xml:space="preserve">Plaza principal </t>
  </si>
  <si>
    <t>ESTADERO DONDE PITO E</t>
  </si>
  <si>
    <t xml:space="preserve">MARÍA BERNARDA VILLARREAL MARTINEZ </t>
  </si>
  <si>
    <t xml:space="preserve">CL 2 barrio puerto dajer </t>
  </si>
  <si>
    <t>maribervilla@hotmail.com</t>
  </si>
  <si>
    <t>INSTITUCIÓN EDUCATIVA SAN JOSÉ SEDE CORAZÓN DE JESÚS</t>
  </si>
  <si>
    <t xml:space="preserve"> CL 6 # 16-72</t>
  </si>
  <si>
    <t>INSTITUCIÓN EDUCATIVA SAN JOSÉ SEDE PRINCIPAL</t>
  </si>
  <si>
    <t>CL 7 # 15-02</t>
  </si>
  <si>
    <t>ALEXANDER BALMACEDA HERNANDEZ</t>
  </si>
  <si>
    <t>alexanderbalmaceda@gmail.com</t>
  </si>
  <si>
    <t>PEOGRAMNACION</t>
  </si>
  <si>
    <t>CR  19 # 2B-3</t>
  </si>
  <si>
    <t>ferreiradiana394@gmail.com</t>
  </si>
  <si>
    <t>luisrosado@gmail.com</t>
  </si>
  <si>
    <t>erickquevedocerpa@gmail.com</t>
  </si>
  <si>
    <t>RESTAURANTE LA 21</t>
  </si>
  <si>
    <t xml:space="preserve">AURA ALVAREZ MARTINEZ </t>
  </si>
  <si>
    <t xml:space="preserve">Km 1 salida de San roque </t>
  </si>
  <si>
    <t>auramartinez1@gmail.com</t>
  </si>
  <si>
    <t>DISCOTECA ZACAPA</t>
  </si>
  <si>
    <t>SHAYRA MARCELA ARANGO MENA</t>
  </si>
  <si>
    <t>AV LA ESMERALDA</t>
  </si>
  <si>
    <t>wilarcasam@hotmail.com</t>
  </si>
  <si>
    <t>BILLARES HARRY</t>
  </si>
  <si>
    <t>JHARRISON RICARDO MADERA</t>
  </si>
  <si>
    <t>CL 3 # 23A-17</t>
  </si>
  <si>
    <t>harrisoncardo71@gmail.com</t>
  </si>
  <si>
    <t>ESTADERO ANKARA</t>
  </si>
  <si>
    <t>IBELIS LUZ CHAVEZ TABORDA</t>
  </si>
  <si>
    <t xml:space="preserve">CL 2 BARRIO PUERTO DAJER </t>
  </si>
  <si>
    <t>CL 5 21-32</t>
  </si>
  <si>
    <t xml:space="preserve"> CL 5 # 24-29</t>
  </si>
  <si>
    <t>STEFANY SALGADO TOVAR</t>
  </si>
  <si>
    <t>CL3-160</t>
  </si>
  <si>
    <t>MMINITEJOCACIQUE@GMAIL.COM</t>
  </si>
  <si>
    <t>ASOCIACION DE PADRES FAMILIA DE HOGAR DE BIENESTAR MORROA</t>
  </si>
  <si>
    <t>EDYTH SIERRA COLON</t>
  </si>
  <si>
    <t>CL 26 #4-49</t>
  </si>
  <si>
    <t>EDYTHSIE16@GMAIL.COM</t>
  </si>
  <si>
    <t>alimocascan@hotmail.com</t>
  </si>
  <si>
    <t>5/22/0026</t>
  </si>
  <si>
    <t>vedadominguez@gmail.com</t>
  </si>
  <si>
    <t>5/15/0026</t>
  </si>
  <si>
    <t>andria2404hus@gmail.com</t>
  </si>
  <si>
    <t>lopezher1995@gmail.com</t>
  </si>
  <si>
    <t xml:space="preserve">FUNDACIÓN INTEGRAL SEMBRANDO FUTURO </t>
  </si>
  <si>
    <t>INSTITUCIÓN EDUCATIVA CRISTÓBAL COLÓN- SEDE URBANA</t>
  </si>
  <si>
    <t xml:space="preserve">YIMMI JOSÉ GONZÁLEZ OSORIO </t>
  </si>
  <si>
    <t xml:space="preserve">Cl 12 kr SA - 16 </t>
  </si>
  <si>
    <t>funisemfu@gmail.com</t>
  </si>
  <si>
    <t xml:space="preserve">INSTITUCIÓN RADIACTIVA CRISTÓBAL COLÓN - SEDE PRINCIPAL </t>
  </si>
  <si>
    <t>Cra 7a c42 18</t>
  </si>
  <si>
    <t>BILLARES JJ POOL</t>
  </si>
  <si>
    <t xml:space="preserve">JHON JADER MERCADO SALGADO </t>
  </si>
  <si>
    <t>Cl 7 Cra 2 -22</t>
  </si>
  <si>
    <t>jhonjader818@gmail.com</t>
  </si>
  <si>
    <t>Calle 6 # 3-36</t>
  </si>
  <si>
    <t>juanmedendez@gmail.com</t>
  </si>
  <si>
    <t xml:space="preserve">CARLOS ALFONSO ROSERO </t>
  </si>
  <si>
    <t>samuelardladno@icloud.com</t>
  </si>
  <si>
    <t>DISTRIBUCIONES J &amp; E</t>
  </si>
  <si>
    <t>JAIME JAVIER RICARDO ORDOSGOITIA</t>
  </si>
  <si>
    <t xml:space="preserve">CR 16 CL 21 - 14 SEGUNDO PISO </t>
  </si>
  <si>
    <t>elisoriga28@hotmail.com</t>
  </si>
  <si>
    <t>CHUANA RESTAURANTE</t>
  </si>
  <si>
    <t>MISAEL TEJADA TOVAR</t>
  </si>
  <si>
    <t>CARRERA 18 # 33-35</t>
  </si>
  <si>
    <t>CHUANARESTAURANTE@GMAIL.COM</t>
  </si>
  <si>
    <t xml:space="preserve">HOGAR DE BIENESTAR MI DULCE AMANECER </t>
  </si>
  <si>
    <t>XENIALUZ@GMAIL.COM</t>
  </si>
  <si>
    <t>HOGAR COMUNITARIO MIS PULGUITAS</t>
  </si>
  <si>
    <t>MARIAEUGENIAPALACIOMARTINEZ@GMAIL.COM</t>
  </si>
  <si>
    <t>HOGAR COMUNITARIO BUSCANDO AMIGOS</t>
  </si>
  <si>
    <t>CARRERA 7A # 25-68 BARRIO CIUDADELA DE LA PAZ</t>
  </si>
  <si>
    <t xml:space="preserve">HOGAR DE BIENESTAR ESTRELLITA DE ILUSIONES </t>
  </si>
  <si>
    <t>UNICORNIOMAGICO2212@GMAIL.COM</t>
  </si>
  <si>
    <t>ASOCIACION COMUNITARIA HATILLO</t>
  </si>
  <si>
    <t>HOGAR DE BIENESTAR MI PEQUEÑO HOGAR</t>
  </si>
  <si>
    <t>SANDRA MADERO</t>
  </si>
  <si>
    <t>CENAIDA1018SALES@HOTMAIL.COM</t>
  </si>
  <si>
    <t>INSTITUCION EDUCATIVA INDIGENA ESCOBAR ARRIBA SEDE PRINCIPAL</t>
  </si>
  <si>
    <t>COMUNIDAD INDIGENA DE HUERTAS CHICAS</t>
  </si>
  <si>
    <t xml:space="preserve">YORELSY ESTEFANI BUITRAGO DOMÍNGUEZ </t>
  </si>
  <si>
    <t>uniontemporalpaip@gmail.com</t>
  </si>
  <si>
    <t xml:space="preserve">CENTRO EDUCATIVO SABANALARGA SEDE SANTA INÉS DE PALITO </t>
  </si>
  <si>
    <t>CORREGIMIENTO SANTA INES DE PALITO</t>
  </si>
  <si>
    <t>BILLARES ELITE LP</t>
  </si>
  <si>
    <t xml:space="preserve">KLEIVER JOSÉ LÓPEZ PETRO </t>
  </si>
  <si>
    <t>CL 24 # 13 - 155</t>
  </si>
  <si>
    <t>revielk10@gmail.com</t>
  </si>
  <si>
    <t>CENTRO EDUCATIVO SABANA LARGA SEDE PRINCIPAL</t>
  </si>
  <si>
    <t>CORREGIMIENTO SABANA LARGA CALLE PRINCIPAL</t>
  </si>
  <si>
    <t>CENTRO EDUCATIVO SABANA LARGA SEDE ANTONIO NARIÑO</t>
  </si>
  <si>
    <t xml:space="preserve">JAIME RUA RESTREPO </t>
  </si>
  <si>
    <t>hotelyreataurantelago@gmail.com</t>
  </si>
  <si>
    <t xml:space="preserve">INSTITUCIÓN EDUCATIVA INDÍGENA BOSA NAVARRO SEDE COSTA DE ORO </t>
  </si>
  <si>
    <t xml:space="preserve">Corregimiento Costa De Oro </t>
  </si>
  <si>
    <t>PANADERIA HELADERIA SAMPUES</t>
  </si>
  <si>
    <t xml:space="preserve">LILIA MARÍA FUENMAYOR SUÁREZ </t>
  </si>
  <si>
    <t xml:space="preserve">Carrera 20 #25 - 10 centro </t>
  </si>
  <si>
    <t>lilianfuenmayor77@gamil.com</t>
  </si>
  <si>
    <t xml:space="preserve">PREPARACION DE LAIMENTOS </t>
  </si>
  <si>
    <t>CENTRO EDUCATIVO INDIGENA ACHIOTE SEDE PRINCIPAL</t>
  </si>
  <si>
    <t>CABILDO MENOR INDIGENA ACHIOTE ZONA CENTRO</t>
  </si>
  <si>
    <t>uniontemporalindigena@gmail.com</t>
  </si>
  <si>
    <t>INSTUTUCION EDUCATIVA SAN FRANCISCO EL PAKY - SEDE LA ESPERANZA</t>
  </si>
  <si>
    <t>CABILDO MENOR INDIGENA LA ESPERANZA ZONA RURAL DE SAMPUES</t>
  </si>
  <si>
    <t>uniontemporalondigenapaip@gmail.com</t>
  </si>
  <si>
    <t>ALEJANDRO OCAMPO GIRALDO</t>
  </si>
  <si>
    <t>paoocampo07@gmail.com</t>
  </si>
  <si>
    <t>CENTRO EDUCATIVO INDIGENA CHUPUNDUN</t>
  </si>
  <si>
    <t xml:space="preserve">LOS CASTILLOS </t>
  </si>
  <si>
    <t>SANTA CRUZ</t>
  </si>
  <si>
    <t>PANADERIA PANKELO SAS</t>
  </si>
  <si>
    <t>KELLY JOHANA MARTINEZ MONTERROZA</t>
  </si>
  <si>
    <t>CR 8 CL 7-92 LAS PALMAS</t>
  </si>
  <si>
    <t>KELLYMARTINEZ170902@GMAIL.COM</t>
  </si>
  <si>
    <t>CENTRO EDUCATIVO INDIGENA PALMAR BRILLANTE</t>
  </si>
  <si>
    <t>PALMAR BRILLANTE</t>
  </si>
  <si>
    <t>UBIECER QUIROZ</t>
  </si>
  <si>
    <t>CDI SAN BENITO</t>
  </si>
  <si>
    <t>JULIO OLIMPO BERRIO ROMAN</t>
  </si>
  <si>
    <t>CL 12 N 6-73</t>
  </si>
  <si>
    <t>agropecuariosafro24@gmail.com</t>
  </si>
  <si>
    <t>LUZ MARY VILLALBA</t>
  </si>
  <si>
    <t>HOGAR DE BIENESTAR SAGRADO CORAZON DE JESUS</t>
  </si>
  <si>
    <t>BILLARES Y ESTADERO BORA BORA</t>
  </si>
  <si>
    <t>ORLEIDYS MARQUEZ ESPINOSA</t>
  </si>
  <si>
    <t>CALLE 3 CARRERA 1-5 LOMA ALTA</t>
  </si>
  <si>
    <t>orlemarquez89@gmail.com</t>
  </si>
  <si>
    <t>ESTADERO EL MIRADOR ALBANIA</t>
  </si>
  <si>
    <t>JUAN JOSE ORTEGA CARDENAS</t>
  </si>
  <si>
    <t>CARRERA 4 CALLE 4-37 ALBANIA</t>
  </si>
  <si>
    <t>juanjoseortegacardenas6@gmail.com</t>
  </si>
  <si>
    <t>BILLAR CENTRAL DE ALBANIA</t>
  </si>
  <si>
    <t>ROBERT JOSE ORTEGA RIVERA</t>
  </si>
  <si>
    <t>PLAZA PRINCIPAL CORREGIMIENTO ALBANIA</t>
  </si>
  <si>
    <t>ortegaroberth4@gmail.com</t>
  </si>
  <si>
    <t>ESTADERO SOL Y SOMBRA</t>
  </si>
  <si>
    <t>ELSA ELVIRA ALVAREZ MERCADO</t>
  </si>
  <si>
    <t>CALLE 3 CARRERA2-41CORREGIMIENTO LOMA ALTA</t>
  </si>
  <si>
    <t>melanismercado8@gmail.com</t>
  </si>
  <si>
    <t>JANETH DEL SOCORRO BARRIOS ALVAREZ</t>
  </si>
  <si>
    <t>CALLE 5 CARRERA 4-22 BARRIO PLAZA PRINCIPAL CORRG ALBANIA</t>
  </si>
  <si>
    <t>ronywilsonalvarez@gmail.com</t>
  </si>
  <si>
    <t>74.5</t>
  </si>
  <si>
    <t>LA TRIBU CLUB</t>
  </si>
  <si>
    <t>BILLARES Y LAVADERO LOS MANGUITOS</t>
  </si>
  <si>
    <t>EZEQUIEL JOSE GOMEZ GARCÍA</t>
  </si>
  <si>
    <t>TRV 9A 10 23 APT,02 CALLE REAL</t>
  </si>
  <si>
    <t>duglenismeza@hotmail.com</t>
  </si>
  <si>
    <t>IVON LORENA HERRERA, MONTERROSA</t>
  </si>
  <si>
    <t>CARRERA 5 3B 43, CALLE BRISAS DEL MAR</t>
  </si>
  <si>
    <t>joselmarquezbarros@gmail.com</t>
  </si>
  <si>
    <t>RESTAURANTE AZADOS DE CACHE</t>
  </si>
  <si>
    <t>MARLIN ALICIA HERAZO VELASQUEZ</t>
  </si>
  <si>
    <t>CARRERA #9 CALLE 6 CALLE REAL SALIDA A COROZAL</t>
  </si>
  <si>
    <t>SOL MILENIS BARRIOS ALVAREZ</t>
  </si>
  <si>
    <t>DIAG 3 #10-58 CALLE REAL</t>
  </si>
  <si>
    <t>BODEGA DE ENSAMBLE SURTIVARIEDADES MI TIENDA SAS</t>
  </si>
  <si>
    <t xml:space="preserve">CESAR YESITH NARVAEZ VILLEGAS </t>
  </si>
  <si>
    <t>Calle 18 # 32 - 56</t>
  </si>
  <si>
    <t>asojovenes10@gmail.com</t>
  </si>
  <si>
    <t>CARLOS SERPA/LUIS ROJAS</t>
  </si>
  <si>
    <t>ZENIDH BASTIDA CORREA</t>
  </si>
  <si>
    <t>CLL- 19#20-40</t>
  </si>
  <si>
    <t>bastidascorreazenidh@gmail.com</t>
  </si>
  <si>
    <t>WILLIAM SOLORZANO SAENZ</t>
  </si>
  <si>
    <t>LA TABERNA ESTANCO BAR</t>
  </si>
  <si>
    <t>MARIA DEL ROSARIO MARTINEZ VALESTT</t>
  </si>
  <si>
    <t>CLL19 # 07-440</t>
  </si>
  <si>
    <t>rutsary@hotmail.com</t>
  </si>
  <si>
    <t>sincorreoelectronic@gmail.co</t>
  </si>
  <si>
    <t>DEPOSITO Y LEGUMBRES LA ECONOMIA 4</t>
  </si>
  <si>
    <t xml:space="preserve">Wilson Raúl Ramírez </t>
  </si>
  <si>
    <t>Cra28calle15</t>
  </si>
  <si>
    <t>legumbrerialaeconomia2020@gmail.com</t>
  </si>
  <si>
    <t>TEINDA EL BARATILLO</t>
  </si>
  <si>
    <t xml:space="preserve">GEIBY SANDOBAL </t>
  </si>
  <si>
    <t>CR.27# 21-57</t>
  </si>
  <si>
    <t>gabysandobal1995@gmail.com</t>
  </si>
  <si>
    <t>Calle15 #4</t>
  </si>
  <si>
    <t>jvergarabarreto@gmail.com</t>
  </si>
  <si>
    <t>JENNY ISABEL VERGARA BARRETO</t>
  </si>
  <si>
    <t>HOGAR DE BIENESTAR LOS CAPULLOS</t>
  </si>
  <si>
    <t>Cra34#15-104</t>
  </si>
  <si>
    <t>ASADERO POLLO RIKO</t>
  </si>
  <si>
    <t>Robinsón de Jesús frases lopez</t>
  </si>
  <si>
    <t>Calle19 #20-61</t>
  </si>
  <si>
    <t>fransserobison@hotmail.com</t>
  </si>
  <si>
    <t>DIANA ISABEL MORALEZ REQUENA</t>
  </si>
  <si>
    <t>dianarequena1992@gmail.com</t>
  </si>
  <si>
    <t>arboledasolanorembertojoaquin@gmail.com</t>
  </si>
  <si>
    <t>ALEXANDER CASTILLO BETIN</t>
  </si>
  <si>
    <t>alexandercastillo.29@hotmail.com</t>
  </si>
  <si>
    <t>WENG XIANGUANG</t>
  </si>
  <si>
    <t>CLLE 19#22-34</t>
  </si>
  <si>
    <t>restaurantechino2026@gmail.com</t>
  </si>
  <si>
    <t>ZENAIDA DE JESUS URTA</t>
  </si>
  <si>
    <t>CLLE 19 #27-71</t>
  </si>
  <si>
    <t>guacarihotel@gmail.com</t>
  </si>
  <si>
    <t>Gómez garabito felicita</t>
  </si>
  <si>
    <t>Calle22 cra22b-06</t>
  </si>
  <si>
    <t>fredismeles1969@gmail.com</t>
  </si>
  <si>
    <t>BRAMANTE RESTAURANTE BAR</t>
  </si>
  <si>
    <t>García Herrera Tania</t>
  </si>
  <si>
    <t>Calle 19#4</t>
  </si>
  <si>
    <t>taniasfeir9505@gmail.com</t>
  </si>
  <si>
    <t>74.9</t>
  </si>
  <si>
    <t xml:space="preserve">EL TIZON </t>
  </si>
  <si>
    <t>Moreno caldera ludys</t>
  </si>
  <si>
    <t>Trav35#37-23b</t>
  </si>
  <si>
    <t>cande03002@gmail.com</t>
  </si>
  <si>
    <t>INSTITUCION EDUCATIVA AFRO LIBERTAD</t>
  </si>
  <si>
    <t>INSTITUCION EDUCATIVA PALO ALTO - SEDE PRIMARIA CHUPA</t>
  </si>
  <si>
    <t>INSTITUCION EDUCATIVA PAJONAL - SEDE PRINCIPAL</t>
  </si>
  <si>
    <t>ASOCIACION DE PADRES DE FAMILIA DE LOS HOGARES DE BIENESTAR BARRIO LAS FLORES LA BALSA ARROYITO EL CAÑO CALLE PALO ALTO</t>
  </si>
  <si>
    <t>MARIA ESTELA RICARDO MERCADO</t>
  </si>
  <si>
    <t>ASOBALSA.SANONOFRE@HOTMAIL.COM</t>
  </si>
  <si>
    <t>60.5</t>
  </si>
  <si>
    <t>ANDRES GUERRA/ARGEMIRO DIAZ</t>
  </si>
  <si>
    <t xml:space="preserve">JAIBER RAMON CARDONA CARDENAS </t>
  </si>
  <si>
    <t>OSCAR.ESPITIA@DI.COM.CO</t>
  </si>
  <si>
    <t>91.25</t>
  </si>
  <si>
    <t>FAVORABLE ( 90 al 100 % )</t>
  </si>
  <si>
    <t>FUNDACIÓN INTEGRAL SAN BERNARDO DEL VIENTO</t>
  </si>
  <si>
    <t>HOGAR DE LOS ABUELITOS SAN JOSÉ</t>
  </si>
  <si>
    <t>MATILDE DIAZ MORENO</t>
  </si>
  <si>
    <t>CALLE 1 CARRERA 20-22</t>
  </si>
  <si>
    <t>zailor@hotmail.com</t>
  </si>
  <si>
    <t>SUPERTIENDA Y DROGERIA OLIMPICA 332</t>
  </si>
  <si>
    <t>EXPENDIO DE CARNES STO 332</t>
  </si>
  <si>
    <t xml:space="preserve">ESTADERO BAR EL PUNTO ROJO </t>
  </si>
  <si>
    <t>ARIANNY CHIQUINQUIRA VARGAS BARRETO</t>
  </si>
  <si>
    <t>CALLE 23 14-35 BARRIO COLINA</t>
  </si>
  <si>
    <t>ariannybva07@gmail.com</t>
  </si>
  <si>
    <t>YOLEIDA BERRIO BAENA</t>
  </si>
  <si>
    <t>CALLE 14 # 22 - 47 PLAZA DE TOROS</t>
  </si>
  <si>
    <t>yolebaenamianis3@gmail.com</t>
  </si>
  <si>
    <t>josedavidcosta@hotmail.com</t>
  </si>
  <si>
    <t>ESTADERO EL ZULETAZO</t>
  </si>
  <si>
    <t>Reinaldo rafael Martínez osorio</t>
  </si>
  <si>
    <t>Cra 13 cl 1b 19</t>
  </si>
  <si>
    <t>reinaldorafael1298@gmail.com</t>
  </si>
  <si>
    <t>BILLARES LAS 3 J</t>
  </si>
  <si>
    <t xml:space="preserve">Jhan Carlos Novoa Perez </t>
  </si>
  <si>
    <t>Cl 25 #15-29</t>
  </si>
  <si>
    <t>jahnnovoa11@gmail.com</t>
  </si>
  <si>
    <t>THE BURNKER</t>
  </si>
  <si>
    <t xml:space="preserve">Deymer Jesús Palencia Gomez </t>
  </si>
  <si>
    <t>Cl 2 a #6-21</t>
  </si>
  <si>
    <t>moises2018gonzalez@gmail.com</t>
  </si>
  <si>
    <t>Antonio Jose barrera Quinchia</t>
  </si>
  <si>
    <t>Diag 23 # 1-11</t>
  </si>
  <si>
    <t>antoniojosebarrera@gmail.com</t>
  </si>
  <si>
    <t>92.25%</t>
  </si>
  <si>
    <t>ARGEMIRO DIAZ/ADRIAN MORALES</t>
  </si>
  <si>
    <t xml:space="preserve">TIENDA ARA 1003 SAN FELIPE </t>
  </si>
  <si>
    <t xml:space="preserve">INSTITUCION EDUCATIVA TECNICA YEMAIL TOUS - SEDE ALEGRIA </t>
  </si>
  <si>
    <t>Vereda EL Frances</t>
  </si>
  <si>
    <t xml:space="preserve">RESTAURANTE FRUTOS DEL MAR </t>
  </si>
  <si>
    <t>tafuryes20@gmail.com</t>
  </si>
  <si>
    <t>Luz Angelica Garcia Paez</t>
  </si>
  <si>
    <t>calle 16 # 03 esquina Centro</t>
  </si>
  <si>
    <t>angegapa97@gmail.com</t>
  </si>
  <si>
    <t>Carrera 1 # 14 calle Nueva</t>
  </si>
  <si>
    <t>RESTAURANTE LOS SABORES DEL MAR</t>
  </si>
  <si>
    <t>Luis Eduardo Cervantes Perez</t>
  </si>
  <si>
    <t>cra 1 # 8 - 68 Calle Nueva</t>
  </si>
  <si>
    <t>tolu_cervantes@hotmail.com</t>
  </si>
  <si>
    <t>HOTEL RESTAURANTE KATYLU</t>
  </si>
  <si>
    <t>Juan David Echavarría Ospina</t>
  </si>
  <si>
    <t>cra 3 # 21-24 El Cangrejo</t>
  </si>
  <si>
    <t>contabilidadhotelkatylu@gmail.com</t>
  </si>
  <si>
    <t>Neyerling Chiquinquira Franco Franco</t>
  </si>
  <si>
    <t>calle 15 # 1-31 centro</t>
  </si>
  <si>
    <t>neyerlingf@gmail.com</t>
  </si>
  <si>
    <t xml:space="preserve">RESTAURANTE LOS ARRIEROS </t>
  </si>
  <si>
    <t>arrieros415@gmail.com</t>
  </si>
  <si>
    <t>EDWIN MANUEL CASTELLANOS CAMPO</t>
  </si>
  <si>
    <t>CABILDOSANANTONIOURBANO@GMAIL.COM</t>
  </si>
  <si>
    <t>PAOLA MORENO/ARGEMIRO DIAZ</t>
  </si>
  <si>
    <t>COMUNIDAD INDIGENA SAN ANTONIO URBANA</t>
  </si>
  <si>
    <t>CDI CATEDRA DE AMOR</t>
  </si>
  <si>
    <t>CR 3-79 CL 20</t>
  </si>
  <si>
    <t>SUPERTIENDA EL PROYECTO 2</t>
  </si>
  <si>
    <t>LUIS DAVID BARROS OSORIO</t>
  </si>
  <si>
    <t>CR 1 Y 2 CL 20 BARRIO EL CANGREJO</t>
  </si>
  <si>
    <t>LUDABAOS26@GMAIL.COM</t>
  </si>
  <si>
    <t>SUPERTIENDAs Y DROGERIAs OLIMPICA 325</t>
  </si>
  <si>
    <t>PROGRAMACIION</t>
  </si>
  <si>
    <t>DESNATURALLIZACION Y DESTRUCCION DE PRODUCTOS</t>
  </si>
  <si>
    <t>CABAÑA AMAFAVIL RESTAURANTE</t>
  </si>
  <si>
    <t>MARIBEL OCHOA PEREZ</t>
  </si>
  <si>
    <t xml:space="preserve">CL 22 # 3-38 ENTRE 3 Y 4 </t>
  </si>
  <si>
    <t>MARIBELOCHOAPEREZ@GMAIL.COM</t>
  </si>
  <si>
    <t>CARLOS ACOSTA/CARLOS SERPA</t>
  </si>
  <si>
    <t>PAOLA MORENO</t>
  </si>
  <si>
    <t>ASOCIADA A PETICIONES,QUEJAS Y RECLAMOS</t>
  </si>
  <si>
    <t>X</t>
  </si>
  <si>
    <t>CLAUSURA TEMPORAL TOTAL DEL AREA DE PREPRACION</t>
  </si>
  <si>
    <t xml:space="preserve">PAOLA MORENO/CARLOS SERPA </t>
  </si>
  <si>
    <t>ALMACENES ÉXITO SA</t>
  </si>
  <si>
    <t>PAOLA MORENO/SALIM PEREZ</t>
  </si>
  <si>
    <t>CANCHA DE TEJO Y GALLERA EL DESAFIO</t>
  </si>
  <si>
    <t xml:space="preserve">Maritza del Socorro Tobón Hernández </t>
  </si>
  <si>
    <t>CRA 7 #13-77</t>
  </si>
  <si>
    <t>jose.tuiran@cecar.edu.co</t>
  </si>
  <si>
    <t>asosince1@hotmail.com</t>
  </si>
  <si>
    <t>PEROGRAMACION</t>
  </si>
  <si>
    <t>ORLANDO FAUSTINO GALINDO BADEL</t>
  </si>
  <si>
    <t>SINCE PAZA SAS</t>
  </si>
  <si>
    <t>QCAYO BUFFET</t>
  </si>
  <si>
    <t xml:space="preserve">Luis Alfredo Alfaro Ramos </t>
  </si>
  <si>
    <t>Cra 11 nro 08 24 piso 2</t>
  </si>
  <si>
    <t>sinceplaza@gmail.com</t>
  </si>
  <si>
    <t xml:space="preserve">91.5 </t>
  </si>
  <si>
    <t>ARGRMIRO DIAZ</t>
  </si>
  <si>
    <t>ASOCIACION DE PADRES DE FAMIILIA DE LOS HOGARES DE BIENESTAR DEL MUNICIPIO DE SINCÉ</t>
  </si>
  <si>
    <t>GALLINAS LANDY</t>
  </si>
  <si>
    <t xml:space="preserve">Yorjadys Mejía Rohenes </t>
  </si>
  <si>
    <t>Cra 9A 1D-12</t>
  </si>
  <si>
    <t>yorjadysmejia19@gmail.com</t>
  </si>
  <si>
    <t>HOGAR DE BIENESTAR LA ALEGRIA DE LOS NIÑOS</t>
  </si>
  <si>
    <t>Calle 9 #1-147</t>
  </si>
  <si>
    <t>asosince1@hotmil.com</t>
  </si>
  <si>
    <t>fchimageney@gmail.com</t>
  </si>
  <si>
    <t>MERCEDES DE LA OSSA</t>
  </si>
  <si>
    <t xml:space="preserve">María Mercedes De La Ossa Bobadilla </t>
  </si>
  <si>
    <t>Cra 10 # 6-30</t>
  </si>
  <si>
    <t>maria_merce15@hotmail.com</t>
  </si>
  <si>
    <t>ASADERO CENTRAL</t>
  </si>
  <si>
    <t xml:space="preserve">Concepción María Vides Lobo </t>
  </si>
  <si>
    <t>Cra 12 calle 8 esquina</t>
  </si>
  <si>
    <t>guerramane1975@gmail.com</t>
  </si>
  <si>
    <t>DISCO BAR MACUMBA</t>
  </si>
  <si>
    <t xml:space="preserve">Yadith Esther Palencia Hernández </t>
  </si>
  <si>
    <t>Cra 10 # 1-98</t>
  </si>
  <si>
    <t>leydisromeropalencia@gmail.com</t>
  </si>
  <si>
    <t>abastossince@hotmail.com</t>
  </si>
  <si>
    <t>84.25</t>
  </si>
  <si>
    <t xml:space="preserve">ABASTO SINCE </t>
  </si>
  <si>
    <t>EL PEZ QUE BAILA</t>
  </si>
  <si>
    <t xml:space="preserve">Milton del Cristo Garrido Carcamo </t>
  </si>
  <si>
    <t>CRA 18 #11-140</t>
  </si>
  <si>
    <t>mdelaossa@gmail.com</t>
  </si>
  <si>
    <t>AMALFI</t>
  </si>
  <si>
    <t xml:space="preserve">Luisa María Ramírez Vergara </t>
  </si>
  <si>
    <t>CRA 11 #6-31 apto 2</t>
  </si>
  <si>
    <t>ramirezvergaraluisa@gmail.com</t>
  </si>
  <si>
    <t>PESQUERA EL MONO</t>
  </si>
  <si>
    <t xml:space="preserve">Omar de Jesús Mejía Acosta </t>
  </si>
  <si>
    <t>Kra 10 2A Sur 58</t>
  </si>
  <si>
    <t>omarmejia4929@gmail.com</t>
  </si>
  <si>
    <t>ASADERO SUPERBRASAS</t>
  </si>
  <si>
    <t>Nayhomis carolina guerrero rivera</t>
  </si>
  <si>
    <t>Cra 10 CL 10 5 ent 1 p1</t>
  </si>
  <si>
    <t>eduar.9atencia@hotmail.com</t>
  </si>
  <si>
    <t>nviloriamolina@gmail.com</t>
  </si>
  <si>
    <t>ASOCIACION  DE PADRES DE FAMILIA DE LOS HOGARES DE BIENESTAR SAN JOSE</t>
  </si>
  <si>
    <t>LAURA STELA ROYERO FERIA</t>
  </si>
  <si>
    <t>mipequenomundo@gmail.com</t>
  </si>
  <si>
    <t>HOGAR DE BIENESTAR SAN JOSE</t>
  </si>
  <si>
    <t>mairaale@gmail.com</t>
  </si>
  <si>
    <t>mariaangelicagarciaguerrero35@gmail.com</t>
  </si>
  <si>
    <t xml:space="preserve">ASOCIACIÓN DE PADRES DE FAMILIA SAN JOSÉ DE MAJAGUAL </t>
  </si>
  <si>
    <t>bertarequenageneis@gmail.com</t>
  </si>
  <si>
    <t xml:space="preserve">ASOCIACIÓN DE PADRES DE FAMILIA DE SAN JOSÉ DE MAJAGUAL </t>
  </si>
  <si>
    <t>HOGAR COMUNITARIO DE BIENESTAR EL OSITO DE VILLA B</t>
  </si>
  <si>
    <t>Barrio villa B</t>
  </si>
  <si>
    <t>cristianylauren@gmail.com</t>
  </si>
  <si>
    <t>curenarvaesluzdari@gmail.com</t>
  </si>
  <si>
    <t xml:space="preserve">Zanaida Echeverría Barroso </t>
  </si>
  <si>
    <t xml:space="preserve">Barrio 7 de Marzo </t>
  </si>
  <si>
    <t>ASOCIACIÓN DE PADRES DE FAMILIA DE HOGARES DE BIENESTAR SAN JOSÉ</t>
  </si>
  <si>
    <t>losangeles@gmail.com</t>
  </si>
  <si>
    <t xml:space="preserve">ASOCIACIÓN GESTORA Y ASESORA PARA EL DESARROLLO SOCIAL </t>
  </si>
  <si>
    <t>BODEGA DE ALMACENAMIENTO DE ALIMENTOS ASENDEMOS</t>
  </si>
  <si>
    <t xml:space="preserve">EIVANA ROSA RAMÍREZ DÁVILA </t>
  </si>
  <si>
    <t>Cra 7 #5-17</t>
  </si>
  <si>
    <t>ascendemos@gmail.com</t>
  </si>
  <si>
    <t>ALMACENAMIENTO ATEMPERATURA AMBIENTE</t>
  </si>
  <si>
    <t>97.2</t>
  </si>
  <si>
    <t>PSOLICITUD DEL INTERESADO</t>
  </si>
  <si>
    <t>RESTAURANTE LA NIÑA CANDE</t>
  </si>
  <si>
    <t>CANDELARIA BARRIOS MEJIA</t>
  </si>
  <si>
    <t>Calle 9 # 3-2</t>
  </si>
  <si>
    <t>candebarrios@gmail.com</t>
  </si>
  <si>
    <t>fabiosalazar@gmail.com</t>
  </si>
  <si>
    <t>ASOCIASIÓN GESTORA Y ASESORA PARA EL DESARROLLO ASENDEMOS</t>
  </si>
  <si>
    <t>INSTITUCION EDUCATIVA LAS MERCEDES</t>
  </si>
  <si>
    <t>EVIANA RAMIREZ DAVILA</t>
  </si>
  <si>
    <t>BARRIO PLAZA NUEVA</t>
  </si>
  <si>
    <t>INSTITUCION EDUCATIVA ELICER ULLOA</t>
  </si>
  <si>
    <t xml:space="preserve">BARRIO SANTA LUCIA - AVENIDA LOS ESTUDIANTES </t>
  </si>
  <si>
    <t xml:space="preserve">RESTAURANTES SILLAS BLANCAS </t>
  </si>
  <si>
    <t xml:space="preserve">Argemiro Meneses Lara </t>
  </si>
  <si>
    <t xml:space="preserve">Barrio Santander </t>
  </si>
  <si>
    <t xml:space="preserve">RESTAURANTE Y FRITOS EIRA </t>
  </si>
  <si>
    <t xml:space="preserve">Eira verdugo Taborda </t>
  </si>
  <si>
    <t>Barrio Junín calle 10</t>
  </si>
  <si>
    <t>euraberdugo@gmail.com</t>
  </si>
  <si>
    <t>HOGAR DE BIENESTAR LOS ANGELITOS</t>
  </si>
  <si>
    <t>HOGAR DE BIENESTAR  LOS ANGELITOS</t>
  </si>
  <si>
    <t>HOGAR COMUNITARIO LOS PEPITOS</t>
  </si>
  <si>
    <t>Corregimiento bajo purrza</t>
  </si>
  <si>
    <t>bajop2000@gmail.com</t>
  </si>
  <si>
    <t>RESTAURANTE LAS DELICIAS</t>
  </si>
  <si>
    <t>barrio las delicias</t>
  </si>
  <si>
    <t>MARIA TORRES RUZ</t>
  </si>
  <si>
    <t>HOGAR COMUNITARIO LOS ENANITOS VERDES</t>
  </si>
  <si>
    <t>cra10a -117 barrio vsta hermosa</t>
  </si>
  <si>
    <t>PANADERIA EL PAN</t>
  </si>
  <si>
    <t xml:space="preserve">PARMENIDES BARRAGAN  </t>
  </si>
  <si>
    <t>FLOWER TIREH</t>
  </si>
  <si>
    <t xml:space="preserve">Luz Marina Arrieta </t>
  </si>
  <si>
    <t xml:space="preserve">Calle Junín </t>
  </si>
  <si>
    <t xml:space="preserve">Luz Mery Marin Noya </t>
  </si>
  <si>
    <t xml:space="preserve">Calle las Dádivas </t>
  </si>
  <si>
    <t>edipanlkj@gmail.com</t>
  </si>
  <si>
    <t>RESTAURANTE EL REY DAVID</t>
  </si>
  <si>
    <t>mariasalas@gmail.com</t>
  </si>
  <si>
    <t>CANDELARIA NAVARRO MEJIA</t>
  </si>
  <si>
    <t>PANADERIA Y REPOSTRERIA EL TREN</t>
  </si>
  <si>
    <t>ANA MARIA BALMACEDA BADEL</t>
  </si>
  <si>
    <t>CENTRO EDUCATIVO LA PICHE</t>
  </si>
  <si>
    <t xml:space="preserve">Cr 13 # 24-100 Troncal de Occidente </t>
  </si>
  <si>
    <t>INSTITUCION EDUCATIVA LA FLORESTA</t>
  </si>
  <si>
    <t xml:space="preserve">La Floresta </t>
  </si>
  <si>
    <t xml:space="preserve">Juan Jose Pérez Ortega </t>
  </si>
  <si>
    <t xml:space="preserve">CL 4 # 7-17 Macajan </t>
  </si>
  <si>
    <t>mariosuarezsuarez@gmail.com</t>
  </si>
  <si>
    <t>67.25</t>
  </si>
  <si>
    <t xml:space="preserve">Cristina María Pacheco Vides </t>
  </si>
  <si>
    <t xml:space="preserve">Tv 4 Bis 141 calle Sincelejo </t>
  </si>
  <si>
    <t>luisfernandogarciapacheco@gmail.com</t>
  </si>
  <si>
    <t>LUCIRIS FARRAYAN ZABALA</t>
  </si>
  <si>
    <t>34948215-1</t>
  </si>
  <si>
    <t>CLL5#18-72</t>
  </si>
  <si>
    <t>lucifarrayan@hotmail.com</t>
  </si>
  <si>
    <t>VIAJES THE BEST SAS</t>
  </si>
  <si>
    <t>CARLOS ECHEVERY GAVIRIA</t>
  </si>
  <si>
    <t>901736500-9</t>
  </si>
  <si>
    <t>CLL5 #20-64</t>
  </si>
  <si>
    <t>DIBERKATISAS@GMAIL.COM</t>
  </si>
  <si>
    <t>JORGE HUMBERTO GONZALEZ DIAZ</t>
  </si>
  <si>
    <t>PUNTA E PIEDRA 2DA ENCENADA</t>
  </si>
  <si>
    <t>hotelsanjorge9875@hotmail.com</t>
  </si>
  <si>
    <t>EDIT CARMEN TOBIAS ANGULO</t>
  </si>
  <si>
    <t>41629146-1</t>
  </si>
  <si>
    <t>CLL4 #20-30</t>
  </si>
  <si>
    <t>MONA1TOBIAS@HOTMAIL.COM</t>
  </si>
  <si>
    <t xml:space="preserve">MARBELY SANCHEZ GENEI </t>
  </si>
  <si>
    <t>CR 12 CL 14- 31</t>
  </si>
  <si>
    <t xml:space="preserve">CARRIZAL WIIS </t>
  </si>
  <si>
    <t>Mirledys Del Carmen Baldobino Hernandez</t>
  </si>
  <si>
    <t>baldovinomirledy2324@gmail.com</t>
  </si>
  <si>
    <t>COUNTRY CLUB CLASS</t>
  </si>
  <si>
    <t>Iván Castro Rodelo</t>
  </si>
  <si>
    <t>castrorodeloivan@gmail.com</t>
  </si>
  <si>
    <t xml:space="preserve">Graciela martinez acosta </t>
  </si>
  <si>
    <t>Cr 16 # 20 -26</t>
  </si>
  <si>
    <t>Yuliparedes454@hotmail.com</t>
  </si>
  <si>
    <t>RESTAURANTE GOL FIVE</t>
  </si>
  <si>
    <t xml:space="preserve">Ruben gutierres martinez </t>
  </si>
  <si>
    <t>Cr 20 # 24-53</t>
  </si>
  <si>
    <t>Rugamar@hotmail.com</t>
  </si>
  <si>
    <t xml:space="preserve">Claudia esther rubio lopez </t>
  </si>
  <si>
    <t>Troncal 20-21</t>
  </si>
  <si>
    <t>Claudiarubiol@gmail.com</t>
  </si>
  <si>
    <t>RESTAURANTE EL PLATEÑO</t>
  </si>
  <si>
    <t>OVEJAS EXPRESS</t>
  </si>
  <si>
    <t xml:space="preserve">Milena ortega diaz </t>
  </si>
  <si>
    <t>Cr 18 # 32- 37</t>
  </si>
  <si>
    <t>Milenaortegad@gmail.com</t>
  </si>
  <si>
    <t xml:space="preserve">MESA  MONTALBO  CARLOS JULIO </t>
  </si>
  <si>
    <t xml:space="preserve">ANDREA CAROLINA  BARRAGAN </t>
  </si>
  <si>
    <t>BILLARES EL CACIQUE SM 3</t>
  </si>
  <si>
    <t>DISCOTECA CH</t>
  </si>
  <si>
    <t>HERRERA CARDOZO CAMILO ANDRES</t>
  </si>
  <si>
    <t>CALLE 19CARRERA 16</t>
  </si>
  <si>
    <t>CALLE 19 # 19-45</t>
  </si>
  <si>
    <t xml:space="preserve">DISCOBAR LAS PALMAS </t>
  </si>
  <si>
    <t>LEIDIS NORIEGA</t>
  </si>
  <si>
    <t>CALLE 15 #29-85</t>
  </si>
  <si>
    <t xml:space="preserve">EL DESAFIO SN </t>
  </si>
  <si>
    <t xml:space="preserve">SILVIA MISAL HERNANDEZ </t>
  </si>
  <si>
    <t>CALLE 14#29-27</t>
  </si>
  <si>
    <t xml:space="preserve">EL REFUGIO </t>
  </si>
  <si>
    <t>CALLE 15 # 29-19</t>
  </si>
  <si>
    <t>MARISA VARILLA VELASQUEZ</t>
  </si>
  <si>
    <t xml:space="preserve">GUACARI </t>
  </si>
  <si>
    <t>CL  19 #23-71ENTRE CL 20#23-80</t>
  </si>
  <si>
    <t>TATIANA MARCELA HERRERA TOVAR</t>
  </si>
  <si>
    <t>CL 40 N° 28 A 06</t>
  </si>
  <si>
    <t>LINAMARGARCIA30@GMAIL.COM</t>
  </si>
  <si>
    <t>CDI PIMPONES DE COLORES SEDE SAN RAFAEL</t>
  </si>
  <si>
    <t>CR 38 N° 26-65 BARRIO SAN RAFAEL 2</t>
  </si>
  <si>
    <t>CL 4 N° 7-27 CORREGIMINETO BELEN</t>
  </si>
  <si>
    <t>CDI ENCUENTROS CREATIVOS</t>
  </si>
  <si>
    <t>CR 3 N| 5-30 VEREDA EL LLANO</t>
  </si>
  <si>
    <t xml:space="preserve">CDI CARITAS FELICES </t>
  </si>
  <si>
    <t>CL 6 CR 5-30 CORREGIMIENTO CUENCA</t>
  </si>
  <si>
    <t>CR 3 N° 2-47 CORREGIMIENTO LAS FLORES</t>
  </si>
  <si>
    <t>ANTONY MEJIA DE LA OSSA</t>
  </si>
  <si>
    <t>FUNEDAUCOL@HOTMAIL.COM</t>
  </si>
  <si>
    <t>ORIETA HAMBURGUER/VARLOS ACOSTA/VICTOR CERRO</t>
  </si>
  <si>
    <t xml:space="preserve">SUSPENSION PARCIAL DE SERVCIOS </t>
  </si>
  <si>
    <t>FUNDACION AUTONOMA DE COLOMBIA</t>
  </si>
  <si>
    <t>ANTONY DE LA OSSA MEJIA</t>
  </si>
  <si>
    <t>CALI BRASAS</t>
  </si>
  <si>
    <t xml:space="preserve">Francisco Gamba Silva </t>
  </si>
  <si>
    <t>Cra 26 # 29-69</t>
  </si>
  <si>
    <t>RESTAURANTE TIPICO MI HERMANA Y YO</t>
  </si>
  <si>
    <t>EXPENDIO DE CARNE</t>
  </si>
  <si>
    <t>RESTAURANTE PANAMA</t>
  </si>
  <si>
    <t>Cl 5 24A-23</t>
  </si>
  <si>
    <t>No Registra</t>
  </si>
  <si>
    <t>RESTAURANTE Y BEBIDAS LA TURK</t>
  </si>
  <si>
    <t>Denis Isabel Narváez Martínez</t>
  </si>
  <si>
    <t>Calle 2 # 20-18</t>
  </si>
  <si>
    <t>ESTADERO Y BILLARES EL KIRO</t>
  </si>
  <si>
    <t>CL  7 # 15A - 24</t>
  </si>
  <si>
    <t xml:space="preserve">CL 4 # 16-29 </t>
  </si>
  <si>
    <t xml:space="preserve">CALLE 1 BARRIO PUERTO DAJER </t>
  </si>
  <si>
    <t>MANGO BICHE LICORES</t>
  </si>
  <si>
    <t>Betsaida Salina Robles</t>
  </si>
  <si>
    <t>CL 5 # 13-58 BARRIO SILENCIO</t>
  </si>
  <si>
    <t>FAVPRABLE CON REQUERIMIENTOS</t>
  </si>
  <si>
    <t>ASOCIACIÓN DE PADRES DE FAMILIA DEL RESTAURANTE ESCOLAR MIRAFLORES Y PUERTO DAJER</t>
  </si>
  <si>
    <t>JOSÉ GABRIEL RODELO CASTAÑEDA</t>
  </si>
  <si>
    <t>asociaonpadrespuertodajer@gmail.com</t>
  </si>
  <si>
    <t>LUIS ARMANDO ATENCIÓN ATENCIA</t>
  </si>
  <si>
    <t>RESTAURANTE RICO RANCHO</t>
  </si>
  <si>
    <t>cll 5 no 22-43</t>
  </si>
  <si>
    <t>MANUEL RICO MARQUEZ</t>
  </si>
  <si>
    <t>YEYITA EXPRES</t>
  </si>
  <si>
    <t>DELIA RODRÍGUEZ MACIAS</t>
  </si>
  <si>
    <t xml:space="preserve">INACTIVO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</si>
</sst>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%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ptos Narrow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242424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u/>
      <sz val="11"/>
      <color rgb="FF0D0D0D"/>
      <name val="Calibri"/>
      <family val="2"/>
    </font>
    <font>
      <sz val="11"/>
      <color rgb="FF0D0D0D"/>
      <name val="Calibri"/>
      <family val="2"/>
    </font>
    <font>
      <b/>
      <sz val="11"/>
      <color rgb="FF000000"/>
      <name val="Calibri"/>
      <family val="2"/>
    </font>
    <font>
      <sz val="11"/>
      <name val="Arial"/>
      <family val="2"/>
    </font>
    <font>
      <sz val="10"/>
      <color rgb="FF000000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</font>
    <font>
      <u/>
      <sz val="12"/>
      <color theme="10"/>
      <name val="Calibri"/>
      <family val="2"/>
    </font>
    <font>
      <b/>
      <i/>
      <sz val="11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rgb="FFF8F9FA"/>
      </patternFill>
    </fill>
    <fill>
      <patternFill patternType="solid">
        <fgColor rgb="FF1CEC35"/>
        <bgColor indexed="64"/>
      </patternFill>
    </fill>
    <fill>
      <patternFill patternType="solid">
        <fgColor rgb="FFF8F9FA"/>
        <bgColor rgb="FFF8F9FA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395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4" fillId="11" borderId="1" xfId="2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8" fillId="11" borderId="1" xfId="2" applyFont="1" applyFill="1" applyBorder="1" applyAlignment="1">
      <alignment horizontal="center" vertical="center" wrapText="1"/>
    </xf>
    <xf numFmtId="0" fontId="9" fillId="11" borderId="1" xfId="2" applyFont="1" applyFill="1" applyBorder="1" applyAlignment="1">
      <alignment horizontal="center" vertical="center" wrapText="1"/>
    </xf>
    <xf numFmtId="0" fontId="9" fillId="11" borderId="1" xfId="3" applyFont="1" applyFill="1" applyBorder="1" applyAlignment="1">
      <alignment horizontal="center" vertical="center" wrapText="1"/>
    </xf>
    <xf numFmtId="0" fontId="0" fillId="0" borderId="1" xfId="1" applyNumberFormat="1" applyFon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22" fillId="0" borderId="1" xfId="3" applyFont="1" applyBorder="1" applyAlignment="1">
      <alignment horizontal="center" vertical="center" wrapText="1"/>
    </xf>
    <xf numFmtId="10" fontId="0" fillId="0" borderId="1" xfId="1" applyNumberFormat="1" applyFont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 wrapText="1"/>
    </xf>
    <xf numFmtId="14" fontId="18" fillId="14" borderId="1" xfId="0" applyNumberFormat="1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0" fontId="18" fillId="14" borderId="1" xfId="0" applyFont="1" applyFill="1" applyBorder="1" applyAlignment="1">
      <alignment horizontal="center" vertical="center"/>
    </xf>
    <xf numFmtId="0" fontId="18" fillId="1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9" fontId="18" fillId="14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10" fontId="18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/>
    </xf>
    <xf numFmtId="1" fontId="7" fillId="11" borderId="1" xfId="0" applyNumberFormat="1" applyFont="1" applyFill="1" applyBorder="1" applyAlignment="1">
      <alignment horizontal="center" vertical="center" wrapText="1"/>
    </xf>
    <xf numFmtId="14" fontId="12" fillId="13" borderId="1" xfId="0" applyNumberFormat="1" applyFont="1" applyFill="1" applyBorder="1" applyAlignment="1">
      <alignment horizontal="center" vertical="center"/>
    </xf>
    <xf numFmtId="9" fontId="12" fillId="13" borderId="1" xfId="0" applyNumberFormat="1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14" fontId="7" fillId="11" borderId="1" xfId="0" applyNumberFormat="1" applyFont="1" applyFill="1" applyBorder="1" applyAlignment="1">
      <alignment horizontal="center" vertical="center"/>
    </xf>
    <xf numFmtId="0" fontId="14" fillId="0" borderId="1" xfId="2" applyFont="1" applyFill="1" applyBorder="1" applyAlignment="1">
      <alignment horizontal="center" vertical="center" wrapText="1"/>
    </xf>
    <xf numFmtId="0" fontId="0" fillId="11" borderId="1" xfId="2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0" fillId="0" borderId="1" xfId="2" applyFont="1" applyFill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/>
    </xf>
    <xf numFmtId="0" fontId="14" fillId="0" borderId="1" xfId="2" applyFont="1" applyFill="1" applyBorder="1" applyAlignment="1">
      <alignment horizontal="center" vertical="center"/>
    </xf>
    <xf numFmtId="10" fontId="0" fillId="0" borderId="1" xfId="1" applyNumberFormat="1" applyFont="1" applyFill="1" applyBorder="1" applyAlignment="1">
      <alignment horizontal="center" vertical="center"/>
    </xf>
    <xf numFmtId="0" fontId="0" fillId="0" borderId="1" xfId="2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3" applyFont="1" applyFill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 wrapText="1"/>
    </xf>
    <xf numFmtId="0" fontId="0" fillId="0" borderId="1" xfId="1" applyNumberFormat="1" applyFont="1" applyFill="1" applyBorder="1" applyAlignment="1">
      <alignment horizontal="center" vertical="center"/>
    </xf>
    <xf numFmtId="0" fontId="0" fillId="0" borderId="1" xfId="2" applyFont="1" applyBorder="1" applyAlignment="1">
      <alignment horizontal="center" vertical="center" wrapText="1"/>
    </xf>
    <xf numFmtId="0" fontId="0" fillId="0" borderId="1" xfId="2" applyFont="1" applyFill="1" applyBorder="1" applyAlignment="1">
      <alignment horizontal="center" vertical="center"/>
    </xf>
    <xf numFmtId="0" fontId="13" fillId="0" borderId="1" xfId="2" applyFont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5" fillId="11" borderId="1" xfId="2" applyFont="1" applyFill="1" applyBorder="1" applyAlignment="1">
      <alignment horizontal="center" vertical="center" wrapText="1"/>
    </xf>
    <xf numFmtId="14" fontId="7" fillId="11" borderId="1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4" fontId="7" fillId="11" borderId="1" xfId="0" applyNumberFormat="1" applyFont="1" applyFill="1" applyBorder="1" applyAlignment="1">
      <alignment horizontal="center" vertical="center" wrapText="1"/>
    </xf>
    <xf numFmtId="0" fontId="8" fillId="11" borderId="1" xfId="3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5" fillId="11" borderId="1" xfId="0" applyNumberFormat="1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9" fontId="7" fillId="0" borderId="1" xfId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 wrapText="1"/>
    </xf>
    <xf numFmtId="9" fontId="7" fillId="0" borderId="1" xfId="0" applyNumberFormat="1" applyFont="1" applyBorder="1" applyAlignment="1">
      <alignment horizontal="center" vertical="center" wrapText="1"/>
    </xf>
    <xf numFmtId="9" fontId="7" fillId="0" borderId="1" xfId="1" applyFont="1" applyBorder="1" applyAlignment="1">
      <alignment horizontal="center" vertical="center" wrapText="1"/>
    </xf>
    <xf numFmtId="165" fontId="7" fillId="0" borderId="1" xfId="1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9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" fontId="4" fillId="0" borderId="1" xfId="2" applyNumberFormat="1" applyBorder="1" applyAlignment="1">
      <alignment horizontal="center" vertical="center"/>
    </xf>
    <xf numFmtId="0" fontId="25" fillId="0" borderId="1" xfId="3" applyFont="1" applyBorder="1" applyAlignment="1">
      <alignment horizontal="center" vertical="center"/>
    </xf>
    <xf numFmtId="0" fontId="23" fillId="0" borderId="1" xfId="3" applyFont="1" applyBorder="1" applyAlignment="1">
      <alignment horizontal="center" vertical="center"/>
    </xf>
    <xf numFmtId="0" fontId="4" fillId="0" borderId="1" xfId="3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4" fillId="0" borderId="1" xfId="3" applyFill="1" applyBorder="1" applyAlignment="1">
      <alignment horizontal="center" vertical="center"/>
    </xf>
    <xf numFmtId="9" fontId="17" fillId="0" borderId="1" xfId="0" applyNumberFormat="1" applyFont="1" applyBorder="1" applyAlignment="1">
      <alignment horizontal="center" vertical="center"/>
    </xf>
    <xf numFmtId="0" fontId="0" fillId="0" borderId="1" xfId="3" applyFont="1" applyBorder="1" applyAlignment="1">
      <alignment horizontal="center" vertical="center"/>
    </xf>
    <xf numFmtId="0" fontId="0" fillId="0" borderId="1" xfId="3" applyFont="1" applyFill="1" applyBorder="1" applyAlignment="1">
      <alignment horizontal="center" vertical="center"/>
    </xf>
    <xf numFmtId="0" fontId="25" fillId="0" borderId="1" xfId="3" applyFont="1" applyFill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0" borderId="1" xfId="2" applyFill="1" applyBorder="1" applyAlignment="1">
      <alignment horizontal="center" vertical="center"/>
    </xf>
    <xf numFmtId="0" fontId="23" fillId="0" borderId="1" xfId="2" applyFont="1" applyBorder="1" applyAlignment="1">
      <alignment horizontal="center" vertical="center"/>
    </xf>
    <xf numFmtId="14" fontId="24" fillId="0" borderId="1" xfId="0" applyNumberFormat="1" applyFont="1" applyBorder="1" applyAlignment="1">
      <alignment horizontal="center" vertical="center"/>
    </xf>
    <xf numFmtId="0" fontId="0" fillId="14" borderId="1" xfId="3" applyFont="1" applyFill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/>
    </xf>
    <xf numFmtId="0" fontId="0" fillId="11" borderId="1" xfId="3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0" borderId="3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7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27" fillId="0" borderId="6" xfId="0" applyFont="1" applyBorder="1" applyAlignment="1">
      <alignment horizontal="center" wrapText="1"/>
    </xf>
    <xf numFmtId="0" fontId="28" fillId="0" borderId="4" xfId="0" applyFont="1" applyBorder="1" applyAlignment="1">
      <alignment horizontal="center" wrapText="1"/>
    </xf>
    <xf numFmtId="0" fontId="28" fillId="0" borderId="6" xfId="0" applyFont="1" applyBorder="1" applyAlignment="1">
      <alignment horizontal="center" wrapText="1"/>
    </xf>
    <xf numFmtId="0" fontId="27" fillId="0" borderId="3" xfId="0" applyFont="1" applyBorder="1" applyAlignment="1">
      <alignment horizontal="center" wrapText="1"/>
    </xf>
    <xf numFmtId="0" fontId="27" fillId="0" borderId="5" xfId="0" applyFont="1" applyBorder="1" applyAlignment="1">
      <alignment horizontal="center" wrapText="1"/>
    </xf>
    <xf numFmtId="0" fontId="27" fillId="0" borderId="4" xfId="0" applyFont="1" applyBorder="1" applyAlignment="1">
      <alignment horizontal="center" wrapText="1"/>
    </xf>
    <xf numFmtId="0" fontId="4" fillId="0" borderId="4" xfId="3" applyFill="1" applyBorder="1" applyAlignment="1">
      <alignment horizontal="center" wrapText="1"/>
    </xf>
    <xf numFmtId="14" fontId="27" fillId="0" borderId="4" xfId="0" applyNumberFormat="1" applyFont="1" applyBorder="1" applyAlignment="1">
      <alignment horizontal="center" wrapText="1"/>
    </xf>
    <xf numFmtId="9" fontId="27" fillId="0" borderId="4" xfId="0" applyNumberFormat="1" applyFont="1" applyBorder="1" applyAlignment="1">
      <alignment horizontal="center"/>
    </xf>
    <xf numFmtId="0" fontId="4" fillId="0" borderId="6" xfId="3" applyFill="1" applyBorder="1" applyAlignment="1">
      <alignment horizontal="center" wrapText="1"/>
    </xf>
    <xf numFmtId="9" fontId="27" fillId="0" borderId="6" xfId="0" applyNumberFormat="1" applyFont="1" applyBorder="1" applyAlignment="1">
      <alignment horizontal="center"/>
    </xf>
    <xf numFmtId="14" fontId="27" fillId="0" borderId="6" xfId="0" applyNumberFormat="1" applyFont="1" applyBorder="1" applyAlignment="1">
      <alignment horizontal="center" wrapText="1"/>
    </xf>
    <xf numFmtId="0" fontId="4" fillId="0" borderId="6" xfId="3" applyFill="1" applyBorder="1" applyAlignment="1">
      <alignment horizontal="center"/>
    </xf>
    <xf numFmtId="14" fontId="27" fillId="0" borderId="6" xfId="0" applyNumberFormat="1" applyFont="1" applyBorder="1" applyAlignment="1">
      <alignment horizontal="center"/>
    </xf>
    <xf numFmtId="0" fontId="29" fillId="0" borderId="6" xfId="0" applyFont="1" applyBorder="1" applyAlignment="1">
      <alignment horizontal="center" wrapText="1"/>
    </xf>
    <xf numFmtId="0" fontId="30" fillId="0" borderId="6" xfId="0" applyFont="1" applyBorder="1" applyAlignment="1">
      <alignment horizontal="center" wrapText="1"/>
    </xf>
    <xf numFmtId="0" fontId="30" fillId="0" borderId="6" xfId="0" applyFont="1" applyBorder="1" applyAlignment="1">
      <alignment horizontal="center"/>
    </xf>
    <xf numFmtId="14" fontId="26" fillId="0" borderId="0" xfId="0" applyNumberFormat="1" applyFont="1" applyAlignment="1">
      <alignment horizontal="center"/>
    </xf>
    <xf numFmtId="0" fontId="27" fillId="0" borderId="6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14" fontId="27" fillId="0" borderId="6" xfId="0" applyNumberFormat="1" applyFont="1" applyBorder="1" applyAlignment="1">
      <alignment horizontal="center" vertical="center"/>
    </xf>
    <xf numFmtId="9" fontId="27" fillId="0" borderId="6" xfId="0" applyNumberFormat="1" applyFont="1" applyBorder="1" applyAlignment="1">
      <alignment horizontal="center" vertical="center"/>
    </xf>
    <xf numFmtId="0" fontId="0" fillId="0" borderId="6" xfId="3" applyFont="1" applyBorder="1" applyAlignment="1">
      <alignment horizontal="center" vertical="center"/>
    </xf>
    <xf numFmtId="0" fontId="0" fillId="0" borderId="6" xfId="3" applyFont="1" applyFill="1" applyBorder="1" applyAlignment="1">
      <alignment horizontal="center"/>
    </xf>
    <xf numFmtId="10" fontId="27" fillId="0" borderId="6" xfId="0" applyNumberFormat="1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" fontId="0" fillId="0" borderId="1" xfId="3" applyNumberFormat="1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/>
    </xf>
    <xf numFmtId="0" fontId="31" fillId="18" borderId="3" xfId="0" applyFont="1" applyFill="1" applyBorder="1" applyAlignment="1">
      <alignment horizontal="center" vertical="center" wrapText="1"/>
    </xf>
    <xf numFmtId="0" fontId="31" fillId="17" borderId="3" xfId="0" applyFont="1" applyFill="1" applyBorder="1" applyAlignment="1">
      <alignment horizontal="center" vertical="center" wrapText="1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4" fillId="0" borderId="4" xfId="3" applyFill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9" fontId="27" fillId="0" borderId="4" xfId="0" applyNumberFormat="1" applyFont="1" applyBorder="1" applyAlignment="1">
      <alignment horizontal="center" vertical="center"/>
    </xf>
    <xf numFmtId="14" fontId="27" fillId="0" borderId="4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31" fillId="17" borderId="3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 wrapText="1"/>
    </xf>
    <xf numFmtId="9" fontId="27" fillId="0" borderId="6" xfId="0" applyNumberFormat="1" applyFont="1" applyBorder="1" applyAlignment="1">
      <alignment horizontal="center" vertical="center" wrapText="1"/>
    </xf>
    <xf numFmtId="14" fontId="27" fillId="0" borderId="6" xfId="0" applyNumberFormat="1" applyFont="1" applyBorder="1" applyAlignment="1">
      <alignment horizontal="center" vertical="center" wrapText="1"/>
    </xf>
    <xf numFmtId="10" fontId="27" fillId="0" borderId="6" xfId="0" applyNumberFormat="1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7" fillId="0" borderId="1" xfId="1" applyNumberFormat="1" applyFont="1" applyBorder="1" applyAlignment="1">
      <alignment horizontal="center" vertical="center"/>
    </xf>
    <xf numFmtId="0" fontId="1" fillId="14" borderId="1" xfId="3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0" borderId="1" xfId="3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/>
    </xf>
    <xf numFmtId="0" fontId="0" fillId="11" borderId="1" xfId="0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center" vertical="center" wrapText="1"/>
    </xf>
    <xf numFmtId="0" fontId="27" fillId="11" borderId="4" xfId="0" applyFont="1" applyFill="1" applyBorder="1" applyAlignment="1">
      <alignment horizontal="center" vertical="center"/>
    </xf>
    <xf numFmtId="0" fontId="27" fillId="11" borderId="6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1" fontId="0" fillId="11" borderId="1" xfId="0" applyNumberFormat="1" applyFill="1" applyBorder="1" applyAlignment="1">
      <alignment horizontal="center" vertical="center"/>
    </xf>
    <xf numFmtId="0" fontId="27" fillId="11" borderId="4" xfId="0" applyFont="1" applyFill="1" applyBorder="1" applyAlignment="1">
      <alignment horizontal="center" wrapText="1"/>
    </xf>
    <xf numFmtId="0" fontId="27" fillId="11" borderId="6" xfId="0" applyFont="1" applyFill="1" applyBorder="1" applyAlignment="1">
      <alignment horizontal="center" wrapText="1"/>
    </xf>
    <xf numFmtId="0" fontId="27" fillId="11" borderId="6" xfId="0" applyFont="1" applyFill="1" applyBorder="1" applyAlignment="1">
      <alignment horizontal="center" vertical="center" wrapText="1"/>
    </xf>
    <xf numFmtId="0" fontId="27" fillId="11" borderId="6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vertical="center"/>
    </xf>
    <xf numFmtId="10" fontId="0" fillId="11" borderId="1" xfId="0" applyNumberForma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4" fillId="0" borderId="6" xfId="2" applyBorder="1" applyAlignment="1">
      <alignment horizontal="center" vertical="center"/>
    </xf>
    <xf numFmtId="0" fontId="24" fillId="0" borderId="6" xfId="0" applyFont="1" applyBorder="1" applyAlignment="1">
      <alignment horizontal="center" vertical="center" wrapText="1"/>
    </xf>
    <xf numFmtId="14" fontId="27" fillId="0" borderId="4" xfId="0" applyNumberFormat="1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14" fontId="27" fillId="11" borderId="6" xfId="0" applyNumberFormat="1" applyFont="1" applyFill="1" applyBorder="1" applyAlignment="1">
      <alignment horizontal="center" vertical="center"/>
    </xf>
    <xf numFmtId="9" fontId="27" fillId="11" borderId="6" xfId="0" applyNumberFormat="1" applyFont="1" applyFill="1" applyBorder="1" applyAlignment="1">
      <alignment horizontal="center" vertical="center"/>
    </xf>
    <xf numFmtId="0" fontId="27" fillId="11" borderId="5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 wrapText="1"/>
    </xf>
    <xf numFmtId="0" fontId="0" fillId="11" borderId="6" xfId="3" applyFont="1" applyFill="1" applyBorder="1" applyAlignment="1">
      <alignment horizontal="center" vertical="center"/>
    </xf>
    <xf numFmtId="0" fontId="27" fillId="11" borderId="10" xfId="0" applyFont="1" applyFill="1" applyBorder="1" applyAlignment="1">
      <alignment horizontal="center" vertical="center"/>
    </xf>
    <xf numFmtId="10" fontId="27" fillId="11" borderId="6" xfId="0" applyNumberFormat="1" applyFont="1" applyFill="1" applyBorder="1" applyAlignment="1">
      <alignment horizontal="center" vertical="center"/>
    </xf>
    <xf numFmtId="0" fontId="24" fillId="11" borderId="6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0" fontId="31" fillId="20" borderId="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24" fillId="0" borderId="6" xfId="0" applyFont="1" applyBorder="1" applyAlignment="1">
      <alignment horizontal="center" wrapText="1"/>
    </xf>
    <xf numFmtId="0" fontId="13" fillId="0" borderId="6" xfId="2" applyFont="1" applyFill="1" applyBorder="1" applyAlignment="1">
      <alignment horizontal="center" wrapText="1"/>
    </xf>
    <xf numFmtId="0" fontId="4" fillId="0" borderId="6" xfId="2" applyFill="1" applyBorder="1" applyAlignment="1">
      <alignment horizontal="center"/>
    </xf>
    <xf numFmtId="0" fontId="24" fillId="11" borderId="6" xfId="0" applyFont="1" applyFill="1" applyBorder="1" applyAlignment="1">
      <alignment horizontal="center" wrapText="1"/>
    </xf>
    <xf numFmtId="9" fontId="24" fillId="0" borderId="6" xfId="0" applyNumberFormat="1" applyFont="1" applyBorder="1" applyAlignment="1">
      <alignment horizontal="center"/>
    </xf>
    <xf numFmtId="0" fontId="4" fillId="0" borderId="1" xfId="2" applyBorder="1" applyAlignment="1">
      <alignment horizontal="center" vertical="center" wrapText="1"/>
    </xf>
    <xf numFmtId="0" fontId="4" fillId="0" borderId="6" xfId="2" applyBorder="1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8" fillId="0" borderId="3" xfId="0" applyFont="1" applyBorder="1" applyAlignment="1">
      <alignment horizontal="center" wrapText="1"/>
    </xf>
    <xf numFmtId="165" fontId="0" fillId="0" borderId="1" xfId="0" applyNumberFormat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0" fillId="0" borderId="14" xfId="0" applyBorder="1" applyAlignment="1">
      <alignment horizontal="center" vertical="center"/>
    </xf>
    <xf numFmtId="0" fontId="27" fillId="0" borderId="15" xfId="0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0" fontId="28" fillId="0" borderId="11" xfId="0" applyFont="1" applyBorder="1" applyAlignment="1">
      <alignment horizontal="center" wrapText="1"/>
    </xf>
    <xf numFmtId="0" fontId="27" fillId="0" borderId="11" xfId="0" applyFont="1" applyBorder="1" applyAlignment="1">
      <alignment horizontal="center" wrapText="1"/>
    </xf>
    <xf numFmtId="0" fontId="30" fillId="0" borderId="11" xfId="0" applyFont="1" applyBorder="1" applyAlignment="1">
      <alignment horizontal="center" wrapText="1"/>
    </xf>
    <xf numFmtId="0" fontId="4" fillId="0" borderId="11" xfId="3" applyFill="1" applyBorder="1" applyAlignment="1">
      <alignment horizontal="center" wrapText="1"/>
    </xf>
    <xf numFmtId="0" fontId="24" fillId="0" borderId="11" xfId="0" applyFont="1" applyBorder="1" applyAlignment="1">
      <alignment horizontal="center"/>
    </xf>
    <xf numFmtId="0" fontId="27" fillId="11" borderId="11" xfId="0" applyFont="1" applyFill="1" applyBorder="1" applyAlignment="1">
      <alignment horizontal="center"/>
    </xf>
    <xf numFmtId="9" fontId="27" fillId="0" borderId="11" xfId="0" applyNumberFormat="1" applyFont="1" applyBorder="1" applyAlignment="1">
      <alignment horizontal="center"/>
    </xf>
    <xf numFmtId="0" fontId="27" fillId="0" borderId="13" xfId="0" applyFont="1" applyBorder="1" applyAlignment="1">
      <alignment horizontal="center"/>
    </xf>
    <xf numFmtId="0" fontId="0" fillId="11" borderId="13" xfId="0" applyFill="1" applyBorder="1" applyAlignment="1">
      <alignment horizontal="center" vertical="center"/>
    </xf>
    <xf numFmtId="1" fontId="27" fillId="0" borderId="3" xfId="0" applyNumberFormat="1" applyFont="1" applyBorder="1" applyAlignment="1">
      <alignment horizontal="center" wrapText="1"/>
    </xf>
    <xf numFmtId="0" fontId="30" fillId="0" borderId="3" xfId="0" applyFont="1" applyBorder="1" applyAlignment="1">
      <alignment horizontal="center" wrapText="1"/>
    </xf>
    <xf numFmtId="0" fontId="4" fillId="0" borderId="3" xfId="3" applyFill="1" applyBorder="1" applyAlignment="1">
      <alignment horizontal="center" wrapText="1"/>
    </xf>
    <xf numFmtId="0" fontId="24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 wrapText="1"/>
    </xf>
    <xf numFmtId="0" fontId="24" fillId="11" borderId="3" xfId="0" applyFont="1" applyFill="1" applyBorder="1" applyAlignment="1">
      <alignment horizontal="center"/>
    </xf>
    <xf numFmtId="0" fontId="24" fillId="11" borderId="6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9" fontId="0" fillId="0" borderId="3" xfId="1" applyFont="1" applyFill="1" applyBorder="1" applyAlignment="1">
      <alignment horizontal="center" vertical="center" wrapText="1"/>
    </xf>
    <xf numFmtId="9" fontId="0" fillId="0" borderId="3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 wrapText="1"/>
    </xf>
    <xf numFmtId="165" fontId="0" fillId="0" borderId="3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 wrapText="1"/>
    </xf>
    <xf numFmtId="9" fontId="0" fillId="0" borderId="3" xfId="0" applyNumberFormat="1" applyBorder="1" applyAlignment="1">
      <alignment horizontal="center"/>
    </xf>
    <xf numFmtId="0" fontId="27" fillId="0" borderId="16" xfId="0" applyFont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 wrapText="1"/>
    </xf>
    <xf numFmtId="165" fontId="0" fillId="0" borderId="1" xfId="1" applyNumberFormat="1" applyFont="1" applyFill="1" applyBorder="1" applyAlignment="1">
      <alignment horizontal="center" vertical="center" wrapText="1"/>
    </xf>
    <xf numFmtId="0" fontId="4" fillId="0" borderId="1" xfId="2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0" fontId="4" fillId="0" borderId="3" xfId="2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4" fillId="0" borderId="3" xfId="2" applyFill="1" applyBorder="1" applyAlignment="1">
      <alignment horizontal="center" wrapText="1"/>
    </xf>
    <xf numFmtId="0" fontId="24" fillId="12" borderId="3" xfId="0" applyFont="1" applyFill="1" applyBorder="1" applyAlignment="1">
      <alignment horizontal="center"/>
    </xf>
    <xf numFmtId="0" fontId="13" fillId="0" borderId="6" xfId="3" applyFont="1" applyFill="1" applyBorder="1" applyAlignment="1">
      <alignment horizontal="center" wrapText="1"/>
    </xf>
    <xf numFmtId="0" fontId="31" fillId="18" borderId="3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4" fillId="14" borderId="1" xfId="2" applyFill="1" applyBorder="1" applyAlignment="1">
      <alignment horizontal="center" vertical="center" wrapText="1"/>
    </xf>
    <xf numFmtId="165" fontId="18" fillId="0" borderId="1" xfId="0" applyNumberFormat="1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/>
    </xf>
    <xf numFmtId="0" fontId="24" fillId="0" borderId="16" xfId="0" applyFont="1" applyBorder="1" applyAlignment="1">
      <alignment horizontal="center"/>
    </xf>
    <xf numFmtId="0" fontId="28" fillId="9" borderId="3" xfId="0" applyFont="1" applyFill="1" applyBorder="1" applyAlignment="1">
      <alignment horizontal="center" wrapText="1"/>
    </xf>
    <xf numFmtId="14" fontId="27" fillId="0" borderId="3" xfId="0" applyNumberFormat="1" applyFont="1" applyBorder="1" applyAlignment="1">
      <alignment horizontal="center"/>
    </xf>
    <xf numFmtId="14" fontId="24" fillId="0" borderId="3" xfId="0" applyNumberFormat="1" applyFont="1" applyBorder="1" applyAlignment="1">
      <alignment horizontal="center"/>
    </xf>
    <xf numFmtId="0" fontId="28" fillId="9" borderId="6" xfId="0" applyFont="1" applyFill="1" applyBorder="1" applyAlignment="1">
      <alignment horizontal="center" wrapText="1"/>
    </xf>
    <xf numFmtId="0" fontId="28" fillId="21" borderId="6" xfId="0" applyFont="1" applyFill="1" applyBorder="1" applyAlignment="1">
      <alignment horizontal="center" wrapText="1"/>
    </xf>
    <xf numFmtId="0" fontId="27" fillId="21" borderId="5" xfId="0" applyFont="1" applyFill="1" applyBorder="1" applyAlignment="1">
      <alignment horizontal="center"/>
    </xf>
    <xf numFmtId="0" fontId="27" fillId="21" borderId="6" xfId="0" applyFont="1" applyFill="1" applyBorder="1" applyAlignment="1">
      <alignment horizontal="center"/>
    </xf>
    <xf numFmtId="0" fontId="27" fillId="21" borderId="5" xfId="0" applyFont="1" applyFill="1" applyBorder="1" applyAlignment="1">
      <alignment horizontal="center" vertical="center" wrapText="1"/>
    </xf>
    <xf numFmtId="0" fontId="27" fillId="21" borderId="6" xfId="0" applyFont="1" applyFill="1" applyBorder="1" applyAlignment="1">
      <alignment horizontal="center" wrapText="1"/>
    </xf>
    <xf numFmtId="0" fontId="0" fillId="21" borderId="1" xfId="0" applyFill="1" applyBorder="1" applyAlignment="1">
      <alignment horizontal="center" vertical="center"/>
    </xf>
    <xf numFmtId="9" fontId="27" fillId="21" borderId="6" xfId="0" applyNumberFormat="1" applyFont="1" applyFill="1" applyBorder="1" applyAlignment="1">
      <alignment horizontal="center"/>
    </xf>
    <xf numFmtId="14" fontId="27" fillId="21" borderId="6" xfId="0" applyNumberFormat="1" applyFont="1" applyFill="1" applyBorder="1" applyAlignment="1">
      <alignment horizontal="center"/>
    </xf>
    <xf numFmtId="0" fontId="4" fillId="0" borderId="6" xfId="2" applyFill="1" applyBorder="1" applyAlignment="1">
      <alignment horizontal="center" wrapText="1"/>
    </xf>
    <xf numFmtId="0" fontId="27" fillId="9" borderId="6" xfId="0" applyFont="1" applyFill="1" applyBorder="1" applyAlignment="1">
      <alignment horizontal="center" vertical="center"/>
    </xf>
    <xf numFmtId="0" fontId="27" fillId="9" borderId="6" xfId="0" applyFont="1" applyFill="1" applyBorder="1" applyAlignment="1">
      <alignment horizontal="center" vertical="center" wrapText="1"/>
    </xf>
    <xf numFmtId="0" fontId="24" fillId="9" borderId="6" xfId="0" applyFont="1" applyFill="1" applyBorder="1" applyAlignment="1">
      <alignment horizontal="center" vertical="center"/>
    </xf>
    <xf numFmtId="0" fontId="33" fillId="22" borderId="3" xfId="0" applyFont="1" applyFill="1" applyBorder="1" applyAlignment="1">
      <alignment horizontal="center" vertical="center"/>
    </xf>
    <xf numFmtId="0" fontId="24" fillId="9" borderId="4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7" fillId="12" borderId="6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34" fillId="2" borderId="2" xfId="0" applyFont="1" applyFill="1" applyBorder="1" applyAlignment="1">
      <alignment horizontal="center" vertical="center" wrapText="1"/>
    </xf>
    <xf numFmtId="0" fontId="35" fillId="2" borderId="2" xfId="0" applyFont="1" applyFill="1" applyBorder="1" applyAlignment="1">
      <alignment horizontal="center" vertical="center" wrapText="1"/>
    </xf>
    <xf numFmtId="0" fontId="35" fillId="3" borderId="2" xfId="0" applyFont="1" applyFill="1" applyBorder="1" applyAlignment="1">
      <alignment horizontal="center" vertical="center" wrapText="1"/>
    </xf>
    <xf numFmtId="0" fontId="35" fillId="4" borderId="2" xfId="0" applyFont="1" applyFill="1" applyBorder="1" applyAlignment="1">
      <alignment horizontal="center" vertical="center"/>
    </xf>
    <xf numFmtId="9" fontId="35" fillId="3" borderId="2" xfId="1" applyFont="1" applyFill="1" applyBorder="1" applyAlignment="1">
      <alignment horizontal="center" vertical="center" wrapText="1"/>
    </xf>
    <xf numFmtId="0" fontId="35" fillId="5" borderId="2" xfId="0" applyFont="1" applyFill="1" applyBorder="1" applyAlignment="1">
      <alignment horizontal="center" vertical="center" wrapText="1"/>
    </xf>
    <xf numFmtId="9" fontId="35" fillId="5" borderId="2" xfId="1" applyFont="1" applyFill="1" applyBorder="1" applyAlignment="1">
      <alignment horizontal="center" vertical="center" wrapText="1"/>
    </xf>
    <xf numFmtId="0" fontId="34" fillId="6" borderId="2" xfId="0" applyFont="1" applyFill="1" applyBorder="1" applyAlignment="1">
      <alignment horizontal="center" vertical="center" wrapText="1"/>
    </xf>
    <xf numFmtId="0" fontId="34" fillId="7" borderId="2" xfId="0" applyFont="1" applyFill="1" applyBorder="1" applyAlignment="1">
      <alignment horizontal="center" vertical="center" wrapText="1"/>
    </xf>
    <xf numFmtId="9" fontId="34" fillId="7" borderId="2" xfId="1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wrapText="1"/>
    </xf>
    <xf numFmtId="9" fontId="34" fillId="3" borderId="2" xfId="1" applyFont="1" applyFill="1" applyBorder="1" applyAlignment="1">
      <alignment horizontal="center" vertical="center" wrapText="1"/>
    </xf>
    <xf numFmtId="0" fontId="34" fillId="8" borderId="2" xfId="0" applyFont="1" applyFill="1" applyBorder="1" applyAlignment="1">
      <alignment horizontal="center" vertical="center" wrapText="1"/>
    </xf>
    <xf numFmtId="9" fontId="34" fillId="8" borderId="2" xfId="1" applyFont="1" applyFill="1" applyBorder="1" applyAlignment="1">
      <alignment horizontal="center" vertical="center" wrapText="1"/>
    </xf>
    <xf numFmtId="0" fontId="34" fillId="9" borderId="2" xfId="0" applyFont="1" applyFill="1" applyBorder="1" applyAlignment="1">
      <alignment horizontal="center" vertical="center" wrapText="1"/>
    </xf>
    <xf numFmtId="0" fontId="34" fillId="10" borderId="2" xfId="0" applyFont="1" applyFill="1" applyBorder="1" applyAlignment="1">
      <alignment horizontal="center" vertical="center" wrapText="1"/>
    </xf>
    <xf numFmtId="0" fontId="36" fillId="0" borderId="0" xfId="0" applyFont="1"/>
    <xf numFmtId="0" fontId="0" fillId="2" borderId="3" xfId="0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28" fillId="9" borderId="6" xfId="0" applyFont="1" applyFill="1" applyBorder="1" applyAlignment="1">
      <alignment horizontal="center" vertical="center" wrapText="1"/>
    </xf>
    <xf numFmtId="0" fontId="4" fillId="0" borderId="6" xfId="2" applyFill="1" applyBorder="1" applyAlignment="1">
      <alignment horizontal="center" vertical="center" wrapText="1"/>
    </xf>
    <xf numFmtId="0" fontId="4" fillId="0" borderId="6" xfId="3" applyFill="1" applyBorder="1" applyAlignment="1">
      <alignment horizontal="center" vertical="center" wrapText="1"/>
    </xf>
    <xf numFmtId="0" fontId="4" fillId="0" borderId="6" xfId="2" applyBorder="1" applyAlignment="1">
      <alignment horizontal="center" vertical="center" wrapText="1"/>
    </xf>
    <xf numFmtId="0" fontId="24" fillId="11" borderId="6" xfId="0" applyFont="1" applyFill="1" applyBorder="1" applyAlignment="1">
      <alignment horizontal="center" vertical="center" wrapText="1"/>
    </xf>
    <xf numFmtId="0" fontId="24" fillId="12" borderId="6" xfId="0" applyFont="1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14" fontId="0" fillId="13" borderId="3" xfId="0" applyNumberFormat="1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14" fontId="0" fillId="13" borderId="7" xfId="0" applyNumberForma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33" fillId="9" borderId="3" xfId="0" applyFont="1" applyFill="1" applyBorder="1" applyAlignment="1">
      <alignment vertical="center"/>
    </xf>
    <xf numFmtId="0" fontId="0" fillId="9" borderId="3" xfId="0" applyFill="1" applyBorder="1" applyAlignment="1">
      <alignment vertical="center"/>
    </xf>
    <xf numFmtId="0" fontId="18" fillId="9" borderId="0" xfId="0" applyFont="1" applyFill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0" fillId="0" borderId="12" xfId="0" applyBorder="1" applyAlignment="1">
      <alignment horizontal="center" vertical="center" wrapText="1"/>
    </xf>
    <xf numFmtId="0" fontId="0" fillId="9" borderId="13" xfId="0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20" fillId="16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14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24" borderId="3" xfId="0" applyFill="1" applyBorder="1" applyAlignment="1">
      <alignment vertical="center"/>
    </xf>
    <xf numFmtId="14" fontId="0" fillId="0" borderId="14" xfId="0" applyNumberForma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65" fontId="0" fillId="0" borderId="1" xfId="1" applyNumberFormat="1" applyFont="1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10" fillId="23" borderId="1" xfId="0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14" fontId="37" fillId="0" borderId="1" xfId="0" applyNumberFormat="1" applyFont="1" applyBorder="1" applyAlignment="1">
      <alignment horizontal="center" vertical="center"/>
    </xf>
    <xf numFmtId="10" fontId="37" fillId="0" borderId="1" xfId="0" applyNumberFormat="1" applyFont="1" applyBorder="1" applyAlignment="1">
      <alignment horizontal="center" vertical="center"/>
    </xf>
    <xf numFmtId="0" fontId="37" fillId="0" borderId="0" xfId="0" applyFont="1" applyAlignment="1">
      <alignment horizontal="center"/>
    </xf>
    <xf numFmtId="0" fontId="38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39" fillId="2" borderId="2" xfId="0" applyFont="1" applyFill="1" applyBorder="1" applyAlignment="1">
      <alignment horizontal="center" vertical="center" wrapText="1"/>
    </xf>
    <xf numFmtId="0" fontId="39" fillId="3" borderId="2" xfId="0" applyFont="1" applyFill="1" applyBorder="1" applyAlignment="1">
      <alignment horizontal="center" vertical="center" wrapText="1"/>
    </xf>
    <xf numFmtId="0" fontId="37" fillId="0" borderId="2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/>
    </xf>
    <xf numFmtId="0" fontId="0" fillId="0" borderId="23" xfId="0" applyBorder="1" applyAlignment="1">
      <alignment horizontal="center" vertical="center"/>
    </xf>
    <xf numFmtId="9" fontId="27" fillId="0" borderId="3" xfId="0" applyNumberFormat="1" applyFont="1" applyBorder="1" applyAlignment="1">
      <alignment horizontal="center"/>
    </xf>
    <xf numFmtId="0" fontId="28" fillId="0" borderId="0" xfId="0" applyFont="1" applyAlignment="1">
      <alignment horizontal="center" wrapText="1"/>
    </xf>
    <xf numFmtId="14" fontId="0" fillId="0" borderId="0" xfId="0" applyNumberFormat="1" applyAlignment="1">
      <alignment horizontal="center" vertical="center"/>
    </xf>
    <xf numFmtId="14" fontId="27" fillId="0" borderId="11" xfId="0" applyNumberFormat="1" applyFont="1" applyBorder="1" applyAlignment="1">
      <alignment horizontal="center" wrapText="1"/>
    </xf>
    <xf numFmtId="14" fontId="27" fillId="0" borderId="3" xfId="0" applyNumberFormat="1" applyFont="1" applyBorder="1" applyAlignment="1">
      <alignment horizontal="center" wrapText="1"/>
    </xf>
    <xf numFmtId="0" fontId="4" fillId="0" borderId="3" xfId="3" applyFill="1" applyBorder="1" applyAlignment="1">
      <alignment horizontal="center"/>
    </xf>
    <xf numFmtId="0" fontId="28" fillId="9" borderId="3" xfId="0" applyFont="1" applyFill="1" applyBorder="1" applyAlignment="1">
      <alignment horizontal="center"/>
    </xf>
    <xf numFmtId="14" fontId="33" fillId="22" borderId="3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</cellXfs>
  <cellStyles count="4">
    <cellStyle name="Hipervínculo" xfId="2" builtinId="8"/>
    <cellStyle name="Hyperlink" xfId="3" xr:uid="{00000000-0005-0000-0000-000001000000}"/>
    <cellStyle name="Normal" xfId="0" builtinId="0"/>
    <cellStyle name="Porcentaje" xfId="1" builtinId="5"/>
  </cellStyles>
  <dxfs count="32">
    <dxf>
      <fill>
        <patternFill>
          <bgColor rgb="FFFF0000"/>
        </patternFill>
      </fill>
    </dxf>
    <dxf>
      <fill>
        <patternFill>
          <bgColor rgb="FF00B81F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1CEC35"/>
      <color rgb="FF09FF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ENOVO/Desktop/hoy/ESTRUCTURA%20CENSO%20ESTABLECIMIENTOS%20SALUD%20AMBIENTAL%20(1).xlsx" TargetMode="External"/><Relationship Id="rId1" Type="http://schemas.openxmlformats.org/officeDocument/2006/relationships/externalLinkPath" Target="/Users/LENOVO/Desktop/hoy/ESTRUCTURA%20CENSO%20ESTABLECIMIENTOS%20SALUD%20AMBIENTAL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EDUARDO%20VERGARA/Desktop/SALUD%20AMBIENTAL/CENSO%20ALIMENTOS%20Y%20BEBIDAS/CENSO%20ESTABLECIMIENTOS%20Y%20PROGRAMADOR%20ALIMENTOS%20y%20BEBIDAS%20(2)%20(3)%20(1)%20(2).xlsx" TargetMode="External"/><Relationship Id="rId1" Type="http://schemas.openxmlformats.org/officeDocument/2006/relationships/externalLinkPath" Target="/Users/EDUARDO%20VERGARA/Desktop/SALUD%20AMBIENTAL/CENSO%20ALIMENTOS%20Y%20BEBIDAS/CENSO%20ESTABLECIMIENTOS%20Y%20PROGRAMADOR%20ALIMENTOS%20y%20BEBIDAS%20(2)%20(3)%20(1)%20(2)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paola/Downloads/CENSO%20ALIMENTOS%20Y%20BEBIDAS.xlsx" TargetMode="External"/><Relationship Id="rId1" Type="http://schemas.openxmlformats.org/officeDocument/2006/relationships/externalLinkPath" Target="/Users/paola/Downloads/CENSO%20ALIMENTOS%20Y%20BEBID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3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2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SPLEGABLES 2"/>
      <sheetName val="DESPLEGABLES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UNIONTEMPORALINDIGENAPANZENU@GMAIL.COM" TargetMode="External"/><Relationship Id="rId21" Type="http://schemas.openxmlformats.org/officeDocument/2006/relationships/hyperlink" Target="mailto:ASOPALOALTO@HOTMAIL.COM" TargetMode="External"/><Relationship Id="rId324" Type="http://schemas.openxmlformats.org/officeDocument/2006/relationships/hyperlink" Target="mailto:ASOCIACIONCREAMOSFUTURO2023@GMAIL.OM" TargetMode="External"/><Relationship Id="rId531" Type="http://schemas.openxmlformats.org/officeDocument/2006/relationships/hyperlink" Target="mailto:FUNSALSINCELEJO@GMAIL.COM" TargetMode="External"/><Relationship Id="rId170" Type="http://schemas.openxmlformats.org/officeDocument/2006/relationships/hyperlink" Target="mailto:LUZMARINAMADERA2019@GMAIL.COM" TargetMode="External"/><Relationship Id="rId268" Type="http://schemas.openxmlformats.org/officeDocument/2006/relationships/hyperlink" Target="mailto:ASOCIACIONMULTISECTORIALAHINCO@GMAIL.COM" TargetMode="External"/><Relationship Id="rId475" Type="http://schemas.openxmlformats.org/officeDocument/2006/relationships/hyperlink" Target="mailto:CORPODESUCRE@GMAIL.COM" TargetMode="External"/><Relationship Id="rId32" Type="http://schemas.openxmlformats.org/officeDocument/2006/relationships/hyperlink" Target="mailto:FUNLOSFLAMINGOS@GMAIL.COM" TargetMode="External"/><Relationship Id="rId128" Type="http://schemas.openxmlformats.org/officeDocument/2006/relationships/hyperlink" Target="mailto:EDINSON.VERGARA@GMAIL.COM" TargetMode="External"/><Relationship Id="rId335" Type="http://schemas.openxmlformats.org/officeDocument/2006/relationships/hyperlink" Target="mailto:UNIONTEMPORALABUELITOS2024@GMAIL.COM" TargetMode="External"/><Relationship Id="rId542" Type="http://schemas.openxmlformats.org/officeDocument/2006/relationships/hyperlink" Target="mailto:utcreciendojuntos2026@gmail.com" TargetMode="External"/><Relationship Id="rId181" Type="http://schemas.openxmlformats.org/officeDocument/2006/relationships/hyperlink" Target="mailto:ARIANNYBUA07@GMAIL.COM" TargetMode="External"/><Relationship Id="rId402" Type="http://schemas.openxmlformats.org/officeDocument/2006/relationships/hyperlink" Target="mailto:RIOSCINDY2305@GMAIL.COM" TargetMode="External"/><Relationship Id="rId279" Type="http://schemas.openxmlformats.org/officeDocument/2006/relationships/hyperlink" Target="mailto:SANDRAURREA_17@HOTMAIL.COM" TargetMode="External"/><Relationship Id="rId486" Type="http://schemas.openxmlformats.org/officeDocument/2006/relationships/hyperlink" Target="mailto:AGROAMBIENTE.ONG@HOTMAIL.COM" TargetMode="External"/><Relationship Id="rId43" Type="http://schemas.openxmlformats.org/officeDocument/2006/relationships/hyperlink" Target="mailto:ELVIA.ORTEGA17@HOTMAIL.COM" TargetMode="External"/><Relationship Id="rId139" Type="http://schemas.openxmlformats.org/officeDocument/2006/relationships/hyperlink" Target="mailto:RODHER_20@HOTMAIL.COM" TargetMode="External"/><Relationship Id="rId346" Type="http://schemas.openxmlformats.org/officeDocument/2006/relationships/hyperlink" Target="mailto:CARNESYPARRILLASANONOFRE@GMAIL.COM" TargetMode="External"/><Relationship Id="rId553" Type="http://schemas.openxmlformats.org/officeDocument/2006/relationships/hyperlink" Target="mailto:UTCRECIENDOJUNTOS2026@GMAIL.COM" TargetMode="External"/><Relationship Id="rId192" Type="http://schemas.openxmlformats.org/officeDocument/2006/relationships/hyperlink" Target="mailto:MEGATIENDANAPOLITANA_025@GMAIL.COM" TargetMode="External"/><Relationship Id="rId206" Type="http://schemas.openxmlformats.org/officeDocument/2006/relationships/hyperlink" Target="mailto:PIMESAS2018@GMAIL.COM" TargetMode="External"/><Relationship Id="rId413" Type="http://schemas.openxmlformats.org/officeDocument/2006/relationships/hyperlink" Target="mailto:MATEZUGO27@HOTMAIL.COM" TargetMode="External"/><Relationship Id="rId497" Type="http://schemas.openxmlformats.org/officeDocument/2006/relationships/hyperlink" Target="mailto:LOGISTICAYGESTIONESBENITO@GMAIL.COM" TargetMode="External"/><Relationship Id="rId357" Type="http://schemas.openxmlformats.org/officeDocument/2006/relationships/hyperlink" Target="mailto:JEFERSONMIHIJO7@GMAIL.COM" TargetMode="External"/><Relationship Id="rId54" Type="http://schemas.openxmlformats.org/officeDocument/2006/relationships/hyperlink" Target="mailto:YIMARAR25@GMAIL.COM" TargetMode="External"/><Relationship Id="rId217" Type="http://schemas.openxmlformats.org/officeDocument/2006/relationships/hyperlink" Target="mailto:FRANKGALINDOR@HOTMAIL.COM" TargetMode="External"/><Relationship Id="rId564" Type="http://schemas.openxmlformats.org/officeDocument/2006/relationships/hyperlink" Target="mailto:SEQUEAJAMILE@GMAIL.COM" TargetMode="External"/><Relationship Id="rId424" Type="http://schemas.openxmlformats.org/officeDocument/2006/relationships/hyperlink" Target="mailto:MAKY517@HOTMAIL.COM" TargetMode="External"/><Relationship Id="rId270" Type="http://schemas.openxmlformats.org/officeDocument/2006/relationships/hyperlink" Target="mailto:MALEJAPALMERA95@GMAIL.COM" TargetMode="External"/><Relationship Id="rId65" Type="http://schemas.openxmlformats.org/officeDocument/2006/relationships/hyperlink" Target="mailto:GRANEROELGRANODEORO19@GMAIL.COM" TargetMode="External"/><Relationship Id="rId130" Type="http://schemas.openxmlformats.org/officeDocument/2006/relationships/hyperlink" Target="mailto:COMPRASCRISTALIMA@GMAIL.COM" TargetMode="External"/><Relationship Id="rId368" Type="http://schemas.openxmlformats.org/officeDocument/2006/relationships/hyperlink" Target="mailto:ASOSINCE1@HOTMAIL.COM" TargetMode="External"/><Relationship Id="rId575" Type="http://schemas.openxmlformats.org/officeDocument/2006/relationships/hyperlink" Target="mailto:YULI@SALMARYLUNA.COM" TargetMode="External"/><Relationship Id="rId228" Type="http://schemas.openxmlformats.org/officeDocument/2006/relationships/hyperlink" Target="mailto:FRANKGALINDOR@HOTMAIL.COM" TargetMode="External"/><Relationship Id="rId435" Type="http://schemas.openxmlformats.org/officeDocument/2006/relationships/hyperlink" Target="mailto:COORDINADOR.OPERACIONES.RG@JERONIMO-MARTINS.COM" TargetMode="External"/><Relationship Id="rId281" Type="http://schemas.openxmlformats.org/officeDocument/2006/relationships/hyperlink" Target="mailto:AGROAMBIENTE.ONG@HOTMAIL.COM" TargetMode="External"/><Relationship Id="rId502" Type="http://schemas.openxmlformats.org/officeDocument/2006/relationships/hyperlink" Target="mailto:LOGISTICAYGESTIONESBENITO@GMAL.COM" TargetMode="External"/><Relationship Id="rId76" Type="http://schemas.openxmlformats.org/officeDocument/2006/relationships/hyperlink" Target="mailto:ANDREA2402GUZ@GAMAIL.COM" TargetMode="External"/><Relationship Id="rId141" Type="http://schemas.openxmlformats.org/officeDocument/2006/relationships/hyperlink" Target="mailto:ALEXANDERCASTILLO.29@HOTMAIL.COM" TargetMode="External"/><Relationship Id="rId379" Type="http://schemas.openxmlformats.org/officeDocument/2006/relationships/hyperlink" Target="mailto:ASOSINCE01@HOTMAIL.COM" TargetMode="External"/><Relationship Id="rId586" Type="http://schemas.openxmlformats.org/officeDocument/2006/relationships/hyperlink" Target="mailto:acendemos@outlook.es" TargetMode="External"/><Relationship Id="rId7" Type="http://schemas.openxmlformats.org/officeDocument/2006/relationships/hyperlink" Target="mailto:FUNREGIONCARIBE@GMAIL.COM" TargetMode="External"/><Relationship Id="rId239" Type="http://schemas.openxmlformats.org/officeDocument/2006/relationships/hyperlink" Target="mailto:LOGISTICAYGESTIONESBENITO@GMAIL.COM" TargetMode="External"/><Relationship Id="rId446" Type="http://schemas.openxmlformats.org/officeDocument/2006/relationships/hyperlink" Target="mailto:USR-12124@01.COM.CO" TargetMode="External"/><Relationship Id="rId292" Type="http://schemas.openxmlformats.org/officeDocument/2006/relationships/hyperlink" Target="mailto:OMARPALOMINO183@GMAIL.COM" TargetMode="External"/><Relationship Id="rId306" Type="http://schemas.openxmlformats.org/officeDocument/2006/relationships/hyperlink" Target="mailto:ASOPADRESDERAGUILAR@GMAIL.COM" TargetMode="External"/><Relationship Id="rId87" Type="http://schemas.openxmlformats.org/officeDocument/2006/relationships/hyperlink" Target="mailto:UNIONTEMPORALINDIGENAPANZENU@GMAIL.COM" TargetMode="External"/><Relationship Id="rId513" Type="http://schemas.openxmlformats.org/officeDocument/2006/relationships/hyperlink" Target="mailto:UNIONTEMPORALINDIGENAPANZENU@GMAIL.COM" TargetMode="External"/><Relationship Id="rId597" Type="http://schemas.openxmlformats.org/officeDocument/2006/relationships/hyperlink" Target="mailto:LINAMARGARCIA30@GMAIL.COM" TargetMode="External"/><Relationship Id="rId152" Type="http://schemas.openxmlformats.org/officeDocument/2006/relationships/hyperlink" Target="mailto:COORDINADOR.OPERACIONES.RE@JERONIMO-MARTINS.COM" TargetMode="External"/><Relationship Id="rId457" Type="http://schemas.openxmlformats.org/officeDocument/2006/relationships/hyperlink" Target="mailto:ANITAUPEREZ_12@HOTMAIL.COM" TargetMode="External"/><Relationship Id="rId261" Type="http://schemas.openxmlformats.org/officeDocument/2006/relationships/hyperlink" Target="mailto:ASOCIACIONMULTISECTORIALAHINCO@GMAIL.COM" TargetMode="External"/><Relationship Id="rId499" Type="http://schemas.openxmlformats.org/officeDocument/2006/relationships/hyperlink" Target="mailto:LOGISTICAYGESTIONESBENITO@GMAIL.COM" TargetMode="External"/><Relationship Id="rId14" Type="http://schemas.openxmlformats.org/officeDocument/2006/relationships/hyperlink" Target="mailto:FUNREGIONCARIBE@GMAIL.COM" TargetMode="External"/><Relationship Id="rId56" Type="http://schemas.openxmlformats.org/officeDocument/2006/relationships/hyperlink" Target="mailto:COORDINADOR.OPERACIONES.RE@JERONIMO-MARTINS.COM" TargetMode="External"/><Relationship Id="rId317" Type="http://schemas.openxmlformats.org/officeDocument/2006/relationships/hyperlink" Target="mailto:ASOCACIONCREAMOSFUTURO2023@GMAIL.COM" TargetMode="External"/><Relationship Id="rId359" Type="http://schemas.openxmlformats.org/officeDocument/2006/relationships/hyperlink" Target="mailto:ASOSINCE1@HOTMAIL.COM" TargetMode="External"/><Relationship Id="rId524" Type="http://schemas.openxmlformats.org/officeDocument/2006/relationships/hyperlink" Target="mailto:FUNSALSINCELEJO@GMAIL.COM" TargetMode="External"/><Relationship Id="rId566" Type="http://schemas.openxmlformats.org/officeDocument/2006/relationships/hyperlink" Target="mailto:JOVANNISDELGADOLUNA@GMAIL.COM" TargetMode="External"/><Relationship Id="rId98" Type="http://schemas.openxmlformats.org/officeDocument/2006/relationships/hyperlink" Target="mailto:UNIONTEMPORALINDIGENAPANZENU@GMAIL.COM" TargetMode="External"/><Relationship Id="rId121" Type="http://schemas.openxmlformats.org/officeDocument/2006/relationships/hyperlink" Target="mailto:FRASSERROBINSON@GMAIL.COM" TargetMode="External"/><Relationship Id="rId163" Type="http://schemas.openxmlformats.org/officeDocument/2006/relationships/hyperlink" Target="mailto:LOGISTICAYGESTIONESBENITO@GMAIL.COM" TargetMode="External"/><Relationship Id="rId219" Type="http://schemas.openxmlformats.org/officeDocument/2006/relationships/hyperlink" Target="mailto:JUANCQP76@GMAIL.COM" TargetMode="External"/><Relationship Id="rId370" Type="http://schemas.openxmlformats.org/officeDocument/2006/relationships/hyperlink" Target="mailto:ASOSINCE1@HOTMAIL.COM" TargetMode="External"/><Relationship Id="rId426" Type="http://schemas.openxmlformats.org/officeDocument/2006/relationships/hyperlink" Target="mailto:AURAPECHECO0391@GMAIL.COM" TargetMode="External"/><Relationship Id="rId230" Type="http://schemas.openxmlformats.org/officeDocument/2006/relationships/hyperlink" Target="mailto:SAMUELBARTRE@GMAIL.COM" TargetMode="External"/><Relationship Id="rId468" Type="http://schemas.openxmlformats.org/officeDocument/2006/relationships/hyperlink" Target="mailto:CASASAMIGASMUGESCO@YAHOO.COM" TargetMode="External"/><Relationship Id="rId25" Type="http://schemas.openxmlformats.org/officeDocument/2006/relationships/hyperlink" Target="mailto:LOGISTICAYGESTIONESBENITO@GMAIL.COM" TargetMode="External"/><Relationship Id="rId67" Type="http://schemas.openxmlformats.org/officeDocument/2006/relationships/hyperlink" Target="mailto:LOGISTICAYGESTIONESBENITO@GMAIL.COM" TargetMode="External"/><Relationship Id="rId272" Type="http://schemas.openxmlformats.org/officeDocument/2006/relationships/hyperlink" Target="mailto:CEMY0707@GMAIL.COM" TargetMode="External"/><Relationship Id="rId328" Type="http://schemas.openxmlformats.org/officeDocument/2006/relationships/hyperlink" Target="mailto:FUNIDES@HOTMAIL.COM" TargetMode="External"/><Relationship Id="rId535" Type="http://schemas.openxmlformats.org/officeDocument/2006/relationships/hyperlink" Target="mailto:FUNSALSINCELEJO@GMAIL.COM" TargetMode="External"/><Relationship Id="rId577" Type="http://schemas.openxmlformats.org/officeDocument/2006/relationships/hyperlink" Target="mailto:GERENCIAWEHOME@GMAIL.COM" TargetMode="External"/><Relationship Id="rId132" Type="http://schemas.openxmlformats.org/officeDocument/2006/relationships/hyperlink" Target="mailto:J.VERGARABARRETO@GMAIL.COM" TargetMode="External"/><Relationship Id="rId174" Type="http://schemas.openxmlformats.org/officeDocument/2006/relationships/hyperlink" Target="mailto:DIANAREQUENA1992@GMAIL.COM" TargetMode="External"/><Relationship Id="rId381" Type="http://schemas.openxmlformats.org/officeDocument/2006/relationships/hyperlink" Target="mailto:DEPOSITOELCOSTENO1@GAMIL.COM" TargetMode="External"/><Relationship Id="rId241" Type="http://schemas.openxmlformats.org/officeDocument/2006/relationships/hyperlink" Target="mailto:UNIONTEMPORALINDIGENAPANZENU@GMAIL.COM" TargetMode="External"/><Relationship Id="rId437" Type="http://schemas.openxmlformats.org/officeDocument/2006/relationships/hyperlink" Target="mailto:rodriguez_0311@hotmail.com" TargetMode="External"/><Relationship Id="rId479" Type="http://schemas.openxmlformats.org/officeDocument/2006/relationships/hyperlink" Target="mailto:FUNTEDES@HOTMAIL.COM" TargetMode="External"/><Relationship Id="rId36" Type="http://schemas.openxmlformats.org/officeDocument/2006/relationships/hyperlink" Target="mailto:CASAMIJASMUJESCO@GMAIL.COM" TargetMode="External"/><Relationship Id="rId283" Type="http://schemas.openxmlformats.org/officeDocument/2006/relationships/hyperlink" Target="mailto:dchavez12020@autlook.es" TargetMode="External"/><Relationship Id="rId339" Type="http://schemas.openxmlformats.org/officeDocument/2006/relationships/hyperlink" Target="mailto:MARIO.GARNICA@ARMADA.MIL.CO" TargetMode="External"/><Relationship Id="rId490" Type="http://schemas.openxmlformats.org/officeDocument/2006/relationships/hyperlink" Target="mailto:LOGISTICAYGESTIONESBENITO@GMAIL.COM" TargetMode="External"/><Relationship Id="rId504" Type="http://schemas.openxmlformats.org/officeDocument/2006/relationships/hyperlink" Target="mailto:LOGISTICAYGESTIONESBENITO@GMAIL.COM" TargetMode="External"/><Relationship Id="rId546" Type="http://schemas.openxmlformats.org/officeDocument/2006/relationships/hyperlink" Target="mailto:utcreciendojuntos2026@gmail.com" TargetMode="External"/><Relationship Id="rId78" Type="http://schemas.openxmlformats.org/officeDocument/2006/relationships/hyperlink" Target="mailto:DONOBAN31@GMAIL.COM" TargetMode="External"/><Relationship Id="rId101" Type="http://schemas.openxmlformats.org/officeDocument/2006/relationships/hyperlink" Target="mailto:UNIONTEMPORALINDIGENAPANZENU@GMAIL.COM" TargetMode="External"/><Relationship Id="rId143" Type="http://schemas.openxmlformats.org/officeDocument/2006/relationships/hyperlink" Target="mailto:FREDISMIELES1969@GMAIL.COM" TargetMode="External"/><Relationship Id="rId185" Type="http://schemas.openxmlformats.org/officeDocument/2006/relationships/hyperlink" Target="mailto:SANDRAZULUAGA72@OUTLOOK.COM" TargetMode="External"/><Relationship Id="rId350" Type="http://schemas.openxmlformats.org/officeDocument/2006/relationships/hyperlink" Target="mailto:DELIPAN@GMAIL.COM" TargetMode="External"/><Relationship Id="rId406" Type="http://schemas.openxmlformats.org/officeDocument/2006/relationships/hyperlink" Target="mailto:NOTIFICACIONESJUDICIALES@JERONIMO-MARTINS.COM" TargetMode="External"/><Relationship Id="rId588" Type="http://schemas.openxmlformats.org/officeDocument/2006/relationships/hyperlink" Target="mailto:UNIONTEMPORALINDIGEMAPANZENU@GMAIL.COM" TargetMode="External"/><Relationship Id="rId9" Type="http://schemas.openxmlformats.org/officeDocument/2006/relationships/hyperlink" Target="mailto:FUNREGIONCARIBE@GMAIL.COM" TargetMode="External"/><Relationship Id="rId210" Type="http://schemas.openxmlformats.org/officeDocument/2006/relationships/hyperlink" Target="mailto:LOGISTICAYGESTIONESBENITO@GMAIL.COM" TargetMode="External"/><Relationship Id="rId392" Type="http://schemas.openxmlformats.org/officeDocument/2006/relationships/hyperlink" Target="mailto:ESTADEROLACASA@79GMAIL.COM" TargetMode="External"/><Relationship Id="rId448" Type="http://schemas.openxmlformats.org/officeDocument/2006/relationships/hyperlink" Target="mailto:edgartobvar22@hotmail.com" TargetMode="External"/><Relationship Id="rId252" Type="http://schemas.openxmlformats.org/officeDocument/2006/relationships/hyperlink" Target="mailto:LOGISTICAYGESTIONESBENITO@GMAIL.COM" TargetMode="External"/><Relationship Id="rId294" Type="http://schemas.openxmlformats.org/officeDocument/2006/relationships/hyperlink" Target="mailto:YERALDINACOSTATOVAR23@GMAIL.COM" TargetMode="External"/><Relationship Id="rId308" Type="http://schemas.openxmlformats.org/officeDocument/2006/relationships/hyperlink" Target="mailto:LOGISTICAYGESTIONES@GMAIL.COM" TargetMode="External"/><Relationship Id="rId515" Type="http://schemas.openxmlformats.org/officeDocument/2006/relationships/hyperlink" Target="mailto:UNIONTEMPORALINDIGENAPANZENU@GMAIL.COM" TargetMode="External"/><Relationship Id="rId47" Type="http://schemas.openxmlformats.org/officeDocument/2006/relationships/hyperlink" Target="mailto:DIAZSUAREZMONICA7@GMAIL.COM" TargetMode="External"/><Relationship Id="rId89" Type="http://schemas.openxmlformats.org/officeDocument/2006/relationships/hyperlink" Target="mailto:SIRLEY123RODRIGUEZ@GMAIL.COM" TargetMode="External"/><Relationship Id="rId112" Type="http://schemas.openxmlformats.org/officeDocument/2006/relationships/hyperlink" Target="mailto:UNIONTEMPORALINDIGENAPANZENU@GMAIL.COM" TargetMode="External"/><Relationship Id="rId154" Type="http://schemas.openxmlformats.org/officeDocument/2006/relationships/hyperlink" Target="mailto:CJSERVICIOSYSUMINISTROS2@GMAIL.COM" TargetMode="External"/><Relationship Id="rId361" Type="http://schemas.openxmlformats.org/officeDocument/2006/relationships/hyperlink" Target="mailto:ASOSINCE1@HOTMAIL.COM" TargetMode="External"/><Relationship Id="rId557" Type="http://schemas.openxmlformats.org/officeDocument/2006/relationships/hyperlink" Target="mailto:paolaperez0714@gmail.com" TargetMode="External"/><Relationship Id="rId599" Type="http://schemas.openxmlformats.org/officeDocument/2006/relationships/hyperlink" Target="mailto:FUNEDAUCOL@HOTMAIL.COM" TargetMode="External"/><Relationship Id="rId196" Type="http://schemas.openxmlformats.org/officeDocument/2006/relationships/hyperlink" Target="mailto:DISTRITFO@GMAIL.COM" TargetMode="External"/><Relationship Id="rId417" Type="http://schemas.openxmlformats.org/officeDocument/2006/relationships/hyperlink" Target="mailto:SEQUEAJAMILE@GMAIL.COM" TargetMode="External"/><Relationship Id="rId459" Type="http://schemas.openxmlformats.org/officeDocument/2006/relationships/hyperlink" Target="mailto:FUNDACOIONTODOPORCOLOMBIA@HOTMAIL.COM" TargetMode="External"/><Relationship Id="rId16" Type="http://schemas.openxmlformats.org/officeDocument/2006/relationships/hyperlink" Target="mailto:JVERGARAVERGARA85@GMAIL.COM" TargetMode="External"/><Relationship Id="rId221" Type="http://schemas.openxmlformats.org/officeDocument/2006/relationships/hyperlink" Target="mailto:SALSAMENTARIACENTRALPARK@GMAIL.COM" TargetMode="External"/><Relationship Id="rId263" Type="http://schemas.openxmlformats.org/officeDocument/2006/relationships/hyperlink" Target="mailto:ASOCIACIONMULTISECTORIALAHINCO@GMAIL.COM" TargetMode="External"/><Relationship Id="rId319" Type="http://schemas.openxmlformats.org/officeDocument/2006/relationships/hyperlink" Target="mailto:LOGISTICAYGESTIONESBENITO@GMAL.COM" TargetMode="External"/><Relationship Id="rId470" Type="http://schemas.openxmlformats.org/officeDocument/2006/relationships/hyperlink" Target="mailto:ASTO319@OLIMPICA.COM.CO" TargetMode="External"/><Relationship Id="rId526" Type="http://schemas.openxmlformats.org/officeDocument/2006/relationships/hyperlink" Target="mailto:FUNSALSINCELEJO@GMAIL.COM" TargetMode="External"/><Relationship Id="rId58" Type="http://schemas.openxmlformats.org/officeDocument/2006/relationships/hyperlink" Target="mailto:PINKYNHO1118@GMAIL.COM" TargetMode="External"/><Relationship Id="rId123" Type="http://schemas.openxmlformats.org/officeDocument/2006/relationships/hyperlink" Target="mailto:MARYIRIS02@HOTMAIL.COM" TargetMode="External"/><Relationship Id="rId330" Type="http://schemas.openxmlformats.org/officeDocument/2006/relationships/hyperlink" Target="mailto:COORDINADOR.OPERACIONES.R6@JERONIMO-MARTINS.COM" TargetMode="External"/><Relationship Id="rId568" Type="http://schemas.openxmlformats.org/officeDocument/2006/relationships/hyperlink" Target="mailto:CABILDOPILETONZENU@HOTMAIL.COM" TargetMode="External"/><Relationship Id="rId165" Type="http://schemas.openxmlformats.org/officeDocument/2006/relationships/hyperlink" Target="mailto:LOGISTICAYGESTIONESBENITO@GMAIL.COM" TargetMode="External"/><Relationship Id="rId372" Type="http://schemas.openxmlformats.org/officeDocument/2006/relationships/hyperlink" Target="mailto:ASOSINCE1@HOTMAIL.COM" TargetMode="External"/><Relationship Id="rId428" Type="http://schemas.openxmlformats.org/officeDocument/2006/relationships/hyperlink" Target="mailto:PRIMOR1982@HOTMAIL.COM" TargetMode="External"/><Relationship Id="rId232" Type="http://schemas.openxmlformats.org/officeDocument/2006/relationships/hyperlink" Target="mailto:BETOLUGO@HOTMAIL.COM" TargetMode="External"/><Relationship Id="rId274" Type="http://schemas.openxmlformats.org/officeDocument/2006/relationships/hyperlink" Target="mailto:JAVIGLOI@HOTMAIL.COM" TargetMode="External"/><Relationship Id="rId481" Type="http://schemas.openxmlformats.org/officeDocument/2006/relationships/hyperlink" Target="mailto:UTPERSONAMAYORSAMPUES2025@GMAIL.COM" TargetMode="External"/><Relationship Id="rId27" Type="http://schemas.openxmlformats.org/officeDocument/2006/relationships/hyperlink" Target="mailto:MARTACECICLIAPADILLAMERCADO@GMAIL.COM" TargetMode="External"/><Relationship Id="rId69" Type="http://schemas.openxmlformats.org/officeDocument/2006/relationships/hyperlink" Target="mailto:ASOMIRAFLORESPUERTODAJER@GMAIL.COM" TargetMode="External"/><Relationship Id="rId134" Type="http://schemas.openxmlformats.org/officeDocument/2006/relationships/hyperlink" Target="mailto:JAKAROL03@GMAIL.COM" TargetMode="External"/><Relationship Id="rId537" Type="http://schemas.openxmlformats.org/officeDocument/2006/relationships/hyperlink" Target="mailto:LOGISTICAYGESTIONESBENITO@GMAIL.COM" TargetMode="External"/><Relationship Id="rId579" Type="http://schemas.openxmlformats.org/officeDocument/2006/relationships/hyperlink" Target="mailto:CONTACTOQUIERNVINJAR@GMAIL.COM" TargetMode="External"/><Relationship Id="rId80" Type="http://schemas.openxmlformats.org/officeDocument/2006/relationships/hyperlink" Target="mailto:XIOMARANOVOAMALLA@GMAIL.COM" TargetMode="External"/><Relationship Id="rId176" Type="http://schemas.openxmlformats.org/officeDocument/2006/relationships/hyperlink" Target="mailto:CRISTINALVAREZ1953@GMAIL.COM" TargetMode="External"/><Relationship Id="rId341" Type="http://schemas.openxmlformats.org/officeDocument/2006/relationships/hyperlink" Target="mailto:ACZEPALPINCHORROY@GMAIL.COM" TargetMode="External"/><Relationship Id="rId383" Type="http://schemas.openxmlformats.org/officeDocument/2006/relationships/hyperlink" Target="mailto:JOHNNY_FIGUEROA-MENDOZA@GAMIL.COM" TargetMode="External"/><Relationship Id="rId439" Type="http://schemas.openxmlformats.org/officeDocument/2006/relationships/hyperlink" Target="mailto:VERJANJJ@HOTMAIL.COM" TargetMode="External"/><Relationship Id="rId590" Type="http://schemas.openxmlformats.org/officeDocument/2006/relationships/hyperlink" Target="mailto:UNIONTEMPORALINDIGEMAPANZENU@GMAIL.COM" TargetMode="External"/><Relationship Id="rId201" Type="http://schemas.openxmlformats.org/officeDocument/2006/relationships/hyperlink" Target="mailto:ISABELALCON50@GMAIL.COM" TargetMode="External"/><Relationship Id="rId243" Type="http://schemas.openxmlformats.org/officeDocument/2006/relationships/hyperlink" Target="mailto:RECURSOSHUMANOSLASMARGARITAS1@GMAIL.COM" TargetMode="External"/><Relationship Id="rId285" Type="http://schemas.openxmlformats.org/officeDocument/2006/relationships/hyperlink" Target="mailto:anaczromero@gmail.com" TargetMode="External"/><Relationship Id="rId450" Type="http://schemas.openxmlformats.org/officeDocument/2006/relationships/hyperlink" Target="mailto:luis.german@jeronimomartins.com" TargetMode="External"/><Relationship Id="rId506" Type="http://schemas.openxmlformats.org/officeDocument/2006/relationships/hyperlink" Target="mailto:UNIONTEMPORALINDIGENAPANZENU@GMAIL.COM" TargetMode="External"/><Relationship Id="rId38" Type="http://schemas.openxmlformats.org/officeDocument/2006/relationships/hyperlink" Target="mailto:TOMASFR1213@GMAIL.COM" TargetMode="External"/><Relationship Id="rId103" Type="http://schemas.openxmlformats.org/officeDocument/2006/relationships/hyperlink" Target="mailto:MILENA.MARTINEZ@KOBA-GROUP.COM" TargetMode="External"/><Relationship Id="rId310" Type="http://schemas.openxmlformats.org/officeDocument/2006/relationships/hyperlink" Target="mailto:ANGELPARRA875@GMAIL.COM" TargetMode="External"/><Relationship Id="rId492" Type="http://schemas.openxmlformats.org/officeDocument/2006/relationships/hyperlink" Target="mailto:LOGISTICAYGESTIONESBENITO@GMAIL.COM" TargetMode="External"/><Relationship Id="rId548" Type="http://schemas.openxmlformats.org/officeDocument/2006/relationships/hyperlink" Target="mailto:utcreciendojuntos2026@gmail.com" TargetMode="External"/><Relationship Id="rId91" Type="http://schemas.openxmlformats.org/officeDocument/2006/relationships/hyperlink" Target="mailto:CMIBOSSANAVARRO2023@GMAIL.COM" TargetMode="External"/><Relationship Id="rId145" Type="http://schemas.openxmlformats.org/officeDocument/2006/relationships/hyperlink" Target="mailto:RAMIROALBEY@GMAIL.COM" TargetMode="External"/><Relationship Id="rId187" Type="http://schemas.openxmlformats.org/officeDocument/2006/relationships/hyperlink" Target="mailto:JHOSELITO02@HOTMAIL.COM" TargetMode="External"/><Relationship Id="rId352" Type="http://schemas.openxmlformats.org/officeDocument/2006/relationships/hyperlink" Target="mailto:MARIARAMOSRUIZ23@GMAIL.COM" TargetMode="External"/><Relationship Id="rId394" Type="http://schemas.openxmlformats.org/officeDocument/2006/relationships/hyperlink" Target="mailto:SILVIANUMEZRODRIGUEZ@GMAIL.COM" TargetMode="External"/><Relationship Id="rId408" Type="http://schemas.openxmlformats.org/officeDocument/2006/relationships/hyperlink" Target="mailto:RAFAELDEMOYA84@GMAIL.COM" TargetMode="External"/><Relationship Id="rId212" Type="http://schemas.openxmlformats.org/officeDocument/2006/relationships/hyperlink" Target="mailto:LOGISTICAYGESTIONESBENITO@GMAIL.COM" TargetMode="External"/><Relationship Id="rId254" Type="http://schemas.openxmlformats.org/officeDocument/2006/relationships/hyperlink" Target="mailto:HDEZDAVID9617@GMAIL.COM" TargetMode="External"/><Relationship Id="rId49" Type="http://schemas.openxmlformats.org/officeDocument/2006/relationships/hyperlink" Target="mailto:NEIDA_OSPINO15@HOTMAIL.COM" TargetMode="External"/><Relationship Id="rId114" Type="http://schemas.openxmlformats.org/officeDocument/2006/relationships/hyperlink" Target="mailto:UNIONTEMPORALINDIGENAPANZENU@GMAIL.COM" TargetMode="External"/><Relationship Id="rId296" Type="http://schemas.openxmlformats.org/officeDocument/2006/relationships/hyperlink" Target="mailto:KAVAHERE@GMAIL.COM" TargetMode="External"/><Relationship Id="rId461" Type="http://schemas.openxmlformats.org/officeDocument/2006/relationships/hyperlink" Target="mailto:GROUPFSCOMPANY@GMAIL.COM" TargetMode="External"/><Relationship Id="rId517" Type="http://schemas.openxmlformats.org/officeDocument/2006/relationships/hyperlink" Target="mailto:UNIONTEMPORALINDIGENAPANZENU@GMAIL.COM" TargetMode="External"/><Relationship Id="rId559" Type="http://schemas.openxmlformats.org/officeDocument/2006/relationships/hyperlink" Target="mailto:utcreciendojuntos2026@gmail.com" TargetMode="External"/><Relationship Id="rId60" Type="http://schemas.openxmlformats.org/officeDocument/2006/relationships/hyperlink" Target="mailto:ANALOBO30@GMAIL.COM" TargetMode="External"/><Relationship Id="rId156" Type="http://schemas.openxmlformats.org/officeDocument/2006/relationships/hyperlink" Target="mailto:ASOCARIBE2024@HOTMAIL.COM" TargetMode="External"/><Relationship Id="rId198" Type="http://schemas.openxmlformats.org/officeDocument/2006/relationships/hyperlink" Target="mailto:CORDINADOR.OPERACIONES.R6@JERONIMO-MARTINS.COM" TargetMode="External"/><Relationship Id="rId321" Type="http://schemas.openxmlformats.org/officeDocument/2006/relationships/hyperlink" Target="mailto:ASOCIACIONCREAMOSFUTURO2023@GMAIL.COM" TargetMode="External"/><Relationship Id="rId363" Type="http://schemas.openxmlformats.org/officeDocument/2006/relationships/hyperlink" Target="mailto:ASOSINCE1@HOTMAIL.COM" TargetMode="External"/><Relationship Id="rId419" Type="http://schemas.openxmlformats.org/officeDocument/2006/relationships/hyperlink" Target="mailto:LOGISTICAYGESTIONESBENITO@GMAL.COM" TargetMode="External"/><Relationship Id="rId570" Type="http://schemas.openxmlformats.org/officeDocument/2006/relationships/hyperlink" Target="mailto:CABILDOPILETONZENU@HOTMAIL.COM" TargetMode="External"/><Relationship Id="rId223" Type="http://schemas.openxmlformats.org/officeDocument/2006/relationships/hyperlink" Target="mailto:FRANKGALINDOR@HOTMAIL.COM" TargetMode="External"/><Relationship Id="rId430" Type="http://schemas.openxmlformats.org/officeDocument/2006/relationships/hyperlink" Target="mailto:JORGEESPINOSAVERGARA@GMAIL.COM" TargetMode="External"/><Relationship Id="rId18" Type="http://schemas.openxmlformats.org/officeDocument/2006/relationships/hyperlink" Target="mailto:ASOPALOALTO@HOTMAIL.COM" TargetMode="External"/><Relationship Id="rId265" Type="http://schemas.openxmlformats.org/officeDocument/2006/relationships/hyperlink" Target="mailto:ASOCIACIONMULTISECTORIALAHINCO@GMAIL.COM" TargetMode="External"/><Relationship Id="rId472" Type="http://schemas.openxmlformats.org/officeDocument/2006/relationships/hyperlink" Target="mailto:YOELAZ091@GMAIL.COM" TargetMode="External"/><Relationship Id="rId528" Type="http://schemas.openxmlformats.org/officeDocument/2006/relationships/hyperlink" Target="mailto:FUNSALSINCELEJO@GMAIL.COM" TargetMode="External"/><Relationship Id="rId125" Type="http://schemas.openxmlformats.org/officeDocument/2006/relationships/hyperlink" Target="mailto:NORYESTELA@HOTMAIL.COM" TargetMode="External"/><Relationship Id="rId167" Type="http://schemas.openxmlformats.org/officeDocument/2006/relationships/hyperlink" Target="mailto:DADRYHAHA23@GAMIL.COM" TargetMode="External"/><Relationship Id="rId332" Type="http://schemas.openxmlformats.org/officeDocument/2006/relationships/hyperlink" Target="mailto:ALFREDO.LINERO@D1.COMCO" TargetMode="External"/><Relationship Id="rId374" Type="http://schemas.openxmlformats.org/officeDocument/2006/relationships/hyperlink" Target="mailto:ASOSINCE01@HOTMAIL.COM" TargetMode="External"/><Relationship Id="rId581" Type="http://schemas.openxmlformats.org/officeDocument/2006/relationships/hyperlink" Target="mailto:CONSORCIOMANOSQUENUTREN@GMAIL.COM" TargetMode="External"/><Relationship Id="rId71" Type="http://schemas.openxmlformats.org/officeDocument/2006/relationships/hyperlink" Target="mailto:USR_12122@D1.COM.CO" TargetMode="External"/><Relationship Id="rId234" Type="http://schemas.openxmlformats.org/officeDocument/2006/relationships/hyperlink" Target="mailto:INFOISANACONGELADOS@GMAIL.COM" TargetMode="External"/><Relationship Id="rId2" Type="http://schemas.openxmlformats.org/officeDocument/2006/relationships/hyperlink" Target="mailto:FUNREGIONCARIBE@GMAIL.COM" TargetMode="External"/><Relationship Id="rId29" Type="http://schemas.openxmlformats.org/officeDocument/2006/relationships/hyperlink" Target="mailto:LISEMILINA@OUTLOOK.ES" TargetMode="External"/><Relationship Id="rId276" Type="http://schemas.openxmlformats.org/officeDocument/2006/relationships/hyperlink" Target="mailto:JHONJVALES@HOTMAIL.COM" TargetMode="External"/><Relationship Id="rId441" Type="http://schemas.openxmlformats.org/officeDocument/2006/relationships/hyperlink" Target="mailto:TIKITIKISAS@GMAIL.COM" TargetMode="External"/><Relationship Id="rId483" Type="http://schemas.openxmlformats.org/officeDocument/2006/relationships/hyperlink" Target="mailto:CONSORCIONUTRICOCOVE&#209;AS2025@GMAIL.COM" TargetMode="External"/><Relationship Id="rId539" Type="http://schemas.openxmlformats.org/officeDocument/2006/relationships/hyperlink" Target="mailto:APFBBFOVEJAS@GMAIL.COM" TargetMode="External"/><Relationship Id="rId40" Type="http://schemas.openxmlformats.org/officeDocument/2006/relationships/hyperlink" Target="mailto:ELIDAHERNANDEZ1305@GMAIL.COM" TargetMode="External"/><Relationship Id="rId136" Type="http://schemas.openxmlformats.org/officeDocument/2006/relationships/hyperlink" Target="mailto:MANUELJOSMENDOZA@GMAIL.COM" TargetMode="External"/><Relationship Id="rId178" Type="http://schemas.openxmlformats.org/officeDocument/2006/relationships/hyperlink" Target="mailto:UTCRECIENDOJUNTOSPAE2026@GMAIL.COM" TargetMode="External"/><Relationship Id="rId301" Type="http://schemas.openxmlformats.org/officeDocument/2006/relationships/hyperlink" Target="mailto:utcreciendojuntos2026@gmail.com" TargetMode="External"/><Relationship Id="rId343" Type="http://schemas.openxmlformats.org/officeDocument/2006/relationships/hyperlink" Target="mailto:UNIONTEMPORALPAIP2024@GMAIL.COM" TargetMode="External"/><Relationship Id="rId550" Type="http://schemas.openxmlformats.org/officeDocument/2006/relationships/hyperlink" Target="mailto:LOGISTICAYGESTIONESBENITO@GMAIL.COM" TargetMode="External"/><Relationship Id="rId82" Type="http://schemas.openxmlformats.org/officeDocument/2006/relationships/hyperlink" Target="mailto:HECTORCAMACHOEN@GMAIL.COM" TargetMode="External"/><Relationship Id="rId203" Type="http://schemas.openxmlformats.org/officeDocument/2006/relationships/hyperlink" Target="mailto:JAIMEB40@HOTMAIL.COM" TargetMode="External"/><Relationship Id="rId385" Type="http://schemas.openxmlformats.org/officeDocument/2006/relationships/hyperlink" Target="mailto:HRANTIOQUE&#209;O@GMAIL.COM" TargetMode="External"/><Relationship Id="rId592" Type="http://schemas.openxmlformats.org/officeDocument/2006/relationships/hyperlink" Target="mailto:CABILDOSANANTONIOURBANO@GMAIL.COM" TargetMode="External"/><Relationship Id="rId245" Type="http://schemas.openxmlformats.org/officeDocument/2006/relationships/hyperlink" Target="mailto:INFOBOCADOSFOODS@GMAIL.COM" TargetMode="External"/><Relationship Id="rId287" Type="http://schemas.openxmlformats.org/officeDocument/2006/relationships/hyperlink" Target="mailto:EMILIAR2000@GMAIL.COM" TargetMode="External"/><Relationship Id="rId410" Type="http://schemas.openxmlformats.org/officeDocument/2006/relationships/hyperlink" Target="mailto:CAMPOERIK653@GMAIL.COM" TargetMode="External"/><Relationship Id="rId452" Type="http://schemas.openxmlformats.org/officeDocument/2006/relationships/hyperlink" Target="mailto:ASTO322@OLIMPICA.COM.CO" TargetMode="External"/><Relationship Id="rId494" Type="http://schemas.openxmlformats.org/officeDocument/2006/relationships/hyperlink" Target="mailto:LOGISTICA&amp;GESTIONESBENITO@GMAIL.COM" TargetMode="External"/><Relationship Id="rId508" Type="http://schemas.openxmlformats.org/officeDocument/2006/relationships/hyperlink" Target="mailto:UNIONTEMPORALINDIGENAPANZENU@GMAIL.COM" TargetMode="External"/><Relationship Id="rId105" Type="http://schemas.openxmlformats.org/officeDocument/2006/relationships/hyperlink" Target="mailto:L.VITOLA@HOTMAIL.COM" TargetMode="External"/><Relationship Id="rId147" Type="http://schemas.openxmlformats.org/officeDocument/2006/relationships/hyperlink" Target="mailto:SIERRAOTEROROGER@GMAIL.COM" TargetMode="External"/><Relationship Id="rId312" Type="http://schemas.openxmlformats.org/officeDocument/2006/relationships/hyperlink" Target="mailto:KVPS26@HOTMAIL.COM" TargetMode="External"/><Relationship Id="rId354" Type="http://schemas.openxmlformats.org/officeDocument/2006/relationships/hyperlink" Target="mailto:UTCRECIEBDOJUNTOS2026@GMAIL.COM" TargetMode="External"/><Relationship Id="rId51" Type="http://schemas.openxmlformats.org/officeDocument/2006/relationships/hyperlink" Target="mailto:BETTYMOLINALASTRE03@GMAIL.COM" TargetMode="External"/><Relationship Id="rId93" Type="http://schemas.openxmlformats.org/officeDocument/2006/relationships/hyperlink" Target="mailto:UNIONTEMPORALINDIGENAPANZENU@GMAIL.COM" TargetMode="External"/><Relationship Id="rId189" Type="http://schemas.openxmlformats.org/officeDocument/2006/relationships/hyperlink" Target="mailto:NELIDACASTELLANO476@GMAIL.COM" TargetMode="External"/><Relationship Id="rId396" Type="http://schemas.openxmlformats.org/officeDocument/2006/relationships/hyperlink" Target="mailto:KAGUASMADERA@GMAIL.COM" TargetMode="External"/><Relationship Id="rId561" Type="http://schemas.openxmlformats.org/officeDocument/2006/relationships/hyperlink" Target="mailto:ASOMADRESCOMUNITARIOS2024@HOTMAIL.COM" TargetMode="External"/><Relationship Id="rId214" Type="http://schemas.openxmlformats.org/officeDocument/2006/relationships/hyperlink" Target="mailto:LOGISTICAYGESTIONESBENITO@GMAIL.COM" TargetMode="External"/><Relationship Id="rId256" Type="http://schemas.openxmlformats.org/officeDocument/2006/relationships/hyperlink" Target="mailto:ASOCIACIONMULTISECTORIALAHINCO@GMAIL.COM" TargetMode="External"/><Relationship Id="rId298" Type="http://schemas.openxmlformats.org/officeDocument/2006/relationships/hyperlink" Target="mailto:malky_29@gmail.com" TargetMode="External"/><Relationship Id="rId421" Type="http://schemas.openxmlformats.org/officeDocument/2006/relationships/hyperlink" Target="mailto:CERIYE@YAHOO.ES" TargetMode="External"/><Relationship Id="rId463" Type="http://schemas.openxmlformats.org/officeDocument/2006/relationships/hyperlink" Target="mailto:ASTO318@OLIMPICA.COM.CO" TargetMode="External"/><Relationship Id="rId519" Type="http://schemas.openxmlformats.org/officeDocument/2006/relationships/hyperlink" Target="mailto:LOGISTICAYGESTIONESBENITO@GMAIL.COM" TargetMode="External"/><Relationship Id="rId116" Type="http://schemas.openxmlformats.org/officeDocument/2006/relationships/hyperlink" Target="mailto:UNIONTEMPORALINDIGENAPANZENU@GMAIL.COM" TargetMode="External"/><Relationship Id="rId158" Type="http://schemas.openxmlformats.org/officeDocument/2006/relationships/hyperlink" Target="mailto:KATYMILE2785@GMAIL.COM" TargetMode="External"/><Relationship Id="rId323" Type="http://schemas.openxmlformats.org/officeDocument/2006/relationships/hyperlink" Target="mailto:ASOCACIONCREAMOSFUTURO2023@GMAIL.COM" TargetMode="External"/><Relationship Id="rId530" Type="http://schemas.openxmlformats.org/officeDocument/2006/relationships/hyperlink" Target="mailto:FUNSALSINCELEJO@GMAIL.COM" TargetMode="External"/><Relationship Id="rId20" Type="http://schemas.openxmlformats.org/officeDocument/2006/relationships/hyperlink" Target="mailto:ASOPALOALTO@HOTMAIL.COM" TargetMode="External"/><Relationship Id="rId62" Type="http://schemas.openxmlformats.org/officeDocument/2006/relationships/hyperlink" Target="mailto:LOGISTICAYGESTIONESBENITO@GMAL.COM" TargetMode="External"/><Relationship Id="rId365" Type="http://schemas.openxmlformats.org/officeDocument/2006/relationships/hyperlink" Target="mailto:ASOSINCE1@HOTMAIL.COM" TargetMode="External"/><Relationship Id="rId572" Type="http://schemas.openxmlformats.org/officeDocument/2006/relationships/hyperlink" Target="mailto:NEGOCIO.JM@GMAIL.COM" TargetMode="External"/><Relationship Id="rId225" Type="http://schemas.openxmlformats.org/officeDocument/2006/relationships/hyperlink" Target="mailto:FRANKGALINDOR@HOTMAIL.COM" TargetMode="External"/><Relationship Id="rId267" Type="http://schemas.openxmlformats.org/officeDocument/2006/relationships/hyperlink" Target="mailto:ARYLICE1906@GMAIL.COM" TargetMode="External"/><Relationship Id="rId432" Type="http://schemas.openxmlformats.org/officeDocument/2006/relationships/hyperlink" Target="mailto:CONSORCIONUTRICOCOVE&#209;AS2025@GMAIL.COM" TargetMode="External"/><Relationship Id="rId474" Type="http://schemas.openxmlformats.org/officeDocument/2006/relationships/hyperlink" Target="mailto:alfredo.linero@d1.com.co" TargetMode="External"/><Relationship Id="rId127" Type="http://schemas.openxmlformats.org/officeDocument/2006/relationships/hyperlink" Target="mailto:MAYERLIN-0848@HMAIL.COM" TargetMode="External"/><Relationship Id="rId31" Type="http://schemas.openxmlformats.org/officeDocument/2006/relationships/hyperlink" Target="mailto:ASOMICOLOMBIA@GMAIL.COM" TargetMode="External"/><Relationship Id="rId73" Type="http://schemas.openxmlformats.org/officeDocument/2006/relationships/hyperlink" Target="mailto:ANGELA-CALABRIA@HOTMAIL.COM" TargetMode="External"/><Relationship Id="rId169" Type="http://schemas.openxmlformats.org/officeDocument/2006/relationships/hyperlink" Target="mailto:BEIDEMEJIA24@GMAIL.COM" TargetMode="External"/><Relationship Id="rId334" Type="http://schemas.openxmlformats.org/officeDocument/2006/relationships/hyperlink" Target="mailto:ASTO318@OLIMPICA.COM.CO" TargetMode="External"/><Relationship Id="rId376" Type="http://schemas.openxmlformats.org/officeDocument/2006/relationships/hyperlink" Target="mailto:UTCRECIEBDOJUNTOS2026@GMAIL.COM" TargetMode="External"/><Relationship Id="rId541" Type="http://schemas.openxmlformats.org/officeDocument/2006/relationships/hyperlink" Target="mailto:utcreciendojuntos2026@gmail.com" TargetMode="External"/><Relationship Id="rId583" Type="http://schemas.openxmlformats.org/officeDocument/2006/relationships/hyperlink" Target="mailto:MAMALIRACSV@GMAIL.COM" TargetMode="External"/><Relationship Id="rId4" Type="http://schemas.openxmlformats.org/officeDocument/2006/relationships/hyperlink" Target="mailto:M.SIERRA29,1@GMAIL.COM" TargetMode="External"/><Relationship Id="rId180" Type="http://schemas.openxmlformats.org/officeDocument/2006/relationships/hyperlink" Target="mailto:LUISLUISGM89@GMAIL.COM" TargetMode="External"/><Relationship Id="rId236" Type="http://schemas.openxmlformats.org/officeDocument/2006/relationships/hyperlink" Target="mailto:LOGISTICAYGESTIONESBENITO@GMAIL.COM" TargetMode="External"/><Relationship Id="rId278" Type="http://schemas.openxmlformats.org/officeDocument/2006/relationships/hyperlink" Target="mailto:ANATUIRAN454@GMAIL.COM" TargetMode="External"/><Relationship Id="rId401" Type="http://schemas.openxmlformats.org/officeDocument/2006/relationships/hyperlink" Target="mailto:ASOSINCE1@HOTMAIL.COM" TargetMode="External"/><Relationship Id="rId443" Type="http://schemas.openxmlformats.org/officeDocument/2006/relationships/hyperlink" Target="mailto:RAFAELSALGADO831@GMAIL.COM" TargetMode="External"/><Relationship Id="rId303" Type="http://schemas.openxmlformats.org/officeDocument/2006/relationships/hyperlink" Target="mailto:utcreciendojuntos2026@gmail.com" TargetMode="External"/><Relationship Id="rId485" Type="http://schemas.openxmlformats.org/officeDocument/2006/relationships/hyperlink" Target="mailto:CENTRODEVIDAPALMITO@GMAIL.COM" TargetMode="External"/><Relationship Id="rId42" Type="http://schemas.openxmlformats.org/officeDocument/2006/relationships/hyperlink" Target="mailto:RODRIGZ1122@HOTMAIL.COM" TargetMode="External"/><Relationship Id="rId84" Type="http://schemas.openxmlformats.org/officeDocument/2006/relationships/hyperlink" Target="mailto:gladys3033@gmail.com" TargetMode="External"/><Relationship Id="rId138" Type="http://schemas.openxmlformats.org/officeDocument/2006/relationships/hyperlink" Target="mailto:TOVARVERGARAOMARRAFAEL@GMAIL.COM" TargetMode="External"/><Relationship Id="rId345" Type="http://schemas.openxmlformats.org/officeDocument/2006/relationships/hyperlink" Target="mailto:UNIONTEMPORALINDIGEMAPANZENU@GMAIL.COM" TargetMode="External"/><Relationship Id="rId387" Type="http://schemas.openxmlformats.org/officeDocument/2006/relationships/hyperlink" Target="mailto:ALVARONAVARRO715@GMAIL.COM" TargetMode="External"/><Relationship Id="rId510" Type="http://schemas.openxmlformats.org/officeDocument/2006/relationships/hyperlink" Target="mailto:UNIONTEMPORALINDIGENAPANZENU@GMAIL.COM" TargetMode="External"/><Relationship Id="rId552" Type="http://schemas.openxmlformats.org/officeDocument/2006/relationships/hyperlink" Target="mailto:utcreciendojuntos2026@gmail.com" TargetMode="External"/><Relationship Id="rId594" Type="http://schemas.openxmlformats.org/officeDocument/2006/relationships/hyperlink" Target="mailto:LUDABAOS26@GMAIL.COM" TargetMode="External"/><Relationship Id="rId191" Type="http://schemas.openxmlformats.org/officeDocument/2006/relationships/hyperlink" Target="mailto:FERNANDOSALAZARSALAZAR12345@GMAIL.COM" TargetMode="External"/><Relationship Id="rId205" Type="http://schemas.openxmlformats.org/officeDocument/2006/relationships/hyperlink" Target="mailto:DIMAS.ANAYA@JERONIMO-MARTINS.COM" TargetMode="External"/><Relationship Id="rId247" Type="http://schemas.openxmlformats.org/officeDocument/2006/relationships/hyperlink" Target="mailto:LAPALMIRAASOCIACION@HOTMAIL.COM" TargetMode="External"/><Relationship Id="rId412" Type="http://schemas.openxmlformats.org/officeDocument/2006/relationships/hyperlink" Target="mailto:ARMANDOJOSE@HOTMAIL.COM" TargetMode="External"/><Relationship Id="rId107" Type="http://schemas.openxmlformats.org/officeDocument/2006/relationships/hyperlink" Target="mailto:YEICOFLOREZPEREZ123@GMAIL.COM" TargetMode="External"/><Relationship Id="rId289" Type="http://schemas.openxmlformats.org/officeDocument/2006/relationships/hyperlink" Target="mailto:SIRISPATERNINA7@GMAIL.COM" TargetMode="External"/><Relationship Id="rId454" Type="http://schemas.openxmlformats.org/officeDocument/2006/relationships/hyperlink" Target="mailto:NOTIFICACIONS@SB-INBEV.COM" TargetMode="External"/><Relationship Id="rId496" Type="http://schemas.openxmlformats.org/officeDocument/2006/relationships/hyperlink" Target="mailto:LOGISTICAYGESTIONESBENITO@GMAIL.COM" TargetMode="External"/><Relationship Id="rId11" Type="http://schemas.openxmlformats.org/officeDocument/2006/relationships/hyperlink" Target="mailto:FUNREGIONCARIBE@GMAIL.COM" TargetMode="External"/><Relationship Id="rId53" Type="http://schemas.openxmlformats.org/officeDocument/2006/relationships/hyperlink" Target="mailto:ELVIA.ORTEGA17@HOTMAIL.COM" TargetMode="External"/><Relationship Id="rId149" Type="http://schemas.openxmlformats.org/officeDocument/2006/relationships/hyperlink" Target="mailto:ASTO328@OLIMPICA.COM.CO" TargetMode="External"/><Relationship Id="rId314" Type="http://schemas.openxmlformats.org/officeDocument/2006/relationships/hyperlink" Target="mailto:NADIN.CUELLOMIL@GMAIL.COM" TargetMode="External"/><Relationship Id="rId356" Type="http://schemas.openxmlformats.org/officeDocument/2006/relationships/hyperlink" Target="mailto:FGENEYCHIMA@GMAIL.COM" TargetMode="External"/><Relationship Id="rId398" Type="http://schemas.openxmlformats.org/officeDocument/2006/relationships/hyperlink" Target="mailto:EVERORTEGA265@GMAIL.COM" TargetMode="External"/><Relationship Id="rId521" Type="http://schemas.openxmlformats.org/officeDocument/2006/relationships/hyperlink" Target="mailto:FUNSALSINCELEJO@GMAIL.COM" TargetMode="External"/><Relationship Id="rId563" Type="http://schemas.openxmlformats.org/officeDocument/2006/relationships/hyperlink" Target="mailto:utcreciendojuntos2026@gmail.com" TargetMode="External"/><Relationship Id="rId95" Type="http://schemas.openxmlformats.org/officeDocument/2006/relationships/hyperlink" Target="mailto:CABILDOMAYORSAMPUES@GMAIL.COM" TargetMode="External"/><Relationship Id="rId160" Type="http://schemas.openxmlformats.org/officeDocument/2006/relationships/hyperlink" Target="mailto:ROBERTOVILLEGAS0013@GMAIL.COM" TargetMode="External"/><Relationship Id="rId216" Type="http://schemas.openxmlformats.org/officeDocument/2006/relationships/hyperlink" Target="mailto:FRANKGALINDOR@HOTMAIL.COM" TargetMode="External"/><Relationship Id="rId423" Type="http://schemas.openxmlformats.org/officeDocument/2006/relationships/hyperlink" Target="mailto:YASUAREZ961@GMAIL.COM" TargetMode="External"/><Relationship Id="rId258" Type="http://schemas.openxmlformats.org/officeDocument/2006/relationships/hyperlink" Target="mailto:REMAKASHE02162715@HOTMAIL.COM" TargetMode="External"/><Relationship Id="rId465" Type="http://schemas.openxmlformats.org/officeDocument/2006/relationships/hyperlink" Target="mailto:asto325@olimpica.com" TargetMode="External"/><Relationship Id="rId22" Type="http://schemas.openxmlformats.org/officeDocument/2006/relationships/hyperlink" Target="mailto:ASOPALOALTO@HOTMAIL.COM" TargetMode="External"/><Relationship Id="rId64" Type="http://schemas.openxmlformats.org/officeDocument/2006/relationships/hyperlink" Target="mailto:ASOPALMAVINO@GMAIL.COM" TargetMode="External"/><Relationship Id="rId118" Type="http://schemas.openxmlformats.org/officeDocument/2006/relationships/hyperlink" Target="mailto:YORKINGDELAFAMA@OUTLPPL.COM" TargetMode="External"/><Relationship Id="rId325" Type="http://schemas.openxmlformats.org/officeDocument/2006/relationships/hyperlink" Target="mailto:ASOACIONCREAMOSFUTURO2023@GMAIL.COM" TargetMode="External"/><Relationship Id="rId367" Type="http://schemas.openxmlformats.org/officeDocument/2006/relationships/hyperlink" Target="mailto:ASOSINCE1@HOTMAIL.COM" TargetMode="External"/><Relationship Id="rId532" Type="http://schemas.openxmlformats.org/officeDocument/2006/relationships/hyperlink" Target="mailto:FUNSALSINCELEJO@GMAIL.COM" TargetMode="External"/><Relationship Id="rId574" Type="http://schemas.openxmlformats.org/officeDocument/2006/relationships/hyperlink" Target="mailto:CONSORCIOMANOSQUENUTREN@GMAIL.COM" TargetMode="External"/><Relationship Id="rId171" Type="http://schemas.openxmlformats.org/officeDocument/2006/relationships/hyperlink" Target="mailto:YULI.CHIMA09@GMAIL.COM" TargetMode="External"/><Relationship Id="rId227" Type="http://schemas.openxmlformats.org/officeDocument/2006/relationships/hyperlink" Target="mailto:FRANKGALINDOR@HOTMAIL.COM" TargetMode="External"/><Relationship Id="rId269" Type="http://schemas.openxmlformats.org/officeDocument/2006/relationships/hyperlink" Target="mailto:OSCARROMERO1898@HOTMAIL.COM" TargetMode="External"/><Relationship Id="rId434" Type="http://schemas.openxmlformats.org/officeDocument/2006/relationships/hyperlink" Target="mailto:COORDINADOR.OPERACIONES.RG@JERONIMO-MARTINS.COM" TargetMode="External"/><Relationship Id="rId476" Type="http://schemas.openxmlformats.org/officeDocument/2006/relationships/hyperlink" Target="mailto:NOTIFICACIONES.JUDICIALES@JERONIMO-MARTINS.COM" TargetMode="External"/><Relationship Id="rId33" Type="http://schemas.openxmlformats.org/officeDocument/2006/relationships/hyperlink" Target="mailto:JADETO1707@GMAIL.COM" TargetMode="External"/><Relationship Id="rId129" Type="http://schemas.openxmlformats.org/officeDocument/2006/relationships/hyperlink" Target="mailto:YESSICA1997@GMAIL.COM" TargetMode="External"/><Relationship Id="rId280" Type="http://schemas.openxmlformats.org/officeDocument/2006/relationships/hyperlink" Target="mailto:ADRIANAAH2016@HOTMAIL.COM" TargetMode="External"/><Relationship Id="rId336" Type="http://schemas.openxmlformats.org/officeDocument/2006/relationships/hyperlink" Target="mailto:HOTEL.FRAGATA.COVE&#209;AS@GMAIL.COM" TargetMode="External"/><Relationship Id="rId501" Type="http://schemas.openxmlformats.org/officeDocument/2006/relationships/hyperlink" Target="mailto:utceeciendojuntos@gmail.com" TargetMode="External"/><Relationship Id="rId543" Type="http://schemas.openxmlformats.org/officeDocument/2006/relationships/hyperlink" Target="mailto:APFBBFOVEJAS@GMAIL.COM" TargetMode="External"/><Relationship Id="rId75" Type="http://schemas.openxmlformats.org/officeDocument/2006/relationships/hyperlink" Target="mailto:MARTHA.LOPEZMARQUEZ03@HOTMAIL.COM" TargetMode="External"/><Relationship Id="rId140" Type="http://schemas.openxmlformats.org/officeDocument/2006/relationships/hyperlink" Target="mailto:RODHER_20@HOTMAIL.COM" TargetMode="External"/><Relationship Id="rId182" Type="http://schemas.openxmlformats.org/officeDocument/2006/relationships/hyperlink" Target="mailto:DARIANLUCIA2307@GMAIL.COM" TargetMode="External"/><Relationship Id="rId378" Type="http://schemas.openxmlformats.org/officeDocument/2006/relationships/hyperlink" Target="mailto:UTCRECIEBDOJUNTOS2026@GMAIL.COM" TargetMode="External"/><Relationship Id="rId403" Type="http://schemas.openxmlformats.org/officeDocument/2006/relationships/hyperlink" Target="mailto:MALUVAME211@HOTMAIL.COM" TargetMode="External"/><Relationship Id="rId585" Type="http://schemas.openxmlformats.org/officeDocument/2006/relationships/hyperlink" Target="mailto:acendemos@outlook.es" TargetMode="External"/><Relationship Id="rId6" Type="http://schemas.openxmlformats.org/officeDocument/2006/relationships/hyperlink" Target="mailto:FUNREGIONCARIBE@GMAIL.COM" TargetMode="External"/><Relationship Id="rId238" Type="http://schemas.openxmlformats.org/officeDocument/2006/relationships/hyperlink" Target="mailto:VILKERMINIA465@GMAIL.COM" TargetMode="External"/><Relationship Id="rId445" Type="http://schemas.openxmlformats.org/officeDocument/2006/relationships/hyperlink" Target="mailto:ASOPADRESCUIBA@GMAIL.COM" TargetMode="External"/><Relationship Id="rId487" Type="http://schemas.openxmlformats.org/officeDocument/2006/relationships/hyperlink" Target="mailto:MILENA.MARTINEZ@KOBA-GROUP.COM" TargetMode="External"/><Relationship Id="rId291" Type="http://schemas.openxmlformats.org/officeDocument/2006/relationships/hyperlink" Target="mailto:LOGISTICAYGESTIONESBENITO@GMAL.COM" TargetMode="External"/><Relationship Id="rId305" Type="http://schemas.openxmlformats.org/officeDocument/2006/relationships/hyperlink" Target="mailto:JOVANNISDELGADOLUNA@GMAIL.COM" TargetMode="External"/><Relationship Id="rId347" Type="http://schemas.openxmlformats.org/officeDocument/2006/relationships/hyperlink" Target="mailto:KELLYJOHA1984@GMAIL.COM" TargetMode="External"/><Relationship Id="rId512" Type="http://schemas.openxmlformats.org/officeDocument/2006/relationships/hyperlink" Target="mailto:UNIONTEMPORALPAIP2024@GMAIL.COM" TargetMode="External"/><Relationship Id="rId44" Type="http://schemas.openxmlformats.org/officeDocument/2006/relationships/hyperlink" Target="mailto:CORPODESUCRE@GMAIL.COM" TargetMode="External"/><Relationship Id="rId86" Type="http://schemas.openxmlformats.org/officeDocument/2006/relationships/hyperlink" Target="mailto:UNIONTEMPORALINDIGENAPANZENU@GMAIL.COM" TargetMode="External"/><Relationship Id="rId151" Type="http://schemas.openxmlformats.org/officeDocument/2006/relationships/hyperlink" Target="mailto:JORGE.ARAGON@JERONIMO-MARTINS.COM" TargetMode="External"/><Relationship Id="rId389" Type="http://schemas.openxmlformats.org/officeDocument/2006/relationships/hyperlink" Target="mailto:ALVAROLUISMARTINEZ@GMAIL.COM" TargetMode="External"/><Relationship Id="rId554" Type="http://schemas.openxmlformats.org/officeDocument/2006/relationships/hyperlink" Target="mailto:utceeciendojuntos@gmail.com" TargetMode="External"/><Relationship Id="rId596" Type="http://schemas.openxmlformats.org/officeDocument/2006/relationships/hyperlink" Target="mailto:NJUDICIALES@GRUPO-&#201;XITO.COM" TargetMode="External"/><Relationship Id="rId193" Type="http://schemas.openxmlformats.org/officeDocument/2006/relationships/hyperlink" Target="mailto:CARNESYMARISCOSLAPLAYA@HOTMAIL,COM" TargetMode="External"/><Relationship Id="rId207" Type="http://schemas.openxmlformats.org/officeDocument/2006/relationships/hyperlink" Target="mailto:DAVIKOLATRONICK@GMAIL.COM" TargetMode="External"/><Relationship Id="rId249" Type="http://schemas.openxmlformats.org/officeDocument/2006/relationships/hyperlink" Target="mailto:LAPALMIRAASOCIACION@HOTMAIL.COM" TargetMode="External"/><Relationship Id="rId414" Type="http://schemas.openxmlformats.org/officeDocument/2006/relationships/hyperlink" Target="mailto:VALLE719@HOTMAIL.OM" TargetMode="External"/><Relationship Id="rId456" Type="http://schemas.openxmlformats.org/officeDocument/2006/relationships/hyperlink" Target="mailto:SHALONYAH@OUTLOOK.ES" TargetMode="External"/><Relationship Id="rId498" Type="http://schemas.openxmlformats.org/officeDocument/2006/relationships/hyperlink" Target="mailto:utcreciendojuntos2026@gmail.com" TargetMode="External"/><Relationship Id="rId13" Type="http://schemas.openxmlformats.org/officeDocument/2006/relationships/hyperlink" Target="mailto:ANTONIO.XP1981@GMAIL.COM" TargetMode="External"/><Relationship Id="rId109" Type="http://schemas.openxmlformats.org/officeDocument/2006/relationships/hyperlink" Target="mailto:PEDROCLAVERG@GMAIL.COM" TargetMode="External"/><Relationship Id="rId260" Type="http://schemas.openxmlformats.org/officeDocument/2006/relationships/hyperlink" Target="mailto:ASOCIACIONMULTISECTORIALAHINCO@GMAIL.COM" TargetMode="External"/><Relationship Id="rId316" Type="http://schemas.openxmlformats.org/officeDocument/2006/relationships/hyperlink" Target="mailto:ASOCACIONCREAMOSFUTURO2023@GMAIL.COM" TargetMode="External"/><Relationship Id="rId523" Type="http://schemas.openxmlformats.org/officeDocument/2006/relationships/hyperlink" Target="mailto:FUNSALSINCELEJO@GMAIL.COM" TargetMode="External"/><Relationship Id="rId55" Type="http://schemas.openxmlformats.org/officeDocument/2006/relationships/hyperlink" Target="mailto:ASOGALERAS3@GMAIL.COM" TargetMode="External"/><Relationship Id="rId97" Type="http://schemas.openxmlformats.org/officeDocument/2006/relationships/hyperlink" Target="mailto:UNIONTEMPORALINDIGENAPANZENU@GMAIL.COM" TargetMode="External"/><Relationship Id="rId120" Type="http://schemas.openxmlformats.org/officeDocument/2006/relationships/hyperlink" Target="mailto:LIAPRASCA96@HOTMAIL.COM" TargetMode="External"/><Relationship Id="rId358" Type="http://schemas.openxmlformats.org/officeDocument/2006/relationships/hyperlink" Target="mailto:ASOSINCE1@HOTMAIL.COM" TargetMode="External"/><Relationship Id="rId565" Type="http://schemas.openxmlformats.org/officeDocument/2006/relationships/hyperlink" Target="mailto:APFBBFOVEJAS@GMAIL.COM" TargetMode="External"/><Relationship Id="rId162" Type="http://schemas.openxmlformats.org/officeDocument/2006/relationships/hyperlink" Target="mailto:ASOMADRESCOMUNITARIOS2024@HOTMAIL.COM" TargetMode="External"/><Relationship Id="rId218" Type="http://schemas.openxmlformats.org/officeDocument/2006/relationships/hyperlink" Target="mailto:FRANKGALINDOR@HOTMAIL.COM" TargetMode="External"/><Relationship Id="rId425" Type="http://schemas.openxmlformats.org/officeDocument/2006/relationships/hyperlink" Target="mailto:PEDRO.OCAMPO07@GMAIL.COM" TargetMode="External"/><Relationship Id="rId467" Type="http://schemas.openxmlformats.org/officeDocument/2006/relationships/hyperlink" Target="mailto:CORDINADOR.OPERACIONES.R6@JERONIMO-MARTINS.COM" TargetMode="External"/><Relationship Id="rId271" Type="http://schemas.openxmlformats.org/officeDocument/2006/relationships/hyperlink" Target="mailto:sandrasalcedosevilla@hotmail.com" TargetMode="External"/><Relationship Id="rId24" Type="http://schemas.openxmlformats.org/officeDocument/2006/relationships/hyperlink" Target="mailto:LINEYESTHER32@GMAIL.COM" TargetMode="External"/><Relationship Id="rId66" Type="http://schemas.openxmlformats.org/officeDocument/2006/relationships/hyperlink" Target="mailto:GLADISCARRASCAL28@GMAIL.COM" TargetMode="External"/><Relationship Id="rId131" Type="http://schemas.openxmlformats.org/officeDocument/2006/relationships/hyperlink" Target="mailto:SINDYTATI86@GMAIL.COM" TargetMode="External"/><Relationship Id="rId327" Type="http://schemas.openxmlformats.org/officeDocument/2006/relationships/hyperlink" Target="mailto:FRANCISCOGAMBA29@GMAIL.COM" TargetMode="External"/><Relationship Id="rId369" Type="http://schemas.openxmlformats.org/officeDocument/2006/relationships/hyperlink" Target="mailto:ASOSINCE1@HOTMAIL.COM" TargetMode="External"/><Relationship Id="rId534" Type="http://schemas.openxmlformats.org/officeDocument/2006/relationships/hyperlink" Target="mailto:FUNSALSINCELEJO@GMAIL.COM" TargetMode="External"/><Relationship Id="rId576" Type="http://schemas.openxmlformats.org/officeDocument/2006/relationships/hyperlink" Target="mailto:INVERSIONESELLAGUITOBURGOS52@GMAIL.COM" TargetMode="External"/><Relationship Id="rId173" Type="http://schemas.openxmlformats.org/officeDocument/2006/relationships/hyperlink" Target="mailto:YESENIAFALON4@GMAIL.COM" TargetMode="External"/><Relationship Id="rId229" Type="http://schemas.openxmlformats.org/officeDocument/2006/relationships/hyperlink" Target="mailto:ISLENACAMPO@GMAIL.COM" TargetMode="External"/><Relationship Id="rId380" Type="http://schemas.openxmlformats.org/officeDocument/2006/relationships/hyperlink" Target="mailto:07DONANDRES@GMAIL.COM" TargetMode="External"/><Relationship Id="rId436" Type="http://schemas.openxmlformats.org/officeDocument/2006/relationships/hyperlink" Target="mailto:edgartobvar22@hotmail.com" TargetMode="External"/><Relationship Id="rId240" Type="http://schemas.openxmlformats.org/officeDocument/2006/relationships/hyperlink" Target="mailto:UNIONTEMPORALINDIGENAPAIP@GMAIL.COM" TargetMode="External"/><Relationship Id="rId478" Type="http://schemas.openxmlformats.org/officeDocument/2006/relationships/hyperlink" Target="mailto:FUNRENESVID@GMAIL.COM" TargetMode="External"/><Relationship Id="rId35" Type="http://schemas.openxmlformats.org/officeDocument/2006/relationships/hyperlink" Target="mailto:RIOSOCIALCLUB@GMAIL.COM" TargetMode="External"/><Relationship Id="rId77" Type="http://schemas.openxmlformats.org/officeDocument/2006/relationships/hyperlink" Target="mailto:SUYDITH9@GMAIL.COM" TargetMode="External"/><Relationship Id="rId100" Type="http://schemas.openxmlformats.org/officeDocument/2006/relationships/hyperlink" Target="mailto:UNIONTEMPORALINDIGENAPANZENU@GMAIL.COM" TargetMode="External"/><Relationship Id="rId282" Type="http://schemas.openxmlformats.org/officeDocument/2006/relationships/hyperlink" Target="mailto:lineyarroyo30@hotmail.com" TargetMode="External"/><Relationship Id="rId338" Type="http://schemas.openxmlformats.org/officeDocument/2006/relationships/hyperlink" Target="mailto:INFO@FOMBISOL.COM.CO" TargetMode="External"/><Relationship Id="rId503" Type="http://schemas.openxmlformats.org/officeDocument/2006/relationships/hyperlink" Target="mailto:utceeciendojuntos@gmail.com" TargetMode="External"/><Relationship Id="rId545" Type="http://schemas.openxmlformats.org/officeDocument/2006/relationships/hyperlink" Target="mailto:FUNREGIONCARIBE@GMAIL.COM" TargetMode="External"/><Relationship Id="rId587" Type="http://schemas.openxmlformats.org/officeDocument/2006/relationships/hyperlink" Target="mailto:UNIONTEMPORALINDIGEMAPANZENU@GMAIL.COM" TargetMode="External"/><Relationship Id="rId8" Type="http://schemas.openxmlformats.org/officeDocument/2006/relationships/hyperlink" Target="mailto:ASOPADRESCUIBA@GMAIL.COM" TargetMode="External"/><Relationship Id="rId142" Type="http://schemas.openxmlformats.org/officeDocument/2006/relationships/hyperlink" Target="mailto:LEIMAR926@HOTMAIL.COM" TargetMode="External"/><Relationship Id="rId184" Type="http://schemas.openxmlformats.org/officeDocument/2006/relationships/hyperlink" Target="mailto:ANADELA-1884@GMAIL.COM" TargetMode="External"/><Relationship Id="rId391" Type="http://schemas.openxmlformats.org/officeDocument/2006/relationships/hyperlink" Target="mailto:PAOGOMEZMEJIA15@GMAIL.COM" TargetMode="External"/><Relationship Id="rId405" Type="http://schemas.openxmlformats.org/officeDocument/2006/relationships/hyperlink" Target="mailto:LUISCASTRORRR05@GMAIL.COM" TargetMode="External"/><Relationship Id="rId447" Type="http://schemas.openxmlformats.org/officeDocument/2006/relationships/hyperlink" Target="mailto:ASENDEMOS@OUTLOOK.ES" TargetMode="External"/><Relationship Id="rId251" Type="http://schemas.openxmlformats.org/officeDocument/2006/relationships/hyperlink" Target="mailto:LAPALMIRAASOCIACION@HOTMAIL.COM" TargetMode="External"/><Relationship Id="rId489" Type="http://schemas.openxmlformats.org/officeDocument/2006/relationships/hyperlink" Target="mailto:utcreciendojuntos2026@gmail.com" TargetMode="External"/><Relationship Id="rId46" Type="http://schemas.openxmlformats.org/officeDocument/2006/relationships/hyperlink" Target="mailto:CHIRLYLEONES1506@GMAIL.COM" TargetMode="External"/><Relationship Id="rId293" Type="http://schemas.openxmlformats.org/officeDocument/2006/relationships/hyperlink" Target="mailto:BETYMEDINA522@GMAIL.COM" TargetMode="External"/><Relationship Id="rId307" Type="http://schemas.openxmlformats.org/officeDocument/2006/relationships/hyperlink" Target="mailto:ASOPADRESDERAGUILAR@GMAIL.COM" TargetMode="External"/><Relationship Id="rId349" Type="http://schemas.openxmlformats.org/officeDocument/2006/relationships/hyperlink" Target="mailto:MARIOHK@HOTMAIL.COM" TargetMode="External"/><Relationship Id="rId514" Type="http://schemas.openxmlformats.org/officeDocument/2006/relationships/hyperlink" Target="mailto:UNIONTEMPORALINDIGENAPANZENU@GMAIL.COM" TargetMode="External"/><Relationship Id="rId556" Type="http://schemas.openxmlformats.org/officeDocument/2006/relationships/hyperlink" Target="mailto:YOVANNY-1978@OUTLOOK.COM" TargetMode="External"/><Relationship Id="rId88" Type="http://schemas.openxmlformats.org/officeDocument/2006/relationships/hyperlink" Target="mailto:FLOREZCARDENAAANAMARIA174@GMAIL.COM" TargetMode="External"/><Relationship Id="rId111" Type="http://schemas.openxmlformats.org/officeDocument/2006/relationships/hyperlink" Target="mailto:YENNYROJASCONTERAS@GMAIL.COM" TargetMode="External"/><Relationship Id="rId153" Type="http://schemas.openxmlformats.org/officeDocument/2006/relationships/hyperlink" Target="mailto:USR-11498@D1.COM.CO" TargetMode="External"/><Relationship Id="rId195" Type="http://schemas.openxmlformats.org/officeDocument/2006/relationships/hyperlink" Target="mailto:ASTO332@OLIMPICA.COM.CO" TargetMode="External"/><Relationship Id="rId209" Type="http://schemas.openxmlformats.org/officeDocument/2006/relationships/hyperlink" Target="mailto:jhonmercado2201@gmail.com" TargetMode="External"/><Relationship Id="rId360" Type="http://schemas.openxmlformats.org/officeDocument/2006/relationships/hyperlink" Target="mailto:SANTOSANTONIA94@GMAIL.COM" TargetMode="External"/><Relationship Id="rId416" Type="http://schemas.openxmlformats.org/officeDocument/2006/relationships/hyperlink" Target="mailto:ASOMICOLOMBIA@HOTMAIL.COM" TargetMode="External"/><Relationship Id="rId598" Type="http://schemas.openxmlformats.org/officeDocument/2006/relationships/hyperlink" Target="mailto:FUNEDAUCOL@HOTMAIL.COM" TargetMode="External"/><Relationship Id="rId220" Type="http://schemas.openxmlformats.org/officeDocument/2006/relationships/hyperlink" Target="mailto:KATYJAIME07@GMAIL.COM" TargetMode="External"/><Relationship Id="rId458" Type="http://schemas.openxmlformats.org/officeDocument/2006/relationships/hyperlink" Target="mailto:HAROL.MERCADO@AGENCIALOGISTICA.GOV.CO" TargetMode="External"/><Relationship Id="rId15" Type="http://schemas.openxmlformats.org/officeDocument/2006/relationships/hyperlink" Target="mailto:utcreciendojuntos2026@gmail.com" TargetMode="External"/><Relationship Id="rId57" Type="http://schemas.openxmlformats.org/officeDocument/2006/relationships/hyperlink" Target="mailto:ALFREDO.LINERO@D1.COM.CO" TargetMode="External"/><Relationship Id="rId262" Type="http://schemas.openxmlformats.org/officeDocument/2006/relationships/hyperlink" Target="mailto:ASOCIACIONMULTISECTORIALAHINCO@GAMIL.COM" TargetMode="External"/><Relationship Id="rId318" Type="http://schemas.openxmlformats.org/officeDocument/2006/relationships/hyperlink" Target="mailto:LOGISTICAYGESTIONESBENITO@GMAIL.COM" TargetMode="External"/><Relationship Id="rId525" Type="http://schemas.openxmlformats.org/officeDocument/2006/relationships/hyperlink" Target="mailto:FUNSALSINCELEJO@GMAIL.COM" TargetMode="External"/><Relationship Id="rId567" Type="http://schemas.openxmlformats.org/officeDocument/2006/relationships/hyperlink" Target="mailto:yarleivanega@gmail.com" TargetMode="External"/><Relationship Id="rId99" Type="http://schemas.openxmlformats.org/officeDocument/2006/relationships/hyperlink" Target="mailto:UNIONTEMPORALINDIGENAPANZENU@GMAIL.COM" TargetMode="External"/><Relationship Id="rId122" Type="http://schemas.openxmlformats.org/officeDocument/2006/relationships/hyperlink" Target="mailto:JLEONM0480@HOTMAIL.COM" TargetMode="External"/><Relationship Id="rId164" Type="http://schemas.openxmlformats.org/officeDocument/2006/relationships/hyperlink" Target="mailto:LOGISTICAYGESTIONESBENITO@GMAIL.COM" TargetMode="External"/><Relationship Id="rId371" Type="http://schemas.openxmlformats.org/officeDocument/2006/relationships/hyperlink" Target="mailto:ASOSINCE01@HOTMAIL.COM" TargetMode="External"/><Relationship Id="rId427" Type="http://schemas.openxmlformats.org/officeDocument/2006/relationships/hyperlink" Target="mailto:NULITABATHERRERA@HOTMAIL.COM" TargetMode="External"/><Relationship Id="rId469" Type="http://schemas.openxmlformats.org/officeDocument/2006/relationships/hyperlink" Target="mailto:ASTO319@OLIMPICA.COM.CO" TargetMode="External"/><Relationship Id="rId26" Type="http://schemas.openxmlformats.org/officeDocument/2006/relationships/hyperlink" Target="mailto:CENTENOSEVERICHEDIANAMARIA@HOTMAIL.COM" TargetMode="External"/><Relationship Id="rId231" Type="http://schemas.openxmlformats.org/officeDocument/2006/relationships/hyperlink" Target="mailto:CAREDURADAMEN@GMAIL.COM" TargetMode="External"/><Relationship Id="rId273" Type="http://schemas.openxmlformats.org/officeDocument/2006/relationships/hyperlink" Target="mailto:JOSEURZOLAROCHA89@GMAIL.COM" TargetMode="External"/><Relationship Id="rId329" Type="http://schemas.openxmlformats.org/officeDocument/2006/relationships/hyperlink" Target="mailto:MANDIJARAVA@GMAIL.COM" TargetMode="External"/><Relationship Id="rId480" Type="http://schemas.openxmlformats.org/officeDocument/2006/relationships/hyperlink" Target="mailto:ASENDEMOS2014@GMAIL.COM" TargetMode="External"/><Relationship Id="rId536" Type="http://schemas.openxmlformats.org/officeDocument/2006/relationships/hyperlink" Target="mailto:LOGISTICA&amp;GESTIONESBENITO@GMAIL.COM" TargetMode="External"/><Relationship Id="rId68" Type="http://schemas.openxmlformats.org/officeDocument/2006/relationships/hyperlink" Target="mailto:ASODAMASYGUAYABALITO@GMAIL.COM" TargetMode="External"/><Relationship Id="rId133" Type="http://schemas.openxmlformats.org/officeDocument/2006/relationships/hyperlink" Target="mailto:LUYJH24@HOTMAIL.COM" TargetMode="External"/><Relationship Id="rId175" Type="http://schemas.openxmlformats.org/officeDocument/2006/relationships/hyperlink" Target="mailto:LOURDESSALGADO451@GMAIL.COM" TargetMode="External"/><Relationship Id="rId340" Type="http://schemas.openxmlformats.org/officeDocument/2006/relationships/hyperlink" Target="mailto:SUPERMERCADOORIENTECOVENAS@GMAIL.COM" TargetMode="External"/><Relationship Id="rId578" Type="http://schemas.openxmlformats.org/officeDocument/2006/relationships/hyperlink" Target="mailto:OVISVEGA1989@GAMIAL.COM" TargetMode="External"/><Relationship Id="rId200" Type="http://schemas.openxmlformats.org/officeDocument/2006/relationships/hyperlink" Target="mailto:karlalozanoortiz@hotmail.com" TargetMode="External"/><Relationship Id="rId382" Type="http://schemas.openxmlformats.org/officeDocument/2006/relationships/hyperlink" Target="mailto:vergarak@hotmail.com" TargetMode="External"/><Relationship Id="rId438" Type="http://schemas.openxmlformats.org/officeDocument/2006/relationships/hyperlink" Target="mailto:alfredo.linero@d1com.co" TargetMode="External"/><Relationship Id="rId242" Type="http://schemas.openxmlformats.org/officeDocument/2006/relationships/hyperlink" Target="mailto:RECURSOSHUMANOSLASMARGARITAS1@GMAIL.COM" TargetMode="External"/><Relationship Id="rId284" Type="http://schemas.openxmlformats.org/officeDocument/2006/relationships/hyperlink" Target="mailto:tattianajimenez05@gmail.com" TargetMode="External"/><Relationship Id="rId491" Type="http://schemas.openxmlformats.org/officeDocument/2006/relationships/hyperlink" Target="mailto:LOGISTICAYGESTIONESBENITO@GMAIL.COM" TargetMode="External"/><Relationship Id="rId505" Type="http://schemas.openxmlformats.org/officeDocument/2006/relationships/hyperlink" Target="mailto:LOGISTICAYGESTIONESBENITO@GMAIL.COM" TargetMode="External"/><Relationship Id="rId37" Type="http://schemas.openxmlformats.org/officeDocument/2006/relationships/hyperlink" Target="mailto:CASAMIJASMUJESCO@GMAIL.COM" TargetMode="External"/><Relationship Id="rId79" Type="http://schemas.openxmlformats.org/officeDocument/2006/relationships/hyperlink" Target="mailto:VEDADOMINGUEZ@GMAIL.COM" TargetMode="External"/><Relationship Id="rId102" Type="http://schemas.openxmlformats.org/officeDocument/2006/relationships/hyperlink" Target="mailto:UNIONTEMPORALINDIGENAPANZENU@GMAIL.COM" TargetMode="External"/><Relationship Id="rId144" Type="http://schemas.openxmlformats.org/officeDocument/2006/relationships/hyperlink" Target="mailto:AIDETHDIAZ22@GMAIL.COM" TargetMode="External"/><Relationship Id="rId547" Type="http://schemas.openxmlformats.org/officeDocument/2006/relationships/hyperlink" Target="mailto:CONTABILIDAD@PLASTICGROUP.COM.CO" TargetMode="External"/><Relationship Id="rId589" Type="http://schemas.openxmlformats.org/officeDocument/2006/relationships/hyperlink" Target="mailto:KELLYMARTINEZ170902@GMAIL.COM" TargetMode="External"/><Relationship Id="rId90" Type="http://schemas.openxmlformats.org/officeDocument/2006/relationships/hyperlink" Target="mailto:ASOCIACIONSANLUIS123@GMAIL.COM" TargetMode="External"/><Relationship Id="rId186" Type="http://schemas.openxmlformats.org/officeDocument/2006/relationships/hyperlink" Target="mailto:OVERNARVAEZPEREZ@GMAIL.COM" TargetMode="External"/><Relationship Id="rId351" Type="http://schemas.openxmlformats.org/officeDocument/2006/relationships/hyperlink" Target="mailto:JOELVIANA14@GMAIL.COM" TargetMode="External"/><Relationship Id="rId393" Type="http://schemas.openxmlformats.org/officeDocument/2006/relationships/hyperlink" Target="mailto:MARTINEZYENNI9905@GMAIL.COM" TargetMode="External"/><Relationship Id="rId407" Type="http://schemas.openxmlformats.org/officeDocument/2006/relationships/hyperlink" Target="mailto:COORDINADOR.OPERACIONES.RG@JERONIMO-MARTINS.COM" TargetMode="External"/><Relationship Id="rId449" Type="http://schemas.openxmlformats.org/officeDocument/2006/relationships/hyperlink" Target="mailto:rodriguez_0311@hotmail.com" TargetMode="External"/><Relationship Id="rId211" Type="http://schemas.openxmlformats.org/officeDocument/2006/relationships/hyperlink" Target="mailto:LOGISTICAYGESTIONESBENITO@GMAIL.COM" TargetMode="External"/><Relationship Id="rId253" Type="http://schemas.openxmlformats.org/officeDocument/2006/relationships/hyperlink" Target="mailto:LOGISTICAYGESTIONESBENITO@GMAIL.COM" TargetMode="External"/><Relationship Id="rId295" Type="http://schemas.openxmlformats.org/officeDocument/2006/relationships/hyperlink" Target="mailto:FUNDACIONCONLUZVERDE@GMAIL.COM" TargetMode="External"/><Relationship Id="rId309" Type="http://schemas.openxmlformats.org/officeDocument/2006/relationships/hyperlink" Target="mailto:DIADAGUERRA7@GMAIL.COM" TargetMode="External"/><Relationship Id="rId460" Type="http://schemas.openxmlformats.org/officeDocument/2006/relationships/hyperlink" Target="mailto:FEDEMOJANA@GMAIL.COM" TargetMode="External"/><Relationship Id="rId516" Type="http://schemas.openxmlformats.org/officeDocument/2006/relationships/hyperlink" Target="mailto:UNIONTEMPPRALPAIP2024@GMAIL.COM" TargetMode="External"/><Relationship Id="rId48" Type="http://schemas.openxmlformats.org/officeDocument/2006/relationships/hyperlink" Target="mailto:PAODIAZATENCIA@GMAIL.COM" TargetMode="External"/><Relationship Id="rId113" Type="http://schemas.openxmlformats.org/officeDocument/2006/relationships/hyperlink" Target="mailto:UNIONTEMPORALINDIGENAPANZENU@GMAIL.COM" TargetMode="External"/><Relationship Id="rId320" Type="http://schemas.openxmlformats.org/officeDocument/2006/relationships/hyperlink" Target="mailto:ASOCACIONCREAMOSFUTURO2023@GMAIL.COM" TargetMode="External"/><Relationship Id="rId558" Type="http://schemas.openxmlformats.org/officeDocument/2006/relationships/hyperlink" Target="mailto:utcreciendojuntos2026@gmail.com" TargetMode="External"/><Relationship Id="rId155" Type="http://schemas.openxmlformats.org/officeDocument/2006/relationships/hyperlink" Target="mailto:ACASAJO11@GMAIL.COM" TargetMode="External"/><Relationship Id="rId197" Type="http://schemas.openxmlformats.org/officeDocument/2006/relationships/hyperlink" Target="mailto:RICOPANSANONOFRE@GMAIL.COM" TargetMode="External"/><Relationship Id="rId362" Type="http://schemas.openxmlformats.org/officeDocument/2006/relationships/hyperlink" Target="mailto:ASOSINCE1@HOTMAIL.COM" TargetMode="External"/><Relationship Id="rId418" Type="http://schemas.openxmlformats.org/officeDocument/2006/relationships/hyperlink" Target="mailto:LIDYSCARMENZA@GMAIL.COM" TargetMode="External"/><Relationship Id="rId222" Type="http://schemas.openxmlformats.org/officeDocument/2006/relationships/hyperlink" Target="mailto:AUTOSERVICIOSANPEDROAS@GMAIL.COM" TargetMode="External"/><Relationship Id="rId264" Type="http://schemas.openxmlformats.org/officeDocument/2006/relationships/hyperlink" Target="mailto:ASOCIACIONMULTISECTORIALAHINCO@GMAIL.COM" TargetMode="External"/><Relationship Id="rId471" Type="http://schemas.openxmlformats.org/officeDocument/2006/relationships/hyperlink" Target="mailto:ALEX03CASTROS@GMAIL.COM" TargetMode="External"/><Relationship Id="rId17" Type="http://schemas.openxmlformats.org/officeDocument/2006/relationships/hyperlink" Target="mailto:FRANSICOJOSEVERGARA2@GMAIL.COM" TargetMode="External"/><Relationship Id="rId59" Type="http://schemas.openxmlformats.org/officeDocument/2006/relationships/hyperlink" Target="mailto:SINDYOSORIO1984@GMAIL.COM" TargetMode="External"/><Relationship Id="rId124" Type="http://schemas.openxmlformats.org/officeDocument/2006/relationships/hyperlink" Target="mailto:ZENURDA27@HOTMAIL.COM" TargetMode="External"/><Relationship Id="rId527" Type="http://schemas.openxmlformats.org/officeDocument/2006/relationships/hyperlink" Target="mailto:FUNSALSINCELEJO@GMAIL.COM" TargetMode="External"/><Relationship Id="rId569" Type="http://schemas.openxmlformats.org/officeDocument/2006/relationships/hyperlink" Target="mailto:CABILDOPILETONZENU@HOTMAIL.COM" TargetMode="External"/><Relationship Id="rId70" Type="http://schemas.openxmlformats.org/officeDocument/2006/relationships/hyperlink" Target="mailto:PALLARESRICARDO85@GMAIL.COM" TargetMode="External"/><Relationship Id="rId166" Type="http://schemas.openxmlformats.org/officeDocument/2006/relationships/hyperlink" Target="mailto:MARIAOYOS1065@GMAIL.COM" TargetMode="External"/><Relationship Id="rId331" Type="http://schemas.openxmlformats.org/officeDocument/2006/relationships/hyperlink" Target="mailto:COORDINADOR.OPERACIONES.R6@JERONIMO-MARTINS.COM" TargetMode="External"/><Relationship Id="rId373" Type="http://schemas.openxmlformats.org/officeDocument/2006/relationships/hyperlink" Target="mailto:ASOSINCE1@HOTMAIL.COM" TargetMode="External"/><Relationship Id="rId429" Type="http://schemas.openxmlformats.org/officeDocument/2006/relationships/hyperlink" Target="mailto:EMISROMERO25@GMAIL.COM" TargetMode="External"/><Relationship Id="rId580" Type="http://schemas.openxmlformats.org/officeDocument/2006/relationships/hyperlink" Target="mailto:JULIANERNEY@GMAIL.COM" TargetMode="External"/><Relationship Id="rId1" Type="http://schemas.openxmlformats.org/officeDocument/2006/relationships/hyperlink" Target="mailto:DIAZMARY1989@HOTMAIL.COM" TargetMode="External"/><Relationship Id="rId233" Type="http://schemas.openxmlformats.org/officeDocument/2006/relationships/hyperlink" Target="mailto:ASOSANPEDROTRADIFAMI@GMAIL.COM" TargetMode="External"/><Relationship Id="rId440" Type="http://schemas.openxmlformats.org/officeDocument/2006/relationships/hyperlink" Target="mailto:CABEZAYCOLASINCELEJO@GMAIL.COM" TargetMode="External"/><Relationship Id="rId28" Type="http://schemas.openxmlformats.org/officeDocument/2006/relationships/hyperlink" Target="mailto:CAROLINA2505@GMAIL.COM" TargetMode="External"/><Relationship Id="rId275" Type="http://schemas.openxmlformats.org/officeDocument/2006/relationships/hyperlink" Target="mailto:ASOCIACIONMULTISECTORIALAHINCO@GMAIL.COM" TargetMode="External"/><Relationship Id="rId300" Type="http://schemas.openxmlformats.org/officeDocument/2006/relationships/hyperlink" Target="mailto:utcreciendojuntos2026@gmail.com" TargetMode="External"/><Relationship Id="rId482" Type="http://schemas.openxmlformats.org/officeDocument/2006/relationships/hyperlink" Target="mailto:CONSORCIONUTRICOCOVE&#209;AS2025@GMAIL.COM" TargetMode="External"/><Relationship Id="rId538" Type="http://schemas.openxmlformats.org/officeDocument/2006/relationships/hyperlink" Target="mailto:UNIONTEMPORALINDIGENAPANZENU@GMAIL.COM" TargetMode="External"/><Relationship Id="rId81" Type="http://schemas.openxmlformats.org/officeDocument/2006/relationships/hyperlink" Target="mailto:WILMER810@GMAIL.COM" TargetMode="External"/><Relationship Id="rId135" Type="http://schemas.openxmlformats.org/officeDocument/2006/relationships/hyperlink" Target="mailto:SHIVIPANAMA507@HOTMAIL.COM" TargetMode="External"/><Relationship Id="rId177" Type="http://schemas.openxmlformats.org/officeDocument/2006/relationships/hyperlink" Target="mailto:JAVIERUSECHEGOMEZ1@GMAIL.COM" TargetMode="External"/><Relationship Id="rId342" Type="http://schemas.openxmlformats.org/officeDocument/2006/relationships/hyperlink" Target="mailto:ACZEPALPINCHORROY@GMAIL.COM" TargetMode="External"/><Relationship Id="rId384" Type="http://schemas.openxmlformats.org/officeDocument/2006/relationships/hyperlink" Target="mailto:GUSTAVOG-1020@GMAIL.COM" TargetMode="External"/><Relationship Id="rId591" Type="http://schemas.openxmlformats.org/officeDocument/2006/relationships/hyperlink" Target="mailto:ARBOLEDASOLANOREMBERTOJOAQUIN@GMAIL.COM" TargetMode="External"/><Relationship Id="rId202" Type="http://schemas.openxmlformats.org/officeDocument/2006/relationships/hyperlink" Target="mailto:SANTIAGO.RM03@GMAIL.COM" TargetMode="External"/><Relationship Id="rId244" Type="http://schemas.openxmlformats.org/officeDocument/2006/relationships/hyperlink" Target="mailto:ALFREDOLINERO@D1.COM.CO" TargetMode="External"/><Relationship Id="rId39" Type="http://schemas.openxmlformats.org/officeDocument/2006/relationships/hyperlink" Target="mailto:VIRUPINTO19@GMAIL.COM" TargetMode="External"/><Relationship Id="rId286" Type="http://schemas.openxmlformats.org/officeDocument/2006/relationships/hyperlink" Target="mailto:wakaferrero89@gmail.com" TargetMode="External"/><Relationship Id="rId451" Type="http://schemas.openxmlformats.org/officeDocument/2006/relationships/hyperlink" Target="mailto:ASTO322@OLIMPICA.COM.CO" TargetMode="External"/><Relationship Id="rId493" Type="http://schemas.openxmlformats.org/officeDocument/2006/relationships/hyperlink" Target="mailto:LOGISTICAYGESTIONESBENITO@GMAIL.COM" TargetMode="External"/><Relationship Id="rId507" Type="http://schemas.openxmlformats.org/officeDocument/2006/relationships/hyperlink" Target="mailto:UNIONTEMPORALINDIGENAPANZENU@GMAIL.COM" TargetMode="External"/><Relationship Id="rId549" Type="http://schemas.openxmlformats.org/officeDocument/2006/relationships/hyperlink" Target="mailto:LOGISTICAYGESTIONESBENITO@GMAL.COM" TargetMode="External"/><Relationship Id="rId50" Type="http://schemas.openxmlformats.org/officeDocument/2006/relationships/hyperlink" Target="mailto:LEDIS01@GMAIL.COM" TargetMode="External"/><Relationship Id="rId104" Type="http://schemas.openxmlformats.org/officeDocument/2006/relationships/hyperlink" Target="mailto:ASOCAIN23@GMAIL.COM" TargetMode="External"/><Relationship Id="rId146" Type="http://schemas.openxmlformats.org/officeDocument/2006/relationships/hyperlink" Target="mailto:YESID2022@GMAIL.COM" TargetMode="External"/><Relationship Id="rId188" Type="http://schemas.openxmlformats.org/officeDocument/2006/relationships/hyperlink" Target="mailto:DLANOR@HOTMAIL.COM" TargetMode="External"/><Relationship Id="rId311" Type="http://schemas.openxmlformats.org/officeDocument/2006/relationships/hyperlink" Target="mailto:CANCHADETEJOISLITA@GMAIL.COM" TargetMode="External"/><Relationship Id="rId353" Type="http://schemas.openxmlformats.org/officeDocument/2006/relationships/hyperlink" Target="mailto:FUNISEMFE@GMAIL.COM" TargetMode="External"/><Relationship Id="rId395" Type="http://schemas.openxmlformats.org/officeDocument/2006/relationships/hyperlink" Target="mailto:RAFAELCAMPODELAOSSA@GMAIL.COM" TargetMode="External"/><Relationship Id="rId409" Type="http://schemas.openxmlformats.org/officeDocument/2006/relationships/hyperlink" Target="mailto:MARROROGRIGUEZ@HOTMAIL.COM" TargetMode="External"/><Relationship Id="rId560" Type="http://schemas.openxmlformats.org/officeDocument/2006/relationships/hyperlink" Target="mailto:UNIONTEMPORALPAIP2024@GMAIL.COM" TargetMode="External"/><Relationship Id="rId92" Type="http://schemas.openxmlformats.org/officeDocument/2006/relationships/hyperlink" Target="mailto:SIRLEYRIOSSUAREZ22@GMAIL.COM" TargetMode="External"/><Relationship Id="rId213" Type="http://schemas.openxmlformats.org/officeDocument/2006/relationships/hyperlink" Target="mailto:LOGISTICAYGESTIONESBENITO@GMAIL.COM" TargetMode="External"/><Relationship Id="rId420" Type="http://schemas.openxmlformats.org/officeDocument/2006/relationships/hyperlink" Target="mailto:LOGISTICAYGESTIONESBENITO@GMAL.COM" TargetMode="External"/><Relationship Id="rId255" Type="http://schemas.openxmlformats.org/officeDocument/2006/relationships/hyperlink" Target="mailto:RAULEDU441@GMAIL.COM" TargetMode="External"/><Relationship Id="rId297" Type="http://schemas.openxmlformats.org/officeDocument/2006/relationships/hyperlink" Target="mailto:YISETH@HOTMAIL.COM" TargetMode="External"/><Relationship Id="rId462" Type="http://schemas.openxmlformats.org/officeDocument/2006/relationships/hyperlink" Target="mailto:LOGISTICAYGESTIONESBENITO@GMAL.COM" TargetMode="External"/><Relationship Id="rId518" Type="http://schemas.openxmlformats.org/officeDocument/2006/relationships/hyperlink" Target="mailto:UNIONTEMPORALINDIGENAPANZENU@GMAIL.COM" TargetMode="External"/><Relationship Id="rId115" Type="http://schemas.openxmlformats.org/officeDocument/2006/relationships/hyperlink" Target="mailto:UNIONTEMPORALINDIGENAPANZENU@GMAIL.COM" TargetMode="External"/><Relationship Id="rId157" Type="http://schemas.openxmlformats.org/officeDocument/2006/relationships/hyperlink" Target="mailto:ASOBOLIVAR2023@GMAIL.COM" TargetMode="External"/><Relationship Id="rId322" Type="http://schemas.openxmlformats.org/officeDocument/2006/relationships/hyperlink" Target="mailto:ASOCACIONCREAMOSFUTURO2023@GMAIL.COM" TargetMode="External"/><Relationship Id="rId364" Type="http://schemas.openxmlformats.org/officeDocument/2006/relationships/hyperlink" Target="mailto:ASOSINCE1@HOTMAIL.COM" TargetMode="External"/><Relationship Id="rId61" Type="http://schemas.openxmlformats.org/officeDocument/2006/relationships/hyperlink" Target="mailto:LOGISTICAYGESTIONESBENITO@GMAL.COM" TargetMode="External"/><Relationship Id="rId199" Type="http://schemas.openxmlformats.org/officeDocument/2006/relationships/hyperlink" Target="mailto:DIEGOALEJANDROALVAROLUNA@GMAIL.COM" TargetMode="External"/><Relationship Id="rId571" Type="http://schemas.openxmlformats.org/officeDocument/2006/relationships/hyperlink" Target="mailto:CABILDOPILETONZENU@HOTMAIL.COM" TargetMode="External"/><Relationship Id="rId19" Type="http://schemas.openxmlformats.org/officeDocument/2006/relationships/hyperlink" Target="mailto:ASOPALOALTO@HOTMAIL.COM" TargetMode="External"/><Relationship Id="rId224" Type="http://schemas.openxmlformats.org/officeDocument/2006/relationships/hyperlink" Target="mailto:FRANKGALINDOR@HOTMAIL.COM" TargetMode="External"/><Relationship Id="rId266" Type="http://schemas.openxmlformats.org/officeDocument/2006/relationships/hyperlink" Target="mailto:ASOCIACIONMULTISECTORIALAHINCO@GMAIL.COM" TargetMode="External"/><Relationship Id="rId431" Type="http://schemas.openxmlformats.org/officeDocument/2006/relationships/hyperlink" Target="mailto:GRISELISCHIMA@GMAIL.COM" TargetMode="External"/><Relationship Id="rId473" Type="http://schemas.openxmlformats.org/officeDocument/2006/relationships/hyperlink" Target="mailto:COORDINADOR.OPERACIONES.RE@JERONIMO-MARTINS.COM" TargetMode="External"/><Relationship Id="rId529" Type="http://schemas.openxmlformats.org/officeDocument/2006/relationships/hyperlink" Target="mailto:FUNSALSINCELEJO@GMAIL.COM" TargetMode="External"/><Relationship Id="rId30" Type="http://schemas.openxmlformats.org/officeDocument/2006/relationships/hyperlink" Target="mailto:POLANCOLOPEZDAMITH@GMAIL.COM" TargetMode="External"/><Relationship Id="rId126" Type="http://schemas.openxmlformats.org/officeDocument/2006/relationships/hyperlink" Target="mailto:ANSELMOCORREA1@HOTMAIL.COM" TargetMode="External"/><Relationship Id="rId168" Type="http://schemas.openxmlformats.org/officeDocument/2006/relationships/hyperlink" Target="mailto:ANTA&#209;O@GMAIL.COM" TargetMode="External"/><Relationship Id="rId333" Type="http://schemas.openxmlformats.org/officeDocument/2006/relationships/hyperlink" Target="mailto:ANDREAGONZALEZU29@GMIAL.COM" TargetMode="External"/><Relationship Id="rId540" Type="http://schemas.openxmlformats.org/officeDocument/2006/relationships/hyperlink" Target="mailto:APFBBFOVEJAS@GMAIL.COM" TargetMode="External"/><Relationship Id="rId72" Type="http://schemas.openxmlformats.org/officeDocument/2006/relationships/hyperlink" Target="mailto:FUNDACOL261@HOTMAIL.COM" TargetMode="External"/><Relationship Id="rId375" Type="http://schemas.openxmlformats.org/officeDocument/2006/relationships/hyperlink" Target="mailto:ASOSINCE1@HOTMAIL.COM" TargetMode="External"/><Relationship Id="rId582" Type="http://schemas.openxmlformats.org/officeDocument/2006/relationships/hyperlink" Target="mailto:CONSORCIOMANOSQUENUTREN@GMAIL.COM" TargetMode="External"/><Relationship Id="rId3" Type="http://schemas.openxmlformats.org/officeDocument/2006/relationships/hyperlink" Target="mailto:asosantamarta@gmail.com" TargetMode="External"/><Relationship Id="rId235" Type="http://schemas.openxmlformats.org/officeDocument/2006/relationships/hyperlink" Target="mailto:LOGISTICAYGESTIONESBENITO@GMAIL.COM" TargetMode="External"/><Relationship Id="rId277" Type="http://schemas.openxmlformats.org/officeDocument/2006/relationships/hyperlink" Target="mailto:HUMBERTOBELLOMENDOZA@HOTMAIL.COM" TargetMode="External"/><Relationship Id="rId400" Type="http://schemas.openxmlformats.org/officeDocument/2006/relationships/hyperlink" Target="mailto:ANDRESROMERO71299@GMAIL.COM" TargetMode="External"/><Relationship Id="rId442" Type="http://schemas.openxmlformats.org/officeDocument/2006/relationships/hyperlink" Target="mailto:MONARKALICORERA@GMAIL.COM" TargetMode="External"/><Relationship Id="rId484" Type="http://schemas.openxmlformats.org/officeDocument/2006/relationships/hyperlink" Target="mailto:MARBELHA.SAFARIBEACH@GMAIL.COM" TargetMode="External"/><Relationship Id="rId137" Type="http://schemas.openxmlformats.org/officeDocument/2006/relationships/hyperlink" Target="mailto:OVERTOMAGUAS@GMAIL.COM" TargetMode="External"/><Relationship Id="rId302" Type="http://schemas.openxmlformats.org/officeDocument/2006/relationships/hyperlink" Target="mailto:utcreciendojuntos2026@gmail.com" TargetMode="External"/><Relationship Id="rId344" Type="http://schemas.openxmlformats.org/officeDocument/2006/relationships/hyperlink" Target="mailto:UNIONTEMPORALINDIGEMAPANZENU@GMAIL.COM" TargetMode="External"/><Relationship Id="rId41" Type="http://schemas.openxmlformats.org/officeDocument/2006/relationships/hyperlink" Target="mailto:DIAZPADILLAYELENAINEZ@GMAIL.COM" TargetMode="External"/><Relationship Id="rId83" Type="http://schemas.openxmlformats.org/officeDocument/2006/relationships/hyperlink" Target="mailto:HOTELCARRETEROSSAMPUES@GMAIL.COM" TargetMode="External"/><Relationship Id="rId179" Type="http://schemas.openxmlformats.org/officeDocument/2006/relationships/hyperlink" Target="mailto:JPOROSTEGUI@HOTMAIL.COM" TargetMode="External"/><Relationship Id="rId386" Type="http://schemas.openxmlformats.org/officeDocument/2006/relationships/hyperlink" Target="mailto:ANALORE202009@HOTMAIL.COM" TargetMode="External"/><Relationship Id="rId551" Type="http://schemas.openxmlformats.org/officeDocument/2006/relationships/hyperlink" Target="mailto:utcreciendojuntos2026@gmail.com" TargetMode="External"/><Relationship Id="rId593" Type="http://schemas.openxmlformats.org/officeDocument/2006/relationships/hyperlink" Target="mailto:CABILDOSANANTONIOURBANO@GMAIL.COM" TargetMode="External"/><Relationship Id="rId190" Type="http://schemas.openxmlformats.org/officeDocument/2006/relationships/hyperlink" Target="mailto:ELBROWN.EDB500@GMAIL.COM" TargetMode="External"/><Relationship Id="rId204" Type="http://schemas.openxmlformats.org/officeDocument/2006/relationships/hyperlink" Target="mailto:ABIGAILALVAREZ775@HOTMAIL.COM" TargetMode="External"/><Relationship Id="rId246" Type="http://schemas.openxmlformats.org/officeDocument/2006/relationships/hyperlink" Target="mailto:LAPALMIRAASOCIACION@HOTMAIL.COM" TargetMode="External"/><Relationship Id="rId288" Type="http://schemas.openxmlformats.org/officeDocument/2006/relationships/hyperlink" Target="mailto:LAPALMIRAASOCIACI&#211;N@HOTMAIL.COM" TargetMode="External"/><Relationship Id="rId411" Type="http://schemas.openxmlformats.org/officeDocument/2006/relationships/hyperlink" Target="mailto:ASOCIACIONMICOLOMBIA@GMAIL.COM" TargetMode="External"/><Relationship Id="rId453" Type="http://schemas.openxmlformats.org/officeDocument/2006/relationships/hyperlink" Target="mailto:COALBACAIM1@ARMADA.MIL.CO" TargetMode="External"/><Relationship Id="rId509" Type="http://schemas.openxmlformats.org/officeDocument/2006/relationships/hyperlink" Target="mailto:UNIONTEMPORALINDIGENAPANZENU@GMAIL.COM" TargetMode="External"/><Relationship Id="rId106" Type="http://schemas.openxmlformats.org/officeDocument/2006/relationships/hyperlink" Target="mailto:ANFIVIS03@GMAIL.COM" TargetMode="External"/><Relationship Id="rId313" Type="http://schemas.openxmlformats.org/officeDocument/2006/relationships/hyperlink" Target="mailto:ROSACAZES2000@GMAIL.COM" TargetMode="External"/><Relationship Id="rId495" Type="http://schemas.openxmlformats.org/officeDocument/2006/relationships/hyperlink" Target="mailto:LOGISTICA&amp;GESTIONESBENITO@GMAIL.COM" TargetMode="External"/><Relationship Id="rId10" Type="http://schemas.openxmlformats.org/officeDocument/2006/relationships/hyperlink" Target="mailto:FUNREGIONCARIBE@GMAIL.COM" TargetMode="External"/><Relationship Id="rId52" Type="http://schemas.openxmlformats.org/officeDocument/2006/relationships/hyperlink" Target="mailto:ELGAMARIADIAZ@GMAIL.COM" TargetMode="External"/><Relationship Id="rId94" Type="http://schemas.openxmlformats.org/officeDocument/2006/relationships/hyperlink" Target="mailto:UTNI&#209;OSDESUCRE2023@GMAIL.COM" TargetMode="External"/><Relationship Id="rId148" Type="http://schemas.openxmlformats.org/officeDocument/2006/relationships/hyperlink" Target="mailto:HSANJORGEPLAZA@GMAIL.COM" TargetMode="External"/><Relationship Id="rId355" Type="http://schemas.openxmlformats.org/officeDocument/2006/relationships/hyperlink" Target="mailto:UTCRECIEBDOJUNTOS2026@GMAIL.COM" TargetMode="External"/><Relationship Id="rId397" Type="http://schemas.openxmlformats.org/officeDocument/2006/relationships/hyperlink" Target="mailto:MARIFER_23_15@HOTMAIL.COM" TargetMode="External"/><Relationship Id="rId520" Type="http://schemas.openxmlformats.org/officeDocument/2006/relationships/hyperlink" Target="mailto:YAJAIRATORRES225@GMAIL.COM" TargetMode="External"/><Relationship Id="rId562" Type="http://schemas.openxmlformats.org/officeDocument/2006/relationships/hyperlink" Target="mailto:utcreciendojuntos2026@gmail.com" TargetMode="External"/><Relationship Id="rId215" Type="http://schemas.openxmlformats.org/officeDocument/2006/relationships/hyperlink" Target="mailto:FRANKGALINDOR@HOTMAIL.COM" TargetMode="External"/><Relationship Id="rId257" Type="http://schemas.openxmlformats.org/officeDocument/2006/relationships/hyperlink" Target="mailto:MPATERNINADIAZ16@GMAIL.COM.COM" TargetMode="External"/><Relationship Id="rId422" Type="http://schemas.openxmlformats.org/officeDocument/2006/relationships/hyperlink" Target="mailto:AIME020455@GMAIL.COM" TargetMode="External"/><Relationship Id="rId464" Type="http://schemas.openxmlformats.org/officeDocument/2006/relationships/hyperlink" Target="mailto:asto325@olimpica.com" TargetMode="External"/><Relationship Id="rId299" Type="http://schemas.openxmlformats.org/officeDocument/2006/relationships/hyperlink" Target="mailto:utcreciendojuntos2026@gmail.com" TargetMode="External"/><Relationship Id="rId63" Type="http://schemas.openxmlformats.org/officeDocument/2006/relationships/hyperlink" Target="mailto:ASOPALMAVINO@GMAIL.COM" TargetMode="External"/><Relationship Id="rId159" Type="http://schemas.openxmlformats.org/officeDocument/2006/relationships/hyperlink" Target="mailto:GERENCIADISTRISANMARCOS@GMAIL.COM" TargetMode="External"/><Relationship Id="rId366" Type="http://schemas.openxmlformats.org/officeDocument/2006/relationships/hyperlink" Target="mailto:ASOSINCE1@HOTMAIL.COM" TargetMode="External"/><Relationship Id="rId573" Type="http://schemas.openxmlformats.org/officeDocument/2006/relationships/hyperlink" Target="mailto:ROBINSONGIRALDO@GMAIL.COM" TargetMode="External"/><Relationship Id="rId226" Type="http://schemas.openxmlformats.org/officeDocument/2006/relationships/hyperlink" Target="mailto:MONROYEDWIN58@HOTMAIL.COM" TargetMode="External"/><Relationship Id="rId433" Type="http://schemas.openxmlformats.org/officeDocument/2006/relationships/hyperlink" Target="mailto:CONSORCIONUTRICOCOVE&#209;AS2025@GMAIL.COM" TargetMode="External"/><Relationship Id="rId74" Type="http://schemas.openxmlformats.org/officeDocument/2006/relationships/hyperlink" Target="mailto:EDYSIERRA@GMAIL.COM" TargetMode="External"/><Relationship Id="rId377" Type="http://schemas.openxmlformats.org/officeDocument/2006/relationships/hyperlink" Target="mailto:UNIONTEMPORALINDIGENAPAIP@GMAIL.COM" TargetMode="External"/><Relationship Id="rId500" Type="http://schemas.openxmlformats.org/officeDocument/2006/relationships/hyperlink" Target="mailto:LOGISTICAYGESTIONESBENITO@GMAIL.COM" TargetMode="External"/><Relationship Id="rId584" Type="http://schemas.openxmlformats.org/officeDocument/2006/relationships/hyperlink" Target="mailto:HECTOROBANDO1@HOTMAIL.COM" TargetMode="External"/><Relationship Id="rId5" Type="http://schemas.openxmlformats.org/officeDocument/2006/relationships/hyperlink" Target="mailto:FUNREGIONCARIBE@GMAIL.COM" TargetMode="External"/><Relationship Id="rId237" Type="http://schemas.openxmlformats.org/officeDocument/2006/relationships/hyperlink" Target="mailto:COCDI0907@GMAIL.COM" TargetMode="External"/><Relationship Id="rId444" Type="http://schemas.openxmlformats.org/officeDocument/2006/relationships/hyperlink" Target="mailto:utcreciendojuntos2026@gmail.com" TargetMode="External"/><Relationship Id="rId290" Type="http://schemas.openxmlformats.org/officeDocument/2006/relationships/hyperlink" Target="mailto:FUNDESUC2018@GMAIL.COM" TargetMode="External"/><Relationship Id="rId304" Type="http://schemas.openxmlformats.org/officeDocument/2006/relationships/hyperlink" Target="mailto:utcreciendojuntos2026@gmail.com" TargetMode="External"/><Relationship Id="rId388" Type="http://schemas.openxmlformats.org/officeDocument/2006/relationships/hyperlink" Target="mailto:VARIEDADES.TRES@GMAIL.COM" TargetMode="External"/><Relationship Id="rId511" Type="http://schemas.openxmlformats.org/officeDocument/2006/relationships/hyperlink" Target="mailto:UNIONTEMPORALINDIGENAPANZENU@GMAIL.COM" TargetMode="External"/><Relationship Id="rId85" Type="http://schemas.openxmlformats.org/officeDocument/2006/relationships/hyperlink" Target="mailto:ESTRADANORIEGADEY@HOTMAIL.COM" TargetMode="External"/><Relationship Id="rId150" Type="http://schemas.openxmlformats.org/officeDocument/2006/relationships/hyperlink" Target="mailto:ASTO328@OLIMPICA.COM.CO" TargetMode="External"/><Relationship Id="rId595" Type="http://schemas.openxmlformats.org/officeDocument/2006/relationships/hyperlink" Target="mailto:MARIBELOCHOAPEREZ@GMAIL.COM" TargetMode="External"/><Relationship Id="rId248" Type="http://schemas.openxmlformats.org/officeDocument/2006/relationships/hyperlink" Target="mailto:LAPALMIRAASOCIACION@HOTMAIL.COM" TargetMode="External"/><Relationship Id="rId455" Type="http://schemas.openxmlformats.org/officeDocument/2006/relationships/hyperlink" Target="mailto:CABILDOPILETONZENU@HOTMAIL.COM" TargetMode="External"/><Relationship Id="rId12" Type="http://schemas.openxmlformats.org/officeDocument/2006/relationships/hyperlink" Target="mailto:FUNREGIONCARIBE@GMAIL.COM" TargetMode="External"/><Relationship Id="rId108" Type="http://schemas.openxmlformats.org/officeDocument/2006/relationships/hyperlink" Target="mailto:ASOCIACIONSANLUIS123@GMAIL.COM" TargetMode="External"/><Relationship Id="rId315" Type="http://schemas.openxmlformats.org/officeDocument/2006/relationships/hyperlink" Target="mailto:ASOCIACIONCREAMOSFUTURO2023@GMAIL.COM" TargetMode="External"/><Relationship Id="rId522" Type="http://schemas.openxmlformats.org/officeDocument/2006/relationships/hyperlink" Target="mailto:FUNSALSINCELEJO@GMAIL.COM" TargetMode="External"/><Relationship Id="rId96" Type="http://schemas.openxmlformats.org/officeDocument/2006/relationships/hyperlink" Target="mailto:UNIONTEMPORALINDIGENAPANZENU@GMAIL.COM" TargetMode="External"/><Relationship Id="rId161" Type="http://schemas.openxmlformats.org/officeDocument/2006/relationships/hyperlink" Target="mailto:ASOCIACION@ASOMUCOL.GOV.CO" TargetMode="External"/><Relationship Id="rId399" Type="http://schemas.openxmlformats.org/officeDocument/2006/relationships/hyperlink" Target="mailto:LICORESESQUINACALIENTE@GMAIL.COM" TargetMode="External"/><Relationship Id="rId259" Type="http://schemas.openxmlformats.org/officeDocument/2006/relationships/hyperlink" Target="mailto:ASOCIACIONMULTISECTORIALAHINCO@GMAIL.COM" TargetMode="External"/><Relationship Id="rId466" Type="http://schemas.openxmlformats.org/officeDocument/2006/relationships/hyperlink" Target="mailto:NJUDICIALES@GRUPO-&#201;XITO.COM" TargetMode="External"/><Relationship Id="rId23" Type="http://schemas.openxmlformats.org/officeDocument/2006/relationships/hyperlink" Target="mailto:YUDISCORTEZ377@GMAIL.COM" TargetMode="External"/><Relationship Id="rId119" Type="http://schemas.openxmlformats.org/officeDocument/2006/relationships/hyperlink" Target="mailto:CARLOSRIBAZA1718@GMAIL.COM" TargetMode="External"/><Relationship Id="rId326" Type="http://schemas.openxmlformats.org/officeDocument/2006/relationships/hyperlink" Target="mailto:TDC.COROZAL@TERPEL.COM" TargetMode="External"/><Relationship Id="rId533" Type="http://schemas.openxmlformats.org/officeDocument/2006/relationships/hyperlink" Target="mailto:FUNSALSINCELEJO@GMAIL.COM" TargetMode="External"/><Relationship Id="rId172" Type="http://schemas.openxmlformats.org/officeDocument/2006/relationships/hyperlink" Target="mailto:MELVISTEJADAROMERO@GMAIL.COM" TargetMode="External"/><Relationship Id="rId477" Type="http://schemas.openxmlformats.org/officeDocument/2006/relationships/hyperlink" Target="mailto:ALIMENTABD@GMAIL.COM" TargetMode="External"/><Relationship Id="rId600" Type="http://schemas.openxmlformats.org/officeDocument/2006/relationships/printerSettings" Target="../printerSettings/printerSettings1.bin"/><Relationship Id="rId337" Type="http://schemas.openxmlformats.org/officeDocument/2006/relationships/hyperlink" Target="mailto:SUPERMERCADOORIENTECOVENAS@GMAIL.COM" TargetMode="External"/><Relationship Id="rId34" Type="http://schemas.openxmlformats.org/officeDocument/2006/relationships/hyperlink" Target="mailto:MARELVIG1826@GMAIL.COM" TargetMode="External"/><Relationship Id="rId544" Type="http://schemas.openxmlformats.org/officeDocument/2006/relationships/hyperlink" Target="mailto:utcreciendojuntos2026@gmail.com" TargetMode="External"/><Relationship Id="rId183" Type="http://schemas.openxmlformats.org/officeDocument/2006/relationships/hyperlink" Target="mailto:JUNIORJULIOAVILA@GMAIL.COM" TargetMode="External"/><Relationship Id="rId390" Type="http://schemas.openxmlformats.org/officeDocument/2006/relationships/hyperlink" Target="mailto:ELIASANTONIOPACHECOMESTRA@GMAIL.COM" TargetMode="External"/><Relationship Id="rId404" Type="http://schemas.openxmlformats.org/officeDocument/2006/relationships/hyperlink" Target="mailto:JUSEBASKI@HOTMAIL.COM" TargetMode="External"/><Relationship Id="rId250" Type="http://schemas.openxmlformats.org/officeDocument/2006/relationships/hyperlink" Target="mailto:LAPALMIRAASOCIACION@HOTMAIL.COM" TargetMode="External"/><Relationship Id="rId488" Type="http://schemas.openxmlformats.org/officeDocument/2006/relationships/hyperlink" Target="mailto:FRANCISCO.TORRES@JERONIMO-MARTINS.COM" TargetMode="External"/><Relationship Id="rId45" Type="http://schemas.openxmlformats.org/officeDocument/2006/relationships/hyperlink" Target="mailto:LILIPATRYO41@GAMIL.COM" TargetMode="External"/><Relationship Id="rId110" Type="http://schemas.openxmlformats.org/officeDocument/2006/relationships/hyperlink" Target="mailto:CASASAMIGASMUGESCO@YAHOO.COM" TargetMode="External"/><Relationship Id="rId348" Type="http://schemas.openxmlformats.org/officeDocument/2006/relationships/hyperlink" Target="mailto:ORLANDOGALINDO@GMAIL.COM" TargetMode="External"/><Relationship Id="rId555" Type="http://schemas.openxmlformats.org/officeDocument/2006/relationships/hyperlink" Target="mailto:utcreciendojuntospae2026@gmail.com" TargetMode="External"/><Relationship Id="rId194" Type="http://schemas.openxmlformats.org/officeDocument/2006/relationships/hyperlink" Target="mailto:FACTURACINCARLOSZULUAGA@HOTMAIL.COM" TargetMode="External"/><Relationship Id="rId208" Type="http://schemas.openxmlformats.org/officeDocument/2006/relationships/hyperlink" Target="mailto:DALGISRAMIREZ12@GMAIL.COM" TargetMode="External"/><Relationship Id="rId415" Type="http://schemas.openxmlformats.org/officeDocument/2006/relationships/hyperlink" Target="mailto:VALLE719@HOTMAIL.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FD2942"/>
  <sheetViews>
    <sheetView tabSelected="1" zoomScaleNormal="100" workbookViewId="0">
      <pane xSplit="6" ySplit="1" topLeftCell="AS1328" activePane="bottomRight" state="frozen"/>
      <selection pane="topRight" activeCell="G1" sqref="G1"/>
      <selection pane="bottomLeft" activeCell="A2" sqref="A2"/>
      <selection pane="bottomRight" activeCell="F587" sqref="F587"/>
    </sheetView>
  </sheetViews>
  <sheetFormatPr baseColWidth="10" defaultColWidth="11.44140625" defaultRowHeight="15.6" x14ac:dyDescent="0.3"/>
  <cols>
    <col min="1" max="1" width="14.6640625" style="115" customWidth="1"/>
    <col min="2" max="2" width="24.6640625" style="115" customWidth="1"/>
    <col min="3" max="3" width="10.44140625" style="115" customWidth="1"/>
    <col min="4" max="4" width="14.5546875" style="115" customWidth="1"/>
    <col min="5" max="5" width="59" style="115" customWidth="1"/>
    <col min="6" max="6" width="47.5546875" style="380" customWidth="1"/>
    <col min="7" max="7" width="23.6640625" style="115" customWidth="1"/>
    <col min="8" max="8" width="38" style="115" customWidth="1"/>
    <col min="9" max="9" width="24" style="115" customWidth="1"/>
    <col min="10" max="10" width="29.5546875" style="115" customWidth="1"/>
    <col min="11" max="11" width="11.44140625" style="115" customWidth="1"/>
    <col min="12" max="12" width="18.5546875" style="115" customWidth="1"/>
    <col min="13" max="13" width="37.109375" style="115" customWidth="1"/>
    <col min="14" max="14" width="33.109375" style="115" customWidth="1"/>
    <col min="15" max="15" width="33" style="115" customWidth="1"/>
    <col min="16" max="16" width="15.44140625" style="115" customWidth="1"/>
    <col min="17" max="17" width="16.6640625" style="380" customWidth="1"/>
    <col min="18" max="18" width="18.109375" style="115" customWidth="1"/>
    <col min="19" max="19" width="33.88671875" style="115" customWidth="1"/>
    <col min="20" max="20" width="25.44140625" style="115" customWidth="1"/>
    <col min="21" max="21" width="25.5546875" style="115" customWidth="1"/>
    <col min="22" max="22" width="16.6640625" style="115" customWidth="1"/>
    <col min="23" max="23" width="18.109375" style="115" customWidth="1"/>
    <col min="24" max="24" width="33" style="115" customWidth="1"/>
    <col min="25" max="25" width="26.6640625" style="115" customWidth="1"/>
    <col min="26" max="26" width="21.88671875" style="115" customWidth="1"/>
    <col min="27" max="27" width="13.44140625" style="115" customWidth="1"/>
    <col min="28" max="28" width="11.44140625" style="115"/>
    <col min="29" max="29" width="14.44140625" style="115" customWidth="1"/>
    <col min="30" max="30" width="12.6640625" style="115" customWidth="1"/>
    <col min="31" max="31" width="25.33203125" style="115" customWidth="1"/>
    <col min="32" max="32" width="18" style="115" customWidth="1"/>
    <col min="33" max="33" width="15.44140625" style="115" customWidth="1"/>
    <col min="34" max="34" width="9.33203125" style="115" customWidth="1"/>
    <col min="35" max="35" width="14" style="115" customWidth="1"/>
    <col min="36" max="36" width="20" style="115" bestFit="1" customWidth="1"/>
    <col min="37" max="37" width="33.44140625" style="115" customWidth="1"/>
    <col min="38" max="38" width="20.88671875" style="115" customWidth="1"/>
    <col min="39" max="40" width="11.44140625" style="115"/>
    <col min="41" max="41" width="15.5546875" style="115" customWidth="1"/>
    <col min="42" max="42" width="14.5546875" style="115" customWidth="1"/>
    <col min="43" max="43" width="25.33203125" style="115" customWidth="1"/>
    <col min="44" max="44" width="21" style="115" customWidth="1"/>
    <col min="45" max="45" width="11.44140625" style="115"/>
    <col min="46" max="46" width="10.109375" style="115" customWidth="1"/>
    <col min="47" max="47" width="15.6640625" style="115" customWidth="1"/>
    <col min="48" max="48" width="27.109375" style="115" customWidth="1"/>
    <col min="49" max="49" width="24.6640625" style="115" customWidth="1"/>
    <col min="50" max="50" width="26.5546875" style="115" customWidth="1"/>
    <col min="51" max="51" width="37.109375" style="115" customWidth="1"/>
    <col min="52" max="52" width="43.88671875" style="115" customWidth="1"/>
    <col min="53" max="53" width="40.5546875" style="115" customWidth="1"/>
    <col min="55" max="55" width="14.5546875" customWidth="1"/>
    <col min="56" max="56" width="25.33203125" customWidth="1"/>
    <col min="57" max="57" width="21" customWidth="1"/>
    <col min="59" max="59" width="10.109375" customWidth="1"/>
  </cols>
  <sheetData>
    <row r="1" spans="1:59" s="324" customFormat="1" ht="38.25" customHeight="1" x14ac:dyDescent="0.3">
      <c r="A1" s="308" t="s">
        <v>0</v>
      </c>
      <c r="B1" s="308" t="s">
        <v>1</v>
      </c>
      <c r="C1" s="308" t="s">
        <v>2</v>
      </c>
      <c r="D1" s="308" t="s">
        <v>3</v>
      </c>
      <c r="E1" s="308" t="s">
        <v>4</v>
      </c>
      <c r="F1" s="381" t="s">
        <v>5</v>
      </c>
      <c r="G1" s="309" t="s">
        <v>6</v>
      </c>
      <c r="H1" s="308" t="s">
        <v>7</v>
      </c>
      <c r="I1" s="308" t="s">
        <v>8</v>
      </c>
      <c r="J1" s="308" t="s">
        <v>9</v>
      </c>
      <c r="K1" s="308" t="s">
        <v>10</v>
      </c>
      <c r="L1" s="308" t="s">
        <v>11</v>
      </c>
      <c r="M1" s="309" t="s">
        <v>12</v>
      </c>
      <c r="N1" s="310" t="s">
        <v>13</v>
      </c>
      <c r="O1" s="310" t="s">
        <v>14</v>
      </c>
      <c r="P1" s="311" t="s">
        <v>15</v>
      </c>
      <c r="Q1" s="382" t="s">
        <v>16</v>
      </c>
      <c r="R1" s="312" t="s">
        <v>17</v>
      </c>
      <c r="S1" s="310" t="s">
        <v>18</v>
      </c>
      <c r="T1" s="310" t="s">
        <v>19</v>
      </c>
      <c r="U1" s="310" t="s">
        <v>20</v>
      </c>
      <c r="V1" s="313" t="s">
        <v>21</v>
      </c>
      <c r="W1" s="314" t="s">
        <v>17</v>
      </c>
      <c r="X1" s="313" t="s">
        <v>18</v>
      </c>
      <c r="Y1" s="313" t="s">
        <v>19</v>
      </c>
      <c r="Z1" s="313" t="s">
        <v>20</v>
      </c>
      <c r="AA1" s="315" t="s">
        <v>22</v>
      </c>
      <c r="AB1" s="315" t="s">
        <v>23</v>
      </c>
      <c r="AC1" s="316" t="s">
        <v>8806</v>
      </c>
      <c r="AD1" s="317" t="s">
        <v>24</v>
      </c>
      <c r="AE1" s="316" t="s">
        <v>18</v>
      </c>
      <c r="AF1" s="316" t="s">
        <v>25</v>
      </c>
      <c r="AG1" s="316" t="s">
        <v>26</v>
      </c>
      <c r="AH1" s="316" t="s">
        <v>23</v>
      </c>
      <c r="AI1" s="318" t="s">
        <v>8805</v>
      </c>
      <c r="AJ1" s="319" t="s">
        <v>7647</v>
      </c>
      <c r="AK1" s="318" t="s">
        <v>18</v>
      </c>
      <c r="AL1" s="318" t="s">
        <v>28</v>
      </c>
      <c r="AM1" s="318" t="s">
        <v>26</v>
      </c>
      <c r="AN1" s="318" t="s">
        <v>27</v>
      </c>
      <c r="AO1" s="320" t="s">
        <v>8804</v>
      </c>
      <c r="AP1" s="321" t="s">
        <v>24</v>
      </c>
      <c r="AQ1" s="320" t="s">
        <v>30</v>
      </c>
      <c r="AR1" s="320" t="s">
        <v>31</v>
      </c>
      <c r="AS1" s="320" t="s">
        <v>26</v>
      </c>
      <c r="AT1" s="320" t="s">
        <v>27</v>
      </c>
      <c r="AU1" s="322" t="s">
        <v>32</v>
      </c>
      <c r="AV1" s="323" t="s">
        <v>33</v>
      </c>
      <c r="AW1" s="323" t="s">
        <v>34</v>
      </c>
      <c r="AX1" s="308" t="s">
        <v>35</v>
      </c>
      <c r="AY1" s="308" t="s">
        <v>36</v>
      </c>
      <c r="AZ1" s="308" t="s">
        <v>37</v>
      </c>
      <c r="BA1" s="308" t="s">
        <v>38</v>
      </c>
      <c r="BB1" s="320" t="s">
        <v>29</v>
      </c>
      <c r="BC1" s="321" t="s">
        <v>24</v>
      </c>
      <c r="BD1" s="320" t="s">
        <v>30</v>
      </c>
      <c r="BE1" s="320" t="s">
        <v>31</v>
      </c>
      <c r="BF1" s="320" t="s">
        <v>26</v>
      </c>
      <c r="BG1" s="320" t="s">
        <v>27</v>
      </c>
    </row>
    <row r="2" spans="1:59" s="12" customFormat="1" ht="14.4" x14ac:dyDescent="0.3">
      <c r="A2" s="12" t="s">
        <v>39</v>
      </c>
      <c r="B2" s="12" t="s">
        <v>40</v>
      </c>
      <c r="C2" s="12">
        <v>70</v>
      </c>
      <c r="D2" s="12">
        <v>110</v>
      </c>
      <c r="F2" s="12" t="s">
        <v>41</v>
      </c>
      <c r="G2" s="12" t="str">
        <f t="shared" ref="G2:G36" si="0">C2&amp;D2&amp;I2</f>
        <v>7011018761843</v>
      </c>
      <c r="H2" s="12" t="s">
        <v>42</v>
      </c>
      <c r="I2" s="12">
        <v>18761843</v>
      </c>
      <c r="J2" s="12" t="s">
        <v>43</v>
      </c>
      <c r="K2" s="12" t="s">
        <v>44</v>
      </c>
      <c r="L2" s="12" t="s">
        <v>45</v>
      </c>
      <c r="M2" s="17" t="s">
        <v>45</v>
      </c>
      <c r="N2" s="12" t="s">
        <v>46</v>
      </c>
      <c r="O2" s="12" t="s">
        <v>47</v>
      </c>
      <c r="P2" s="88" t="s">
        <v>48</v>
      </c>
      <c r="Q2" s="13"/>
      <c r="R2" s="16"/>
      <c r="V2" s="13">
        <v>45567</v>
      </c>
      <c r="W2" s="16">
        <v>0.65500000000000003</v>
      </c>
      <c r="X2" s="12" t="s">
        <v>49</v>
      </c>
      <c r="Z2" s="12" t="s">
        <v>50</v>
      </c>
      <c r="AA2" s="12" t="s">
        <v>51</v>
      </c>
      <c r="AB2" s="12" t="s">
        <v>52</v>
      </c>
      <c r="AC2" s="13">
        <v>45133</v>
      </c>
      <c r="AD2" s="16">
        <v>0.72</v>
      </c>
      <c r="AE2" s="12" t="s">
        <v>49</v>
      </c>
      <c r="AF2" s="12" t="s">
        <v>50</v>
      </c>
      <c r="AU2" s="12" t="s">
        <v>53</v>
      </c>
      <c r="AX2" s="12" t="s">
        <v>51</v>
      </c>
    </row>
    <row r="3" spans="1:59" s="12" customFormat="1" ht="14.4" x14ac:dyDescent="0.3">
      <c r="A3" s="12" t="s">
        <v>39</v>
      </c>
      <c r="B3" s="12" t="s">
        <v>54</v>
      </c>
      <c r="C3" s="12">
        <v>70</v>
      </c>
      <c r="D3" s="12">
        <v>110</v>
      </c>
      <c r="F3" s="275" t="s">
        <v>7689</v>
      </c>
      <c r="G3" s="12" t="str">
        <f t="shared" si="0"/>
        <v>7011022840737</v>
      </c>
      <c r="H3" s="12" t="s">
        <v>56</v>
      </c>
      <c r="I3" s="12">
        <v>22840737</v>
      </c>
      <c r="J3" s="12" t="s">
        <v>57</v>
      </c>
      <c r="K3" s="12" t="s">
        <v>44</v>
      </c>
      <c r="L3" s="12">
        <v>3126162856</v>
      </c>
      <c r="M3" s="12" t="s">
        <v>7690</v>
      </c>
      <c r="N3" s="12" t="s">
        <v>46</v>
      </c>
      <c r="O3" s="12" t="s">
        <v>47</v>
      </c>
      <c r="P3" s="88" t="s">
        <v>48</v>
      </c>
      <c r="Q3" s="13">
        <v>46149</v>
      </c>
      <c r="R3" s="16">
        <v>0.77</v>
      </c>
      <c r="S3" s="12" t="s">
        <v>49</v>
      </c>
      <c r="T3" s="12" t="s">
        <v>59</v>
      </c>
      <c r="U3" s="12" t="s">
        <v>50</v>
      </c>
      <c r="V3" s="13">
        <v>45747</v>
      </c>
      <c r="W3" s="12" t="s">
        <v>7691</v>
      </c>
      <c r="X3" s="12" t="s">
        <v>49</v>
      </c>
      <c r="Y3" s="12" t="s">
        <v>59</v>
      </c>
      <c r="Z3" s="12" t="s">
        <v>50</v>
      </c>
      <c r="AA3" s="12" t="s">
        <v>51</v>
      </c>
      <c r="AB3" s="12" t="s">
        <v>52</v>
      </c>
      <c r="AC3" s="13" t="s">
        <v>58</v>
      </c>
      <c r="AD3" s="16">
        <v>0.78</v>
      </c>
      <c r="AE3" s="12" t="s">
        <v>49</v>
      </c>
      <c r="AF3" s="12" t="s">
        <v>60</v>
      </c>
      <c r="AI3" s="13">
        <v>45270</v>
      </c>
      <c r="AJ3" s="16">
        <v>0.85499999999999998</v>
      </c>
      <c r="AK3" s="12" t="s">
        <v>49</v>
      </c>
      <c r="AL3" s="12" t="s">
        <v>60</v>
      </c>
      <c r="AU3" s="12" t="s">
        <v>53</v>
      </c>
      <c r="AX3" s="12" t="s">
        <v>51</v>
      </c>
    </row>
    <row r="4" spans="1:59" s="12" customFormat="1" ht="14.4" x14ac:dyDescent="0.3">
      <c r="A4" s="12" t="s">
        <v>39</v>
      </c>
      <c r="B4" s="12" t="s">
        <v>54</v>
      </c>
      <c r="C4" s="12">
        <v>70</v>
      </c>
      <c r="D4" s="12">
        <v>110</v>
      </c>
      <c r="F4" s="12" t="s">
        <v>61</v>
      </c>
      <c r="G4" s="12" t="str">
        <f t="shared" si="0"/>
        <v>701101052946477</v>
      </c>
      <c r="H4" s="12" t="s">
        <v>62</v>
      </c>
      <c r="I4" s="12">
        <v>1052946477</v>
      </c>
      <c r="J4" s="12" t="s">
        <v>63</v>
      </c>
      <c r="K4" s="12" t="s">
        <v>44</v>
      </c>
      <c r="L4" s="12">
        <v>3205542637</v>
      </c>
      <c r="M4" s="17" t="s">
        <v>64</v>
      </c>
      <c r="N4" s="12" t="s">
        <v>46</v>
      </c>
      <c r="O4" s="12" t="s">
        <v>47</v>
      </c>
      <c r="P4" s="88" t="s">
        <v>48</v>
      </c>
      <c r="Q4" s="13"/>
      <c r="R4" s="16"/>
      <c r="V4" s="13"/>
      <c r="W4" s="16"/>
      <c r="AC4" s="13"/>
      <c r="AD4" s="16"/>
      <c r="AU4" s="12" t="s">
        <v>53</v>
      </c>
    </row>
    <row r="5" spans="1:59" s="12" customFormat="1" ht="14.4" x14ac:dyDescent="0.3">
      <c r="A5" s="12" t="s">
        <v>39</v>
      </c>
      <c r="B5" s="12" t="s">
        <v>54</v>
      </c>
      <c r="C5" s="12">
        <v>70</v>
      </c>
      <c r="D5" s="12">
        <v>110</v>
      </c>
      <c r="F5" s="275" t="s">
        <v>65</v>
      </c>
      <c r="G5" s="12" t="str">
        <f t="shared" si="0"/>
        <v>7011033237147</v>
      </c>
      <c r="H5" s="12" t="s">
        <v>66</v>
      </c>
      <c r="I5" s="12">
        <v>33237147</v>
      </c>
      <c r="J5" s="12" t="s">
        <v>67</v>
      </c>
      <c r="K5" s="12" t="s">
        <v>44</v>
      </c>
      <c r="L5" s="12">
        <v>3116503790</v>
      </c>
      <c r="M5" s="12" t="s">
        <v>68</v>
      </c>
      <c r="N5" s="12" t="s">
        <v>46</v>
      </c>
      <c r="O5" s="12" t="s">
        <v>47</v>
      </c>
      <c r="P5" s="88" t="s">
        <v>48</v>
      </c>
      <c r="Q5" s="13">
        <v>45357</v>
      </c>
      <c r="R5" s="16">
        <v>0.78500000000000003</v>
      </c>
      <c r="S5" s="12" t="s">
        <v>49</v>
      </c>
      <c r="T5" s="12" t="s">
        <v>59</v>
      </c>
      <c r="U5" s="12" t="s">
        <v>50</v>
      </c>
      <c r="V5" s="13" t="s">
        <v>70</v>
      </c>
      <c r="W5" s="16">
        <v>0.77</v>
      </c>
      <c r="X5" s="12" t="s">
        <v>49</v>
      </c>
      <c r="Z5" s="12" t="s">
        <v>50</v>
      </c>
      <c r="AA5" s="12" t="s">
        <v>52</v>
      </c>
      <c r="AB5" s="12" t="s">
        <v>52</v>
      </c>
      <c r="AU5" s="12" t="s">
        <v>53</v>
      </c>
      <c r="AX5" s="12" t="s">
        <v>51</v>
      </c>
    </row>
    <row r="6" spans="1:59" s="12" customFormat="1" ht="14.4" x14ac:dyDescent="0.3">
      <c r="A6" s="12" t="s">
        <v>39</v>
      </c>
      <c r="B6" s="12" t="s">
        <v>54</v>
      </c>
      <c r="C6" s="12">
        <v>70</v>
      </c>
      <c r="D6" s="12">
        <v>110</v>
      </c>
      <c r="F6" s="275" t="s">
        <v>71</v>
      </c>
      <c r="G6" s="12" t="str">
        <f t="shared" si="0"/>
        <v>7011018761530</v>
      </c>
      <c r="H6" s="12" t="s">
        <v>72</v>
      </c>
      <c r="I6" s="12">
        <v>18761530</v>
      </c>
      <c r="J6" s="12" t="s">
        <v>73</v>
      </c>
      <c r="K6" s="12" t="s">
        <v>44</v>
      </c>
      <c r="L6" s="12" t="s">
        <v>45</v>
      </c>
      <c r="M6" s="12" t="s">
        <v>68</v>
      </c>
      <c r="N6" s="12" t="s">
        <v>46</v>
      </c>
      <c r="O6" s="12" t="s">
        <v>47</v>
      </c>
      <c r="P6" s="88" t="s">
        <v>48</v>
      </c>
      <c r="Q6" s="13">
        <v>46178</v>
      </c>
      <c r="R6" s="12">
        <v>75</v>
      </c>
      <c r="S6" s="12" t="s">
        <v>49</v>
      </c>
      <c r="T6" s="12" t="s">
        <v>59</v>
      </c>
      <c r="U6" s="12" t="s">
        <v>50</v>
      </c>
      <c r="V6" s="13">
        <v>45821</v>
      </c>
      <c r="W6" s="16">
        <v>0.78</v>
      </c>
      <c r="X6" s="12" t="s">
        <v>74</v>
      </c>
      <c r="Z6" s="12" t="s">
        <v>50</v>
      </c>
      <c r="AA6" s="12" t="s">
        <v>51</v>
      </c>
      <c r="AB6" s="12" t="s">
        <v>52</v>
      </c>
      <c r="AC6" s="13">
        <v>45299</v>
      </c>
      <c r="AD6" s="16">
        <v>0.755</v>
      </c>
      <c r="AE6" s="12" t="s">
        <v>49</v>
      </c>
      <c r="AF6" s="12" t="s">
        <v>50</v>
      </c>
      <c r="AI6" s="13">
        <v>45226</v>
      </c>
      <c r="AJ6" s="16">
        <v>0.79500000000000004</v>
      </c>
      <c r="AK6" s="12" t="s">
        <v>49</v>
      </c>
      <c r="AU6" s="12" t="s">
        <v>53</v>
      </c>
      <c r="AX6" s="12" t="s">
        <v>51</v>
      </c>
    </row>
    <row r="7" spans="1:59" s="12" customFormat="1" ht="14.4" x14ac:dyDescent="0.3">
      <c r="A7" s="12" t="s">
        <v>39</v>
      </c>
      <c r="B7" s="12" t="s">
        <v>54</v>
      </c>
      <c r="C7" s="12">
        <v>70</v>
      </c>
      <c r="D7" s="12">
        <v>110</v>
      </c>
      <c r="F7" s="275" t="s">
        <v>83</v>
      </c>
      <c r="G7" s="12" t="str">
        <f t="shared" si="0"/>
        <v>7011023124928</v>
      </c>
      <c r="H7" s="12" t="s">
        <v>9012</v>
      </c>
      <c r="I7" s="12">
        <v>23124928</v>
      </c>
      <c r="J7" s="12" t="s">
        <v>9013</v>
      </c>
      <c r="K7" s="12" t="s">
        <v>44</v>
      </c>
      <c r="L7" s="12">
        <v>3016737616</v>
      </c>
      <c r="N7" s="12" t="s">
        <v>46</v>
      </c>
      <c r="O7" s="12" t="s">
        <v>47</v>
      </c>
      <c r="P7" s="88" t="s">
        <v>48</v>
      </c>
      <c r="Q7" s="13">
        <v>45854</v>
      </c>
      <c r="R7" s="12" t="s">
        <v>5870</v>
      </c>
      <c r="S7" s="12" t="s">
        <v>74</v>
      </c>
      <c r="T7" s="12" t="s">
        <v>59</v>
      </c>
      <c r="U7" s="12" t="s">
        <v>50</v>
      </c>
      <c r="V7" s="13"/>
      <c r="W7" s="16"/>
      <c r="AC7" s="13"/>
      <c r="AD7" s="16"/>
      <c r="AU7" s="12" t="s">
        <v>1208</v>
      </c>
    </row>
    <row r="8" spans="1:59" s="12" customFormat="1" ht="14.4" hidden="1" x14ac:dyDescent="0.3">
      <c r="A8" s="12" t="s">
        <v>39</v>
      </c>
      <c r="B8" s="12" t="s">
        <v>54</v>
      </c>
      <c r="C8" s="12">
        <v>70</v>
      </c>
      <c r="D8" s="12">
        <v>110</v>
      </c>
      <c r="F8" s="275" t="s">
        <v>76</v>
      </c>
      <c r="G8" s="12" t="str">
        <f t="shared" si="0"/>
        <v>7011018762628</v>
      </c>
      <c r="H8" s="12" t="s">
        <v>77</v>
      </c>
      <c r="I8" s="12">
        <v>18762628</v>
      </c>
      <c r="J8" s="12" t="s">
        <v>78</v>
      </c>
      <c r="K8" s="12" t="s">
        <v>44</v>
      </c>
      <c r="L8" s="12">
        <v>3204173315</v>
      </c>
      <c r="M8" s="12" t="s">
        <v>79</v>
      </c>
      <c r="N8" s="12" t="s">
        <v>46</v>
      </c>
      <c r="O8" s="12" t="s">
        <v>2797</v>
      </c>
      <c r="P8" s="88" t="s">
        <v>80</v>
      </c>
      <c r="Q8" s="13">
        <v>46185</v>
      </c>
      <c r="R8" s="12" t="s">
        <v>8588</v>
      </c>
      <c r="S8" s="12" t="s">
        <v>49</v>
      </c>
      <c r="T8" s="12" t="s">
        <v>59</v>
      </c>
      <c r="U8" s="12" t="s">
        <v>60</v>
      </c>
      <c r="V8" s="13">
        <v>45862</v>
      </c>
      <c r="W8" s="16" t="s">
        <v>81</v>
      </c>
      <c r="X8" s="12" t="s">
        <v>74</v>
      </c>
      <c r="Y8" s="12" t="s">
        <v>59</v>
      </c>
      <c r="Z8" s="12" t="s">
        <v>50</v>
      </c>
      <c r="AA8" s="12" t="s">
        <v>51</v>
      </c>
      <c r="AB8" s="12" t="s">
        <v>52</v>
      </c>
      <c r="AC8" s="13" t="s">
        <v>82</v>
      </c>
      <c r="AD8" s="16">
        <v>0.79500000000000004</v>
      </c>
      <c r="AE8" s="12" t="s">
        <v>49</v>
      </c>
      <c r="AF8" s="12" t="s">
        <v>50</v>
      </c>
      <c r="AH8" s="12" t="s">
        <v>52</v>
      </c>
      <c r="AI8" s="13">
        <v>45272</v>
      </c>
      <c r="AJ8" s="16">
        <v>0.755</v>
      </c>
      <c r="AK8" s="12" t="s">
        <v>49</v>
      </c>
      <c r="AL8" s="12" t="s">
        <v>50</v>
      </c>
      <c r="AM8" s="12" t="s">
        <v>51</v>
      </c>
      <c r="AN8" s="12" t="s">
        <v>52</v>
      </c>
      <c r="AO8" s="13">
        <v>44684</v>
      </c>
      <c r="AP8" s="16">
        <v>0.64500000000000002</v>
      </c>
      <c r="AQ8" s="12" t="s">
        <v>49</v>
      </c>
      <c r="AR8" s="12" t="s">
        <v>50</v>
      </c>
      <c r="AU8" s="12" t="s">
        <v>53</v>
      </c>
    </row>
    <row r="9" spans="1:59" s="12" customFormat="1" ht="14.4" x14ac:dyDescent="0.3">
      <c r="A9" s="12" t="s">
        <v>39</v>
      </c>
      <c r="B9" s="12" t="s">
        <v>54</v>
      </c>
      <c r="C9" s="12">
        <v>70</v>
      </c>
      <c r="D9" s="12">
        <v>110</v>
      </c>
      <c r="F9" s="275" t="s">
        <v>83</v>
      </c>
      <c r="G9" s="12" t="str">
        <f t="shared" si="0"/>
        <v>7011023124928</v>
      </c>
      <c r="H9" s="12" t="s">
        <v>84</v>
      </c>
      <c r="I9" s="12">
        <v>23124928</v>
      </c>
      <c r="J9" s="12" t="s">
        <v>85</v>
      </c>
      <c r="K9" s="12" t="s">
        <v>44</v>
      </c>
      <c r="L9" s="12">
        <v>3016737616</v>
      </c>
      <c r="M9" s="12" t="s">
        <v>45</v>
      </c>
      <c r="N9" s="12" t="s">
        <v>46</v>
      </c>
      <c r="O9" s="12" t="s">
        <v>47</v>
      </c>
      <c r="P9" s="88" t="s">
        <v>48</v>
      </c>
      <c r="Q9" s="13">
        <v>45420</v>
      </c>
      <c r="R9" s="16">
        <v>0.755</v>
      </c>
      <c r="S9" s="12" t="s">
        <v>74</v>
      </c>
      <c r="T9" s="12" t="s">
        <v>59</v>
      </c>
      <c r="U9" s="12" t="s">
        <v>50</v>
      </c>
      <c r="V9" s="13" t="s">
        <v>86</v>
      </c>
      <c r="W9" s="16">
        <v>0.79</v>
      </c>
      <c r="X9" s="12" t="s">
        <v>87</v>
      </c>
      <c r="Z9" s="12" t="s">
        <v>60</v>
      </c>
      <c r="AA9" s="12" t="s">
        <v>52</v>
      </c>
      <c r="AB9" s="12" t="s">
        <v>52</v>
      </c>
      <c r="AC9" s="13"/>
      <c r="AD9" s="16"/>
      <c r="AI9" s="13"/>
      <c r="AJ9" s="16"/>
      <c r="AU9" s="12" t="s">
        <v>53</v>
      </c>
    </row>
    <row r="10" spans="1:59" s="12" customFormat="1" ht="14.4" hidden="1" x14ac:dyDescent="0.3">
      <c r="A10" s="12" t="s">
        <v>39</v>
      </c>
      <c r="B10" s="12" t="s">
        <v>54</v>
      </c>
      <c r="C10" s="12">
        <v>70</v>
      </c>
      <c r="D10" s="12">
        <v>110</v>
      </c>
      <c r="F10" s="12" t="s">
        <v>88</v>
      </c>
      <c r="G10" s="12" t="str">
        <f t="shared" si="0"/>
        <v>7011018761348</v>
      </c>
      <c r="H10" s="12" t="s">
        <v>89</v>
      </c>
      <c r="I10" s="12">
        <v>18761348</v>
      </c>
      <c r="J10" s="12" t="s">
        <v>90</v>
      </c>
      <c r="K10" s="12" t="s">
        <v>44</v>
      </c>
      <c r="L10" s="12">
        <v>3022308997</v>
      </c>
      <c r="M10" s="12" t="s">
        <v>91</v>
      </c>
      <c r="N10" s="12" t="s">
        <v>46</v>
      </c>
      <c r="O10" s="12" t="s">
        <v>2797</v>
      </c>
      <c r="P10" s="88" t="s">
        <v>80</v>
      </c>
      <c r="Q10" s="13"/>
      <c r="R10" s="16"/>
      <c r="V10" s="13"/>
      <c r="W10" s="16"/>
      <c r="AC10" s="13"/>
      <c r="AD10" s="16"/>
      <c r="AI10" s="13"/>
      <c r="AJ10" s="16"/>
      <c r="AU10" s="12" t="s">
        <v>164</v>
      </c>
    </row>
    <row r="11" spans="1:59" s="12" customFormat="1" ht="14.4" hidden="1" x14ac:dyDescent="0.3">
      <c r="A11" s="12" t="s">
        <v>39</v>
      </c>
      <c r="B11" s="12" t="s">
        <v>54</v>
      </c>
      <c r="C11" s="12">
        <v>70</v>
      </c>
      <c r="D11" s="12">
        <v>110</v>
      </c>
      <c r="F11" s="275" t="s">
        <v>92</v>
      </c>
      <c r="G11" s="12" t="str">
        <f t="shared" si="0"/>
        <v>7011033238532</v>
      </c>
      <c r="H11" s="12" t="s">
        <v>93</v>
      </c>
      <c r="I11" s="12">
        <v>33238532</v>
      </c>
      <c r="J11" s="12" t="s">
        <v>94</v>
      </c>
      <c r="K11" s="12" t="s">
        <v>44</v>
      </c>
      <c r="L11" s="12">
        <v>3006288208</v>
      </c>
      <c r="M11" s="12" t="s">
        <v>95</v>
      </c>
      <c r="N11" s="12" t="s">
        <v>46</v>
      </c>
      <c r="O11" s="12" t="s">
        <v>2797</v>
      </c>
      <c r="P11" s="88" t="s">
        <v>80</v>
      </c>
      <c r="Q11" s="13">
        <v>45870</v>
      </c>
      <c r="R11" s="16">
        <v>0.75</v>
      </c>
      <c r="S11" s="12" t="s">
        <v>49</v>
      </c>
      <c r="U11" s="12" t="s">
        <v>60</v>
      </c>
      <c r="V11" s="13">
        <v>45572</v>
      </c>
      <c r="W11" s="16">
        <v>0.79549999999999998</v>
      </c>
      <c r="X11" s="12" t="s">
        <v>49</v>
      </c>
      <c r="Y11" s="12" t="s">
        <v>59</v>
      </c>
      <c r="Z11" s="12" t="s">
        <v>50</v>
      </c>
      <c r="AA11" s="12" t="s">
        <v>52</v>
      </c>
      <c r="AB11" s="12" t="s">
        <v>52</v>
      </c>
      <c r="AC11" s="13" t="s">
        <v>96</v>
      </c>
      <c r="AD11" s="16">
        <v>0.83</v>
      </c>
      <c r="AE11" s="12" t="s">
        <v>49</v>
      </c>
      <c r="AF11" s="12" t="s">
        <v>60</v>
      </c>
      <c r="AG11" s="12" t="s">
        <v>52</v>
      </c>
      <c r="AH11" s="12" t="s">
        <v>52</v>
      </c>
      <c r="AI11" s="13">
        <v>44126</v>
      </c>
      <c r="AJ11" s="16">
        <v>0.83750000000000002</v>
      </c>
      <c r="AK11" s="12" t="s">
        <v>49</v>
      </c>
      <c r="AL11" s="12" t="s">
        <v>50</v>
      </c>
      <c r="AU11" s="12" t="s">
        <v>53</v>
      </c>
    </row>
    <row r="12" spans="1:59" s="12" customFormat="1" ht="14.4" hidden="1" x14ac:dyDescent="0.3">
      <c r="A12" s="12" t="s">
        <v>39</v>
      </c>
      <c r="B12" s="12" t="s">
        <v>54</v>
      </c>
      <c r="C12" s="12">
        <v>70</v>
      </c>
      <c r="D12" s="12">
        <v>110</v>
      </c>
      <c r="F12" s="12" t="s">
        <v>97</v>
      </c>
      <c r="G12" s="12" t="str">
        <f t="shared" si="0"/>
        <v>7011018778581</v>
      </c>
      <c r="H12" s="12" t="s">
        <v>98</v>
      </c>
      <c r="I12" s="12">
        <v>18778581</v>
      </c>
      <c r="J12" s="12" t="s">
        <v>99</v>
      </c>
      <c r="K12" s="12" t="s">
        <v>44</v>
      </c>
      <c r="L12" s="12">
        <v>3043715704</v>
      </c>
      <c r="M12" s="12" t="s">
        <v>100</v>
      </c>
      <c r="N12" s="12" t="s">
        <v>46</v>
      </c>
      <c r="O12" s="12" t="s">
        <v>101</v>
      </c>
      <c r="P12" s="88" t="s">
        <v>102</v>
      </c>
      <c r="Q12" s="13">
        <v>45940</v>
      </c>
      <c r="R12" s="16">
        <v>0.75</v>
      </c>
      <c r="S12" s="12" t="s">
        <v>49</v>
      </c>
      <c r="T12" s="12" t="s">
        <v>75</v>
      </c>
      <c r="U12" s="12" t="s">
        <v>50</v>
      </c>
      <c r="V12" s="13">
        <v>45785</v>
      </c>
      <c r="W12" s="16">
        <v>0.68</v>
      </c>
      <c r="X12" s="12" t="s">
        <v>74</v>
      </c>
      <c r="Z12" s="12" t="s">
        <v>50</v>
      </c>
      <c r="AA12" s="12" t="s">
        <v>51</v>
      </c>
      <c r="AB12" s="12" t="s">
        <v>52</v>
      </c>
      <c r="AC12" s="13">
        <v>45440</v>
      </c>
      <c r="AD12" s="16">
        <v>0.79</v>
      </c>
      <c r="AE12" s="12" t="s">
        <v>49</v>
      </c>
      <c r="AU12" s="12" t="s">
        <v>53</v>
      </c>
    </row>
    <row r="13" spans="1:59" s="12" customFormat="1" ht="14.4" hidden="1" x14ac:dyDescent="0.3">
      <c r="A13" s="12" t="s">
        <v>39</v>
      </c>
      <c r="B13" s="12" t="s">
        <v>54</v>
      </c>
      <c r="C13" s="12">
        <v>70</v>
      </c>
      <c r="D13" s="12">
        <v>110</v>
      </c>
      <c r="F13" s="12" t="s">
        <v>103</v>
      </c>
      <c r="G13" s="12" t="str">
        <f t="shared" si="0"/>
        <v>701109197889</v>
      </c>
      <c r="H13" s="12" t="s">
        <v>104</v>
      </c>
      <c r="I13" s="12">
        <v>9197889</v>
      </c>
      <c r="J13" s="12" t="s">
        <v>105</v>
      </c>
      <c r="K13" s="12" t="s">
        <v>44</v>
      </c>
      <c r="L13" s="12">
        <v>3114897314</v>
      </c>
      <c r="M13" s="12" t="s">
        <v>106</v>
      </c>
      <c r="N13" s="12" t="s">
        <v>46</v>
      </c>
      <c r="O13" s="12" t="s">
        <v>101</v>
      </c>
      <c r="P13" s="88" t="s">
        <v>102</v>
      </c>
      <c r="Q13" s="13">
        <v>45602</v>
      </c>
      <c r="R13" s="16">
        <v>0.81499999999999995</v>
      </c>
      <c r="S13" s="12" t="s">
        <v>49</v>
      </c>
      <c r="T13" s="12" t="s">
        <v>107</v>
      </c>
      <c r="U13" s="12" t="s">
        <v>50</v>
      </c>
      <c r="V13" s="12" t="s">
        <v>108</v>
      </c>
      <c r="W13" s="16">
        <v>0.68</v>
      </c>
      <c r="X13" s="12" t="s">
        <v>87</v>
      </c>
      <c r="Z13" s="12" t="s">
        <v>60</v>
      </c>
      <c r="AA13" s="12" t="s">
        <v>51</v>
      </c>
      <c r="AB13" s="12" t="s">
        <v>52</v>
      </c>
      <c r="AC13" s="13"/>
      <c r="AD13" s="16"/>
      <c r="AU13" s="12" t="s">
        <v>53</v>
      </c>
    </row>
    <row r="14" spans="1:59" s="12" customFormat="1" ht="14.4" hidden="1" x14ac:dyDescent="0.3">
      <c r="A14" s="12" t="s">
        <v>39</v>
      </c>
      <c r="B14" s="12" t="s">
        <v>54</v>
      </c>
      <c r="C14" s="12">
        <v>70</v>
      </c>
      <c r="D14" s="12">
        <v>110</v>
      </c>
      <c r="F14" s="12" t="s">
        <v>109</v>
      </c>
      <c r="G14" s="12" t="str">
        <f t="shared" si="0"/>
        <v>7011032583603</v>
      </c>
      <c r="H14" s="12" t="s">
        <v>110</v>
      </c>
      <c r="I14" s="12">
        <v>32583603</v>
      </c>
      <c r="J14" s="12" t="s">
        <v>111</v>
      </c>
      <c r="K14" s="12" t="s">
        <v>44</v>
      </c>
      <c r="L14" s="12">
        <v>3116689426</v>
      </c>
      <c r="M14" s="12" t="s">
        <v>112</v>
      </c>
      <c r="N14" s="12" t="s">
        <v>46</v>
      </c>
      <c r="O14" s="12" t="s">
        <v>101</v>
      </c>
      <c r="P14" s="88" t="s">
        <v>102</v>
      </c>
      <c r="Q14" s="13">
        <v>45824</v>
      </c>
      <c r="R14" s="12" t="s">
        <v>113</v>
      </c>
      <c r="S14" s="12" t="s">
        <v>74</v>
      </c>
      <c r="T14" s="12" t="s">
        <v>75</v>
      </c>
      <c r="U14" s="12" t="s">
        <v>50</v>
      </c>
      <c r="V14" s="13">
        <v>45570</v>
      </c>
      <c r="W14" s="16">
        <v>0.72499999999999998</v>
      </c>
      <c r="X14" s="12" t="s">
        <v>49</v>
      </c>
      <c r="Z14" s="12" t="s">
        <v>50</v>
      </c>
      <c r="AA14" s="12" t="s">
        <v>51</v>
      </c>
      <c r="AB14" s="12" t="s">
        <v>52</v>
      </c>
      <c r="AC14" s="13"/>
      <c r="AD14" s="16"/>
      <c r="AI14" s="13"/>
      <c r="AJ14" s="16"/>
      <c r="AU14" s="12" t="s">
        <v>53</v>
      </c>
    </row>
    <row r="15" spans="1:59" s="12" customFormat="1" ht="14.4" hidden="1" x14ac:dyDescent="0.3">
      <c r="A15" s="12" t="s">
        <v>39</v>
      </c>
      <c r="B15" s="12" t="s">
        <v>54</v>
      </c>
      <c r="C15" s="12">
        <v>70</v>
      </c>
      <c r="D15" s="12">
        <v>110</v>
      </c>
      <c r="F15" s="12" t="s">
        <v>114</v>
      </c>
      <c r="G15" s="12" t="str">
        <f>C15&amp;D15&amp;I15</f>
        <v>701101099964459</v>
      </c>
      <c r="H15" s="12" t="s">
        <v>115</v>
      </c>
      <c r="I15" s="12">
        <v>1099964459</v>
      </c>
      <c r="J15" s="12" t="s">
        <v>116</v>
      </c>
      <c r="K15" s="12" t="s">
        <v>44</v>
      </c>
      <c r="L15" s="12">
        <v>3017275078</v>
      </c>
      <c r="M15" s="12" t="s">
        <v>117</v>
      </c>
      <c r="N15" s="12" t="s">
        <v>46</v>
      </c>
      <c r="O15" s="12" t="s">
        <v>101</v>
      </c>
      <c r="P15" s="88" t="s">
        <v>102</v>
      </c>
      <c r="Q15" s="13" t="s">
        <v>118</v>
      </c>
      <c r="R15" s="16">
        <v>0.73499999999999999</v>
      </c>
      <c r="S15" s="12" t="s">
        <v>49</v>
      </c>
      <c r="T15" s="12" t="s">
        <v>59</v>
      </c>
      <c r="U15" s="12" t="s">
        <v>50</v>
      </c>
      <c r="AC15" s="13"/>
      <c r="AD15" s="16"/>
      <c r="AU15" s="12" t="s">
        <v>53</v>
      </c>
    </row>
    <row r="16" spans="1:59" s="12" customFormat="1" ht="14.4" hidden="1" x14ac:dyDescent="0.3">
      <c r="A16" s="12" t="s">
        <v>39</v>
      </c>
      <c r="B16" s="12" t="s">
        <v>54</v>
      </c>
      <c r="C16" s="12">
        <v>70</v>
      </c>
      <c r="D16" s="12">
        <v>110</v>
      </c>
      <c r="F16" s="12" t="s">
        <v>119</v>
      </c>
      <c r="G16" s="12" t="str">
        <f t="shared" si="0"/>
        <v>70110</v>
      </c>
      <c r="H16" s="12" t="s">
        <v>120</v>
      </c>
      <c r="J16" s="12" t="s">
        <v>121</v>
      </c>
      <c r="K16" s="12" t="s">
        <v>44</v>
      </c>
      <c r="L16" s="12">
        <v>3043103406</v>
      </c>
      <c r="M16" s="12" t="s">
        <v>45</v>
      </c>
      <c r="N16" s="12" t="s">
        <v>46</v>
      </c>
      <c r="O16" s="12" t="s">
        <v>101</v>
      </c>
      <c r="P16" s="88" t="s">
        <v>102</v>
      </c>
      <c r="Q16" s="13">
        <v>45545</v>
      </c>
      <c r="R16" s="16">
        <v>0.64500000000000002</v>
      </c>
      <c r="S16" s="12" t="s">
        <v>49</v>
      </c>
      <c r="U16" s="12" t="s">
        <v>60</v>
      </c>
      <c r="V16" s="13">
        <v>45134</v>
      </c>
      <c r="W16" s="16">
        <v>0.755</v>
      </c>
      <c r="X16" s="12" t="s">
        <v>49</v>
      </c>
      <c r="Z16" s="12" t="s">
        <v>50</v>
      </c>
      <c r="AA16" s="12" t="s">
        <v>52</v>
      </c>
      <c r="AB16" s="12" t="s">
        <v>52</v>
      </c>
      <c r="AU16" s="12" t="s">
        <v>53</v>
      </c>
    </row>
    <row r="17" spans="1:47" s="12" customFormat="1" ht="17.100000000000001" hidden="1" customHeight="1" x14ac:dyDescent="0.3">
      <c r="A17" s="12" t="s">
        <v>39</v>
      </c>
      <c r="B17" s="12" t="s">
        <v>54</v>
      </c>
      <c r="C17" s="12">
        <v>70</v>
      </c>
      <c r="D17" s="12">
        <v>110</v>
      </c>
      <c r="E17" s="12" t="s">
        <v>122</v>
      </c>
      <c r="F17" s="283" t="s">
        <v>8350</v>
      </c>
      <c r="G17" s="12" t="str">
        <f t="shared" si="0"/>
        <v>70110900267815-7</v>
      </c>
      <c r="H17" s="2" t="s">
        <v>123</v>
      </c>
      <c r="I17" s="12" t="s">
        <v>124</v>
      </c>
      <c r="J17" s="12" t="s">
        <v>125</v>
      </c>
      <c r="K17" s="12" t="s">
        <v>44</v>
      </c>
      <c r="L17" s="12">
        <v>3004563321</v>
      </c>
      <c r="M17" s="3" t="s">
        <v>126</v>
      </c>
      <c r="N17" s="12" t="s">
        <v>127</v>
      </c>
      <c r="O17" s="12" t="s">
        <v>2822</v>
      </c>
      <c r="P17" s="88" t="s">
        <v>102</v>
      </c>
      <c r="Q17" s="13">
        <v>46188</v>
      </c>
      <c r="R17" s="12">
        <v>81</v>
      </c>
      <c r="S17" s="12" t="s">
        <v>49</v>
      </c>
      <c r="T17" s="12" t="s">
        <v>59</v>
      </c>
      <c r="U17" s="12" t="s">
        <v>50</v>
      </c>
      <c r="V17" s="13">
        <v>45770</v>
      </c>
      <c r="W17" s="16">
        <v>0.8</v>
      </c>
      <c r="X17" s="12" t="s">
        <v>49</v>
      </c>
      <c r="Z17" s="12" t="s">
        <v>50</v>
      </c>
      <c r="AA17" s="12" t="s">
        <v>51</v>
      </c>
      <c r="AB17" s="12" t="s">
        <v>52</v>
      </c>
      <c r="AC17" s="13" t="s">
        <v>128</v>
      </c>
      <c r="AD17" s="87">
        <v>0.87</v>
      </c>
      <c r="AE17" s="13" t="s">
        <v>49</v>
      </c>
      <c r="AF17" s="12" t="s">
        <v>50</v>
      </c>
      <c r="AG17" s="12" t="s">
        <v>51</v>
      </c>
      <c r="AH17" s="12" t="s">
        <v>52</v>
      </c>
      <c r="AI17" s="13" t="s">
        <v>129</v>
      </c>
      <c r="AJ17" s="16">
        <v>0.88</v>
      </c>
      <c r="AK17" s="13" t="s">
        <v>49</v>
      </c>
      <c r="AL17" s="12" t="s">
        <v>60</v>
      </c>
      <c r="AU17" s="12" t="s">
        <v>53</v>
      </c>
    </row>
    <row r="18" spans="1:47" s="12" customFormat="1" ht="17.100000000000001" hidden="1" customHeight="1" x14ac:dyDescent="0.3">
      <c r="A18" s="12" t="s">
        <v>39</v>
      </c>
      <c r="B18" s="12" t="s">
        <v>54</v>
      </c>
      <c r="C18" s="12">
        <v>70</v>
      </c>
      <c r="D18" s="12">
        <v>110</v>
      </c>
      <c r="E18" s="12" t="s">
        <v>130</v>
      </c>
      <c r="F18" s="1" t="s">
        <v>8351</v>
      </c>
      <c r="G18" s="12" t="str">
        <f t="shared" si="0"/>
        <v>70110825000732</v>
      </c>
      <c r="H18" s="2" t="s">
        <v>131</v>
      </c>
      <c r="I18" s="12">
        <v>825000732</v>
      </c>
      <c r="J18" s="12" t="s">
        <v>132</v>
      </c>
      <c r="K18" s="12" t="s">
        <v>133</v>
      </c>
      <c r="L18" s="12">
        <v>3202292873</v>
      </c>
      <c r="M18" s="3" t="s">
        <v>95</v>
      </c>
      <c r="N18" s="12" t="s">
        <v>127</v>
      </c>
      <c r="O18" s="12" t="s">
        <v>2822</v>
      </c>
      <c r="P18" s="88" t="s">
        <v>102</v>
      </c>
      <c r="Q18" s="13" t="s">
        <v>118</v>
      </c>
      <c r="R18" s="16">
        <v>0.87</v>
      </c>
      <c r="S18" s="12" t="s">
        <v>49</v>
      </c>
      <c r="T18" s="12" t="s">
        <v>107</v>
      </c>
      <c r="U18" s="12" t="s">
        <v>50</v>
      </c>
      <c r="V18" s="13" t="s">
        <v>134</v>
      </c>
      <c r="W18" s="87">
        <v>0.82499999999999996</v>
      </c>
      <c r="X18" s="13" t="s">
        <v>135</v>
      </c>
      <c r="Z18" s="12" t="s">
        <v>60</v>
      </c>
      <c r="AA18" s="12" t="s">
        <v>52</v>
      </c>
      <c r="AB18" s="12" t="s">
        <v>52</v>
      </c>
      <c r="AC18" s="13"/>
      <c r="AD18" s="16"/>
      <c r="AE18" s="13"/>
      <c r="AU18" s="12" t="s">
        <v>53</v>
      </c>
    </row>
    <row r="19" spans="1:47" s="12" customFormat="1" ht="18.899999999999999" hidden="1" customHeight="1" x14ac:dyDescent="0.3">
      <c r="A19" s="12" t="s">
        <v>39</v>
      </c>
      <c r="B19" s="12" t="s">
        <v>54</v>
      </c>
      <c r="C19" s="12">
        <v>70</v>
      </c>
      <c r="D19" s="12">
        <v>110</v>
      </c>
      <c r="E19" s="12" t="s">
        <v>122</v>
      </c>
      <c r="F19" s="1" t="s">
        <v>136</v>
      </c>
      <c r="G19" s="12" t="str">
        <f t="shared" si="0"/>
        <v>70110900267815-7</v>
      </c>
      <c r="H19" s="4" t="s">
        <v>123</v>
      </c>
      <c r="I19" s="12" t="s">
        <v>124</v>
      </c>
      <c r="J19" s="12" t="s">
        <v>137</v>
      </c>
      <c r="K19" s="12" t="s">
        <v>44</v>
      </c>
      <c r="L19" s="12">
        <v>3217721334</v>
      </c>
      <c r="M19" s="3" t="s">
        <v>126</v>
      </c>
      <c r="N19" s="12" t="s">
        <v>127</v>
      </c>
      <c r="O19" s="12" t="s">
        <v>2822</v>
      </c>
      <c r="P19" s="88" t="s">
        <v>102</v>
      </c>
      <c r="Q19" s="13">
        <v>45945</v>
      </c>
      <c r="R19" s="12" t="s">
        <v>167</v>
      </c>
      <c r="S19" s="12" t="s">
        <v>49</v>
      </c>
      <c r="T19" s="12" t="s">
        <v>59</v>
      </c>
      <c r="U19" s="12" t="s">
        <v>50</v>
      </c>
      <c r="V19" s="13">
        <v>45771</v>
      </c>
      <c r="W19" s="12" t="s">
        <v>138</v>
      </c>
      <c r="X19" s="12" t="s">
        <v>49</v>
      </c>
      <c r="Z19" s="12" t="s">
        <v>50</v>
      </c>
      <c r="AA19" s="12" t="s">
        <v>51</v>
      </c>
      <c r="AB19" s="12" t="s">
        <v>52</v>
      </c>
      <c r="AC19" s="13">
        <v>45418</v>
      </c>
      <c r="AD19" s="87">
        <v>0.81</v>
      </c>
      <c r="AE19" s="13" t="s">
        <v>139</v>
      </c>
      <c r="AU19" s="12" t="s">
        <v>53</v>
      </c>
    </row>
    <row r="20" spans="1:47" s="12" customFormat="1" ht="16.5" hidden="1" customHeight="1" x14ac:dyDescent="0.3">
      <c r="A20" s="12" t="s">
        <v>39</v>
      </c>
      <c r="B20" s="12" t="s">
        <v>54</v>
      </c>
      <c r="C20" s="12">
        <v>70</v>
      </c>
      <c r="D20" s="12">
        <v>110</v>
      </c>
      <c r="E20" s="12" t="s">
        <v>122</v>
      </c>
      <c r="F20" s="1" t="s">
        <v>140</v>
      </c>
      <c r="G20" s="12" t="str">
        <f t="shared" si="0"/>
        <v>70110900267815-7</v>
      </c>
      <c r="H20" s="4" t="s">
        <v>123</v>
      </c>
      <c r="I20" s="12" t="s">
        <v>124</v>
      </c>
      <c r="J20" s="12" t="s">
        <v>141</v>
      </c>
      <c r="K20" s="12" t="s">
        <v>44</v>
      </c>
      <c r="L20" s="12">
        <v>3012746702</v>
      </c>
      <c r="M20" s="3" t="s">
        <v>126</v>
      </c>
      <c r="N20" s="12" t="s">
        <v>127</v>
      </c>
      <c r="O20" s="12" t="s">
        <v>2822</v>
      </c>
      <c r="P20" s="88" t="s">
        <v>102</v>
      </c>
      <c r="Q20" s="13">
        <v>45944</v>
      </c>
      <c r="R20" s="12" t="s">
        <v>167</v>
      </c>
      <c r="S20" s="12" t="s">
        <v>49</v>
      </c>
      <c r="T20" s="12" t="s">
        <v>59</v>
      </c>
      <c r="U20" s="12" t="s">
        <v>50</v>
      </c>
      <c r="V20" s="13">
        <v>45769</v>
      </c>
      <c r="W20" s="12" t="s">
        <v>142</v>
      </c>
      <c r="X20" s="12" t="s">
        <v>49</v>
      </c>
      <c r="Z20" s="12" t="s">
        <v>50</v>
      </c>
      <c r="AA20" s="12" t="s">
        <v>51</v>
      </c>
      <c r="AB20" s="12" t="s">
        <v>52</v>
      </c>
      <c r="AC20" s="13" t="s">
        <v>143</v>
      </c>
      <c r="AD20" s="87">
        <v>0.82</v>
      </c>
      <c r="AE20" s="13" t="s">
        <v>49</v>
      </c>
      <c r="AU20" s="12" t="s">
        <v>53</v>
      </c>
    </row>
    <row r="21" spans="1:47" s="12" customFormat="1" ht="17.399999999999999" hidden="1" customHeight="1" x14ac:dyDescent="0.3">
      <c r="A21" s="12" t="s">
        <v>39</v>
      </c>
      <c r="B21" s="12" t="s">
        <v>54</v>
      </c>
      <c r="C21" s="12">
        <v>70</v>
      </c>
      <c r="D21" s="12">
        <v>110</v>
      </c>
      <c r="E21" s="12" t="s">
        <v>122</v>
      </c>
      <c r="F21" s="5" t="s">
        <v>144</v>
      </c>
      <c r="G21" s="12" t="str">
        <f t="shared" si="0"/>
        <v>70110900267815-7</v>
      </c>
      <c r="H21" s="2" t="s">
        <v>123</v>
      </c>
      <c r="I21" s="12" t="s">
        <v>124</v>
      </c>
      <c r="J21" s="12" t="s">
        <v>145</v>
      </c>
      <c r="K21" s="12" t="s">
        <v>44</v>
      </c>
      <c r="L21" s="12">
        <v>3103975294</v>
      </c>
      <c r="M21" s="3" t="s">
        <v>126</v>
      </c>
      <c r="N21" s="12" t="s">
        <v>127</v>
      </c>
      <c r="O21" s="12" t="s">
        <v>2822</v>
      </c>
      <c r="P21" s="88" t="s">
        <v>102</v>
      </c>
      <c r="Q21" s="13">
        <v>45744</v>
      </c>
      <c r="R21" s="12" t="s">
        <v>146</v>
      </c>
      <c r="S21" s="12" t="s">
        <v>49</v>
      </c>
      <c r="T21" s="12" t="s">
        <v>59</v>
      </c>
      <c r="U21" s="12" t="s">
        <v>50</v>
      </c>
      <c r="V21" s="13" t="s">
        <v>147</v>
      </c>
      <c r="W21" s="87">
        <v>0.87</v>
      </c>
      <c r="X21" s="13" t="s">
        <v>49</v>
      </c>
      <c r="Z21" s="12" t="s">
        <v>50</v>
      </c>
      <c r="AA21" s="12" t="s">
        <v>51</v>
      </c>
      <c r="AB21" s="12" t="s">
        <v>52</v>
      </c>
      <c r="AC21" s="13" t="s">
        <v>148</v>
      </c>
      <c r="AD21" s="16">
        <v>0.88</v>
      </c>
      <c r="AE21" s="13" t="s">
        <v>49</v>
      </c>
      <c r="AF21" s="12" t="s">
        <v>50</v>
      </c>
      <c r="AG21" s="12" t="s">
        <v>51</v>
      </c>
      <c r="AH21" s="12" t="s">
        <v>52</v>
      </c>
      <c r="AU21" s="12" t="s">
        <v>53</v>
      </c>
    </row>
    <row r="22" spans="1:47" s="12" customFormat="1" ht="17.399999999999999" hidden="1" customHeight="1" x14ac:dyDescent="0.3">
      <c r="A22" s="12" t="s">
        <v>39</v>
      </c>
      <c r="B22" s="12" t="s">
        <v>54</v>
      </c>
      <c r="C22" s="12">
        <v>70</v>
      </c>
      <c r="D22" s="12">
        <v>110</v>
      </c>
      <c r="E22" s="12" t="s">
        <v>122</v>
      </c>
      <c r="F22" s="304" t="s">
        <v>8347</v>
      </c>
      <c r="G22" s="12" t="str">
        <f t="shared" si="0"/>
        <v>70110900267815-7</v>
      </c>
      <c r="H22" s="2" t="s">
        <v>123</v>
      </c>
      <c r="I22" s="12" t="s">
        <v>124</v>
      </c>
      <c r="J22" s="12" t="s">
        <v>8348</v>
      </c>
      <c r="K22" s="12" t="s">
        <v>44</v>
      </c>
      <c r="L22" s="12">
        <v>3202222873</v>
      </c>
      <c r="M22" s="3" t="s">
        <v>8349</v>
      </c>
      <c r="N22" s="12" t="s">
        <v>127</v>
      </c>
      <c r="O22" s="12" t="s">
        <v>2822</v>
      </c>
      <c r="P22" s="88" t="s">
        <v>48</v>
      </c>
      <c r="Q22" s="13">
        <v>45722</v>
      </c>
      <c r="R22" s="12" t="s">
        <v>201</v>
      </c>
      <c r="S22" s="12" t="s">
        <v>49</v>
      </c>
      <c r="U22" s="12" t="s">
        <v>60</v>
      </c>
      <c r="V22" s="13">
        <v>45429</v>
      </c>
      <c r="W22" s="87">
        <v>0.87</v>
      </c>
      <c r="X22" s="13" t="s">
        <v>49</v>
      </c>
      <c r="AC22" s="13"/>
      <c r="AD22" s="16"/>
      <c r="AE22" s="13"/>
      <c r="AU22" s="12" t="s">
        <v>53</v>
      </c>
    </row>
    <row r="23" spans="1:47" s="12" customFormat="1" ht="14.1" hidden="1" customHeight="1" x14ac:dyDescent="0.3">
      <c r="A23" s="12" t="s">
        <v>39</v>
      </c>
      <c r="B23" s="12" t="s">
        <v>54</v>
      </c>
      <c r="C23" s="12">
        <v>70</v>
      </c>
      <c r="D23" s="12">
        <v>110</v>
      </c>
      <c r="F23" s="1" t="s">
        <v>149</v>
      </c>
      <c r="G23" s="12" t="str">
        <f t="shared" si="0"/>
        <v>70110823000732-7</v>
      </c>
      <c r="H23" s="2" t="s">
        <v>150</v>
      </c>
      <c r="I23" s="12" t="s">
        <v>151</v>
      </c>
      <c r="J23" s="12" t="s">
        <v>152</v>
      </c>
      <c r="K23" s="12" t="s">
        <v>44</v>
      </c>
      <c r="L23" s="12">
        <v>3024237291</v>
      </c>
      <c r="M23" s="6" t="s">
        <v>153</v>
      </c>
      <c r="N23" s="12" t="s">
        <v>127</v>
      </c>
      <c r="O23" s="12" t="s">
        <v>2822</v>
      </c>
      <c r="P23" s="88" t="s">
        <v>102</v>
      </c>
      <c r="Q23" s="13" t="s">
        <v>154</v>
      </c>
      <c r="R23" s="87">
        <v>0.87</v>
      </c>
      <c r="S23" s="13" t="s">
        <v>49</v>
      </c>
      <c r="T23" s="12" t="s">
        <v>59</v>
      </c>
      <c r="U23" s="12" t="s">
        <v>50</v>
      </c>
      <c r="AC23" s="13"/>
      <c r="AD23" s="16"/>
      <c r="AE23" s="13"/>
      <c r="AI23" s="13"/>
      <c r="AJ23" s="16"/>
      <c r="AK23" s="13"/>
      <c r="AU23" s="12" t="s">
        <v>53</v>
      </c>
    </row>
    <row r="24" spans="1:47" s="12" customFormat="1" ht="13.5" hidden="1" customHeight="1" x14ac:dyDescent="0.3">
      <c r="A24" s="12" t="s">
        <v>39</v>
      </c>
      <c r="B24" s="12" t="s">
        <v>54</v>
      </c>
      <c r="C24" s="12">
        <v>70</v>
      </c>
      <c r="D24" s="12">
        <v>110</v>
      </c>
      <c r="F24" s="1" t="s">
        <v>155</v>
      </c>
      <c r="G24" s="12" t="str">
        <f t="shared" si="0"/>
        <v>70110900072094</v>
      </c>
      <c r="H24" s="4" t="s">
        <v>131</v>
      </c>
      <c r="I24" s="12">
        <v>900072094</v>
      </c>
      <c r="J24" s="12" t="s">
        <v>156</v>
      </c>
      <c r="K24" s="12" t="s">
        <v>44</v>
      </c>
      <c r="L24" s="12">
        <v>3122005083</v>
      </c>
      <c r="M24" s="7" t="s">
        <v>45</v>
      </c>
      <c r="N24" s="12" t="s">
        <v>127</v>
      </c>
      <c r="O24" s="12" t="s">
        <v>2822</v>
      </c>
      <c r="P24" s="88" t="s">
        <v>102</v>
      </c>
      <c r="Q24" s="12" t="s">
        <v>157</v>
      </c>
      <c r="R24" s="16">
        <v>0.86</v>
      </c>
      <c r="S24" s="13" t="s">
        <v>49</v>
      </c>
      <c r="T24" s="12" t="s">
        <v>59</v>
      </c>
      <c r="U24" s="12" t="s">
        <v>60</v>
      </c>
      <c r="V24" s="13" t="s">
        <v>158</v>
      </c>
      <c r="W24" s="87">
        <v>0.88500000000000001</v>
      </c>
      <c r="X24" s="13" t="s">
        <v>49</v>
      </c>
      <c r="Z24" s="12" t="s">
        <v>50</v>
      </c>
      <c r="AA24" s="12" t="s">
        <v>51</v>
      </c>
      <c r="AB24" s="12" t="s">
        <v>52</v>
      </c>
      <c r="AC24" s="13"/>
      <c r="AD24" s="16"/>
      <c r="AE24" s="13"/>
      <c r="AU24" s="12" t="s">
        <v>53</v>
      </c>
    </row>
    <row r="25" spans="1:47" s="12" customFormat="1" ht="16.5" hidden="1" customHeight="1" x14ac:dyDescent="0.3">
      <c r="A25" s="12" t="s">
        <v>39</v>
      </c>
      <c r="B25" s="12" t="s">
        <v>54</v>
      </c>
      <c r="C25" s="12">
        <v>70</v>
      </c>
      <c r="D25" s="12">
        <v>110</v>
      </c>
      <c r="F25" s="1" t="s">
        <v>159</v>
      </c>
      <c r="G25" s="12" t="str">
        <f t="shared" si="0"/>
        <v>7011033238071</v>
      </c>
      <c r="H25" s="4" t="s">
        <v>160</v>
      </c>
      <c r="I25" s="12">
        <v>33238071</v>
      </c>
      <c r="J25" s="12" t="s">
        <v>161</v>
      </c>
      <c r="K25" s="12" t="s">
        <v>44</v>
      </c>
      <c r="L25" s="12">
        <v>3235089906</v>
      </c>
      <c r="M25" s="8" t="s">
        <v>162</v>
      </c>
      <c r="N25" s="12" t="s">
        <v>127</v>
      </c>
      <c r="O25" s="12" t="s">
        <v>2822</v>
      </c>
      <c r="P25" s="88" t="s">
        <v>102</v>
      </c>
      <c r="Q25" s="13" t="s">
        <v>163</v>
      </c>
      <c r="R25" s="87">
        <v>0.875</v>
      </c>
      <c r="S25" s="13" t="s">
        <v>49</v>
      </c>
      <c r="U25" s="12" t="s">
        <v>50</v>
      </c>
      <c r="V25" s="13">
        <v>45041</v>
      </c>
      <c r="W25" s="16">
        <v>0.68500000000000005</v>
      </c>
      <c r="X25" s="13" t="s">
        <v>49</v>
      </c>
      <c r="AA25" s="12" t="s">
        <v>51</v>
      </c>
      <c r="AB25" s="12" t="s">
        <v>52</v>
      </c>
      <c r="AI25" s="13"/>
      <c r="AJ25" s="16"/>
      <c r="AK25" s="13"/>
      <c r="AU25" s="12" t="s">
        <v>164</v>
      </c>
    </row>
    <row r="26" spans="1:47" s="12" customFormat="1" ht="17.100000000000001" hidden="1" customHeight="1" x14ac:dyDescent="0.3">
      <c r="A26" s="12" t="s">
        <v>39</v>
      </c>
      <c r="B26" s="12" t="s">
        <v>54</v>
      </c>
      <c r="C26" s="12">
        <v>70</v>
      </c>
      <c r="D26" s="12">
        <v>110</v>
      </c>
      <c r="E26" s="12" t="s">
        <v>122</v>
      </c>
      <c r="F26" s="283" t="s">
        <v>165</v>
      </c>
      <c r="G26" s="12" t="str">
        <f t="shared" si="0"/>
        <v>70110900267815-7</v>
      </c>
      <c r="H26" s="4" t="s">
        <v>123</v>
      </c>
      <c r="I26" s="12" t="s">
        <v>124</v>
      </c>
      <c r="J26" s="12" t="s">
        <v>166</v>
      </c>
      <c r="K26" s="12" t="s">
        <v>44</v>
      </c>
      <c r="L26" s="12">
        <v>3043560622</v>
      </c>
      <c r="M26" s="3" t="s">
        <v>126</v>
      </c>
      <c r="N26" s="12" t="s">
        <v>127</v>
      </c>
      <c r="O26" s="12" t="s">
        <v>2822</v>
      </c>
      <c r="P26" s="88" t="s">
        <v>102</v>
      </c>
      <c r="Q26" s="13">
        <v>46147</v>
      </c>
      <c r="R26" s="12">
        <v>82</v>
      </c>
      <c r="S26" s="12" t="s">
        <v>49</v>
      </c>
      <c r="T26" s="12" t="s">
        <v>59</v>
      </c>
      <c r="U26" s="12" t="s">
        <v>50</v>
      </c>
      <c r="V26" s="13">
        <v>45797</v>
      </c>
      <c r="W26" s="12" t="s">
        <v>167</v>
      </c>
      <c r="X26" s="13" t="s">
        <v>49</v>
      </c>
      <c r="Y26" s="12" t="s">
        <v>168</v>
      </c>
      <c r="Z26" s="12" t="s">
        <v>50</v>
      </c>
      <c r="AA26" s="12" t="s">
        <v>51</v>
      </c>
      <c r="AB26" s="12" t="s">
        <v>52</v>
      </c>
      <c r="AC26" s="13">
        <v>45299</v>
      </c>
      <c r="AD26" s="87">
        <v>0.86</v>
      </c>
      <c r="AE26" s="13" t="s">
        <v>49</v>
      </c>
      <c r="AF26" s="12" t="s">
        <v>50</v>
      </c>
      <c r="AG26" s="12" t="s">
        <v>51</v>
      </c>
      <c r="AH26" s="12" t="s">
        <v>52</v>
      </c>
      <c r="AI26" s="13" t="s">
        <v>169</v>
      </c>
      <c r="AJ26" s="16">
        <v>0.87</v>
      </c>
      <c r="AK26" s="13" t="s">
        <v>49</v>
      </c>
      <c r="AL26" s="12" t="s">
        <v>50</v>
      </c>
      <c r="AU26" s="12" t="s">
        <v>53</v>
      </c>
    </row>
    <row r="27" spans="1:47" s="12" customFormat="1" ht="18.600000000000001" hidden="1" customHeight="1" x14ac:dyDescent="0.3">
      <c r="A27" s="12" t="s">
        <v>39</v>
      </c>
      <c r="B27" s="12" t="s">
        <v>54</v>
      </c>
      <c r="C27" s="12">
        <v>70</v>
      </c>
      <c r="D27" s="12">
        <v>110</v>
      </c>
      <c r="E27" s="12" t="s">
        <v>122</v>
      </c>
      <c r="F27" s="1" t="s">
        <v>170</v>
      </c>
      <c r="G27" s="12" t="str">
        <f t="shared" si="0"/>
        <v>70110900267815-7</v>
      </c>
      <c r="H27" s="4" t="s">
        <v>123</v>
      </c>
      <c r="I27" s="12" t="s">
        <v>124</v>
      </c>
      <c r="J27" s="12" t="s">
        <v>171</v>
      </c>
      <c r="K27" s="12" t="s">
        <v>44</v>
      </c>
      <c r="L27" s="12">
        <v>3217992982</v>
      </c>
      <c r="M27" s="3" t="s">
        <v>126</v>
      </c>
      <c r="N27" s="12" t="s">
        <v>127</v>
      </c>
      <c r="O27" s="12" t="s">
        <v>2822</v>
      </c>
      <c r="P27" s="88" t="s">
        <v>102</v>
      </c>
      <c r="Q27" s="13">
        <v>45985</v>
      </c>
      <c r="R27" s="16">
        <v>0.87</v>
      </c>
      <c r="S27" s="12" t="s">
        <v>49</v>
      </c>
      <c r="T27" s="12" t="s">
        <v>59</v>
      </c>
      <c r="U27" s="12" t="s">
        <v>50</v>
      </c>
      <c r="V27" s="13">
        <v>45790</v>
      </c>
      <c r="W27" s="16">
        <v>0.78</v>
      </c>
      <c r="X27" s="13" t="s">
        <v>49</v>
      </c>
      <c r="Z27" s="12" t="s">
        <v>50</v>
      </c>
      <c r="AA27" s="12" t="s">
        <v>51</v>
      </c>
      <c r="AB27" s="12" t="s">
        <v>52</v>
      </c>
      <c r="AC27" s="13" t="s">
        <v>172</v>
      </c>
      <c r="AD27" s="87">
        <v>0.83499999999999996</v>
      </c>
      <c r="AE27" s="13" t="s">
        <v>49</v>
      </c>
      <c r="AF27" s="12" t="s">
        <v>50</v>
      </c>
      <c r="AG27" s="12" t="s">
        <v>51</v>
      </c>
      <c r="AH27" s="12" t="s">
        <v>52</v>
      </c>
      <c r="AI27" s="13" t="s">
        <v>172</v>
      </c>
      <c r="AJ27" s="16">
        <v>0.94</v>
      </c>
      <c r="AK27" s="13" t="s">
        <v>210</v>
      </c>
      <c r="AL27" s="12" t="s">
        <v>60</v>
      </c>
      <c r="AM27" s="12" t="s">
        <v>51</v>
      </c>
      <c r="AN27" s="12" t="s">
        <v>51</v>
      </c>
      <c r="AO27" s="13">
        <v>44614</v>
      </c>
      <c r="AP27" s="16">
        <v>0.88500000000000001</v>
      </c>
      <c r="AQ27" s="13" t="s">
        <v>49</v>
      </c>
      <c r="AU27" s="12" t="s">
        <v>53</v>
      </c>
    </row>
    <row r="28" spans="1:47" s="12" customFormat="1" ht="17.100000000000001" hidden="1" customHeight="1" x14ac:dyDescent="0.3">
      <c r="A28" s="12" t="s">
        <v>39</v>
      </c>
      <c r="B28" s="12" t="s">
        <v>54</v>
      </c>
      <c r="C28" s="12">
        <v>70</v>
      </c>
      <c r="D28" s="12">
        <v>110</v>
      </c>
      <c r="E28" s="12" t="s">
        <v>122</v>
      </c>
      <c r="F28" s="1" t="s">
        <v>174</v>
      </c>
      <c r="G28" s="12" t="str">
        <f t="shared" si="0"/>
        <v>70110900267815-7</v>
      </c>
      <c r="H28" s="2" t="s">
        <v>123</v>
      </c>
      <c r="I28" s="12" t="s">
        <v>124</v>
      </c>
      <c r="J28" s="12" t="s">
        <v>175</v>
      </c>
      <c r="K28" s="12" t="s">
        <v>44</v>
      </c>
      <c r="L28" s="12">
        <v>3112841573</v>
      </c>
      <c r="M28" s="3" t="s">
        <v>126</v>
      </c>
      <c r="N28" s="12" t="s">
        <v>127</v>
      </c>
      <c r="O28" s="12" t="s">
        <v>2822</v>
      </c>
      <c r="P28" s="88" t="s">
        <v>102</v>
      </c>
      <c r="Q28" s="13">
        <v>45827</v>
      </c>
      <c r="R28" s="12" t="s">
        <v>176</v>
      </c>
      <c r="S28" s="13" t="s">
        <v>49</v>
      </c>
      <c r="T28" s="12" t="s">
        <v>59</v>
      </c>
      <c r="U28" s="12" t="s">
        <v>50</v>
      </c>
      <c r="V28" s="13" t="s">
        <v>177</v>
      </c>
      <c r="W28" s="87">
        <v>0.83</v>
      </c>
      <c r="X28" s="13" t="s">
        <v>69</v>
      </c>
      <c r="Z28" s="12" t="s">
        <v>50</v>
      </c>
      <c r="AA28" s="12" t="s">
        <v>51</v>
      </c>
      <c r="AB28" s="12" t="s">
        <v>52</v>
      </c>
      <c r="AC28" s="13" t="s">
        <v>178</v>
      </c>
      <c r="AD28" s="16">
        <v>0.86</v>
      </c>
      <c r="AE28" s="13" t="s">
        <v>69</v>
      </c>
      <c r="AF28" s="12" t="s">
        <v>50</v>
      </c>
      <c r="AG28" s="12" t="s">
        <v>51</v>
      </c>
      <c r="AH28" s="12" t="s">
        <v>52</v>
      </c>
      <c r="AU28" s="12" t="s">
        <v>53</v>
      </c>
    </row>
    <row r="29" spans="1:47" s="12" customFormat="1" ht="16.5" hidden="1" customHeight="1" x14ac:dyDescent="0.3">
      <c r="A29" s="12" t="s">
        <v>39</v>
      </c>
      <c r="B29" s="12" t="s">
        <v>54</v>
      </c>
      <c r="C29" s="12">
        <v>70</v>
      </c>
      <c r="D29" s="12">
        <v>110</v>
      </c>
      <c r="F29" s="5" t="s">
        <v>179</v>
      </c>
      <c r="G29" s="12" t="str">
        <f t="shared" si="0"/>
        <v>70110823000732-9</v>
      </c>
      <c r="H29" s="4" t="s">
        <v>131</v>
      </c>
      <c r="I29" s="12" t="s">
        <v>180</v>
      </c>
      <c r="J29" s="12" t="s">
        <v>181</v>
      </c>
      <c r="K29" s="12" t="s">
        <v>44</v>
      </c>
      <c r="L29" s="12" t="s">
        <v>45</v>
      </c>
      <c r="M29" s="7" t="s">
        <v>45</v>
      </c>
      <c r="N29" s="12" t="s">
        <v>127</v>
      </c>
      <c r="O29" s="12" t="s">
        <v>2822</v>
      </c>
      <c r="P29" s="88" t="s">
        <v>102</v>
      </c>
      <c r="Q29" s="12" t="s">
        <v>182</v>
      </c>
      <c r="R29" s="16">
        <v>0.87</v>
      </c>
      <c r="S29" s="13" t="s">
        <v>49</v>
      </c>
      <c r="T29" s="12" t="s">
        <v>59</v>
      </c>
      <c r="U29" s="12" t="s">
        <v>50</v>
      </c>
      <c r="V29" s="13" t="s">
        <v>183</v>
      </c>
      <c r="W29" s="87">
        <v>0.86499999999999999</v>
      </c>
      <c r="X29" s="13" t="s">
        <v>87</v>
      </c>
      <c r="Z29" s="12" t="s">
        <v>50</v>
      </c>
      <c r="AA29" s="12" t="s">
        <v>51</v>
      </c>
      <c r="AB29" s="12" t="s">
        <v>52</v>
      </c>
      <c r="AC29" s="13"/>
      <c r="AD29" s="16"/>
      <c r="AE29" s="13"/>
      <c r="AI29" s="13"/>
      <c r="AJ29" s="16"/>
      <c r="AK29" s="13"/>
      <c r="AU29" s="12" t="s">
        <v>53</v>
      </c>
    </row>
    <row r="30" spans="1:47" s="12" customFormat="1" ht="17.399999999999999" hidden="1" customHeight="1" x14ac:dyDescent="0.3">
      <c r="A30" s="12" t="s">
        <v>39</v>
      </c>
      <c r="B30" s="12" t="s">
        <v>54</v>
      </c>
      <c r="C30" s="12">
        <v>70</v>
      </c>
      <c r="D30" s="12">
        <v>110</v>
      </c>
      <c r="E30" s="12" t="s">
        <v>122</v>
      </c>
      <c r="F30" s="283" t="s">
        <v>184</v>
      </c>
      <c r="G30" s="12" t="str">
        <f t="shared" si="0"/>
        <v>701109002678157</v>
      </c>
      <c r="H30" s="4" t="s">
        <v>8896</v>
      </c>
      <c r="I30" s="12">
        <v>9002678157</v>
      </c>
      <c r="J30" s="12" t="s">
        <v>185</v>
      </c>
      <c r="K30" s="12" t="s">
        <v>44</v>
      </c>
      <c r="L30" s="12">
        <v>3136325455</v>
      </c>
      <c r="M30" s="3" t="s">
        <v>126</v>
      </c>
      <c r="N30" s="12" t="s">
        <v>127</v>
      </c>
      <c r="O30" s="12" t="s">
        <v>2822</v>
      </c>
      <c r="P30" s="88" t="s">
        <v>102</v>
      </c>
      <c r="Q30" s="13">
        <v>46148</v>
      </c>
      <c r="R30" s="12" t="s">
        <v>146</v>
      </c>
      <c r="S30" s="12" t="s">
        <v>49</v>
      </c>
      <c r="T30" s="12" t="s">
        <v>59</v>
      </c>
      <c r="U30" s="12" t="s">
        <v>50</v>
      </c>
      <c r="V30" s="13">
        <v>45803</v>
      </c>
      <c r="W30" s="12" t="s">
        <v>186</v>
      </c>
      <c r="X30" s="13" t="s">
        <v>49</v>
      </c>
      <c r="Z30" s="12" t="s">
        <v>50</v>
      </c>
      <c r="AA30" s="12" t="s">
        <v>51</v>
      </c>
      <c r="AB30" s="12" t="s">
        <v>52</v>
      </c>
      <c r="AC30" s="13" t="s">
        <v>187</v>
      </c>
      <c r="AD30" s="87">
        <v>0.87</v>
      </c>
      <c r="AE30" s="13" t="s">
        <v>49</v>
      </c>
      <c r="AF30" s="12" t="s">
        <v>50</v>
      </c>
      <c r="AG30" s="12" t="s">
        <v>51</v>
      </c>
      <c r="AH30" s="12" t="s">
        <v>52</v>
      </c>
      <c r="AI30" s="13" t="s">
        <v>188</v>
      </c>
      <c r="AJ30" s="16">
        <v>0.86499999999999999</v>
      </c>
      <c r="AK30" s="13" t="s">
        <v>49</v>
      </c>
      <c r="AL30" s="12" t="s">
        <v>60</v>
      </c>
      <c r="AM30" s="12" t="s">
        <v>51</v>
      </c>
      <c r="AN30" s="12" t="s">
        <v>51</v>
      </c>
      <c r="AO30" s="13">
        <v>44636</v>
      </c>
      <c r="AP30" s="16">
        <v>0.88</v>
      </c>
      <c r="AQ30" s="13" t="s">
        <v>49</v>
      </c>
      <c r="AR30" s="12" t="s">
        <v>60</v>
      </c>
      <c r="AU30" s="12" t="s">
        <v>53</v>
      </c>
    </row>
    <row r="31" spans="1:47" s="12" customFormat="1" ht="17.399999999999999" hidden="1" customHeight="1" x14ac:dyDescent="0.3">
      <c r="A31" s="12" t="s">
        <v>39</v>
      </c>
      <c r="B31" s="12" t="s">
        <v>54</v>
      </c>
      <c r="C31" s="12">
        <v>70</v>
      </c>
      <c r="D31" s="12">
        <v>110</v>
      </c>
      <c r="E31" s="12" t="s">
        <v>130</v>
      </c>
      <c r="F31" s="1" t="s">
        <v>189</v>
      </c>
      <c r="G31" s="12" t="str">
        <f t="shared" si="0"/>
        <v>70110823000732-9</v>
      </c>
      <c r="H31" s="4" t="s">
        <v>190</v>
      </c>
      <c r="I31" s="12" t="s">
        <v>180</v>
      </c>
      <c r="J31" s="12" t="s">
        <v>191</v>
      </c>
      <c r="K31" s="12" t="s">
        <v>192</v>
      </c>
      <c r="L31" s="12">
        <v>3217533011</v>
      </c>
      <c r="M31" s="3" t="s">
        <v>193</v>
      </c>
      <c r="N31" s="12" t="s">
        <v>127</v>
      </c>
      <c r="O31" s="12" t="s">
        <v>2822</v>
      </c>
      <c r="P31" s="88" t="s">
        <v>102</v>
      </c>
      <c r="Q31" s="13">
        <v>45484</v>
      </c>
      <c r="R31" s="16">
        <v>0.84</v>
      </c>
      <c r="S31" s="13" t="s">
        <v>49</v>
      </c>
      <c r="T31" s="12" t="s">
        <v>194</v>
      </c>
      <c r="U31" s="12" t="s">
        <v>195</v>
      </c>
      <c r="V31" s="13">
        <v>44995</v>
      </c>
      <c r="W31" s="87">
        <v>0.94</v>
      </c>
      <c r="X31" s="13" t="s">
        <v>49</v>
      </c>
      <c r="Z31" s="12" t="s">
        <v>50</v>
      </c>
      <c r="AA31" s="12" t="s">
        <v>52</v>
      </c>
      <c r="AB31" s="12" t="s">
        <v>52</v>
      </c>
      <c r="AC31" s="13"/>
      <c r="AD31" s="16"/>
      <c r="AE31" s="13"/>
      <c r="AI31" s="13"/>
      <c r="AJ31" s="16"/>
      <c r="AK31" s="13"/>
      <c r="AU31" s="12" t="s">
        <v>53</v>
      </c>
    </row>
    <row r="32" spans="1:47" s="12" customFormat="1" ht="18" hidden="1" customHeight="1" x14ac:dyDescent="0.3">
      <c r="A32" s="12" t="s">
        <v>39</v>
      </c>
      <c r="B32" s="12" t="s">
        <v>54</v>
      </c>
      <c r="C32" s="12">
        <v>70</v>
      </c>
      <c r="D32" s="12">
        <v>110</v>
      </c>
      <c r="E32" s="12" t="s">
        <v>8334</v>
      </c>
      <c r="F32" s="1" t="s">
        <v>197</v>
      </c>
      <c r="G32" s="12" t="str">
        <f t="shared" si="0"/>
        <v>70110902024779</v>
      </c>
      <c r="H32" s="4" t="s">
        <v>710</v>
      </c>
      <c r="I32" s="12">
        <v>902024779</v>
      </c>
      <c r="J32" s="12" t="s">
        <v>199</v>
      </c>
      <c r="K32" s="12" t="s">
        <v>192</v>
      </c>
      <c r="L32" s="12">
        <v>3016045724</v>
      </c>
      <c r="M32" s="3" t="s">
        <v>8335</v>
      </c>
      <c r="N32" s="12" t="s">
        <v>127</v>
      </c>
      <c r="O32" s="12" t="s">
        <v>2822</v>
      </c>
      <c r="P32" s="88" t="s">
        <v>102</v>
      </c>
      <c r="Q32" s="13">
        <v>46083</v>
      </c>
      <c r="R32" s="12" t="s">
        <v>8503</v>
      </c>
      <c r="S32" s="13" t="s">
        <v>49</v>
      </c>
      <c r="U32" s="12" t="s">
        <v>195</v>
      </c>
      <c r="V32" s="13">
        <v>45737</v>
      </c>
      <c r="W32" s="12" t="s">
        <v>201</v>
      </c>
      <c r="X32" s="13" t="s">
        <v>49</v>
      </c>
      <c r="Y32" s="12" t="s">
        <v>59</v>
      </c>
      <c r="Z32" s="12" t="s">
        <v>2881</v>
      </c>
      <c r="AA32" s="12" t="s">
        <v>51</v>
      </c>
      <c r="AB32" s="12" t="s">
        <v>52</v>
      </c>
      <c r="AC32" s="13">
        <v>45542</v>
      </c>
      <c r="AD32" s="87">
        <v>0.82</v>
      </c>
      <c r="AE32" s="13" t="s">
        <v>87</v>
      </c>
      <c r="AF32" s="12" t="s">
        <v>60</v>
      </c>
      <c r="AI32" s="13"/>
      <c r="AJ32" s="13"/>
      <c r="AK32" s="13"/>
      <c r="AU32" s="12" t="s">
        <v>53</v>
      </c>
    </row>
    <row r="33" spans="1:47" s="12" customFormat="1" ht="18" hidden="1" customHeight="1" x14ac:dyDescent="0.3">
      <c r="A33" s="12" t="s">
        <v>39</v>
      </c>
      <c r="B33" s="12" t="s">
        <v>54</v>
      </c>
      <c r="C33" s="12">
        <v>70</v>
      </c>
      <c r="D33" s="12">
        <v>110</v>
      </c>
      <c r="E33" s="12" t="s">
        <v>8334</v>
      </c>
      <c r="F33" s="1" t="s">
        <v>8502</v>
      </c>
      <c r="G33" s="12" t="str">
        <f t="shared" si="0"/>
        <v>70110902024779</v>
      </c>
      <c r="H33" s="4" t="s">
        <v>710</v>
      </c>
      <c r="I33" s="12">
        <v>902024779</v>
      </c>
      <c r="J33" s="12" t="s">
        <v>373</v>
      </c>
      <c r="K33" s="12" t="s">
        <v>133</v>
      </c>
      <c r="L33" s="12">
        <v>3016045724</v>
      </c>
      <c r="M33" s="3" t="s">
        <v>8335</v>
      </c>
      <c r="N33" s="12" t="s">
        <v>127</v>
      </c>
      <c r="O33" s="12" t="s">
        <v>2822</v>
      </c>
      <c r="P33" s="88" t="s">
        <v>48</v>
      </c>
      <c r="Q33" s="13">
        <v>46084</v>
      </c>
      <c r="R33" s="12" t="s">
        <v>113</v>
      </c>
      <c r="S33" s="13" t="s">
        <v>49</v>
      </c>
      <c r="U33" s="12" t="s">
        <v>50</v>
      </c>
      <c r="V33" s="13"/>
      <c r="W33" s="87"/>
      <c r="X33" s="13"/>
      <c r="AC33" s="13"/>
      <c r="AD33" s="13"/>
      <c r="AE33" s="13"/>
      <c r="AI33" s="13"/>
      <c r="AJ33" s="13"/>
      <c r="AK33" s="13"/>
      <c r="AU33" s="12" t="s">
        <v>53</v>
      </c>
    </row>
    <row r="34" spans="1:47" s="12" customFormat="1" ht="18" hidden="1" customHeight="1" x14ac:dyDescent="0.3">
      <c r="A34" s="12" t="s">
        <v>39</v>
      </c>
      <c r="B34" s="12" t="s">
        <v>54</v>
      </c>
      <c r="C34" s="12">
        <v>70</v>
      </c>
      <c r="D34" s="12">
        <v>110</v>
      </c>
      <c r="E34" s="12" t="s">
        <v>8334</v>
      </c>
      <c r="F34" s="1" t="s">
        <v>8414</v>
      </c>
      <c r="G34" s="12" t="str">
        <f t="shared" si="0"/>
        <v>70110902024779</v>
      </c>
      <c r="H34" s="4" t="s">
        <v>710</v>
      </c>
      <c r="I34" s="12">
        <v>902024779</v>
      </c>
      <c r="J34" s="12" t="s">
        <v>8415</v>
      </c>
      <c r="K34" s="12" t="s">
        <v>133</v>
      </c>
      <c r="L34" s="12">
        <v>3016045724</v>
      </c>
      <c r="M34" s="3" t="s">
        <v>8335</v>
      </c>
      <c r="N34" s="12" t="s">
        <v>127</v>
      </c>
      <c r="O34" s="12" t="s">
        <v>2822</v>
      </c>
      <c r="P34" s="88" t="s">
        <v>48</v>
      </c>
      <c r="Q34" s="13">
        <v>46073</v>
      </c>
      <c r="R34" s="16">
        <v>0.86</v>
      </c>
      <c r="S34" s="13" t="s">
        <v>49</v>
      </c>
      <c r="U34" s="12" t="s">
        <v>60</v>
      </c>
      <c r="V34" s="13"/>
      <c r="W34" s="87"/>
      <c r="X34" s="13"/>
      <c r="AC34" s="13"/>
      <c r="AD34" s="13"/>
      <c r="AE34" s="13"/>
      <c r="AI34" s="13"/>
      <c r="AJ34" s="13"/>
      <c r="AK34" s="13"/>
      <c r="AU34" s="12" t="s">
        <v>53</v>
      </c>
    </row>
    <row r="35" spans="1:47" s="12" customFormat="1" ht="18" hidden="1" customHeight="1" x14ac:dyDescent="0.3">
      <c r="A35" s="12" t="s">
        <v>39</v>
      </c>
      <c r="B35" s="12" t="s">
        <v>54</v>
      </c>
      <c r="C35" s="12">
        <v>70</v>
      </c>
      <c r="D35" s="12">
        <v>110</v>
      </c>
      <c r="E35" s="12" t="s">
        <v>8334</v>
      </c>
      <c r="F35" s="1" t="s">
        <v>8508</v>
      </c>
      <c r="G35" s="12" t="str">
        <f t="shared" si="0"/>
        <v>70110902024779</v>
      </c>
      <c r="H35" s="4" t="s">
        <v>710</v>
      </c>
      <c r="I35" s="12">
        <v>902024779</v>
      </c>
      <c r="J35" s="12" t="s">
        <v>8509</v>
      </c>
      <c r="K35" s="12" t="s">
        <v>133</v>
      </c>
      <c r="L35" s="12">
        <v>3016045724</v>
      </c>
      <c r="M35" s="3" t="s">
        <v>8335</v>
      </c>
      <c r="N35" s="12" t="s">
        <v>127</v>
      </c>
      <c r="O35" s="12" t="s">
        <v>2822</v>
      </c>
      <c r="P35" s="88" t="s">
        <v>48</v>
      </c>
      <c r="Q35" s="13">
        <v>46087</v>
      </c>
      <c r="R35" s="12" t="s">
        <v>4569</v>
      </c>
      <c r="S35" s="13" t="s">
        <v>49</v>
      </c>
      <c r="U35" s="12" t="s">
        <v>60</v>
      </c>
      <c r="V35" s="13"/>
      <c r="W35" s="87"/>
      <c r="X35" s="13"/>
      <c r="AC35" s="13"/>
      <c r="AD35" s="13"/>
      <c r="AE35" s="13"/>
      <c r="AI35" s="13"/>
      <c r="AJ35" s="13"/>
      <c r="AK35" s="13"/>
      <c r="AU35" s="12" t="s">
        <v>53</v>
      </c>
    </row>
    <row r="36" spans="1:47" s="12" customFormat="1" ht="18.600000000000001" hidden="1" customHeight="1" x14ac:dyDescent="0.3">
      <c r="A36" s="12" t="s">
        <v>39</v>
      </c>
      <c r="B36" s="12" t="s">
        <v>54</v>
      </c>
      <c r="C36" s="12">
        <v>70</v>
      </c>
      <c r="D36" s="12">
        <v>110</v>
      </c>
      <c r="E36" s="12" t="s">
        <v>122</v>
      </c>
      <c r="F36" s="283" t="s">
        <v>202</v>
      </c>
      <c r="G36" s="12" t="str">
        <f t="shared" si="0"/>
        <v>70110900267815</v>
      </c>
      <c r="H36" s="4" t="s">
        <v>8682</v>
      </c>
      <c r="I36" s="12">
        <v>900267815</v>
      </c>
      <c r="J36" s="12" t="s">
        <v>199</v>
      </c>
      <c r="K36" s="12" t="s">
        <v>133</v>
      </c>
      <c r="L36" s="12">
        <v>3132145728</v>
      </c>
      <c r="M36" s="3" t="s">
        <v>126</v>
      </c>
      <c r="N36" s="12" t="s">
        <v>127</v>
      </c>
      <c r="O36" s="12" t="s">
        <v>2822</v>
      </c>
      <c r="P36" s="88" t="s">
        <v>102</v>
      </c>
      <c r="Q36" s="13">
        <v>46122</v>
      </c>
      <c r="R36" s="12" t="s">
        <v>8405</v>
      </c>
      <c r="S36" s="12" t="s">
        <v>49</v>
      </c>
      <c r="U36" s="12" t="s">
        <v>50</v>
      </c>
      <c r="V36" s="13">
        <v>45733</v>
      </c>
      <c r="W36" s="12" t="s">
        <v>203</v>
      </c>
      <c r="X36" s="12" t="s">
        <v>7695</v>
      </c>
      <c r="Y36" s="12" t="s">
        <v>59</v>
      </c>
      <c r="Z36" s="12" t="s">
        <v>50</v>
      </c>
      <c r="AC36" s="13">
        <v>45454</v>
      </c>
      <c r="AD36" s="87">
        <v>0.81</v>
      </c>
      <c r="AE36" s="13" t="s">
        <v>135</v>
      </c>
      <c r="AF36" s="12" t="s">
        <v>60</v>
      </c>
      <c r="AG36" s="12" t="s">
        <v>51</v>
      </c>
      <c r="AH36" s="12" t="s">
        <v>51</v>
      </c>
      <c r="AJ36" s="13"/>
      <c r="AK36" s="13"/>
      <c r="AU36" s="12" t="s">
        <v>53</v>
      </c>
    </row>
    <row r="37" spans="1:47" s="12" customFormat="1" ht="14.4" hidden="1" x14ac:dyDescent="0.3">
      <c r="A37" s="12" t="s">
        <v>39</v>
      </c>
      <c r="B37" s="12" t="s">
        <v>54</v>
      </c>
      <c r="C37" s="12">
        <v>70</v>
      </c>
      <c r="D37" s="12">
        <v>110</v>
      </c>
      <c r="F37" s="12" t="s">
        <v>204</v>
      </c>
      <c r="G37" s="12" t="str">
        <f t="shared" ref="G37:G68" si="1">C37&amp;D37&amp;I37</f>
        <v>701108305071039</v>
      </c>
      <c r="H37" s="12" t="s">
        <v>205</v>
      </c>
      <c r="I37" s="15">
        <v>8305071039</v>
      </c>
      <c r="J37" s="12" t="s">
        <v>206</v>
      </c>
      <c r="K37" s="12" t="s">
        <v>44</v>
      </c>
      <c r="L37" s="12">
        <v>3128038861</v>
      </c>
      <c r="M37" s="12" t="s">
        <v>207</v>
      </c>
      <c r="N37" s="12" t="s">
        <v>127</v>
      </c>
      <c r="O37" s="12" t="s">
        <v>2822</v>
      </c>
      <c r="P37" s="88" t="s">
        <v>102</v>
      </c>
      <c r="Q37" s="13">
        <v>45269</v>
      </c>
      <c r="R37" s="87">
        <v>0.95</v>
      </c>
      <c r="S37" s="13" t="s">
        <v>49</v>
      </c>
      <c r="U37" s="12" t="s">
        <v>50</v>
      </c>
      <c r="AU37" s="12" t="s">
        <v>53</v>
      </c>
    </row>
    <row r="38" spans="1:47" s="12" customFormat="1" ht="14.4" hidden="1" x14ac:dyDescent="0.3">
      <c r="A38" s="12" t="s">
        <v>39</v>
      </c>
      <c r="B38" s="12" t="s">
        <v>54</v>
      </c>
      <c r="C38" s="12">
        <v>70</v>
      </c>
      <c r="D38" s="12">
        <v>110</v>
      </c>
      <c r="F38" s="12" t="s">
        <v>208</v>
      </c>
      <c r="G38" s="12" t="str">
        <f t="shared" si="1"/>
        <v>70110901085780</v>
      </c>
      <c r="H38" s="12" t="s">
        <v>209</v>
      </c>
      <c r="I38" s="15">
        <v>901085780</v>
      </c>
      <c r="J38" s="12" t="s">
        <v>181</v>
      </c>
      <c r="K38" s="12" t="s">
        <v>44</v>
      </c>
      <c r="L38" s="12" t="s">
        <v>45</v>
      </c>
      <c r="M38" s="12" t="s">
        <v>45</v>
      </c>
      <c r="N38" s="12" t="s">
        <v>127</v>
      </c>
      <c r="O38" s="12" t="s">
        <v>2822</v>
      </c>
      <c r="P38" s="88" t="s">
        <v>102</v>
      </c>
      <c r="Q38" s="13">
        <v>45009</v>
      </c>
      <c r="R38" s="87">
        <v>0.94499999999999995</v>
      </c>
      <c r="S38" s="13" t="s">
        <v>210</v>
      </c>
      <c r="U38" s="12" t="s">
        <v>50</v>
      </c>
      <c r="AU38" s="12" t="s">
        <v>53</v>
      </c>
    </row>
    <row r="39" spans="1:47" s="12" customFormat="1" ht="14.4" hidden="1" x14ac:dyDescent="0.3">
      <c r="A39" s="12" t="s">
        <v>39</v>
      </c>
      <c r="B39" s="12" t="s">
        <v>54</v>
      </c>
      <c r="C39" s="12">
        <v>70</v>
      </c>
      <c r="D39" s="12">
        <v>110</v>
      </c>
      <c r="F39" s="12" t="s">
        <v>211</v>
      </c>
      <c r="G39" s="12" t="str">
        <f t="shared" si="1"/>
        <v>70110901085780</v>
      </c>
      <c r="H39" s="12" t="s">
        <v>209</v>
      </c>
      <c r="I39" s="15">
        <v>901085780</v>
      </c>
      <c r="J39" s="12" t="s">
        <v>206</v>
      </c>
      <c r="K39" s="12" t="s">
        <v>44</v>
      </c>
      <c r="L39" s="12" t="s">
        <v>45</v>
      </c>
      <c r="M39" s="12" t="s">
        <v>45</v>
      </c>
      <c r="N39" s="12" t="s">
        <v>127</v>
      </c>
      <c r="O39" s="12" t="s">
        <v>2822</v>
      </c>
      <c r="P39" s="88" t="s">
        <v>102</v>
      </c>
      <c r="Q39" s="13">
        <v>45204</v>
      </c>
      <c r="R39" s="87">
        <v>0.93500000000000005</v>
      </c>
      <c r="S39" s="13" t="s">
        <v>49</v>
      </c>
      <c r="U39" s="12" t="s">
        <v>50</v>
      </c>
      <c r="AU39" s="12" t="s">
        <v>53</v>
      </c>
    </row>
    <row r="40" spans="1:47" s="12" customFormat="1" ht="14.4" hidden="1" x14ac:dyDescent="0.3">
      <c r="A40" s="12" t="s">
        <v>39</v>
      </c>
      <c r="B40" s="12" t="s">
        <v>54</v>
      </c>
      <c r="C40" s="12">
        <v>70</v>
      </c>
      <c r="D40" s="12">
        <v>110</v>
      </c>
      <c r="F40" s="12" t="s">
        <v>212</v>
      </c>
      <c r="G40" s="12" t="str">
        <f t="shared" si="1"/>
        <v>70110901085780</v>
      </c>
      <c r="H40" s="12" t="s">
        <v>209</v>
      </c>
      <c r="I40" s="15">
        <v>901085780</v>
      </c>
      <c r="J40" s="12" t="s">
        <v>213</v>
      </c>
      <c r="K40" s="12" t="s">
        <v>44</v>
      </c>
      <c r="L40" s="12" t="s">
        <v>45</v>
      </c>
      <c r="M40" s="12" t="s">
        <v>45</v>
      </c>
      <c r="N40" s="12" t="s">
        <v>127</v>
      </c>
      <c r="O40" s="12" t="s">
        <v>2822</v>
      </c>
      <c r="P40" s="88" t="s">
        <v>102</v>
      </c>
      <c r="Q40" s="13">
        <v>45012</v>
      </c>
      <c r="R40" s="87">
        <v>0.93500000000000005</v>
      </c>
      <c r="S40" s="13" t="s">
        <v>210</v>
      </c>
      <c r="U40" s="12" t="s">
        <v>50</v>
      </c>
      <c r="AU40" s="12" t="s">
        <v>53</v>
      </c>
    </row>
    <row r="41" spans="1:47" s="12" customFormat="1" ht="14.4" hidden="1" x14ac:dyDescent="0.3">
      <c r="A41" s="12" t="s">
        <v>39</v>
      </c>
      <c r="B41" s="12" t="s">
        <v>54</v>
      </c>
      <c r="C41" s="12">
        <v>70</v>
      </c>
      <c r="D41" s="12">
        <v>110</v>
      </c>
      <c r="E41" s="12" t="s">
        <v>8334</v>
      </c>
      <c r="F41" s="12" t="s">
        <v>8293</v>
      </c>
      <c r="G41" s="12" t="str">
        <f t="shared" si="1"/>
        <v>70110902024779</v>
      </c>
      <c r="H41" s="12" t="s">
        <v>7657</v>
      </c>
      <c r="I41" s="15">
        <v>902024779</v>
      </c>
      <c r="J41" s="12" t="s">
        <v>132</v>
      </c>
      <c r="K41" s="12" t="s">
        <v>192</v>
      </c>
      <c r="L41" s="12">
        <v>3016045724</v>
      </c>
      <c r="M41" s="17" t="s">
        <v>8335</v>
      </c>
      <c r="N41" s="12" t="s">
        <v>127</v>
      </c>
      <c r="O41" s="12" t="s">
        <v>2822</v>
      </c>
      <c r="P41" s="88" t="s">
        <v>102</v>
      </c>
      <c r="Q41" s="13">
        <v>46080</v>
      </c>
      <c r="R41" s="12" t="s">
        <v>4833</v>
      </c>
      <c r="S41" s="12" t="s">
        <v>49</v>
      </c>
      <c r="T41" s="12" t="s">
        <v>107</v>
      </c>
      <c r="U41" s="12" t="s">
        <v>50</v>
      </c>
      <c r="V41" s="13">
        <v>45720</v>
      </c>
      <c r="W41" s="18" t="s">
        <v>186</v>
      </c>
      <c r="X41" s="12" t="s">
        <v>49</v>
      </c>
      <c r="Z41" s="12" t="s">
        <v>2881</v>
      </c>
      <c r="AA41" s="12" t="s">
        <v>51</v>
      </c>
      <c r="AB41" s="12" t="s">
        <v>51</v>
      </c>
      <c r="AC41" s="13">
        <v>45388</v>
      </c>
      <c r="AD41" s="187">
        <v>0.80500000000000005</v>
      </c>
      <c r="AE41" s="12" t="s">
        <v>87</v>
      </c>
      <c r="AF41" s="12" t="s">
        <v>50</v>
      </c>
      <c r="AU41" s="12" t="s">
        <v>53</v>
      </c>
    </row>
    <row r="42" spans="1:47" s="12" customFormat="1" ht="14.4" hidden="1" x14ac:dyDescent="0.3">
      <c r="A42" s="12" t="s">
        <v>39</v>
      </c>
      <c r="B42" s="12" t="s">
        <v>54</v>
      </c>
      <c r="C42" s="12">
        <v>70</v>
      </c>
      <c r="D42" s="12">
        <v>110</v>
      </c>
      <c r="F42" s="12" t="s">
        <v>215</v>
      </c>
      <c r="G42" s="12" t="str">
        <f t="shared" si="1"/>
        <v>70110901085780</v>
      </c>
      <c r="H42" s="12" t="s">
        <v>209</v>
      </c>
      <c r="I42" s="15">
        <v>901085780</v>
      </c>
      <c r="J42" s="12" t="s">
        <v>216</v>
      </c>
      <c r="K42" s="12" t="s">
        <v>44</v>
      </c>
      <c r="L42" s="12">
        <v>3128038861</v>
      </c>
      <c r="M42" s="12" t="s">
        <v>207</v>
      </c>
      <c r="N42" s="12" t="s">
        <v>127</v>
      </c>
      <c r="O42" s="12" t="s">
        <v>2822</v>
      </c>
      <c r="P42" s="88" t="s">
        <v>102</v>
      </c>
      <c r="Q42" s="13">
        <v>45097</v>
      </c>
      <c r="R42" s="87">
        <v>0.98499999999999999</v>
      </c>
      <c r="S42" s="13" t="s">
        <v>49</v>
      </c>
      <c r="U42" s="12" t="s">
        <v>50</v>
      </c>
      <c r="AU42" s="12" t="s">
        <v>53</v>
      </c>
    </row>
    <row r="43" spans="1:47" s="12" customFormat="1" ht="14.4" hidden="1" x14ac:dyDescent="0.3">
      <c r="A43" s="12" t="s">
        <v>39</v>
      </c>
      <c r="B43" s="12" t="s">
        <v>54</v>
      </c>
      <c r="C43" s="12">
        <v>70</v>
      </c>
      <c r="D43" s="12">
        <v>110</v>
      </c>
      <c r="E43" s="12" t="s">
        <v>7658</v>
      </c>
      <c r="F43" s="12" t="s">
        <v>217</v>
      </c>
      <c r="G43" s="12" t="str">
        <f t="shared" si="1"/>
        <v>701108230015081</v>
      </c>
      <c r="H43" s="12" t="s">
        <v>7659</v>
      </c>
      <c r="I43" s="12">
        <v>8230015081</v>
      </c>
      <c r="J43" s="12" t="s">
        <v>219</v>
      </c>
      <c r="K43" s="12" t="s">
        <v>44</v>
      </c>
      <c r="L43" s="12">
        <v>3106947280</v>
      </c>
      <c r="M43" s="12" t="s">
        <v>220</v>
      </c>
      <c r="N43" s="12" t="s">
        <v>127</v>
      </c>
      <c r="O43" s="12" t="s">
        <v>2822</v>
      </c>
      <c r="P43" s="88" t="s">
        <v>102</v>
      </c>
      <c r="Q43" s="13">
        <v>45796</v>
      </c>
      <c r="R43" s="12" t="s">
        <v>221</v>
      </c>
      <c r="S43" s="13" t="s">
        <v>49</v>
      </c>
      <c r="T43" s="12" t="s">
        <v>59</v>
      </c>
      <c r="U43" s="12" t="s">
        <v>50</v>
      </c>
      <c r="V43" s="13">
        <v>45153</v>
      </c>
      <c r="W43" s="87">
        <v>0.72</v>
      </c>
      <c r="X43" s="13" t="s">
        <v>49</v>
      </c>
      <c r="Z43" s="12" t="s">
        <v>50</v>
      </c>
      <c r="AA43" s="12" t="s">
        <v>51</v>
      </c>
      <c r="AB43" s="12" t="s">
        <v>52</v>
      </c>
      <c r="AC43" s="13">
        <v>44103</v>
      </c>
      <c r="AD43" s="16">
        <v>0.78500000000000003</v>
      </c>
      <c r="AE43" s="13" t="s">
        <v>49</v>
      </c>
      <c r="AF43" s="12" t="s">
        <v>60</v>
      </c>
      <c r="AG43" s="12" t="s">
        <v>51</v>
      </c>
      <c r="AH43" s="12" t="s">
        <v>52</v>
      </c>
      <c r="AU43" s="12" t="s">
        <v>53</v>
      </c>
    </row>
    <row r="44" spans="1:47" s="12" customFormat="1" ht="14.4" hidden="1" x14ac:dyDescent="0.3">
      <c r="A44" s="12" t="s">
        <v>39</v>
      </c>
      <c r="B44" s="12" t="s">
        <v>54</v>
      </c>
      <c r="C44" s="12">
        <v>70</v>
      </c>
      <c r="D44" s="12">
        <v>110</v>
      </c>
      <c r="F44" s="12" t="s">
        <v>222</v>
      </c>
      <c r="G44" s="12" t="str">
        <f t="shared" si="1"/>
        <v>701109353895</v>
      </c>
      <c r="H44" s="12" t="s">
        <v>223</v>
      </c>
      <c r="I44" s="12">
        <v>9353895</v>
      </c>
      <c r="J44" s="12" t="s">
        <v>224</v>
      </c>
      <c r="K44" s="12" t="s">
        <v>44</v>
      </c>
      <c r="L44" s="12" t="s">
        <v>45</v>
      </c>
      <c r="M44" s="12" t="s">
        <v>45</v>
      </c>
      <c r="N44" s="12" t="s">
        <v>127</v>
      </c>
      <c r="O44" s="12" t="s">
        <v>2822</v>
      </c>
      <c r="P44" s="88" t="s">
        <v>102</v>
      </c>
      <c r="V44" s="13">
        <v>45153</v>
      </c>
      <c r="W44" s="87">
        <v>0.77500000000000002</v>
      </c>
      <c r="X44" s="13" t="s">
        <v>49</v>
      </c>
      <c r="Z44" s="12" t="s">
        <v>50</v>
      </c>
      <c r="AA44" s="12" t="s">
        <v>51</v>
      </c>
      <c r="AB44" s="12" t="s">
        <v>52</v>
      </c>
      <c r="AU44" s="12" t="s">
        <v>53</v>
      </c>
    </row>
    <row r="45" spans="1:47" s="12" customFormat="1" ht="14.4" hidden="1" x14ac:dyDescent="0.3">
      <c r="A45" s="12" t="s">
        <v>39</v>
      </c>
      <c r="B45" s="12" t="s">
        <v>54</v>
      </c>
      <c r="C45" s="12">
        <v>70</v>
      </c>
      <c r="D45" s="12">
        <v>110</v>
      </c>
      <c r="E45" s="12" t="s">
        <v>7658</v>
      </c>
      <c r="F45" s="275" t="s">
        <v>225</v>
      </c>
      <c r="G45" s="12" t="str">
        <f t="shared" si="1"/>
        <v>70110823001508-1</v>
      </c>
      <c r="H45" s="12" t="s">
        <v>7659</v>
      </c>
      <c r="I45" s="12" t="s">
        <v>218</v>
      </c>
      <c r="J45" s="12" t="s">
        <v>226</v>
      </c>
      <c r="K45" s="12" t="s">
        <v>44</v>
      </c>
      <c r="L45" s="12">
        <v>310694780</v>
      </c>
      <c r="M45" s="17" t="s">
        <v>220</v>
      </c>
      <c r="N45" s="12" t="s">
        <v>127</v>
      </c>
      <c r="O45" s="12" t="s">
        <v>2822</v>
      </c>
      <c r="P45" s="88" t="s">
        <v>102</v>
      </c>
      <c r="Q45" s="13">
        <v>46154</v>
      </c>
      <c r="R45" s="12" t="s">
        <v>186</v>
      </c>
      <c r="S45" s="12" t="s">
        <v>49</v>
      </c>
      <c r="T45" s="12" t="s">
        <v>8897</v>
      </c>
      <c r="U45" s="12" t="s">
        <v>2456</v>
      </c>
      <c r="V45" s="13">
        <v>45796</v>
      </c>
      <c r="W45" s="12" t="s">
        <v>227</v>
      </c>
      <c r="X45" s="12" t="s">
        <v>7695</v>
      </c>
      <c r="Y45" s="12" t="s">
        <v>59</v>
      </c>
      <c r="Z45" s="12" t="s">
        <v>50</v>
      </c>
      <c r="AA45" s="12" t="s">
        <v>51</v>
      </c>
      <c r="AB45" s="12" t="s">
        <v>52</v>
      </c>
      <c r="AC45" s="13">
        <v>45084</v>
      </c>
      <c r="AD45" s="87">
        <v>0.755</v>
      </c>
      <c r="AE45" s="13" t="s">
        <v>49</v>
      </c>
      <c r="AF45" s="12" t="s">
        <v>50</v>
      </c>
      <c r="AG45" s="12" t="s">
        <v>51</v>
      </c>
      <c r="AH45" s="12" t="s">
        <v>52</v>
      </c>
      <c r="AI45" s="13">
        <v>45162</v>
      </c>
      <c r="AJ45" s="16">
        <v>0.79</v>
      </c>
      <c r="AK45" s="13" t="s">
        <v>49</v>
      </c>
      <c r="AL45" s="12" t="s">
        <v>60</v>
      </c>
      <c r="AO45" s="13">
        <v>44124</v>
      </c>
      <c r="AP45" s="16">
        <v>0.875</v>
      </c>
      <c r="AQ45" s="13" t="s">
        <v>49</v>
      </c>
      <c r="AR45" s="12" t="s">
        <v>60</v>
      </c>
      <c r="AU45" s="12" t="s">
        <v>53</v>
      </c>
    </row>
    <row r="46" spans="1:47" s="12" customFormat="1" ht="14.4" hidden="1" x14ac:dyDescent="0.3">
      <c r="A46" s="12" t="s">
        <v>39</v>
      </c>
      <c r="B46" s="12" t="s">
        <v>54</v>
      </c>
      <c r="C46" s="12">
        <v>70</v>
      </c>
      <c r="D46" s="12">
        <v>110</v>
      </c>
      <c r="F46" s="12" t="s">
        <v>228</v>
      </c>
      <c r="G46" s="12" t="str">
        <f t="shared" si="1"/>
        <v>7011033238946</v>
      </c>
      <c r="H46" s="12" t="s">
        <v>131</v>
      </c>
      <c r="I46" s="15">
        <v>33238946</v>
      </c>
      <c r="J46" s="12" t="s">
        <v>229</v>
      </c>
      <c r="K46" s="12" t="s">
        <v>230</v>
      </c>
      <c r="L46" s="12">
        <v>3045980404</v>
      </c>
      <c r="M46" s="12" t="s">
        <v>45</v>
      </c>
      <c r="N46" s="12" t="s">
        <v>127</v>
      </c>
      <c r="O46" s="12" t="s">
        <v>2822</v>
      </c>
      <c r="P46" s="88" t="s">
        <v>102</v>
      </c>
      <c r="Q46" s="12" t="s">
        <v>172</v>
      </c>
      <c r="R46" s="16">
        <v>0.84</v>
      </c>
      <c r="S46" s="12" t="s">
        <v>7695</v>
      </c>
      <c r="T46" s="12" t="s">
        <v>231</v>
      </c>
      <c r="U46" s="12" t="s">
        <v>195</v>
      </c>
      <c r="V46" s="13">
        <v>45034</v>
      </c>
      <c r="W46" s="16">
        <v>0.77500000000000002</v>
      </c>
      <c r="X46" s="13" t="s">
        <v>49</v>
      </c>
      <c r="Z46" s="12" t="s">
        <v>50</v>
      </c>
      <c r="AA46" s="12" t="s">
        <v>51</v>
      </c>
      <c r="AB46" s="12" t="s">
        <v>52</v>
      </c>
      <c r="AU46" s="12" t="s">
        <v>53</v>
      </c>
    </row>
    <row r="47" spans="1:47" s="12" customFormat="1" ht="14.4" hidden="1" x14ac:dyDescent="0.3">
      <c r="A47" s="12" t="s">
        <v>39</v>
      </c>
      <c r="B47" s="12" t="s">
        <v>54</v>
      </c>
      <c r="C47" s="12">
        <v>70</v>
      </c>
      <c r="D47" s="12">
        <v>110</v>
      </c>
      <c r="E47" s="12" t="s">
        <v>232</v>
      </c>
      <c r="F47" s="12" t="s">
        <v>233</v>
      </c>
      <c r="G47" s="12" t="str">
        <f t="shared" si="1"/>
        <v>701108230007329</v>
      </c>
      <c r="H47" s="12" t="s">
        <v>131</v>
      </c>
      <c r="I47" s="15">
        <v>8230007329</v>
      </c>
      <c r="J47" s="12" t="s">
        <v>234</v>
      </c>
      <c r="K47" s="12" t="s">
        <v>230</v>
      </c>
      <c r="L47" s="12">
        <v>3046427302</v>
      </c>
      <c r="M47" s="12" t="s">
        <v>235</v>
      </c>
      <c r="N47" s="12" t="s">
        <v>127</v>
      </c>
      <c r="O47" s="12" t="s">
        <v>2822</v>
      </c>
      <c r="P47" s="88" t="s">
        <v>102</v>
      </c>
      <c r="Q47" s="12" t="s">
        <v>236</v>
      </c>
      <c r="R47" s="16">
        <v>0.85</v>
      </c>
      <c r="S47" s="12" t="s">
        <v>7695</v>
      </c>
      <c r="T47" s="12" t="s">
        <v>59</v>
      </c>
      <c r="U47" s="12" t="s">
        <v>60</v>
      </c>
      <c r="V47" s="13" t="s">
        <v>237</v>
      </c>
      <c r="W47" s="87">
        <v>0.88</v>
      </c>
      <c r="X47" s="13" t="s">
        <v>87</v>
      </c>
      <c r="Z47" s="12" t="s">
        <v>50</v>
      </c>
      <c r="AA47" s="12" t="s">
        <v>52</v>
      </c>
      <c r="AB47" s="12" t="s">
        <v>52</v>
      </c>
      <c r="AC47" s="13"/>
      <c r="AD47" s="16"/>
      <c r="AE47" s="13"/>
      <c r="AI47" s="13"/>
      <c r="AJ47" s="16"/>
      <c r="AK47" s="13"/>
      <c r="AU47" s="12" t="s">
        <v>53</v>
      </c>
    </row>
    <row r="48" spans="1:47" s="12" customFormat="1" ht="14.4" hidden="1" x14ac:dyDescent="0.3">
      <c r="A48" s="12" t="s">
        <v>39</v>
      </c>
      <c r="B48" s="12" t="s">
        <v>54</v>
      </c>
      <c r="C48" s="12">
        <v>70</v>
      </c>
      <c r="D48" s="12">
        <v>110</v>
      </c>
      <c r="E48" s="12" t="s">
        <v>238</v>
      </c>
      <c r="F48" s="12" t="s">
        <v>239</v>
      </c>
      <c r="G48" s="12" t="str">
        <f t="shared" si="1"/>
        <v>701108230007329</v>
      </c>
      <c r="H48" s="12" t="s">
        <v>131</v>
      </c>
      <c r="I48" s="15">
        <v>8230007329</v>
      </c>
      <c r="J48" s="12" t="s">
        <v>240</v>
      </c>
      <c r="K48" s="12" t="s">
        <v>230</v>
      </c>
      <c r="L48" s="12">
        <v>3128019647</v>
      </c>
      <c r="M48" s="12" t="s">
        <v>45</v>
      </c>
      <c r="N48" s="12" t="s">
        <v>127</v>
      </c>
      <c r="O48" s="12" t="s">
        <v>2822</v>
      </c>
      <c r="P48" s="88" t="s">
        <v>102</v>
      </c>
      <c r="Q48" s="12" t="s">
        <v>241</v>
      </c>
      <c r="R48" s="16">
        <v>0.82499999999999996</v>
      </c>
      <c r="S48" s="12" t="s">
        <v>7695</v>
      </c>
      <c r="T48" s="12" t="s">
        <v>59</v>
      </c>
      <c r="U48" s="12" t="s">
        <v>60</v>
      </c>
      <c r="V48" s="13" t="s">
        <v>169</v>
      </c>
      <c r="W48" s="87">
        <v>0.79500000000000004</v>
      </c>
      <c r="X48" s="13" t="s">
        <v>87</v>
      </c>
      <c r="Z48" s="12" t="s">
        <v>50</v>
      </c>
      <c r="AA48" s="12" t="s">
        <v>52</v>
      </c>
      <c r="AB48" s="12" t="s">
        <v>52</v>
      </c>
      <c r="AC48" s="13"/>
      <c r="AD48" s="16"/>
      <c r="AE48" s="13"/>
      <c r="AI48" s="13"/>
      <c r="AJ48" s="16"/>
      <c r="AK48" s="13"/>
      <c r="AU48" s="12" t="s">
        <v>53</v>
      </c>
    </row>
    <row r="49" spans="1:53" s="12" customFormat="1" ht="14.4" hidden="1" x14ac:dyDescent="0.3">
      <c r="A49" s="12" t="s">
        <v>39</v>
      </c>
      <c r="B49" s="12" t="s">
        <v>54</v>
      </c>
      <c r="C49" s="12">
        <v>70</v>
      </c>
      <c r="D49" s="12">
        <v>110</v>
      </c>
      <c r="E49" s="12" t="s">
        <v>232</v>
      </c>
      <c r="F49" s="12" t="s">
        <v>242</v>
      </c>
      <c r="G49" s="12" t="str">
        <f t="shared" si="1"/>
        <v>701108230007329</v>
      </c>
      <c r="H49" s="12" t="s">
        <v>131</v>
      </c>
      <c r="I49" s="15">
        <v>8230007329</v>
      </c>
      <c r="J49" s="12" t="s">
        <v>243</v>
      </c>
      <c r="K49" s="12" t="s">
        <v>230</v>
      </c>
      <c r="L49" s="12">
        <v>3046304999</v>
      </c>
      <c r="M49" s="12" t="s">
        <v>45</v>
      </c>
      <c r="N49" s="12" t="s">
        <v>127</v>
      </c>
      <c r="O49" s="12" t="s">
        <v>2822</v>
      </c>
      <c r="P49" s="88" t="s">
        <v>102</v>
      </c>
      <c r="Q49" s="13">
        <v>45329</v>
      </c>
      <c r="R49" s="87">
        <v>0.9</v>
      </c>
      <c r="S49" s="13" t="s">
        <v>210</v>
      </c>
      <c r="T49" s="12" t="s">
        <v>107</v>
      </c>
      <c r="U49" s="12" t="s">
        <v>50</v>
      </c>
      <c r="AC49" s="13"/>
      <c r="AD49" s="16"/>
      <c r="AE49" s="13"/>
      <c r="AU49" s="12" t="s">
        <v>53</v>
      </c>
    </row>
    <row r="50" spans="1:53" s="12" customFormat="1" ht="14.4" hidden="1" x14ac:dyDescent="0.3">
      <c r="A50" s="12" t="s">
        <v>39</v>
      </c>
      <c r="B50" s="12" t="s">
        <v>54</v>
      </c>
      <c r="C50" s="12">
        <v>70</v>
      </c>
      <c r="D50" s="12">
        <v>110</v>
      </c>
      <c r="E50" s="12" t="s">
        <v>8679</v>
      </c>
      <c r="F50" s="275" t="s">
        <v>244</v>
      </c>
      <c r="G50" s="12" t="str">
        <f t="shared" si="1"/>
        <v>70110900267815</v>
      </c>
      <c r="H50" s="12" t="s">
        <v>8680</v>
      </c>
      <c r="I50" s="15">
        <v>900267815</v>
      </c>
      <c r="J50" s="12" t="s">
        <v>245</v>
      </c>
      <c r="K50" s="12" t="s">
        <v>246</v>
      </c>
      <c r="L50" s="12">
        <v>3042155629</v>
      </c>
      <c r="M50" s="17" t="s">
        <v>8681</v>
      </c>
      <c r="N50" s="12" t="s">
        <v>127</v>
      </c>
      <c r="O50" s="12" t="s">
        <v>2822</v>
      </c>
      <c r="P50" s="88" t="s">
        <v>102</v>
      </c>
      <c r="Q50" s="13">
        <v>46129</v>
      </c>
      <c r="R50" s="12" t="s">
        <v>4833</v>
      </c>
      <c r="S50" s="12" t="s">
        <v>49</v>
      </c>
      <c r="U50" s="12" t="s">
        <v>60</v>
      </c>
      <c r="V50" s="13">
        <v>45880</v>
      </c>
      <c r="W50" s="12" t="s">
        <v>247</v>
      </c>
      <c r="X50" s="12" t="s">
        <v>7695</v>
      </c>
      <c r="Y50" s="12" t="s">
        <v>59</v>
      </c>
      <c r="Z50" s="12" t="s">
        <v>50</v>
      </c>
      <c r="AC50" s="13">
        <v>45423</v>
      </c>
      <c r="AD50" s="87">
        <v>0.86</v>
      </c>
      <c r="AE50" s="13" t="s">
        <v>49</v>
      </c>
      <c r="AF50" s="12" t="s">
        <v>60</v>
      </c>
      <c r="AG50" s="12" t="s">
        <v>51</v>
      </c>
      <c r="AH50" s="12" t="s">
        <v>51</v>
      </c>
      <c r="AI50" s="12" t="s">
        <v>52</v>
      </c>
      <c r="AJ50" s="16">
        <v>0.83</v>
      </c>
      <c r="AK50" s="13" t="s">
        <v>49</v>
      </c>
      <c r="AL50" s="12" t="s">
        <v>50</v>
      </c>
      <c r="AM50" s="12" t="s">
        <v>51</v>
      </c>
      <c r="AN50" s="12" t="s">
        <v>52</v>
      </c>
      <c r="AO50" s="13">
        <v>44613</v>
      </c>
      <c r="AP50" s="16">
        <v>0.85</v>
      </c>
      <c r="AQ50" s="13" t="s">
        <v>49</v>
      </c>
      <c r="AR50" s="12" t="s">
        <v>60</v>
      </c>
      <c r="AS50" s="12" t="s">
        <v>51</v>
      </c>
      <c r="AT50" s="12" t="s">
        <v>51</v>
      </c>
      <c r="AU50" s="12" t="s">
        <v>53</v>
      </c>
    </row>
    <row r="51" spans="1:53" s="12" customFormat="1" ht="14.4" hidden="1" x14ac:dyDescent="0.3">
      <c r="A51" s="12" t="s">
        <v>39</v>
      </c>
      <c r="B51" s="12" t="s">
        <v>54</v>
      </c>
      <c r="C51" s="12">
        <v>70</v>
      </c>
      <c r="D51" s="12">
        <v>110</v>
      </c>
      <c r="F51" s="12" t="s">
        <v>248</v>
      </c>
      <c r="G51" s="12" t="str">
        <f t="shared" si="1"/>
        <v>70110823000732-7</v>
      </c>
      <c r="H51" s="12" t="s">
        <v>131</v>
      </c>
      <c r="I51" s="15" t="s">
        <v>151</v>
      </c>
      <c r="J51" s="12" t="s">
        <v>249</v>
      </c>
      <c r="K51" s="12" t="s">
        <v>230</v>
      </c>
      <c r="L51" s="12">
        <v>3004741683</v>
      </c>
      <c r="M51" s="12" t="s">
        <v>250</v>
      </c>
      <c r="N51" s="12" t="s">
        <v>127</v>
      </c>
      <c r="O51" s="12" t="s">
        <v>2822</v>
      </c>
      <c r="P51" s="88" t="s">
        <v>102</v>
      </c>
      <c r="Q51" s="13">
        <v>45378</v>
      </c>
      <c r="R51" s="87">
        <v>0.86499999999999999</v>
      </c>
      <c r="S51" s="13" t="s">
        <v>49</v>
      </c>
      <c r="U51" s="12" t="s">
        <v>1959</v>
      </c>
      <c r="V51" s="13">
        <v>45266</v>
      </c>
      <c r="W51" s="16">
        <v>0.93</v>
      </c>
      <c r="X51" s="13" t="s">
        <v>210</v>
      </c>
      <c r="Z51" s="12" t="s">
        <v>50</v>
      </c>
      <c r="AA51" s="12" t="s">
        <v>52</v>
      </c>
      <c r="AB51" s="12" t="s">
        <v>251</v>
      </c>
      <c r="AC51" s="13">
        <v>44608</v>
      </c>
      <c r="AD51" s="16">
        <v>0.88500000000000001</v>
      </c>
      <c r="AE51" s="13" t="s">
        <v>49</v>
      </c>
      <c r="AF51" s="12" t="s">
        <v>60</v>
      </c>
      <c r="AG51" s="12" t="s">
        <v>52</v>
      </c>
      <c r="AH51" s="12" t="s">
        <v>52</v>
      </c>
      <c r="AU51" s="12" t="s">
        <v>164</v>
      </c>
    </row>
    <row r="52" spans="1:53" s="12" customFormat="1" ht="14.4" hidden="1" x14ac:dyDescent="0.3">
      <c r="A52" s="12" t="s">
        <v>39</v>
      </c>
      <c r="B52" s="12" t="s">
        <v>54</v>
      </c>
      <c r="C52" s="12">
        <v>70</v>
      </c>
      <c r="D52" s="12">
        <v>110</v>
      </c>
      <c r="E52" s="12" t="s">
        <v>784</v>
      </c>
      <c r="F52" s="12" t="s">
        <v>7900</v>
      </c>
      <c r="G52" s="12" t="str">
        <f t="shared" si="1"/>
        <v>70110900722227-8</v>
      </c>
      <c r="H52" s="12" t="s">
        <v>2827</v>
      </c>
      <c r="I52" s="15" t="s">
        <v>252</v>
      </c>
      <c r="J52" s="12" t="s">
        <v>253</v>
      </c>
      <c r="K52" s="12" t="s">
        <v>230</v>
      </c>
      <c r="L52" s="12">
        <v>3128038661</v>
      </c>
      <c r="M52" s="17" t="s">
        <v>779</v>
      </c>
      <c r="N52" s="12" t="s">
        <v>127</v>
      </c>
      <c r="O52" s="12" t="s">
        <v>2822</v>
      </c>
      <c r="P52" s="88" t="s">
        <v>102</v>
      </c>
      <c r="Q52" s="13">
        <v>45882</v>
      </c>
      <c r="R52" s="12" t="s">
        <v>201</v>
      </c>
      <c r="S52" s="12" t="s">
        <v>49</v>
      </c>
      <c r="U52" s="12" t="s">
        <v>50</v>
      </c>
      <c r="V52" s="13">
        <v>45573</v>
      </c>
      <c r="W52" s="87">
        <v>0.75</v>
      </c>
      <c r="X52" s="13" t="s">
        <v>49</v>
      </c>
      <c r="AC52" s="13"/>
      <c r="AD52" s="13"/>
      <c r="AE52" s="13"/>
      <c r="AI52" s="13"/>
      <c r="AJ52" s="13"/>
      <c r="AK52" s="13"/>
      <c r="AU52" s="12" t="s">
        <v>53</v>
      </c>
    </row>
    <row r="53" spans="1:53" s="12" customFormat="1" ht="14.4" hidden="1" x14ac:dyDescent="0.3">
      <c r="A53" s="12" t="s">
        <v>39</v>
      </c>
      <c r="B53" s="12" t="s">
        <v>54</v>
      </c>
      <c r="C53" s="12">
        <v>70</v>
      </c>
      <c r="D53" s="12">
        <v>110</v>
      </c>
      <c r="F53" s="12" t="s">
        <v>254</v>
      </c>
      <c r="G53" s="12" t="str">
        <f t="shared" si="1"/>
        <v>70110900084481</v>
      </c>
      <c r="H53" s="12" t="s">
        <v>255</v>
      </c>
      <c r="I53" s="15">
        <v>900084481</v>
      </c>
      <c r="J53" s="12" t="s">
        <v>256</v>
      </c>
      <c r="K53" s="12" t="s">
        <v>230</v>
      </c>
      <c r="L53" s="12">
        <v>3003017873</v>
      </c>
      <c r="M53" s="12" t="s">
        <v>45</v>
      </c>
      <c r="N53" s="12" t="s">
        <v>127</v>
      </c>
      <c r="O53" s="12" t="s">
        <v>2822</v>
      </c>
      <c r="P53" s="88" t="s">
        <v>102</v>
      </c>
      <c r="Q53" s="13">
        <v>45602</v>
      </c>
      <c r="R53" s="87">
        <v>0.68500000000000005</v>
      </c>
      <c r="S53" s="13" t="s">
        <v>49</v>
      </c>
      <c r="U53" s="12" t="s">
        <v>50</v>
      </c>
      <c r="AC53" s="13"/>
      <c r="AD53" s="13"/>
      <c r="AE53" s="13"/>
      <c r="AI53" s="13"/>
      <c r="AJ53" s="13"/>
      <c r="AK53" s="13"/>
      <c r="AU53" s="12" t="s">
        <v>53</v>
      </c>
    </row>
    <row r="54" spans="1:53" s="12" customFormat="1" ht="14.4" hidden="1" x14ac:dyDescent="0.3">
      <c r="A54" s="12" t="s">
        <v>39</v>
      </c>
      <c r="B54" s="12" t="s">
        <v>54</v>
      </c>
      <c r="C54" s="12">
        <v>70</v>
      </c>
      <c r="D54" s="12">
        <v>110</v>
      </c>
      <c r="F54" s="88" t="s">
        <v>257</v>
      </c>
      <c r="G54" s="12" t="str">
        <f t="shared" si="1"/>
        <v>7011022977182</v>
      </c>
      <c r="H54" s="12" t="s">
        <v>45</v>
      </c>
      <c r="I54" s="15">
        <v>22977182</v>
      </c>
      <c r="J54" s="12" t="s">
        <v>258</v>
      </c>
      <c r="K54" s="12" t="s">
        <v>230</v>
      </c>
      <c r="L54" s="12">
        <v>3217437227</v>
      </c>
      <c r="M54" s="12" t="s">
        <v>45</v>
      </c>
      <c r="N54" s="12" t="s">
        <v>259</v>
      </c>
      <c r="O54" s="12" t="s">
        <v>260</v>
      </c>
      <c r="P54" s="88" t="s">
        <v>261</v>
      </c>
      <c r="Q54" s="13">
        <v>45442</v>
      </c>
      <c r="R54" s="16">
        <v>0.77</v>
      </c>
      <c r="S54" s="13" t="s">
        <v>49</v>
      </c>
      <c r="U54" s="12" t="s">
        <v>50</v>
      </c>
      <c r="AC54" s="13"/>
      <c r="AD54" s="13"/>
      <c r="AE54" s="13"/>
      <c r="AI54" s="13"/>
      <c r="AJ54" s="13"/>
      <c r="AK54" s="13"/>
      <c r="AU54" s="12" t="s">
        <v>53</v>
      </c>
    </row>
    <row r="55" spans="1:53" s="12" customFormat="1" ht="14.4" hidden="1" x14ac:dyDescent="0.3">
      <c r="A55" s="12" t="s">
        <v>39</v>
      </c>
      <c r="B55" s="12" t="s">
        <v>54</v>
      </c>
      <c r="C55" s="12">
        <v>70</v>
      </c>
      <c r="D55" s="12">
        <v>110</v>
      </c>
      <c r="F55" s="88" t="s">
        <v>262</v>
      </c>
      <c r="G55" s="12" t="str">
        <f t="shared" si="1"/>
        <v>7011033239394</v>
      </c>
      <c r="H55" s="12" t="s">
        <v>263</v>
      </c>
      <c r="I55" s="15">
        <v>33239394</v>
      </c>
      <c r="J55" s="12" t="s">
        <v>264</v>
      </c>
      <c r="K55" s="12" t="s">
        <v>230</v>
      </c>
      <c r="L55" s="12" t="s">
        <v>45</v>
      </c>
      <c r="M55" s="12" t="s">
        <v>45</v>
      </c>
      <c r="N55" s="12" t="s">
        <v>259</v>
      </c>
      <c r="O55" s="12" t="s">
        <v>260</v>
      </c>
      <c r="P55" s="88" t="s">
        <v>261</v>
      </c>
      <c r="Q55" s="13">
        <v>45621</v>
      </c>
      <c r="R55" s="16">
        <v>0.94499999999999995</v>
      </c>
      <c r="S55" s="13" t="s">
        <v>210</v>
      </c>
      <c r="U55" s="12" t="s">
        <v>50</v>
      </c>
      <c r="V55" s="13">
        <v>43208</v>
      </c>
      <c r="W55" s="16">
        <v>0.83499999999999996</v>
      </c>
      <c r="X55" s="13" t="s">
        <v>49</v>
      </c>
      <c r="Z55" s="12" t="s">
        <v>50</v>
      </c>
      <c r="AA55" s="12" t="s">
        <v>52</v>
      </c>
      <c r="AB55" s="12" t="s">
        <v>52</v>
      </c>
      <c r="AI55" s="13"/>
      <c r="AJ55" s="13"/>
      <c r="AK55" s="13"/>
      <c r="AU55" s="12" t="s">
        <v>53</v>
      </c>
    </row>
    <row r="56" spans="1:53" s="12" customFormat="1" ht="14.4" hidden="1" x14ac:dyDescent="0.3">
      <c r="A56" s="12" t="s">
        <v>39</v>
      </c>
      <c r="B56" s="12" t="s">
        <v>54</v>
      </c>
      <c r="C56" s="12">
        <v>70</v>
      </c>
      <c r="D56" s="12">
        <v>110</v>
      </c>
      <c r="F56" s="88" t="s">
        <v>265</v>
      </c>
      <c r="G56" s="12" t="str">
        <f t="shared" si="1"/>
        <v>7011033238052</v>
      </c>
      <c r="H56" s="12" t="s">
        <v>266</v>
      </c>
      <c r="I56" s="15">
        <v>33238052</v>
      </c>
      <c r="J56" s="15" t="s">
        <v>267</v>
      </c>
      <c r="K56" s="15" t="s">
        <v>230</v>
      </c>
      <c r="L56" s="15" t="s">
        <v>45</v>
      </c>
      <c r="M56" s="15" t="s">
        <v>45</v>
      </c>
      <c r="N56" s="12" t="s">
        <v>259</v>
      </c>
      <c r="O56" s="12" t="s">
        <v>260</v>
      </c>
      <c r="P56" s="88" t="s">
        <v>261</v>
      </c>
      <c r="Q56" s="13">
        <v>45484</v>
      </c>
      <c r="R56" s="16">
        <v>0.88500000000000001</v>
      </c>
      <c r="S56" s="13" t="s">
        <v>49</v>
      </c>
      <c r="U56" s="12" t="s">
        <v>50</v>
      </c>
      <c r="V56" s="13">
        <v>43804</v>
      </c>
      <c r="W56" s="16">
        <v>0.78249999999999997</v>
      </c>
      <c r="X56" s="13" t="s">
        <v>49</v>
      </c>
      <c r="Z56" s="12" t="s">
        <v>50</v>
      </c>
      <c r="AA56" s="12" t="s">
        <v>52</v>
      </c>
      <c r="AB56" s="12" t="s">
        <v>52</v>
      </c>
      <c r="AC56" s="13">
        <v>43804</v>
      </c>
      <c r="AD56" s="16">
        <v>0.78249999999999997</v>
      </c>
      <c r="AE56" s="13" t="s">
        <v>49</v>
      </c>
      <c r="AF56" s="12" t="s">
        <v>60</v>
      </c>
      <c r="AG56" s="12" t="s">
        <v>52</v>
      </c>
      <c r="AH56" s="12" t="s">
        <v>52</v>
      </c>
      <c r="AU56" s="12" t="s">
        <v>53</v>
      </c>
    </row>
    <row r="57" spans="1:53" s="12" customFormat="1" ht="14.4" hidden="1" x14ac:dyDescent="0.3">
      <c r="A57" s="12" t="s">
        <v>39</v>
      </c>
      <c r="B57" s="12" t="s">
        <v>54</v>
      </c>
      <c r="C57" s="12">
        <v>70</v>
      </c>
      <c r="D57" s="12">
        <v>110</v>
      </c>
      <c r="F57" s="88" t="s">
        <v>268</v>
      </c>
      <c r="G57" s="12" t="str">
        <f t="shared" si="1"/>
        <v>7011033238011</v>
      </c>
      <c r="H57" s="12" t="s">
        <v>269</v>
      </c>
      <c r="I57" s="15">
        <v>33238011</v>
      </c>
      <c r="J57" s="15" t="s">
        <v>270</v>
      </c>
      <c r="K57" s="15" t="s">
        <v>230</v>
      </c>
      <c r="L57" s="15">
        <v>3005463121</v>
      </c>
      <c r="M57" s="15" t="s">
        <v>45</v>
      </c>
      <c r="N57" s="12" t="s">
        <v>259</v>
      </c>
      <c r="O57" s="12" t="s">
        <v>260</v>
      </c>
      <c r="P57" s="88" t="s">
        <v>261</v>
      </c>
      <c r="Q57" s="13">
        <v>45491</v>
      </c>
      <c r="R57" s="16">
        <v>0.83499999999999996</v>
      </c>
      <c r="S57" s="13" t="s">
        <v>49</v>
      </c>
      <c r="U57" s="12" t="s">
        <v>50</v>
      </c>
      <c r="AI57" s="13"/>
      <c r="AJ57" s="13"/>
      <c r="AK57" s="13"/>
      <c r="AU57" s="12" t="s">
        <v>53</v>
      </c>
    </row>
    <row r="58" spans="1:53" s="12" customFormat="1" ht="14.4" hidden="1" x14ac:dyDescent="0.3">
      <c r="A58" s="12" t="s">
        <v>39</v>
      </c>
      <c r="B58" s="12" t="s">
        <v>54</v>
      </c>
      <c r="C58" s="12">
        <v>70</v>
      </c>
      <c r="D58" s="12">
        <v>110</v>
      </c>
      <c r="F58" s="88" t="s">
        <v>271</v>
      </c>
      <c r="G58" s="12" t="str">
        <f t="shared" si="1"/>
        <v>7011061930297</v>
      </c>
      <c r="H58" s="12" t="s">
        <v>272</v>
      </c>
      <c r="I58" s="15">
        <v>61930297</v>
      </c>
      <c r="J58" s="15" t="s">
        <v>273</v>
      </c>
      <c r="K58" s="15" t="s">
        <v>274</v>
      </c>
      <c r="L58" s="15">
        <v>3102844532</v>
      </c>
      <c r="M58" s="15" t="s">
        <v>45</v>
      </c>
      <c r="N58" s="12" t="s">
        <v>259</v>
      </c>
      <c r="O58" s="12" t="s">
        <v>260</v>
      </c>
      <c r="P58" s="88" t="s">
        <v>276</v>
      </c>
      <c r="V58" s="13"/>
      <c r="W58" s="16"/>
      <c r="X58" s="13"/>
      <c r="AI58" s="13"/>
      <c r="AJ58" s="13"/>
      <c r="AK58" s="13"/>
      <c r="AU58" s="12" t="s">
        <v>53</v>
      </c>
    </row>
    <row r="59" spans="1:53" s="12" customFormat="1" ht="14.4" hidden="1" x14ac:dyDescent="0.3">
      <c r="A59" s="12" t="s">
        <v>39</v>
      </c>
      <c r="B59" s="12" t="s">
        <v>54</v>
      </c>
      <c r="C59" s="12">
        <v>70</v>
      </c>
      <c r="D59" s="12">
        <v>110</v>
      </c>
      <c r="F59" s="88" t="s">
        <v>277</v>
      </c>
      <c r="G59" s="12" t="str">
        <f t="shared" si="1"/>
        <v>701101099960696</v>
      </c>
      <c r="H59" s="12" t="s">
        <v>278</v>
      </c>
      <c r="I59" s="15">
        <v>1099960696</v>
      </c>
      <c r="J59" s="15" t="s">
        <v>279</v>
      </c>
      <c r="K59" s="15" t="s">
        <v>230</v>
      </c>
      <c r="L59" s="15">
        <v>3215305769</v>
      </c>
      <c r="M59" s="15" t="s">
        <v>45</v>
      </c>
      <c r="N59" s="12" t="s">
        <v>259</v>
      </c>
      <c r="O59" s="12" t="s">
        <v>260</v>
      </c>
      <c r="P59" s="88" t="s">
        <v>261</v>
      </c>
      <c r="Q59" s="13">
        <v>45302</v>
      </c>
      <c r="R59" s="16">
        <v>0.745</v>
      </c>
      <c r="S59" s="13" t="s">
        <v>210</v>
      </c>
      <c r="T59" s="12" t="s">
        <v>194</v>
      </c>
      <c r="U59" s="12" t="s">
        <v>50</v>
      </c>
      <c r="V59" s="13">
        <v>45054</v>
      </c>
      <c r="W59" s="16">
        <v>0.64500000000000002</v>
      </c>
      <c r="X59" s="13" t="s">
        <v>49</v>
      </c>
      <c r="Y59" s="13"/>
      <c r="Z59" s="12" t="s">
        <v>50</v>
      </c>
      <c r="AA59" s="12" t="s">
        <v>52</v>
      </c>
      <c r="AB59" s="12" t="s">
        <v>52</v>
      </c>
      <c r="AC59" s="13">
        <v>44572</v>
      </c>
      <c r="AD59" s="16">
        <v>0.8075</v>
      </c>
      <c r="AE59" s="13" t="s">
        <v>49</v>
      </c>
      <c r="AF59" s="12" t="s">
        <v>60</v>
      </c>
      <c r="AG59" s="12" t="s">
        <v>51</v>
      </c>
      <c r="AH59" s="12" t="s">
        <v>51</v>
      </c>
      <c r="AU59" s="12" t="s">
        <v>53</v>
      </c>
    </row>
    <row r="60" spans="1:53" s="12" customFormat="1" ht="14.4" hidden="1" x14ac:dyDescent="0.3">
      <c r="A60" s="12" t="s">
        <v>39</v>
      </c>
      <c r="B60" s="12" t="s">
        <v>54</v>
      </c>
      <c r="C60" s="12">
        <v>70</v>
      </c>
      <c r="D60" s="12">
        <v>110</v>
      </c>
      <c r="F60" s="88" t="s">
        <v>280</v>
      </c>
      <c r="G60" s="12" t="str">
        <f t="shared" si="1"/>
        <v>701101091804080</v>
      </c>
      <c r="H60" s="12" t="s">
        <v>281</v>
      </c>
      <c r="I60" s="12">
        <v>1091804080</v>
      </c>
      <c r="J60" s="12" t="s">
        <v>282</v>
      </c>
      <c r="K60" s="12" t="s">
        <v>230</v>
      </c>
      <c r="L60" s="12" t="s">
        <v>45</v>
      </c>
      <c r="M60" s="12" t="s">
        <v>45</v>
      </c>
      <c r="N60" s="12" t="s">
        <v>259</v>
      </c>
      <c r="O60" s="12" t="s">
        <v>260</v>
      </c>
      <c r="P60" s="88" t="s">
        <v>261</v>
      </c>
      <c r="Q60" s="13">
        <v>45539</v>
      </c>
      <c r="R60" s="16">
        <v>0.83</v>
      </c>
      <c r="S60" s="13" t="s">
        <v>49</v>
      </c>
      <c r="U60" s="12" t="s">
        <v>60</v>
      </c>
      <c r="V60" s="13">
        <v>44146</v>
      </c>
      <c r="W60" s="16">
        <v>0.83499999999999996</v>
      </c>
      <c r="X60" s="13" t="s">
        <v>49</v>
      </c>
      <c r="Z60" s="13" t="s">
        <v>50</v>
      </c>
      <c r="AA60" s="12" t="s">
        <v>51</v>
      </c>
      <c r="AB60" s="12" t="s">
        <v>52</v>
      </c>
      <c r="AC60" s="13">
        <v>44028</v>
      </c>
      <c r="AD60" s="16">
        <v>0.77</v>
      </c>
      <c r="AE60" s="13" t="s">
        <v>49</v>
      </c>
      <c r="AF60" s="12" t="s">
        <v>60</v>
      </c>
      <c r="AG60" s="12" t="s">
        <v>51</v>
      </c>
      <c r="AH60" s="12" t="s">
        <v>51</v>
      </c>
      <c r="AU60" s="12" t="s">
        <v>53</v>
      </c>
    </row>
    <row r="61" spans="1:53" s="12" customFormat="1" ht="14.4" hidden="1" x14ac:dyDescent="0.3">
      <c r="A61" s="88" t="s">
        <v>39</v>
      </c>
      <c r="B61" s="12" t="s">
        <v>54</v>
      </c>
      <c r="C61" s="88">
        <v>70</v>
      </c>
      <c r="D61" s="88">
        <v>110</v>
      </c>
      <c r="E61" s="88"/>
      <c r="F61" s="88" t="s">
        <v>283</v>
      </c>
      <c r="G61" s="12" t="str">
        <f t="shared" si="1"/>
        <v xml:space="preserve">7011033237335
</v>
      </c>
      <c r="H61" s="88" t="s">
        <v>284</v>
      </c>
      <c r="I61" s="88" t="s">
        <v>285</v>
      </c>
      <c r="J61" s="88" t="s">
        <v>286</v>
      </c>
      <c r="K61" s="88" t="s">
        <v>230</v>
      </c>
      <c r="L61" s="88" t="s">
        <v>45</v>
      </c>
      <c r="M61" s="88" t="s">
        <v>45</v>
      </c>
      <c r="N61" s="88" t="s">
        <v>259</v>
      </c>
      <c r="O61" s="12" t="s">
        <v>260</v>
      </c>
      <c r="P61" s="88" t="s">
        <v>261</v>
      </c>
      <c r="Q61" s="89">
        <v>45531</v>
      </c>
      <c r="R61" s="87">
        <v>0.93500000000000005</v>
      </c>
      <c r="S61" s="89" t="s">
        <v>210</v>
      </c>
      <c r="T61" s="88"/>
      <c r="U61" s="88" t="s">
        <v>60</v>
      </c>
      <c r="V61" s="13">
        <v>44154</v>
      </c>
      <c r="W61" s="87">
        <v>0.875</v>
      </c>
      <c r="X61" s="88" t="s">
        <v>49</v>
      </c>
      <c r="Z61" s="89" t="s">
        <v>50</v>
      </c>
      <c r="AA61" s="12" t="s">
        <v>51</v>
      </c>
      <c r="AB61" s="12" t="s">
        <v>52</v>
      </c>
      <c r="AI61" s="88"/>
      <c r="AJ61" s="88"/>
      <c r="AK61" s="88"/>
      <c r="AL61" s="88"/>
      <c r="AO61" s="88"/>
      <c r="AP61" s="88"/>
      <c r="AQ61" s="88"/>
      <c r="AR61" s="88"/>
      <c r="AS61" s="88"/>
      <c r="AT61" s="88"/>
      <c r="AU61" s="88" t="s">
        <v>53</v>
      </c>
      <c r="AV61" s="88"/>
      <c r="AW61" s="88"/>
      <c r="AX61" s="88"/>
      <c r="AY61" s="88"/>
      <c r="AZ61" s="88"/>
      <c r="BA61" s="88"/>
    </row>
    <row r="62" spans="1:53" s="12" customFormat="1" ht="14.4" hidden="1" x14ac:dyDescent="0.3">
      <c r="A62" s="12" t="s">
        <v>39</v>
      </c>
      <c r="B62" s="88" t="s">
        <v>54</v>
      </c>
      <c r="C62" s="12">
        <v>70</v>
      </c>
      <c r="D62" s="12">
        <v>110</v>
      </c>
      <c r="F62" s="12" t="s">
        <v>287</v>
      </c>
      <c r="G62" s="12" t="str">
        <f t="shared" si="1"/>
        <v>7011018760075</v>
      </c>
      <c r="H62" s="12" t="s">
        <v>288</v>
      </c>
      <c r="I62" s="12">
        <v>18760075</v>
      </c>
      <c r="J62" s="12" t="s">
        <v>289</v>
      </c>
      <c r="K62" s="12" t="s">
        <v>230</v>
      </c>
      <c r="L62" s="12" t="s">
        <v>45</v>
      </c>
      <c r="M62" s="12" t="s">
        <v>45</v>
      </c>
      <c r="N62" s="12" t="s">
        <v>259</v>
      </c>
      <c r="O62" s="12" t="s">
        <v>260</v>
      </c>
      <c r="P62" s="88" t="s">
        <v>261</v>
      </c>
      <c r="Q62" s="13">
        <v>45531</v>
      </c>
      <c r="R62" s="16">
        <v>0.89500000000000002</v>
      </c>
      <c r="S62" s="12" t="s">
        <v>210</v>
      </c>
      <c r="U62" s="12" t="s">
        <v>60</v>
      </c>
      <c r="V62" s="13">
        <v>44631</v>
      </c>
      <c r="W62" s="16">
        <v>0.80500000000000005</v>
      </c>
      <c r="X62" s="12" t="s">
        <v>49</v>
      </c>
      <c r="Z62" s="13" t="s">
        <v>50</v>
      </c>
      <c r="AA62" s="12" t="s">
        <v>51</v>
      </c>
      <c r="AB62" s="12" t="s">
        <v>52</v>
      </c>
      <c r="AU62" s="88" t="s">
        <v>53</v>
      </c>
    </row>
    <row r="63" spans="1:53" s="12" customFormat="1" ht="14.4" hidden="1" x14ac:dyDescent="0.3">
      <c r="A63" s="12" t="s">
        <v>39</v>
      </c>
      <c r="B63" s="12" t="s">
        <v>54</v>
      </c>
      <c r="C63" s="12">
        <v>70</v>
      </c>
      <c r="D63" s="12">
        <v>110</v>
      </c>
      <c r="F63" s="12" t="s">
        <v>290</v>
      </c>
      <c r="G63" s="12" t="str">
        <f t="shared" si="1"/>
        <v>701101999960696</v>
      </c>
      <c r="H63" s="12" t="s">
        <v>278</v>
      </c>
      <c r="I63" s="12">
        <v>1999960696</v>
      </c>
      <c r="J63" s="12" t="s">
        <v>291</v>
      </c>
      <c r="K63" s="12" t="s">
        <v>246</v>
      </c>
      <c r="L63" s="12">
        <v>3215305769</v>
      </c>
      <c r="M63" s="12" t="s">
        <v>45</v>
      </c>
      <c r="N63" s="12" t="s">
        <v>259</v>
      </c>
      <c r="O63" s="12" t="s">
        <v>260</v>
      </c>
      <c r="P63" s="88" t="s">
        <v>276</v>
      </c>
      <c r="Q63" s="12" t="s">
        <v>292</v>
      </c>
      <c r="R63" s="18">
        <v>0.8125</v>
      </c>
      <c r="S63" s="12" t="s">
        <v>7696</v>
      </c>
      <c r="T63" s="12" t="s">
        <v>59</v>
      </c>
      <c r="U63" s="12" t="s">
        <v>50</v>
      </c>
      <c r="V63" s="13"/>
      <c r="W63" s="16"/>
      <c r="AC63" s="13"/>
      <c r="AD63" s="16"/>
      <c r="AF63" s="13"/>
      <c r="AU63" s="88" t="s">
        <v>53</v>
      </c>
    </row>
    <row r="64" spans="1:53" s="12" customFormat="1" ht="14.4" hidden="1" x14ac:dyDescent="0.3">
      <c r="A64" s="12" t="s">
        <v>39</v>
      </c>
      <c r="B64" s="12" t="s">
        <v>54</v>
      </c>
      <c r="C64" s="12">
        <v>70</v>
      </c>
      <c r="D64" s="12">
        <v>110</v>
      </c>
      <c r="F64" s="12" t="s">
        <v>293</v>
      </c>
      <c r="G64" s="12" t="str">
        <f t="shared" si="1"/>
        <v>7011018762034</v>
      </c>
      <c r="H64" s="12" t="s">
        <v>294</v>
      </c>
      <c r="I64" s="12">
        <v>18762034</v>
      </c>
      <c r="J64" s="12" t="s">
        <v>295</v>
      </c>
      <c r="K64" s="12" t="s">
        <v>230</v>
      </c>
      <c r="L64" s="12" t="s">
        <v>45</v>
      </c>
      <c r="M64" s="12" t="s">
        <v>45</v>
      </c>
      <c r="N64" s="12" t="s">
        <v>259</v>
      </c>
      <c r="O64" s="12" t="s">
        <v>260</v>
      </c>
      <c r="P64" s="88" t="s">
        <v>261</v>
      </c>
      <c r="Q64" s="13">
        <v>45582</v>
      </c>
      <c r="R64" s="16">
        <v>0.84250000000000003</v>
      </c>
      <c r="S64" s="12" t="s">
        <v>49</v>
      </c>
      <c r="U64" s="12" t="s">
        <v>50</v>
      </c>
      <c r="V64" s="13">
        <v>42543</v>
      </c>
      <c r="W64" s="16">
        <v>0.83499999999999996</v>
      </c>
      <c r="X64" s="12" t="s">
        <v>49</v>
      </c>
      <c r="Z64" s="13" t="s">
        <v>50</v>
      </c>
      <c r="AA64" s="12" t="s">
        <v>52</v>
      </c>
      <c r="AB64" s="12" t="s">
        <v>52</v>
      </c>
      <c r="AU64" s="88" t="s">
        <v>53</v>
      </c>
    </row>
    <row r="65" spans="1:47" s="12" customFormat="1" ht="14.4" hidden="1" x14ac:dyDescent="0.3">
      <c r="A65" s="12" t="s">
        <v>39</v>
      </c>
      <c r="B65" s="12" t="s">
        <v>54</v>
      </c>
      <c r="C65" s="12">
        <v>70</v>
      </c>
      <c r="D65" s="12">
        <v>110</v>
      </c>
      <c r="F65" s="12" t="s">
        <v>296</v>
      </c>
      <c r="G65" s="12" t="str">
        <f t="shared" si="1"/>
        <v>701103898210</v>
      </c>
      <c r="H65" s="12" t="s">
        <v>297</v>
      </c>
      <c r="I65" s="12">
        <v>3898210</v>
      </c>
      <c r="J65" s="12" t="s">
        <v>298</v>
      </c>
      <c r="K65" s="12" t="s">
        <v>230</v>
      </c>
      <c r="L65" s="12">
        <v>3217437227</v>
      </c>
      <c r="M65" s="12" t="s">
        <v>45</v>
      </c>
      <c r="N65" s="12" t="s">
        <v>259</v>
      </c>
      <c r="O65" s="12" t="s">
        <v>260</v>
      </c>
      <c r="P65" s="88" t="s">
        <v>261</v>
      </c>
      <c r="Q65" s="13" t="s">
        <v>299</v>
      </c>
      <c r="R65" s="16">
        <v>0.77500000000000002</v>
      </c>
      <c r="S65" s="12" t="s">
        <v>49</v>
      </c>
      <c r="T65" s="12" t="s">
        <v>300</v>
      </c>
      <c r="U65" s="12" t="s">
        <v>50</v>
      </c>
      <c r="V65" s="13" t="s">
        <v>301</v>
      </c>
      <c r="W65" s="16">
        <v>0.875</v>
      </c>
      <c r="X65" s="13" t="s">
        <v>49</v>
      </c>
      <c r="Z65" s="12" t="s">
        <v>50</v>
      </c>
      <c r="AA65" s="12" t="s">
        <v>51</v>
      </c>
      <c r="AB65" s="12" t="s">
        <v>52</v>
      </c>
      <c r="AC65" s="13">
        <v>42647</v>
      </c>
      <c r="AD65" s="16">
        <v>0.83499999999999996</v>
      </c>
      <c r="AE65" s="12" t="s">
        <v>49</v>
      </c>
      <c r="AF65" s="13" t="s">
        <v>50</v>
      </c>
      <c r="AG65" s="12" t="s">
        <v>51</v>
      </c>
      <c r="AH65" s="12" t="s">
        <v>52</v>
      </c>
      <c r="AU65" s="88" t="s">
        <v>53</v>
      </c>
    </row>
    <row r="66" spans="1:47" s="12" customFormat="1" ht="14.4" hidden="1" x14ac:dyDescent="0.3">
      <c r="A66" s="12" t="s">
        <v>39</v>
      </c>
      <c r="B66" s="12" t="s">
        <v>54</v>
      </c>
      <c r="C66" s="12">
        <v>70</v>
      </c>
      <c r="D66" s="12">
        <v>110</v>
      </c>
      <c r="F66" s="12" t="s">
        <v>302</v>
      </c>
      <c r="G66" s="12" t="str">
        <f t="shared" si="1"/>
        <v>701104015031</v>
      </c>
      <c r="H66" s="12" t="s">
        <v>303</v>
      </c>
      <c r="I66" s="12">
        <v>4015031</v>
      </c>
      <c r="J66" s="12" t="s">
        <v>304</v>
      </c>
      <c r="K66" s="12" t="s">
        <v>230</v>
      </c>
      <c r="L66" s="12" t="s">
        <v>45</v>
      </c>
      <c r="M66" s="12" t="s">
        <v>45</v>
      </c>
      <c r="N66" s="12" t="s">
        <v>259</v>
      </c>
      <c r="O66" s="12" t="s">
        <v>260</v>
      </c>
      <c r="P66" s="88" t="s">
        <v>261</v>
      </c>
      <c r="Q66" s="13">
        <v>45434</v>
      </c>
      <c r="R66" s="16">
        <v>0.93</v>
      </c>
      <c r="S66" s="12" t="s">
        <v>210</v>
      </c>
      <c r="U66" s="12" t="s">
        <v>60</v>
      </c>
      <c r="V66" s="13">
        <v>45247</v>
      </c>
      <c r="W66" s="16">
        <v>0.75</v>
      </c>
      <c r="X66" s="12" t="s">
        <v>49</v>
      </c>
      <c r="Z66" s="12" t="s">
        <v>60</v>
      </c>
      <c r="AA66" s="12" t="s">
        <v>52</v>
      </c>
      <c r="AB66" s="12" t="s">
        <v>52</v>
      </c>
      <c r="AF66" s="13"/>
      <c r="AU66" s="88" t="s">
        <v>53</v>
      </c>
    </row>
    <row r="67" spans="1:47" s="12" customFormat="1" ht="14.4" hidden="1" x14ac:dyDescent="0.3">
      <c r="A67" s="12" t="s">
        <v>39</v>
      </c>
      <c r="B67" s="12" t="s">
        <v>54</v>
      </c>
      <c r="C67" s="12">
        <v>70</v>
      </c>
      <c r="D67" s="12">
        <v>110</v>
      </c>
      <c r="F67" s="12" t="s">
        <v>305</v>
      </c>
      <c r="G67" s="12" t="str">
        <f t="shared" si="1"/>
        <v>7011043787989</v>
      </c>
      <c r="H67" s="12" t="s">
        <v>306</v>
      </c>
      <c r="I67" s="12">
        <v>43787989</v>
      </c>
      <c r="J67" s="12" t="s">
        <v>307</v>
      </c>
      <c r="K67" s="12" t="s">
        <v>230</v>
      </c>
      <c r="L67" s="12" t="s">
        <v>45</v>
      </c>
      <c r="M67" s="12" t="s">
        <v>45</v>
      </c>
      <c r="N67" s="12" t="s">
        <v>259</v>
      </c>
      <c r="O67" s="12" t="s">
        <v>260</v>
      </c>
      <c r="P67" s="88" t="s">
        <v>261</v>
      </c>
      <c r="Q67" s="13">
        <v>45414</v>
      </c>
      <c r="R67" s="16">
        <v>0.94499999999999995</v>
      </c>
      <c r="S67" s="12" t="s">
        <v>49</v>
      </c>
      <c r="U67" s="12" t="s">
        <v>60</v>
      </c>
      <c r="V67" s="13">
        <v>45134</v>
      </c>
      <c r="W67" s="16">
        <v>0.88</v>
      </c>
      <c r="X67" s="12" t="s">
        <v>49</v>
      </c>
      <c r="Z67" s="12" t="s">
        <v>60</v>
      </c>
      <c r="AA67" s="12" t="s">
        <v>52</v>
      </c>
      <c r="AB67" s="12" t="s">
        <v>52</v>
      </c>
      <c r="AF67" s="13"/>
      <c r="AU67" s="88" t="s">
        <v>53</v>
      </c>
    </row>
    <row r="68" spans="1:47" s="12" customFormat="1" ht="14.4" hidden="1" x14ac:dyDescent="0.3">
      <c r="A68" s="12" t="s">
        <v>39</v>
      </c>
      <c r="B68" s="12" t="s">
        <v>54</v>
      </c>
      <c r="C68" s="12">
        <v>70</v>
      </c>
      <c r="D68" s="12">
        <v>110</v>
      </c>
      <c r="F68" s="12" t="s">
        <v>308</v>
      </c>
      <c r="G68" s="12" t="str">
        <f t="shared" si="1"/>
        <v>7011018760956</v>
      </c>
      <c r="H68" s="12" t="s">
        <v>309</v>
      </c>
      <c r="I68" s="12">
        <v>18760956</v>
      </c>
      <c r="J68" s="12" t="s">
        <v>310</v>
      </c>
      <c r="K68" s="12" t="s">
        <v>230</v>
      </c>
      <c r="L68" s="12" t="s">
        <v>45</v>
      </c>
      <c r="M68" s="12" t="s">
        <v>45</v>
      </c>
      <c r="N68" s="12" t="s">
        <v>259</v>
      </c>
      <c r="O68" s="12" t="s">
        <v>260</v>
      </c>
      <c r="P68" s="88" t="s">
        <v>261</v>
      </c>
      <c r="Q68" s="13">
        <v>45490</v>
      </c>
      <c r="R68" s="16">
        <v>0.84</v>
      </c>
      <c r="S68" s="12" t="s">
        <v>49</v>
      </c>
      <c r="U68" s="12" t="s">
        <v>60</v>
      </c>
      <c r="V68" s="13">
        <v>45033</v>
      </c>
      <c r="W68" s="16">
        <v>0.82</v>
      </c>
      <c r="X68" s="12" t="s">
        <v>49</v>
      </c>
      <c r="Z68" s="12" t="s">
        <v>60</v>
      </c>
      <c r="AA68" s="12" t="s">
        <v>52</v>
      </c>
      <c r="AB68" s="12" t="s">
        <v>52</v>
      </c>
      <c r="AF68" s="13"/>
      <c r="AU68" s="88" t="s">
        <v>53</v>
      </c>
    </row>
    <row r="69" spans="1:47" s="12" customFormat="1" ht="14.4" hidden="1" x14ac:dyDescent="0.3">
      <c r="A69" s="12" t="s">
        <v>39</v>
      </c>
      <c r="B69" s="12" t="s">
        <v>54</v>
      </c>
      <c r="C69" s="12">
        <v>70</v>
      </c>
      <c r="D69" s="12">
        <v>110</v>
      </c>
      <c r="F69" s="12" t="s">
        <v>311</v>
      </c>
      <c r="G69" s="12" t="str">
        <f t="shared" ref="G69:G100" si="2">C69&amp;D69&amp;I69</f>
        <v>7011018762588</v>
      </c>
      <c r="H69" s="12" t="s">
        <v>312</v>
      </c>
      <c r="I69" s="12">
        <v>18762588</v>
      </c>
      <c r="J69" s="12" t="s">
        <v>313</v>
      </c>
      <c r="K69" s="12" t="s">
        <v>246</v>
      </c>
      <c r="L69" s="12">
        <v>3024547338</v>
      </c>
      <c r="M69" s="17" t="s">
        <v>314</v>
      </c>
      <c r="N69" s="12" t="s">
        <v>259</v>
      </c>
      <c r="O69" s="12" t="s">
        <v>260</v>
      </c>
      <c r="P69" s="88" t="s">
        <v>276</v>
      </c>
      <c r="Q69" s="13">
        <v>45360</v>
      </c>
      <c r="R69" s="16">
        <v>0.8</v>
      </c>
      <c r="S69" s="12" t="s">
        <v>7697</v>
      </c>
      <c r="T69" s="12" t="s">
        <v>59</v>
      </c>
      <c r="U69" s="12" t="s">
        <v>50</v>
      </c>
      <c r="V69" s="13" t="s">
        <v>315</v>
      </c>
      <c r="W69" s="16">
        <v>0.79500000000000004</v>
      </c>
      <c r="AC69" s="13"/>
      <c r="AD69" s="16"/>
      <c r="AF69" s="13"/>
      <c r="AU69" s="88" t="s">
        <v>53</v>
      </c>
    </row>
    <row r="70" spans="1:47" s="12" customFormat="1" ht="14.4" hidden="1" x14ac:dyDescent="0.3">
      <c r="A70" s="12" t="s">
        <v>39</v>
      </c>
      <c r="B70" s="12" t="s">
        <v>54</v>
      </c>
      <c r="C70" s="12">
        <v>70</v>
      </c>
      <c r="D70" s="12">
        <v>110</v>
      </c>
      <c r="F70" s="12" t="s">
        <v>316</v>
      </c>
      <c r="G70" s="12" t="str">
        <f t="shared" si="2"/>
        <v>7011018761533</v>
      </c>
      <c r="H70" s="12" t="s">
        <v>317</v>
      </c>
      <c r="I70" s="12">
        <v>18761533</v>
      </c>
      <c r="J70" s="12" t="s">
        <v>318</v>
      </c>
      <c r="K70" s="12" t="s">
        <v>230</v>
      </c>
      <c r="L70" s="12" t="s">
        <v>45</v>
      </c>
      <c r="M70" s="12" t="s">
        <v>45</v>
      </c>
      <c r="N70" s="12" t="s">
        <v>259</v>
      </c>
      <c r="O70" s="12" t="s">
        <v>260</v>
      </c>
      <c r="P70" s="88" t="s">
        <v>261</v>
      </c>
      <c r="Q70" s="13">
        <v>45477</v>
      </c>
      <c r="R70" s="16">
        <v>0.93500000000000005</v>
      </c>
      <c r="S70" s="12" t="s">
        <v>319</v>
      </c>
      <c r="U70" s="12" t="s">
        <v>60</v>
      </c>
      <c r="V70" s="13">
        <v>45099</v>
      </c>
      <c r="W70" s="16">
        <v>0.68</v>
      </c>
      <c r="X70" s="12" t="s">
        <v>49</v>
      </c>
      <c r="Z70" s="13" t="s">
        <v>50</v>
      </c>
      <c r="AA70" s="12" t="s">
        <v>51</v>
      </c>
      <c r="AB70" s="12" t="s">
        <v>52</v>
      </c>
      <c r="AC70" s="13">
        <v>44154</v>
      </c>
      <c r="AD70" s="16">
        <v>0.83499999999999996</v>
      </c>
      <c r="AE70" s="13" t="s">
        <v>49</v>
      </c>
      <c r="AF70" s="12" t="s">
        <v>60</v>
      </c>
      <c r="AG70" s="12" t="s">
        <v>51</v>
      </c>
      <c r="AH70" s="12" t="s">
        <v>51</v>
      </c>
      <c r="AU70" s="88" t="s">
        <v>53</v>
      </c>
    </row>
    <row r="71" spans="1:47" s="12" customFormat="1" ht="14.4" hidden="1" x14ac:dyDescent="0.3">
      <c r="A71" s="12" t="s">
        <v>39</v>
      </c>
      <c r="B71" s="12" t="s">
        <v>54</v>
      </c>
      <c r="C71" s="12">
        <v>70</v>
      </c>
      <c r="D71" s="12">
        <v>110</v>
      </c>
      <c r="F71" s="12" t="s">
        <v>320</v>
      </c>
      <c r="G71" s="12" t="str">
        <f t="shared" si="2"/>
        <v>7011033238081</v>
      </c>
      <c r="H71" s="12" t="s">
        <v>321</v>
      </c>
      <c r="I71" s="12">
        <v>33238081</v>
      </c>
      <c r="J71" s="12" t="s">
        <v>322</v>
      </c>
      <c r="K71" s="12" t="s">
        <v>230</v>
      </c>
      <c r="L71" s="12" t="s">
        <v>45</v>
      </c>
      <c r="M71" s="12" t="s">
        <v>45</v>
      </c>
      <c r="N71" s="12" t="s">
        <v>259</v>
      </c>
      <c r="O71" s="12" t="s">
        <v>260</v>
      </c>
      <c r="P71" s="88" t="s">
        <v>261</v>
      </c>
      <c r="Q71" s="13">
        <v>45561</v>
      </c>
      <c r="R71" s="16">
        <v>0.7</v>
      </c>
      <c r="S71" s="12" t="s">
        <v>49</v>
      </c>
      <c r="U71" s="12" t="s">
        <v>60</v>
      </c>
      <c r="V71" s="13">
        <v>45222</v>
      </c>
      <c r="W71" s="16">
        <v>0.91</v>
      </c>
      <c r="X71" s="12" t="s">
        <v>210</v>
      </c>
      <c r="Z71" s="13" t="s">
        <v>50</v>
      </c>
      <c r="AA71" s="12" t="s">
        <v>51</v>
      </c>
      <c r="AB71" s="12" t="s">
        <v>52</v>
      </c>
      <c r="AC71" s="13">
        <v>43690</v>
      </c>
      <c r="AD71" s="16">
        <v>0.72250000000000003</v>
      </c>
      <c r="AE71" s="13" t="s">
        <v>49</v>
      </c>
      <c r="AF71" s="12" t="s">
        <v>60</v>
      </c>
      <c r="AG71" s="12" t="s">
        <v>51</v>
      </c>
      <c r="AH71" s="12" t="s">
        <v>51</v>
      </c>
      <c r="AU71" s="88" t="s">
        <v>53</v>
      </c>
    </row>
    <row r="72" spans="1:47" s="12" customFormat="1" ht="14.4" hidden="1" x14ac:dyDescent="0.3">
      <c r="A72" s="12" t="s">
        <v>39</v>
      </c>
      <c r="B72" s="12" t="s">
        <v>54</v>
      </c>
      <c r="C72" s="12">
        <v>70</v>
      </c>
      <c r="D72" s="12">
        <v>110</v>
      </c>
      <c r="F72" s="12" t="s">
        <v>323</v>
      </c>
      <c r="G72" s="12" t="str">
        <f t="shared" si="2"/>
        <v>7011070690629</v>
      </c>
      <c r="H72" s="12" t="s">
        <v>324</v>
      </c>
      <c r="I72" s="12">
        <v>70690629</v>
      </c>
      <c r="J72" s="12" t="s">
        <v>325</v>
      </c>
      <c r="K72" s="12" t="s">
        <v>230</v>
      </c>
      <c r="L72" s="12" t="s">
        <v>45</v>
      </c>
      <c r="M72" s="12" t="s">
        <v>45</v>
      </c>
      <c r="N72" s="12" t="s">
        <v>259</v>
      </c>
      <c r="O72" s="12" t="s">
        <v>260</v>
      </c>
      <c r="P72" s="88" t="s">
        <v>261</v>
      </c>
      <c r="Q72" s="13">
        <v>45478</v>
      </c>
      <c r="R72" s="16">
        <v>0.77500000000000002</v>
      </c>
      <c r="S72" s="12" t="s">
        <v>49</v>
      </c>
      <c r="U72" s="12" t="s">
        <v>60</v>
      </c>
      <c r="V72" s="13">
        <v>45132</v>
      </c>
      <c r="W72" s="16">
        <v>0.84</v>
      </c>
      <c r="X72" s="12" t="s">
        <v>49</v>
      </c>
      <c r="Z72" s="13" t="s">
        <v>50</v>
      </c>
      <c r="AA72" s="12" t="s">
        <v>51</v>
      </c>
      <c r="AB72" s="12" t="s">
        <v>52</v>
      </c>
      <c r="AU72" s="88" t="s">
        <v>53</v>
      </c>
    </row>
    <row r="73" spans="1:47" s="12" customFormat="1" ht="14.4" hidden="1" x14ac:dyDescent="0.3">
      <c r="A73" s="12" t="s">
        <v>39</v>
      </c>
      <c r="B73" s="12" t="s">
        <v>54</v>
      </c>
      <c r="C73" s="12">
        <v>70</v>
      </c>
      <c r="D73" s="12">
        <v>110</v>
      </c>
      <c r="F73" s="12" t="s">
        <v>326</v>
      </c>
      <c r="G73" s="12" t="str">
        <f t="shared" si="2"/>
        <v>7011033239001-5</v>
      </c>
      <c r="H73" s="12" t="s">
        <v>327</v>
      </c>
      <c r="I73" s="12" t="s">
        <v>328</v>
      </c>
      <c r="J73" s="12" t="s">
        <v>329</v>
      </c>
      <c r="K73" s="12" t="s">
        <v>230</v>
      </c>
      <c r="L73" s="12">
        <v>3004049639</v>
      </c>
      <c r="M73" s="12" t="s">
        <v>45</v>
      </c>
      <c r="N73" s="12" t="s">
        <v>259</v>
      </c>
      <c r="O73" s="12" t="s">
        <v>260</v>
      </c>
      <c r="P73" s="88" t="s">
        <v>261</v>
      </c>
      <c r="Q73" s="13">
        <v>45391</v>
      </c>
      <c r="R73" s="16">
        <v>0.82499999999999996</v>
      </c>
      <c r="S73" s="12" t="s">
        <v>49</v>
      </c>
      <c r="U73" s="12" t="s">
        <v>60</v>
      </c>
      <c r="V73" s="13" t="s">
        <v>330</v>
      </c>
      <c r="W73" s="16">
        <v>0.78749999999999998</v>
      </c>
      <c r="X73" s="12" t="s">
        <v>49</v>
      </c>
      <c r="Z73" s="13" t="s">
        <v>50</v>
      </c>
      <c r="AA73" s="12" t="s">
        <v>51</v>
      </c>
      <c r="AB73" s="12" t="s">
        <v>52</v>
      </c>
      <c r="AC73" s="13">
        <v>43854</v>
      </c>
      <c r="AD73" s="16">
        <v>0.83499999999999996</v>
      </c>
      <c r="AE73" s="13" t="s">
        <v>49</v>
      </c>
      <c r="AF73" s="12" t="s">
        <v>60</v>
      </c>
      <c r="AG73" s="12" t="s">
        <v>51</v>
      </c>
      <c r="AH73" s="12" t="s">
        <v>51</v>
      </c>
      <c r="AU73" s="88" t="s">
        <v>53</v>
      </c>
    </row>
    <row r="74" spans="1:47" s="12" customFormat="1" ht="14.4" hidden="1" x14ac:dyDescent="0.3">
      <c r="A74" s="12" t="s">
        <v>39</v>
      </c>
      <c r="B74" s="12" t="s">
        <v>54</v>
      </c>
      <c r="C74" s="12">
        <v>70</v>
      </c>
      <c r="D74" s="12">
        <v>110</v>
      </c>
      <c r="F74" s="12" t="s">
        <v>331</v>
      </c>
      <c r="G74" s="12" t="str">
        <f t="shared" si="2"/>
        <v>7011018761533</v>
      </c>
      <c r="H74" s="12" t="s">
        <v>332</v>
      </c>
      <c r="I74" s="12">
        <v>18761533</v>
      </c>
      <c r="J74" s="12" t="s">
        <v>333</v>
      </c>
      <c r="K74" s="12" t="s">
        <v>246</v>
      </c>
      <c r="L74" s="12">
        <v>3116503790</v>
      </c>
      <c r="M74" s="12" t="s">
        <v>45</v>
      </c>
      <c r="N74" s="12" t="s">
        <v>259</v>
      </c>
      <c r="O74" s="12" t="s">
        <v>260</v>
      </c>
      <c r="P74" s="88" t="s">
        <v>276</v>
      </c>
      <c r="Q74" s="13" t="s">
        <v>334</v>
      </c>
      <c r="R74" s="16" t="s">
        <v>335</v>
      </c>
      <c r="S74" s="12" t="s">
        <v>49</v>
      </c>
      <c r="T74" s="12" t="s">
        <v>336</v>
      </c>
      <c r="U74" s="12" t="s">
        <v>50</v>
      </c>
      <c r="AC74" s="13"/>
      <c r="AD74" s="16"/>
      <c r="AF74" s="13"/>
      <c r="AI74" s="13"/>
      <c r="AJ74" s="16"/>
      <c r="AK74" s="13"/>
      <c r="AU74" s="88" t="s">
        <v>53</v>
      </c>
    </row>
    <row r="75" spans="1:47" s="12" customFormat="1" ht="14.4" hidden="1" x14ac:dyDescent="0.3">
      <c r="A75" s="12" t="s">
        <v>39</v>
      </c>
      <c r="B75" s="12" t="s">
        <v>54</v>
      </c>
      <c r="C75" s="12">
        <v>70</v>
      </c>
      <c r="D75" s="12">
        <v>110</v>
      </c>
      <c r="F75" s="12" t="s">
        <v>337</v>
      </c>
      <c r="G75" s="12" t="str">
        <f t="shared" si="2"/>
        <v>7011018700913</v>
      </c>
      <c r="H75" s="12" t="s">
        <v>338</v>
      </c>
      <c r="I75" s="12">
        <v>18700913</v>
      </c>
      <c r="J75" s="12" t="s">
        <v>339</v>
      </c>
      <c r="K75" s="12" t="s">
        <v>246</v>
      </c>
      <c r="L75" s="12">
        <v>312655069</v>
      </c>
      <c r="M75" s="12" t="s">
        <v>45</v>
      </c>
      <c r="N75" s="12" t="s">
        <v>259</v>
      </c>
      <c r="O75" s="12" t="s">
        <v>260</v>
      </c>
      <c r="P75" s="88" t="s">
        <v>276</v>
      </c>
      <c r="Q75" s="13" t="s">
        <v>340</v>
      </c>
      <c r="R75" s="16">
        <v>0.79500000000000004</v>
      </c>
      <c r="S75" s="12" t="s">
        <v>49</v>
      </c>
      <c r="T75" s="12" t="s">
        <v>336</v>
      </c>
      <c r="U75" s="12" t="s">
        <v>50</v>
      </c>
      <c r="AC75" s="13"/>
      <c r="AD75" s="16"/>
      <c r="AF75" s="13"/>
      <c r="AI75" s="13"/>
      <c r="AJ75" s="16"/>
      <c r="AK75" s="13"/>
      <c r="AU75" s="88" t="s">
        <v>53</v>
      </c>
    </row>
    <row r="76" spans="1:47" s="12" customFormat="1" ht="14.4" hidden="1" x14ac:dyDescent="0.3">
      <c r="A76" s="12" t="s">
        <v>39</v>
      </c>
      <c r="B76" s="12" t="s">
        <v>54</v>
      </c>
      <c r="C76" s="12">
        <v>70</v>
      </c>
      <c r="D76" s="12">
        <v>110</v>
      </c>
      <c r="F76" s="12" t="s">
        <v>341</v>
      </c>
      <c r="G76" s="12" t="str">
        <f t="shared" si="2"/>
        <v>7011033237932</v>
      </c>
      <c r="H76" s="12" t="s">
        <v>342</v>
      </c>
      <c r="I76" s="12">
        <v>33237932</v>
      </c>
      <c r="J76" s="12" t="s">
        <v>343</v>
      </c>
      <c r="K76" s="12" t="s">
        <v>230</v>
      </c>
      <c r="L76" s="12" t="s">
        <v>45</v>
      </c>
      <c r="M76" s="12" t="s">
        <v>45</v>
      </c>
      <c r="N76" s="12" t="s">
        <v>259</v>
      </c>
      <c r="O76" s="12" t="s">
        <v>260</v>
      </c>
      <c r="P76" s="88" t="s">
        <v>261</v>
      </c>
      <c r="Q76" s="13">
        <v>45331</v>
      </c>
      <c r="R76" s="18">
        <v>0.76500000000000001</v>
      </c>
      <c r="S76" s="12" t="s">
        <v>49</v>
      </c>
      <c r="T76" s="12" t="s">
        <v>231</v>
      </c>
      <c r="U76" s="12" t="s">
        <v>60</v>
      </c>
      <c r="V76" s="13" t="s">
        <v>344</v>
      </c>
      <c r="W76" s="16">
        <v>0.82</v>
      </c>
      <c r="X76" s="12" t="s">
        <v>139</v>
      </c>
      <c r="Z76" s="12" t="s">
        <v>50</v>
      </c>
      <c r="AA76" s="12" t="s">
        <v>51</v>
      </c>
      <c r="AB76" s="12" t="s">
        <v>52</v>
      </c>
      <c r="AC76" s="13">
        <v>44159</v>
      </c>
      <c r="AD76" s="16">
        <v>0.83499999999999996</v>
      </c>
      <c r="AE76" s="13" t="s">
        <v>49</v>
      </c>
      <c r="AF76" s="12" t="s">
        <v>60</v>
      </c>
      <c r="AG76" s="12" t="s">
        <v>51</v>
      </c>
      <c r="AH76" s="12" t="s">
        <v>51</v>
      </c>
      <c r="AU76" s="88" t="s">
        <v>53</v>
      </c>
    </row>
    <row r="77" spans="1:47" s="12" customFormat="1" ht="14.4" hidden="1" x14ac:dyDescent="0.3">
      <c r="A77" s="12" t="s">
        <v>39</v>
      </c>
      <c r="B77" s="12" t="s">
        <v>54</v>
      </c>
      <c r="C77" s="12">
        <v>70</v>
      </c>
      <c r="D77" s="12">
        <v>110</v>
      </c>
      <c r="F77" s="12" t="s">
        <v>345</v>
      </c>
      <c r="G77" s="12" t="str">
        <f t="shared" si="2"/>
        <v>701101099961391</v>
      </c>
      <c r="H77" s="12" t="s">
        <v>346</v>
      </c>
      <c r="I77" s="15">
        <v>1099961391</v>
      </c>
      <c r="J77" s="12" t="s">
        <v>347</v>
      </c>
      <c r="K77" s="12" t="s">
        <v>230</v>
      </c>
      <c r="L77" s="12" t="s">
        <v>45</v>
      </c>
      <c r="M77" s="12" t="s">
        <v>45</v>
      </c>
      <c r="N77" s="12" t="s">
        <v>259</v>
      </c>
      <c r="O77" s="12" t="s">
        <v>260</v>
      </c>
      <c r="P77" s="88" t="s">
        <v>261</v>
      </c>
      <c r="Q77" s="12" t="s">
        <v>348</v>
      </c>
      <c r="R77" s="18">
        <v>0.84750000000000003</v>
      </c>
      <c r="S77" s="12" t="s">
        <v>49</v>
      </c>
      <c r="T77" s="12" t="s">
        <v>300</v>
      </c>
      <c r="U77" s="12" t="s">
        <v>50</v>
      </c>
      <c r="V77" s="13">
        <v>45520</v>
      </c>
      <c r="W77" s="16">
        <v>0.92</v>
      </c>
      <c r="X77" s="12" t="s">
        <v>210</v>
      </c>
      <c r="Z77" s="12" t="s">
        <v>50</v>
      </c>
      <c r="AA77" s="12" t="s">
        <v>51</v>
      </c>
      <c r="AB77" s="12" t="s">
        <v>52</v>
      </c>
      <c r="AC77" s="13">
        <v>45155</v>
      </c>
      <c r="AD77" s="16">
        <v>0.89500000000000002</v>
      </c>
      <c r="AE77" s="12" t="s">
        <v>210</v>
      </c>
      <c r="AF77" s="13" t="s">
        <v>50</v>
      </c>
      <c r="AG77" s="12" t="s">
        <v>51</v>
      </c>
      <c r="AH77" s="12" t="s">
        <v>52</v>
      </c>
      <c r="AI77" s="13">
        <v>44119</v>
      </c>
      <c r="AJ77" s="16">
        <v>0.83499999999999996</v>
      </c>
      <c r="AK77" s="13" t="s">
        <v>49</v>
      </c>
      <c r="AL77" s="12" t="s">
        <v>60</v>
      </c>
      <c r="AM77" s="12" t="s">
        <v>51</v>
      </c>
      <c r="AN77" s="12" t="s">
        <v>51</v>
      </c>
      <c r="AU77" s="88" t="s">
        <v>53</v>
      </c>
    </row>
    <row r="78" spans="1:47" s="12" customFormat="1" ht="14.4" hidden="1" x14ac:dyDescent="0.3">
      <c r="A78" s="12" t="s">
        <v>39</v>
      </c>
      <c r="B78" s="12" t="s">
        <v>54</v>
      </c>
      <c r="C78" s="12">
        <v>70</v>
      </c>
      <c r="D78" s="12">
        <v>110</v>
      </c>
      <c r="F78" s="12" t="s">
        <v>349</v>
      </c>
      <c r="G78" s="12" t="str">
        <f t="shared" si="2"/>
        <v>701101049960057</v>
      </c>
      <c r="H78" s="12" t="s">
        <v>350</v>
      </c>
      <c r="I78" s="15">
        <v>1049960057</v>
      </c>
      <c r="J78" s="12" t="s">
        <v>351</v>
      </c>
      <c r="K78" s="12" t="s">
        <v>230</v>
      </c>
      <c r="L78" s="12" t="s">
        <v>45</v>
      </c>
      <c r="M78" s="12" t="s">
        <v>45</v>
      </c>
      <c r="N78" s="12" t="s">
        <v>259</v>
      </c>
      <c r="O78" s="12" t="s">
        <v>260</v>
      </c>
      <c r="P78" s="88" t="s">
        <v>261</v>
      </c>
      <c r="Q78" s="13">
        <v>45427</v>
      </c>
      <c r="R78" s="16">
        <v>0.94499999999999995</v>
      </c>
      <c r="S78" s="12" t="s">
        <v>210</v>
      </c>
      <c r="U78" s="12" t="s">
        <v>50</v>
      </c>
      <c r="V78" s="13">
        <v>45202</v>
      </c>
      <c r="W78" s="16">
        <v>0.94</v>
      </c>
      <c r="X78" s="12" t="s">
        <v>210</v>
      </c>
      <c r="Z78" s="12" t="s">
        <v>60</v>
      </c>
      <c r="AA78" s="12" t="s">
        <v>52</v>
      </c>
      <c r="AB78" s="12" t="s">
        <v>52</v>
      </c>
      <c r="AF78" s="13"/>
      <c r="AU78" s="88" t="s">
        <v>53</v>
      </c>
    </row>
    <row r="79" spans="1:47" s="12" customFormat="1" ht="14.4" hidden="1" x14ac:dyDescent="0.3">
      <c r="A79" s="12" t="s">
        <v>39</v>
      </c>
      <c r="B79" s="12" t="s">
        <v>54</v>
      </c>
      <c r="C79" s="12">
        <v>70</v>
      </c>
      <c r="D79" s="12">
        <v>110</v>
      </c>
      <c r="F79" s="12" t="s">
        <v>352</v>
      </c>
      <c r="G79" s="12" t="str">
        <f t="shared" si="2"/>
        <v>701101099960696</v>
      </c>
      <c r="H79" s="12" t="s">
        <v>353</v>
      </c>
      <c r="I79" s="15">
        <v>1099960696</v>
      </c>
      <c r="J79" s="12" t="s">
        <v>354</v>
      </c>
      <c r="K79" s="12" t="s">
        <v>230</v>
      </c>
      <c r="L79" s="12">
        <v>3215305769</v>
      </c>
      <c r="M79" s="12" t="s">
        <v>45</v>
      </c>
      <c r="N79" s="12" t="s">
        <v>259</v>
      </c>
      <c r="O79" s="12" t="s">
        <v>260</v>
      </c>
      <c r="P79" s="88" t="s">
        <v>261</v>
      </c>
      <c r="Q79" s="13">
        <v>45461</v>
      </c>
      <c r="R79" s="16">
        <v>0.97</v>
      </c>
      <c r="S79" s="12" t="s">
        <v>210</v>
      </c>
      <c r="U79" s="12" t="s">
        <v>50</v>
      </c>
      <c r="V79" s="13">
        <v>45036</v>
      </c>
      <c r="W79" s="16">
        <v>0.82499999999999996</v>
      </c>
      <c r="X79" s="12" t="s">
        <v>49</v>
      </c>
      <c r="Z79" s="12" t="s">
        <v>60</v>
      </c>
      <c r="AA79" s="12" t="s">
        <v>52</v>
      </c>
      <c r="AB79" s="12" t="s">
        <v>52</v>
      </c>
      <c r="AF79" s="13"/>
      <c r="AU79" s="88" t="s">
        <v>53</v>
      </c>
    </row>
    <row r="80" spans="1:47" s="12" customFormat="1" ht="14.4" hidden="1" x14ac:dyDescent="0.3">
      <c r="A80" s="12" t="s">
        <v>39</v>
      </c>
      <c r="B80" s="12" t="s">
        <v>54</v>
      </c>
      <c r="C80" s="12">
        <v>70</v>
      </c>
      <c r="D80" s="12">
        <v>110</v>
      </c>
      <c r="F80" s="12" t="s">
        <v>355</v>
      </c>
      <c r="G80" s="12" t="str">
        <f t="shared" si="2"/>
        <v>701101099963476</v>
      </c>
      <c r="H80" s="12" t="s">
        <v>356</v>
      </c>
      <c r="I80" s="15">
        <v>1099963476</v>
      </c>
      <c r="J80" s="12" t="s">
        <v>357</v>
      </c>
      <c r="K80" s="12" t="s">
        <v>230</v>
      </c>
      <c r="L80" s="12">
        <v>3007459813</v>
      </c>
      <c r="M80" s="12" t="s">
        <v>45</v>
      </c>
      <c r="N80" s="12" t="s">
        <v>259</v>
      </c>
      <c r="O80" s="12" t="s">
        <v>260</v>
      </c>
      <c r="P80" s="88" t="s">
        <v>261</v>
      </c>
      <c r="Q80" s="12" t="s">
        <v>358</v>
      </c>
      <c r="R80" s="18">
        <v>0.76749999999999996</v>
      </c>
      <c r="S80" s="12" t="s">
        <v>7696</v>
      </c>
      <c r="T80" s="12" t="s">
        <v>231</v>
      </c>
      <c r="U80" s="12" t="s">
        <v>50</v>
      </c>
      <c r="V80" s="13">
        <v>45421</v>
      </c>
      <c r="W80" s="16">
        <v>0.93500000000000005</v>
      </c>
      <c r="X80" s="12" t="s">
        <v>210</v>
      </c>
      <c r="Y80" s="12" t="s">
        <v>359</v>
      </c>
      <c r="Z80" s="12" t="s">
        <v>50</v>
      </c>
      <c r="AA80" s="12" t="s">
        <v>51</v>
      </c>
      <c r="AB80" s="12" t="s">
        <v>52</v>
      </c>
      <c r="AC80" s="13">
        <v>45013</v>
      </c>
      <c r="AD80" s="16">
        <v>0.93</v>
      </c>
      <c r="AE80" s="12" t="s">
        <v>210</v>
      </c>
      <c r="AF80" s="13" t="s">
        <v>50</v>
      </c>
      <c r="AG80" s="12" t="s">
        <v>51</v>
      </c>
      <c r="AH80" s="12" t="s">
        <v>52</v>
      </c>
      <c r="AU80" s="88" t="s">
        <v>53</v>
      </c>
    </row>
    <row r="81" spans="1:47" s="12" customFormat="1" ht="14.4" hidden="1" x14ac:dyDescent="0.3">
      <c r="A81" s="12" t="s">
        <v>39</v>
      </c>
      <c r="B81" s="12" t="s">
        <v>54</v>
      </c>
      <c r="C81" s="12">
        <v>70</v>
      </c>
      <c r="D81" s="12">
        <v>110</v>
      </c>
      <c r="F81" s="12" t="s">
        <v>360</v>
      </c>
      <c r="G81" s="12" t="str">
        <f t="shared" si="2"/>
        <v>7011018760604</v>
      </c>
      <c r="H81" s="12" t="s">
        <v>361</v>
      </c>
      <c r="I81" s="15">
        <v>18760604</v>
      </c>
      <c r="J81" s="12" t="s">
        <v>362</v>
      </c>
      <c r="K81" s="12" t="s">
        <v>230</v>
      </c>
      <c r="L81" s="12" t="s">
        <v>45</v>
      </c>
      <c r="M81" s="12" t="s">
        <v>45</v>
      </c>
      <c r="N81" s="12" t="s">
        <v>259</v>
      </c>
      <c r="O81" s="12" t="s">
        <v>260</v>
      </c>
      <c r="P81" s="88" t="s">
        <v>261</v>
      </c>
      <c r="Q81" s="13">
        <v>45432</v>
      </c>
      <c r="R81" s="16">
        <v>0.91</v>
      </c>
      <c r="S81" s="12" t="s">
        <v>210</v>
      </c>
      <c r="U81" s="12" t="s">
        <v>50</v>
      </c>
      <c r="V81" s="13">
        <v>45014</v>
      </c>
      <c r="W81" s="16">
        <v>0.93</v>
      </c>
      <c r="X81" s="12" t="s">
        <v>210</v>
      </c>
      <c r="Z81" s="13" t="s">
        <v>50</v>
      </c>
      <c r="AU81" s="88" t="s">
        <v>53</v>
      </c>
    </row>
    <row r="82" spans="1:47" s="12" customFormat="1" ht="14.4" hidden="1" x14ac:dyDescent="0.3">
      <c r="A82" s="12" t="s">
        <v>39</v>
      </c>
      <c r="B82" s="12" t="s">
        <v>54</v>
      </c>
      <c r="C82" s="12">
        <v>70</v>
      </c>
      <c r="D82" s="12">
        <v>110</v>
      </c>
      <c r="E82" s="12" t="s">
        <v>7625</v>
      </c>
      <c r="F82" s="12" t="s">
        <v>363</v>
      </c>
      <c r="G82" s="12" t="str">
        <f t="shared" si="2"/>
        <v>701109002769621</v>
      </c>
      <c r="H82" s="12" t="s">
        <v>7663</v>
      </c>
      <c r="I82" s="15">
        <v>9002769621</v>
      </c>
      <c r="J82" s="12" t="s">
        <v>365</v>
      </c>
      <c r="K82" s="12" t="s">
        <v>230</v>
      </c>
      <c r="L82" s="12">
        <v>3212550279</v>
      </c>
      <c r="M82" s="17" t="s">
        <v>7664</v>
      </c>
      <c r="N82" s="12" t="s">
        <v>259</v>
      </c>
      <c r="O82" s="12" t="s">
        <v>260</v>
      </c>
      <c r="P82" s="88" t="s">
        <v>261</v>
      </c>
      <c r="Q82" s="13">
        <v>46218</v>
      </c>
      <c r="R82" s="16">
        <v>0.82</v>
      </c>
      <c r="S82" s="12" t="s">
        <v>9019</v>
      </c>
      <c r="T82" s="12" t="s">
        <v>9020</v>
      </c>
      <c r="U82" s="12" t="s">
        <v>50</v>
      </c>
      <c r="V82" s="13">
        <v>45805</v>
      </c>
      <c r="W82" s="16">
        <v>0.66</v>
      </c>
      <c r="X82" s="12" t="s">
        <v>49</v>
      </c>
      <c r="Z82" s="13" t="s">
        <v>50</v>
      </c>
      <c r="AA82" s="13" t="s">
        <v>51</v>
      </c>
      <c r="AB82" s="12" t="s">
        <v>51</v>
      </c>
      <c r="AC82" s="13">
        <v>45497</v>
      </c>
      <c r="AD82" s="16" t="s">
        <v>113</v>
      </c>
      <c r="AE82" s="12" t="s">
        <v>2441</v>
      </c>
      <c r="AF82" s="12" t="s">
        <v>60</v>
      </c>
      <c r="AG82" s="12" t="s">
        <v>51</v>
      </c>
      <c r="AH82" s="12" t="s">
        <v>51</v>
      </c>
      <c r="AI82" s="13">
        <v>45012</v>
      </c>
      <c r="AJ82" s="16">
        <v>0.93</v>
      </c>
      <c r="AK82" s="12" t="s">
        <v>210</v>
      </c>
      <c r="AO82" s="13">
        <v>44754</v>
      </c>
      <c r="AP82" s="16">
        <v>0.96</v>
      </c>
      <c r="AQ82" s="12" t="s">
        <v>210</v>
      </c>
      <c r="AR82" s="12" t="s">
        <v>50</v>
      </c>
      <c r="AU82" s="88" t="s">
        <v>53</v>
      </c>
    </row>
    <row r="83" spans="1:47" s="12" customFormat="1" ht="14.4" hidden="1" x14ac:dyDescent="0.3">
      <c r="A83" s="12" t="s">
        <v>39</v>
      </c>
      <c r="B83" s="12" t="s">
        <v>54</v>
      </c>
      <c r="C83" s="12">
        <v>70</v>
      </c>
      <c r="D83" s="12">
        <v>110</v>
      </c>
      <c r="F83" s="12" t="s">
        <v>366</v>
      </c>
      <c r="G83" s="12" t="str">
        <f t="shared" si="2"/>
        <v>7011018761393</v>
      </c>
      <c r="H83" s="12" t="s">
        <v>367</v>
      </c>
      <c r="I83" s="15">
        <v>18761393</v>
      </c>
      <c r="J83" s="12" t="s">
        <v>368</v>
      </c>
      <c r="K83" s="12" t="s">
        <v>230</v>
      </c>
      <c r="L83" s="12" t="s">
        <v>45</v>
      </c>
      <c r="M83" s="12" t="s">
        <v>45</v>
      </c>
      <c r="N83" s="12" t="s">
        <v>259</v>
      </c>
      <c r="O83" s="12" t="s">
        <v>260</v>
      </c>
      <c r="P83" s="88" t="s">
        <v>261</v>
      </c>
      <c r="Q83" s="12" t="s">
        <v>369</v>
      </c>
      <c r="R83" s="18">
        <v>0.69750000000000001</v>
      </c>
      <c r="S83" s="12" t="s">
        <v>49</v>
      </c>
      <c r="T83" s="12" t="s">
        <v>231</v>
      </c>
      <c r="U83" s="12" t="s">
        <v>50</v>
      </c>
      <c r="V83" s="13">
        <v>45443</v>
      </c>
      <c r="W83" s="16">
        <v>0.77500000000000002</v>
      </c>
      <c r="X83" s="12" t="s">
        <v>49</v>
      </c>
      <c r="Z83" s="12" t="s">
        <v>50</v>
      </c>
      <c r="AA83" s="12" t="s">
        <v>51</v>
      </c>
      <c r="AB83" s="12" t="s">
        <v>52</v>
      </c>
      <c r="AC83" s="13">
        <v>45100</v>
      </c>
      <c r="AD83" s="16">
        <v>0.73</v>
      </c>
      <c r="AE83" s="12" t="s">
        <v>49</v>
      </c>
      <c r="AF83" s="13" t="s">
        <v>50</v>
      </c>
      <c r="AG83" s="12" t="s">
        <v>51</v>
      </c>
      <c r="AH83" s="12" t="s">
        <v>52</v>
      </c>
      <c r="AI83" s="13" t="s">
        <v>370</v>
      </c>
      <c r="AJ83" s="16">
        <v>0.77500000000000002</v>
      </c>
      <c r="AK83" s="12" t="s">
        <v>49</v>
      </c>
      <c r="AL83" s="12" t="s">
        <v>60</v>
      </c>
      <c r="AM83" s="12" t="s">
        <v>51</v>
      </c>
      <c r="AN83" s="12" t="s">
        <v>51</v>
      </c>
      <c r="AU83" s="88" t="s">
        <v>53</v>
      </c>
    </row>
    <row r="84" spans="1:47" s="12" customFormat="1" ht="14.4" hidden="1" x14ac:dyDescent="0.3">
      <c r="A84" s="12" t="s">
        <v>39</v>
      </c>
      <c r="B84" s="12" t="s">
        <v>54</v>
      </c>
      <c r="C84" s="12">
        <v>70</v>
      </c>
      <c r="D84" s="12">
        <v>110</v>
      </c>
      <c r="F84" s="12" t="s">
        <v>371</v>
      </c>
      <c r="G84" s="12" t="str">
        <f t="shared" si="2"/>
        <v>701101099962010</v>
      </c>
      <c r="H84" s="12" t="s">
        <v>372</v>
      </c>
      <c r="I84" s="15">
        <v>1099962010</v>
      </c>
      <c r="J84" s="12" t="s">
        <v>373</v>
      </c>
      <c r="K84" s="12" t="s">
        <v>192</v>
      </c>
      <c r="L84" s="12">
        <v>3216704840</v>
      </c>
      <c r="M84" s="12" t="s">
        <v>45</v>
      </c>
      <c r="N84" s="12" t="s">
        <v>259</v>
      </c>
      <c r="O84" s="12" t="s">
        <v>260</v>
      </c>
      <c r="P84" s="88" t="s">
        <v>276</v>
      </c>
      <c r="Q84" s="13">
        <v>45302</v>
      </c>
      <c r="R84" s="18">
        <v>0.72</v>
      </c>
      <c r="S84" s="12" t="s">
        <v>49</v>
      </c>
      <c r="T84" s="12" t="s">
        <v>231</v>
      </c>
      <c r="U84" s="12" t="s">
        <v>50</v>
      </c>
      <c r="V84" s="13"/>
      <c r="W84" s="16"/>
      <c r="AC84" s="13"/>
      <c r="AD84" s="16"/>
      <c r="AF84" s="13"/>
      <c r="AI84" s="13"/>
      <c r="AJ84" s="16"/>
      <c r="AU84" s="88" t="s">
        <v>53</v>
      </c>
    </row>
    <row r="85" spans="1:47" s="12" customFormat="1" ht="14.4" hidden="1" x14ac:dyDescent="0.3">
      <c r="A85" s="12" t="s">
        <v>39</v>
      </c>
      <c r="B85" s="12" t="s">
        <v>54</v>
      </c>
      <c r="C85" s="12">
        <v>70</v>
      </c>
      <c r="D85" s="12">
        <v>110</v>
      </c>
      <c r="F85" s="12" t="s">
        <v>374</v>
      </c>
      <c r="G85" s="12" t="str">
        <f t="shared" si="2"/>
        <v>701101099963054</v>
      </c>
      <c r="H85" s="12" t="s">
        <v>375</v>
      </c>
      <c r="I85" s="15">
        <v>1099963054</v>
      </c>
      <c r="J85" s="12" t="s">
        <v>376</v>
      </c>
      <c r="K85" s="12" t="s">
        <v>230</v>
      </c>
      <c r="L85" s="12">
        <v>3244145191</v>
      </c>
      <c r="M85" s="12" t="s">
        <v>377</v>
      </c>
      <c r="N85" s="12" t="s">
        <v>259</v>
      </c>
      <c r="O85" s="12" t="s">
        <v>260</v>
      </c>
      <c r="P85" s="88" t="s">
        <v>261</v>
      </c>
      <c r="Q85" s="12" t="s">
        <v>378</v>
      </c>
      <c r="R85" s="18">
        <v>0.79500000000000004</v>
      </c>
      <c r="S85" s="12" t="s">
        <v>49</v>
      </c>
      <c r="T85" s="12" t="s">
        <v>300</v>
      </c>
      <c r="U85" s="12" t="s">
        <v>50</v>
      </c>
      <c r="V85" s="13">
        <v>45539</v>
      </c>
      <c r="W85" s="16">
        <v>0.61499999999999999</v>
      </c>
      <c r="X85" s="12" t="s">
        <v>49</v>
      </c>
      <c r="Z85" s="12" t="s">
        <v>50</v>
      </c>
      <c r="AA85" s="12" t="s">
        <v>51</v>
      </c>
      <c r="AB85" s="12" t="s">
        <v>52</v>
      </c>
      <c r="AC85" s="13">
        <v>45245</v>
      </c>
      <c r="AD85" s="16">
        <v>0.79</v>
      </c>
      <c r="AE85" s="12" t="s">
        <v>49</v>
      </c>
      <c r="AF85" s="13" t="s">
        <v>50</v>
      </c>
      <c r="AG85" s="12" t="s">
        <v>51</v>
      </c>
      <c r="AH85" s="12" t="s">
        <v>52</v>
      </c>
      <c r="AI85" s="13">
        <v>44635</v>
      </c>
      <c r="AJ85" s="16">
        <v>0.745</v>
      </c>
      <c r="AK85" s="12" t="s">
        <v>49</v>
      </c>
      <c r="AL85" s="12" t="s">
        <v>60</v>
      </c>
      <c r="AM85" s="12" t="s">
        <v>51</v>
      </c>
      <c r="AN85" s="12" t="s">
        <v>51</v>
      </c>
      <c r="AU85" s="88" t="s">
        <v>53</v>
      </c>
    </row>
    <row r="86" spans="1:47" s="12" customFormat="1" ht="14.4" hidden="1" x14ac:dyDescent="0.3">
      <c r="A86" s="12" t="s">
        <v>39</v>
      </c>
      <c r="B86" s="12" t="s">
        <v>54</v>
      </c>
      <c r="C86" s="12">
        <v>70</v>
      </c>
      <c r="D86" s="12">
        <v>110</v>
      </c>
      <c r="F86" s="12" t="s">
        <v>379</v>
      </c>
      <c r="G86" s="12" t="str">
        <f t="shared" si="2"/>
        <v>701101099962797</v>
      </c>
      <c r="H86" s="12" t="s">
        <v>380</v>
      </c>
      <c r="I86" s="15">
        <v>1099962797</v>
      </c>
      <c r="J86" s="12" t="s">
        <v>381</v>
      </c>
      <c r="K86" s="12" t="s">
        <v>230</v>
      </c>
      <c r="L86" s="12">
        <v>32226274194</v>
      </c>
      <c r="M86" s="12" t="s">
        <v>45</v>
      </c>
      <c r="N86" s="12" t="s">
        <v>259</v>
      </c>
      <c r="O86" s="12" t="s">
        <v>260</v>
      </c>
      <c r="P86" s="88" t="s">
        <v>261</v>
      </c>
      <c r="Q86" s="12" t="s">
        <v>382</v>
      </c>
      <c r="R86" s="18">
        <v>0.82</v>
      </c>
      <c r="S86" s="12" t="s">
        <v>49</v>
      </c>
      <c r="T86" s="12" t="s">
        <v>300</v>
      </c>
      <c r="U86" s="12" t="s">
        <v>50</v>
      </c>
      <c r="V86" s="13"/>
      <c r="W86" s="16"/>
      <c r="AC86" s="13"/>
      <c r="AD86" s="16"/>
      <c r="AF86" s="13"/>
      <c r="AI86" s="13"/>
      <c r="AJ86" s="16"/>
      <c r="AU86" s="88" t="s">
        <v>53</v>
      </c>
    </row>
    <row r="87" spans="1:47" s="12" customFormat="1" ht="14.4" hidden="1" x14ac:dyDescent="0.3">
      <c r="A87" s="12" t="s">
        <v>39</v>
      </c>
      <c r="B87" s="12" t="s">
        <v>54</v>
      </c>
      <c r="C87" s="12">
        <v>70</v>
      </c>
      <c r="D87" s="12">
        <v>110</v>
      </c>
      <c r="F87" s="12" t="s">
        <v>383</v>
      </c>
      <c r="G87" s="12" t="str">
        <f t="shared" si="2"/>
        <v>701101052964981</v>
      </c>
      <c r="H87" s="12" t="s">
        <v>384</v>
      </c>
      <c r="I87" s="15">
        <v>1052964981</v>
      </c>
      <c r="J87" s="12" t="s">
        <v>385</v>
      </c>
      <c r="K87" s="12" t="s">
        <v>230</v>
      </c>
      <c r="L87" s="12" t="s">
        <v>45</v>
      </c>
      <c r="M87" s="12" t="s">
        <v>45</v>
      </c>
      <c r="N87" s="12" t="s">
        <v>259</v>
      </c>
      <c r="O87" s="12" t="s">
        <v>260</v>
      </c>
      <c r="P87" s="88" t="s">
        <v>261</v>
      </c>
      <c r="Q87" s="13">
        <v>45496</v>
      </c>
      <c r="R87" s="16">
        <v>0.65249999999999997</v>
      </c>
      <c r="S87" s="12" t="s">
        <v>49</v>
      </c>
      <c r="U87" s="12" t="s">
        <v>50</v>
      </c>
      <c r="V87" s="13">
        <v>45001</v>
      </c>
      <c r="W87" s="16">
        <v>0.79</v>
      </c>
      <c r="X87" s="12" t="s">
        <v>49</v>
      </c>
      <c r="Z87" s="13" t="s">
        <v>50</v>
      </c>
      <c r="AA87" s="12" t="s">
        <v>52</v>
      </c>
      <c r="AB87" s="12" t="s">
        <v>52</v>
      </c>
      <c r="AC87" s="13">
        <v>43691</v>
      </c>
      <c r="AD87" s="16">
        <v>0.83499999999999996</v>
      </c>
      <c r="AE87" s="12" t="s">
        <v>49</v>
      </c>
      <c r="AF87" s="12" t="s">
        <v>60</v>
      </c>
      <c r="AG87" s="12" t="s">
        <v>51</v>
      </c>
      <c r="AH87" s="12" t="s">
        <v>51</v>
      </c>
      <c r="AU87" s="88" t="s">
        <v>53</v>
      </c>
    </row>
    <row r="88" spans="1:47" s="12" customFormat="1" ht="14.4" hidden="1" x14ac:dyDescent="0.3">
      <c r="A88" s="12" t="s">
        <v>39</v>
      </c>
      <c r="B88" s="12" t="s">
        <v>54</v>
      </c>
      <c r="C88" s="12">
        <v>70</v>
      </c>
      <c r="D88" s="12">
        <v>110</v>
      </c>
      <c r="F88" s="12" t="s">
        <v>386</v>
      </c>
      <c r="G88" s="12" t="str">
        <f t="shared" si="2"/>
        <v>7011032392171</v>
      </c>
      <c r="H88" s="12" t="s">
        <v>387</v>
      </c>
      <c r="I88" s="15">
        <v>32392171</v>
      </c>
      <c r="J88" s="12" t="s">
        <v>388</v>
      </c>
      <c r="K88" s="12" t="s">
        <v>230</v>
      </c>
      <c r="L88" s="12" t="s">
        <v>45</v>
      </c>
      <c r="M88" s="12" t="s">
        <v>45</v>
      </c>
      <c r="N88" s="12" t="s">
        <v>259</v>
      </c>
      <c r="O88" s="12" t="s">
        <v>260</v>
      </c>
      <c r="P88" s="88" t="s">
        <v>261</v>
      </c>
      <c r="Q88" s="13">
        <v>45568</v>
      </c>
      <c r="R88" s="16">
        <v>0.69499999999999995</v>
      </c>
      <c r="S88" s="12" t="s">
        <v>49</v>
      </c>
      <c r="U88" s="12" t="s">
        <v>50</v>
      </c>
      <c r="V88" s="13">
        <v>45006</v>
      </c>
      <c r="W88" s="16">
        <v>0.84499999999999997</v>
      </c>
      <c r="X88" s="12" t="s">
        <v>49</v>
      </c>
      <c r="Z88" s="13" t="s">
        <v>50</v>
      </c>
      <c r="AA88" s="12" t="s">
        <v>52</v>
      </c>
      <c r="AB88" s="12" t="s">
        <v>52</v>
      </c>
      <c r="AU88" s="88" t="s">
        <v>53</v>
      </c>
    </row>
    <row r="89" spans="1:47" s="12" customFormat="1" ht="14.4" hidden="1" x14ac:dyDescent="0.3">
      <c r="A89" s="12" t="s">
        <v>39</v>
      </c>
      <c r="B89" s="12" t="s">
        <v>54</v>
      </c>
      <c r="C89" s="12">
        <v>70</v>
      </c>
      <c r="D89" s="12">
        <v>110</v>
      </c>
      <c r="F89" s="12" t="s">
        <v>389</v>
      </c>
      <c r="G89" s="12" t="str">
        <f t="shared" si="2"/>
        <v>701101099961842</v>
      </c>
      <c r="H89" s="12" t="s">
        <v>390</v>
      </c>
      <c r="I89" s="15">
        <v>1099961842</v>
      </c>
      <c r="J89" s="12" t="s">
        <v>391</v>
      </c>
      <c r="K89" s="12" t="s">
        <v>230</v>
      </c>
      <c r="L89" s="12">
        <v>3185658901</v>
      </c>
      <c r="M89" s="12" t="s">
        <v>392</v>
      </c>
      <c r="N89" s="12" t="s">
        <v>259</v>
      </c>
      <c r="O89" s="12" t="s">
        <v>260</v>
      </c>
      <c r="P89" s="88" t="s">
        <v>261</v>
      </c>
      <c r="Q89" s="13" t="s">
        <v>393</v>
      </c>
      <c r="R89" s="16">
        <v>0.76500000000000001</v>
      </c>
      <c r="S89" s="12" t="s">
        <v>49</v>
      </c>
      <c r="T89" s="12" t="s">
        <v>394</v>
      </c>
      <c r="U89" s="12" t="s">
        <v>50</v>
      </c>
      <c r="V89" s="13" t="s">
        <v>395</v>
      </c>
      <c r="W89" s="16">
        <v>0.82499999999999996</v>
      </c>
      <c r="X89" s="12" t="s">
        <v>49</v>
      </c>
      <c r="Z89" s="13" t="s">
        <v>50</v>
      </c>
      <c r="AA89" s="12" t="s">
        <v>52</v>
      </c>
      <c r="AB89" s="12" t="s">
        <v>52</v>
      </c>
      <c r="AU89" s="88" t="s">
        <v>53</v>
      </c>
    </row>
    <row r="90" spans="1:47" s="12" customFormat="1" ht="14.4" hidden="1" x14ac:dyDescent="0.3">
      <c r="A90" s="12" t="s">
        <v>39</v>
      </c>
      <c r="B90" s="12" t="s">
        <v>54</v>
      </c>
      <c r="C90" s="12">
        <v>70</v>
      </c>
      <c r="D90" s="12">
        <v>110</v>
      </c>
      <c r="F90" s="12" t="s">
        <v>396</v>
      </c>
      <c r="G90" s="12" t="str">
        <f t="shared" si="2"/>
        <v>7011079013794110</v>
      </c>
      <c r="H90" s="12" t="s">
        <v>397</v>
      </c>
      <c r="I90" s="15">
        <v>79013794110</v>
      </c>
      <c r="J90" s="12" t="s">
        <v>398</v>
      </c>
      <c r="K90" s="12" t="s">
        <v>230</v>
      </c>
      <c r="L90" s="12" t="s">
        <v>45</v>
      </c>
      <c r="M90" s="12" t="s">
        <v>45</v>
      </c>
      <c r="N90" s="12" t="s">
        <v>259</v>
      </c>
      <c r="O90" s="12" t="s">
        <v>260</v>
      </c>
      <c r="P90" s="88" t="s">
        <v>261</v>
      </c>
      <c r="Q90" s="13">
        <v>45371</v>
      </c>
      <c r="R90" s="16">
        <v>0.8</v>
      </c>
      <c r="S90" s="12" t="s">
        <v>49</v>
      </c>
      <c r="U90" s="12" t="s">
        <v>50</v>
      </c>
      <c r="V90" s="13">
        <v>45061</v>
      </c>
      <c r="W90" s="16">
        <v>0.69499999999999995</v>
      </c>
      <c r="X90" s="12" t="s">
        <v>49</v>
      </c>
      <c r="Z90" s="13" t="s">
        <v>50</v>
      </c>
      <c r="AA90" s="12" t="s">
        <v>52</v>
      </c>
      <c r="AB90" s="12" t="s">
        <v>52</v>
      </c>
      <c r="AC90" s="13">
        <v>43698</v>
      </c>
      <c r="AD90" s="16">
        <v>0.83499999999999996</v>
      </c>
      <c r="AE90" s="16" t="s">
        <v>49</v>
      </c>
      <c r="AF90" s="12" t="s">
        <v>60</v>
      </c>
      <c r="AG90" s="12" t="s">
        <v>51</v>
      </c>
      <c r="AH90" s="12" t="s">
        <v>51</v>
      </c>
      <c r="AU90" s="88" t="s">
        <v>53</v>
      </c>
    </row>
    <row r="91" spans="1:47" s="12" customFormat="1" ht="14.4" hidden="1" x14ac:dyDescent="0.3">
      <c r="A91" s="12" t="s">
        <v>39</v>
      </c>
      <c r="B91" s="12" t="s">
        <v>54</v>
      </c>
      <c r="C91" s="12">
        <v>70</v>
      </c>
      <c r="D91" s="12">
        <v>110</v>
      </c>
      <c r="F91" s="12" t="s">
        <v>399</v>
      </c>
      <c r="G91" s="12" t="str">
        <f t="shared" si="2"/>
        <v>7011092498917</v>
      </c>
      <c r="H91" s="12" t="s">
        <v>400</v>
      </c>
      <c r="I91" s="15">
        <v>92498917</v>
      </c>
      <c r="J91" s="12" t="s">
        <v>401</v>
      </c>
      <c r="K91" s="12" t="s">
        <v>230</v>
      </c>
      <c r="L91" s="12" t="s">
        <v>45</v>
      </c>
      <c r="M91" s="12" t="s">
        <v>45</v>
      </c>
      <c r="N91" s="12" t="s">
        <v>259</v>
      </c>
      <c r="O91" s="12" t="s">
        <v>260</v>
      </c>
      <c r="P91" s="88" t="s">
        <v>261</v>
      </c>
      <c r="Q91" s="13">
        <v>45393</v>
      </c>
      <c r="R91" s="16">
        <v>0.86499999999999999</v>
      </c>
      <c r="S91" s="12" t="s">
        <v>49</v>
      </c>
      <c r="U91" s="12" t="s">
        <v>50</v>
      </c>
      <c r="V91" s="13">
        <v>45037</v>
      </c>
      <c r="W91" s="16">
        <v>0.75</v>
      </c>
      <c r="X91" s="12" t="s">
        <v>49</v>
      </c>
      <c r="Z91" s="13" t="s">
        <v>50</v>
      </c>
      <c r="AA91" s="12" t="s">
        <v>52</v>
      </c>
      <c r="AB91" s="12" t="s">
        <v>52</v>
      </c>
      <c r="AU91" s="88" t="s">
        <v>53</v>
      </c>
    </row>
    <row r="92" spans="1:47" s="12" customFormat="1" ht="14.4" hidden="1" x14ac:dyDescent="0.3">
      <c r="A92" s="12" t="s">
        <v>39</v>
      </c>
      <c r="B92" s="12" t="s">
        <v>54</v>
      </c>
      <c r="C92" s="12">
        <v>70</v>
      </c>
      <c r="D92" s="12">
        <v>110</v>
      </c>
      <c r="F92" s="12" t="s">
        <v>402</v>
      </c>
      <c r="G92" s="12" t="str">
        <f t="shared" si="2"/>
        <v>701101099960947</v>
      </c>
      <c r="H92" s="12" t="s">
        <v>403</v>
      </c>
      <c r="I92" s="15">
        <v>1099960947</v>
      </c>
      <c r="J92" s="12" t="s">
        <v>404</v>
      </c>
      <c r="K92" s="12" t="s">
        <v>230</v>
      </c>
      <c r="L92" s="12" t="s">
        <v>45</v>
      </c>
      <c r="M92" s="12" t="s">
        <v>45</v>
      </c>
      <c r="N92" s="12" t="s">
        <v>259</v>
      </c>
      <c r="O92" s="12" t="s">
        <v>260</v>
      </c>
      <c r="P92" s="88" t="s">
        <v>261</v>
      </c>
      <c r="Q92" s="13">
        <v>45601</v>
      </c>
      <c r="R92" s="16">
        <v>0.82</v>
      </c>
      <c r="S92" s="12" t="s">
        <v>49</v>
      </c>
      <c r="U92" s="12" t="s">
        <v>50</v>
      </c>
      <c r="V92" s="13">
        <v>45154</v>
      </c>
      <c r="W92" s="16">
        <v>0.77</v>
      </c>
      <c r="X92" s="12" t="s">
        <v>49</v>
      </c>
      <c r="Z92" s="13" t="s">
        <v>50</v>
      </c>
      <c r="AA92" s="12" t="s">
        <v>52</v>
      </c>
      <c r="AB92" s="12" t="s">
        <v>52</v>
      </c>
      <c r="AC92" s="13">
        <v>43544</v>
      </c>
      <c r="AD92" s="16">
        <v>0.71</v>
      </c>
      <c r="AE92" s="13" t="s">
        <v>49</v>
      </c>
      <c r="AF92" s="12" t="s">
        <v>60</v>
      </c>
      <c r="AG92" s="12" t="s">
        <v>51</v>
      </c>
      <c r="AH92" s="12" t="s">
        <v>51</v>
      </c>
      <c r="AU92" s="88" t="s">
        <v>53</v>
      </c>
    </row>
    <row r="93" spans="1:47" s="12" customFormat="1" ht="14.4" hidden="1" x14ac:dyDescent="0.3">
      <c r="A93" s="12" t="s">
        <v>39</v>
      </c>
      <c r="B93" s="12" t="s">
        <v>54</v>
      </c>
      <c r="C93" s="12">
        <v>70</v>
      </c>
      <c r="D93" s="12">
        <v>110</v>
      </c>
      <c r="F93" s="12" t="s">
        <v>405</v>
      </c>
      <c r="G93" s="12" t="str">
        <f t="shared" si="2"/>
        <v>701101045021263</v>
      </c>
      <c r="H93" s="12" t="s">
        <v>406</v>
      </c>
      <c r="I93" s="15">
        <v>1045021263</v>
      </c>
      <c r="J93" s="12" t="s">
        <v>407</v>
      </c>
      <c r="K93" s="12" t="s">
        <v>230</v>
      </c>
      <c r="L93" s="12" t="s">
        <v>45</v>
      </c>
      <c r="M93" s="12" t="s">
        <v>45</v>
      </c>
      <c r="N93" s="12" t="s">
        <v>259</v>
      </c>
      <c r="O93" s="12" t="s">
        <v>260</v>
      </c>
      <c r="P93" s="88" t="s">
        <v>261</v>
      </c>
      <c r="Q93" s="13">
        <v>45451</v>
      </c>
      <c r="R93" s="16">
        <v>0.81</v>
      </c>
      <c r="S93" s="12" t="s">
        <v>49</v>
      </c>
      <c r="T93" s="12" t="s">
        <v>59</v>
      </c>
      <c r="U93" s="12" t="s">
        <v>408</v>
      </c>
      <c r="V93" s="13" t="s">
        <v>409</v>
      </c>
      <c r="W93" s="16">
        <v>0.76</v>
      </c>
      <c r="X93" s="12" t="s">
        <v>49</v>
      </c>
      <c r="Z93" s="12" t="s">
        <v>50</v>
      </c>
      <c r="AA93" s="12" t="s">
        <v>51</v>
      </c>
      <c r="AB93" s="12" t="s">
        <v>52</v>
      </c>
      <c r="AC93" s="13"/>
      <c r="AD93" s="16"/>
      <c r="AF93" s="13"/>
      <c r="AU93" s="88" t="s">
        <v>53</v>
      </c>
    </row>
    <row r="94" spans="1:47" s="12" customFormat="1" ht="14.4" hidden="1" x14ac:dyDescent="0.3">
      <c r="A94" s="12" t="s">
        <v>39</v>
      </c>
      <c r="B94" s="12" t="s">
        <v>54</v>
      </c>
      <c r="C94" s="12">
        <v>70</v>
      </c>
      <c r="D94" s="12">
        <v>110</v>
      </c>
      <c r="F94" s="12" t="s">
        <v>410</v>
      </c>
      <c r="G94" s="12" t="str">
        <f t="shared" si="2"/>
        <v>701101113535438</v>
      </c>
      <c r="H94" s="12" t="s">
        <v>411</v>
      </c>
      <c r="I94" s="12">
        <v>1113535438</v>
      </c>
      <c r="J94" s="12" t="s">
        <v>412</v>
      </c>
      <c r="K94" s="12" t="s">
        <v>230</v>
      </c>
      <c r="L94" s="12" t="s">
        <v>45</v>
      </c>
      <c r="M94" s="12" t="s">
        <v>45</v>
      </c>
      <c r="N94" s="12" t="s">
        <v>259</v>
      </c>
      <c r="O94" s="12" t="s">
        <v>260</v>
      </c>
      <c r="P94" s="88" t="s">
        <v>261</v>
      </c>
      <c r="Q94" s="13">
        <v>45602</v>
      </c>
      <c r="R94" s="16">
        <v>0.78</v>
      </c>
      <c r="S94" s="12" t="s">
        <v>49</v>
      </c>
      <c r="U94" s="12" t="s">
        <v>50</v>
      </c>
      <c r="V94" s="13">
        <v>45174</v>
      </c>
      <c r="W94" s="16">
        <v>0.77</v>
      </c>
      <c r="X94" s="12" t="s">
        <v>49</v>
      </c>
      <c r="Z94" s="13" t="s">
        <v>50</v>
      </c>
      <c r="AA94" s="12" t="s">
        <v>51</v>
      </c>
      <c r="AB94" s="12" t="s">
        <v>52</v>
      </c>
      <c r="AU94" s="88" t="s">
        <v>53</v>
      </c>
    </row>
    <row r="95" spans="1:47" s="12" customFormat="1" ht="14.4" hidden="1" x14ac:dyDescent="0.3">
      <c r="A95" s="12" t="s">
        <v>39</v>
      </c>
      <c r="B95" s="12" t="s">
        <v>54</v>
      </c>
      <c r="C95" s="12">
        <v>70</v>
      </c>
      <c r="D95" s="12">
        <v>110</v>
      </c>
      <c r="F95" s="12" t="s">
        <v>413</v>
      </c>
      <c r="G95" s="12" t="str">
        <f t="shared" si="2"/>
        <v>7011023134901</v>
      </c>
      <c r="H95" s="12" t="s">
        <v>414</v>
      </c>
      <c r="I95" s="12">
        <v>23134901</v>
      </c>
      <c r="J95" s="12" t="s">
        <v>415</v>
      </c>
      <c r="K95" s="12" t="s">
        <v>230</v>
      </c>
      <c r="L95" s="12" t="s">
        <v>45</v>
      </c>
      <c r="M95" s="12" t="s">
        <v>45</v>
      </c>
      <c r="N95" s="12" t="s">
        <v>259</v>
      </c>
      <c r="O95" s="12" t="s">
        <v>260</v>
      </c>
      <c r="P95" s="88" t="s">
        <v>261</v>
      </c>
      <c r="Q95" s="13">
        <v>45576</v>
      </c>
      <c r="R95" s="16">
        <v>0.69499999999999995</v>
      </c>
      <c r="S95" s="12" t="s">
        <v>49</v>
      </c>
      <c r="U95" s="12" t="s">
        <v>50</v>
      </c>
      <c r="V95" s="13">
        <v>45219</v>
      </c>
      <c r="W95" s="16">
        <v>0.89</v>
      </c>
      <c r="X95" s="12" t="s">
        <v>49</v>
      </c>
      <c r="Z95" s="13" t="s">
        <v>50</v>
      </c>
      <c r="AA95" s="12" t="s">
        <v>51</v>
      </c>
      <c r="AB95" s="12" t="s">
        <v>52</v>
      </c>
      <c r="AU95" s="88" t="s">
        <v>53</v>
      </c>
    </row>
    <row r="96" spans="1:47" s="12" customFormat="1" ht="14.4" hidden="1" x14ac:dyDescent="0.3">
      <c r="A96" s="12" t="s">
        <v>39</v>
      </c>
      <c r="B96" s="12" t="s">
        <v>54</v>
      </c>
      <c r="C96" s="12">
        <v>70</v>
      </c>
      <c r="D96" s="12">
        <v>110</v>
      </c>
      <c r="F96" s="12" t="s">
        <v>416</v>
      </c>
      <c r="G96" s="12" t="str">
        <f t="shared" si="2"/>
        <v>7011064871253</v>
      </c>
      <c r="H96" s="12" t="s">
        <v>417</v>
      </c>
      <c r="I96" s="12">
        <v>64871253</v>
      </c>
      <c r="J96" s="12" t="s">
        <v>418</v>
      </c>
      <c r="K96" s="12" t="s">
        <v>230</v>
      </c>
      <c r="L96" s="12" t="s">
        <v>45</v>
      </c>
      <c r="M96" s="12" t="s">
        <v>45</v>
      </c>
      <c r="N96" s="12" t="s">
        <v>259</v>
      </c>
      <c r="O96" s="12" t="s">
        <v>260</v>
      </c>
      <c r="P96" s="88" t="s">
        <v>261</v>
      </c>
      <c r="Q96" s="13">
        <v>45630</v>
      </c>
      <c r="R96" s="16">
        <v>0.88500000000000001</v>
      </c>
      <c r="S96" s="12" t="s">
        <v>49</v>
      </c>
      <c r="U96" s="12" t="s">
        <v>50</v>
      </c>
      <c r="V96" s="13">
        <v>45275</v>
      </c>
      <c r="W96" s="16">
        <v>0.76</v>
      </c>
      <c r="X96" s="12" t="s">
        <v>49</v>
      </c>
      <c r="Z96" s="13" t="s">
        <v>50</v>
      </c>
      <c r="AA96" s="12" t="s">
        <v>51</v>
      </c>
      <c r="AB96" s="12" t="s">
        <v>52</v>
      </c>
      <c r="AC96" s="13">
        <v>44676</v>
      </c>
      <c r="AD96" s="16">
        <v>0.79</v>
      </c>
      <c r="AE96" s="13" t="s">
        <v>49</v>
      </c>
      <c r="AF96" s="12" t="s">
        <v>60</v>
      </c>
      <c r="AG96" s="12" t="s">
        <v>51</v>
      </c>
      <c r="AH96" s="12" t="s">
        <v>51</v>
      </c>
      <c r="AU96" s="88" t="s">
        <v>53</v>
      </c>
    </row>
    <row r="97" spans="1:47" s="12" customFormat="1" ht="14.4" hidden="1" x14ac:dyDescent="0.3">
      <c r="A97" s="12" t="s">
        <v>39</v>
      </c>
      <c r="B97" s="12" t="s">
        <v>54</v>
      </c>
      <c r="C97" s="12">
        <v>70</v>
      </c>
      <c r="D97" s="12">
        <v>110</v>
      </c>
      <c r="F97" s="12" t="s">
        <v>419</v>
      </c>
      <c r="G97" s="12" t="str">
        <f t="shared" si="2"/>
        <v>7011033238543</v>
      </c>
      <c r="H97" s="12" t="s">
        <v>420</v>
      </c>
      <c r="I97" s="12">
        <v>33238543</v>
      </c>
      <c r="J97" s="12" t="s">
        <v>421</v>
      </c>
      <c r="K97" s="12" t="s">
        <v>230</v>
      </c>
      <c r="L97" s="12">
        <v>3135153045</v>
      </c>
      <c r="M97" s="12" t="s">
        <v>422</v>
      </c>
      <c r="N97" s="12" t="s">
        <v>259</v>
      </c>
      <c r="O97" s="12" t="s">
        <v>260</v>
      </c>
      <c r="P97" s="88" t="s">
        <v>261</v>
      </c>
      <c r="Q97" s="13">
        <v>45631</v>
      </c>
      <c r="R97" s="16">
        <v>0.85</v>
      </c>
      <c r="S97" s="12" t="s">
        <v>49</v>
      </c>
      <c r="U97" s="12" t="s">
        <v>50</v>
      </c>
      <c r="V97" s="13">
        <v>45098</v>
      </c>
      <c r="W97" s="16">
        <v>0.80500000000000005</v>
      </c>
      <c r="X97" s="12" t="s">
        <v>49</v>
      </c>
      <c r="Z97" s="13" t="s">
        <v>50</v>
      </c>
      <c r="AA97" s="12" t="s">
        <v>51</v>
      </c>
      <c r="AB97" s="12" t="s">
        <v>52</v>
      </c>
      <c r="AC97" s="13">
        <v>44678</v>
      </c>
      <c r="AD97" s="16">
        <v>0.8</v>
      </c>
      <c r="AE97" s="13" t="s">
        <v>49</v>
      </c>
      <c r="AF97" s="12" t="s">
        <v>60</v>
      </c>
      <c r="AG97" s="12" t="s">
        <v>51</v>
      </c>
      <c r="AH97" s="12" t="s">
        <v>51</v>
      </c>
      <c r="AU97" s="88" t="s">
        <v>53</v>
      </c>
    </row>
    <row r="98" spans="1:47" s="12" customFormat="1" ht="14.4" hidden="1" x14ac:dyDescent="0.3">
      <c r="A98" s="12" t="s">
        <v>39</v>
      </c>
      <c r="B98" s="12" t="s">
        <v>54</v>
      </c>
      <c r="C98" s="12">
        <v>70</v>
      </c>
      <c r="D98" s="12">
        <v>110</v>
      </c>
      <c r="F98" s="12" t="s">
        <v>423</v>
      </c>
      <c r="G98" s="12" t="str">
        <f t="shared" si="2"/>
        <v>701101045018343</v>
      </c>
      <c r="H98" s="12" t="s">
        <v>424</v>
      </c>
      <c r="I98" s="12">
        <v>1045018343</v>
      </c>
      <c r="J98" s="12" t="s">
        <v>425</v>
      </c>
      <c r="K98" s="12" t="s">
        <v>230</v>
      </c>
      <c r="L98" s="12" t="s">
        <v>45</v>
      </c>
      <c r="M98" s="12" t="s">
        <v>45</v>
      </c>
      <c r="N98" s="12" t="s">
        <v>259</v>
      </c>
      <c r="O98" s="12" t="s">
        <v>260</v>
      </c>
      <c r="P98" s="88" t="s">
        <v>261</v>
      </c>
      <c r="Q98" s="13">
        <v>45632</v>
      </c>
      <c r="R98" s="16">
        <v>0.81499999999999995</v>
      </c>
      <c r="S98" s="12" t="s">
        <v>49</v>
      </c>
      <c r="U98" s="12" t="s">
        <v>50</v>
      </c>
      <c r="V98" s="13">
        <v>45008</v>
      </c>
      <c r="W98" s="16">
        <v>0.9</v>
      </c>
      <c r="X98" s="12" t="s">
        <v>210</v>
      </c>
      <c r="Z98" s="13" t="s">
        <v>50</v>
      </c>
      <c r="AA98" s="12" t="s">
        <v>51</v>
      </c>
      <c r="AB98" s="12" t="s">
        <v>52</v>
      </c>
      <c r="AJ98" s="16"/>
      <c r="AU98" s="88" t="s">
        <v>53</v>
      </c>
    </row>
    <row r="99" spans="1:47" s="12" customFormat="1" ht="14.4" hidden="1" x14ac:dyDescent="0.3">
      <c r="A99" s="12" t="s">
        <v>39</v>
      </c>
      <c r="B99" s="12" t="s">
        <v>54</v>
      </c>
      <c r="C99" s="12">
        <v>70</v>
      </c>
      <c r="D99" s="12">
        <v>110</v>
      </c>
      <c r="F99" s="12" t="s">
        <v>426</v>
      </c>
      <c r="G99" s="12" t="str">
        <f t="shared" si="2"/>
        <v>7011064871253</v>
      </c>
      <c r="H99" s="12" t="s">
        <v>427</v>
      </c>
      <c r="I99" s="12">
        <v>64871253</v>
      </c>
      <c r="J99" s="12" t="s">
        <v>428</v>
      </c>
      <c r="K99" s="12" t="s">
        <v>246</v>
      </c>
      <c r="L99" s="12">
        <v>3135153075</v>
      </c>
      <c r="M99" s="12" t="s">
        <v>45</v>
      </c>
      <c r="N99" s="12" t="s">
        <v>259</v>
      </c>
      <c r="O99" s="12" t="s">
        <v>260</v>
      </c>
      <c r="P99" s="88" t="s">
        <v>276</v>
      </c>
      <c r="Q99" s="12" t="s">
        <v>429</v>
      </c>
      <c r="R99" s="18">
        <v>0.78749999999999998</v>
      </c>
      <c r="S99" s="12" t="s">
        <v>49</v>
      </c>
      <c r="T99" s="12" t="s">
        <v>59</v>
      </c>
      <c r="U99" s="12" t="s">
        <v>50</v>
      </c>
      <c r="V99" s="13"/>
      <c r="W99" s="16"/>
      <c r="AC99" s="13"/>
      <c r="AD99" s="16"/>
      <c r="AF99" s="13"/>
      <c r="AJ99" s="16"/>
      <c r="AU99" s="88" t="s">
        <v>53</v>
      </c>
    </row>
    <row r="100" spans="1:47" s="12" customFormat="1" ht="14.4" hidden="1" x14ac:dyDescent="0.3">
      <c r="A100" s="12" t="s">
        <v>39</v>
      </c>
      <c r="B100" s="12" t="s">
        <v>54</v>
      </c>
      <c r="C100" s="12">
        <v>70</v>
      </c>
      <c r="D100" s="12">
        <v>110</v>
      </c>
      <c r="F100" s="12" t="s">
        <v>430</v>
      </c>
      <c r="G100" s="12" t="str">
        <f t="shared" si="2"/>
        <v>7011073093712</v>
      </c>
      <c r="H100" s="12" t="s">
        <v>7693</v>
      </c>
      <c r="I100" s="12">
        <v>73093712</v>
      </c>
      <c r="J100" s="12" t="s">
        <v>431</v>
      </c>
      <c r="K100" s="12" t="s">
        <v>230</v>
      </c>
      <c r="L100" s="12">
        <v>3106436532</v>
      </c>
      <c r="M100" s="12" t="s">
        <v>7694</v>
      </c>
      <c r="N100" s="12" t="s">
        <v>432</v>
      </c>
      <c r="O100" s="12" t="s">
        <v>432</v>
      </c>
      <c r="P100" s="88" t="s">
        <v>261</v>
      </c>
      <c r="Q100" s="13">
        <v>46001</v>
      </c>
      <c r="R100" s="16">
        <v>0.82</v>
      </c>
      <c r="S100" s="12" t="s">
        <v>49</v>
      </c>
      <c r="U100" s="12" t="s">
        <v>50</v>
      </c>
      <c r="V100" s="13">
        <v>45503</v>
      </c>
      <c r="W100" s="16">
        <v>0.86499999999999999</v>
      </c>
      <c r="X100" s="12" t="s">
        <v>49</v>
      </c>
      <c r="AU100" s="88" t="s">
        <v>53</v>
      </c>
    </row>
    <row r="101" spans="1:47" s="12" customFormat="1" ht="14.4" hidden="1" x14ac:dyDescent="0.3">
      <c r="A101" s="12" t="s">
        <v>39</v>
      </c>
      <c r="B101" s="12" t="s">
        <v>54</v>
      </c>
      <c r="C101" s="12">
        <v>70</v>
      </c>
      <c r="D101" s="12">
        <v>110</v>
      </c>
      <c r="F101" s="12" t="s">
        <v>433</v>
      </c>
      <c r="G101" s="12" t="str">
        <f t="shared" ref="G101:G124" si="3">C101&amp;D101&amp;I101</f>
        <v>70110NO REGISTRA</v>
      </c>
      <c r="H101" s="12" t="s">
        <v>434</v>
      </c>
      <c r="I101" s="15" t="s">
        <v>45</v>
      </c>
      <c r="J101" s="12" t="s">
        <v>435</v>
      </c>
      <c r="K101" s="12" t="s">
        <v>230</v>
      </c>
      <c r="L101" s="12">
        <v>3005786433</v>
      </c>
      <c r="M101" s="12" t="s">
        <v>45</v>
      </c>
      <c r="N101" s="12" t="s">
        <v>432</v>
      </c>
      <c r="O101" s="12" t="s">
        <v>432</v>
      </c>
      <c r="P101" s="88" t="s">
        <v>261</v>
      </c>
      <c r="Q101" s="13">
        <v>45545</v>
      </c>
      <c r="R101" s="16">
        <v>0.64500000000000002</v>
      </c>
      <c r="S101" s="12" t="s">
        <v>49</v>
      </c>
      <c r="U101" s="12" t="s">
        <v>50</v>
      </c>
      <c r="V101" s="13">
        <v>45064</v>
      </c>
      <c r="W101" s="16">
        <v>0.88</v>
      </c>
      <c r="X101" s="12" t="s">
        <v>49</v>
      </c>
      <c r="Z101" s="12" t="s">
        <v>50</v>
      </c>
      <c r="AA101" s="12" t="s">
        <v>51</v>
      </c>
      <c r="AB101" s="12" t="s">
        <v>52</v>
      </c>
      <c r="AC101" s="13">
        <v>43179</v>
      </c>
      <c r="AD101" s="16">
        <v>0.83</v>
      </c>
      <c r="AE101" s="12" t="s">
        <v>49</v>
      </c>
      <c r="AF101" s="12" t="s">
        <v>60</v>
      </c>
      <c r="AG101" s="12" t="s">
        <v>51</v>
      </c>
      <c r="AH101" s="12" t="s">
        <v>51</v>
      </c>
      <c r="AU101" s="88" t="s">
        <v>53</v>
      </c>
    </row>
    <row r="102" spans="1:47" s="12" customFormat="1" ht="14.4" hidden="1" x14ac:dyDescent="0.3">
      <c r="A102" s="12" t="s">
        <v>39</v>
      </c>
      <c r="B102" s="12" t="s">
        <v>54</v>
      </c>
      <c r="C102" s="12">
        <v>70</v>
      </c>
      <c r="D102" s="12">
        <v>110</v>
      </c>
      <c r="F102" s="12" t="s">
        <v>436</v>
      </c>
      <c r="G102" s="12" t="str">
        <f t="shared" si="3"/>
        <v>701103323939</v>
      </c>
      <c r="H102" s="12" t="s">
        <v>437</v>
      </c>
      <c r="I102" s="15">
        <v>3323939</v>
      </c>
      <c r="J102" s="12" t="s">
        <v>438</v>
      </c>
      <c r="K102" s="12" t="s">
        <v>230</v>
      </c>
      <c r="L102" s="12">
        <v>3017002187</v>
      </c>
      <c r="M102" s="12" t="s">
        <v>7698</v>
      </c>
      <c r="N102" s="12" t="s">
        <v>432</v>
      </c>
      <c r="O102" s="12" t="s">
        <v>432</v>
      </c>
      <c r="P102" s="88" t="s">
        <v>261</v>
      </c>
      <c r="Q102" s="13">
        <v>45996</v>
      </c>
      <c r="R102" s="16">
        <v>0.85</v>
      </c>
      <c r="S102" s="12" t="s">
        <v>49</v>
      </c>
      <c r="U102" s="12" t="s">
        <v>50</v>
      </c>
      <c r="V102" s="13">
        <v>45394</v>
      </c>
      <c r="W102" s="16">
        <v>0.88500000000000001</v>
      </c>
      <c r="X102" s="12" t="s">
        <v>49</v>
      </c>
      <c r="Z102" s="12" t="s">
        <v>50</v>
      </c>
      <c r="AA102" s="12" t="s">
        <v>51</v>
      </c>
      <c r="AB102" s="12" t="s">
        <v>52</v>
      </c>
      <c r="AC102" s="13">
        <v>45033</v>
      </c>
      <c r="AD102" s="16">
        <v>0.69499999999999995</v>
      </c>
      <c r="AE102" s="12" t="s">
        <v>49</v>
      </c>
      <c r="AF102" s="12" t="s">
        <v>60</v>
      </c>
      <c r="AG102" s="12" t="s">
        <v>51</v>
      </c>
      <c r="AH102" s="12" t="s">
        <v>51</v>
      </c>
      <c r="AI102" s="13">
        <v>44613</v>
      </c>
      <c r="AJ102" s="16">
        <v>0.88500000000000001</v>
      </c>
      <c r="AK102" s="12" t="s">
        <v>49</v>
      </c>
      <c r="AU102" s="88" t="s">
        <v>53</v>
      </c>
    </row>
    <row r="103" spans="1:47" s="12" customFormat="1" ht="14.4" hidden="1" x14ac:dyDescent="0.3">
      <c r="A103" s="12" t="s">
        <v>39</v>
      </c>
      <c r="B103" s="12" t="s">
        <v>54</v>
      </c>
      <c r="C103" s="12">
        <v>70</v>
      </c>
      <c r="D103" s="12">
        <v>110</v>
      </c>
      <c r="F103" s="12" t="s">
        <v>439</v>
      </c>
      <c r="G103" s="12" t="str">
        <f t="shared" si="3"/>
        <v>7011033238309</v>
      </c>
      <c r="H103" s="12" t="s">
        <v>7699</v>
      </c>
      <c r="I103" s="15">
        <v>33238309</v>
      </c>
      <c r="J103" s="12" t="s">
        <v>440</v>
      </c>
      <c r="K103" s="12" t="s">
        <v>230</v>
      </c>
      <c r="L103" s="12">
        <v>3002135409</v>
      </c>
      <c r="M103" s="12" t="s">
        <v>7700</v>
      </c>
      <c r="N103" s="12" t="s">
        <v>432</v>
      </c>
      <c r="O103" s="12" t="s">
        <v>432</v>
      </c>
      <c r="P103" s="88" t="s">
        <v>261</v>
      </c>
      <c r="Q103" s="13">
        <v>45995</v>
      </c>
      <c r="R103" s="12">
        <v>82</v>
      </c>
      <c r="S103" s="12" t="s">
        <v>49</v>
      </c>
      <c r="U103" s="12" t="s">
        <v>50</v>
      </c>
      <c r="V103" s="13">
        <v>45378</v>
      </c>
      <c r="W103" s="16">
        <v>0.86499999999999999</v>
      </c>
      <c r="X103" s="12" t="s">
        <v>49</v>
      </c>
      <c r="Z103" s="12" t="s">
        <v>50</v>
      </c>
      <c r="AA103" s="12" t="s">
        <v>51</v>
      </c>
      <c r="AB103" s="12" t="s">
        <v>52</v>
      </c>
      <c r="AC103" s="13">
        <v>45030</v>
      </c>
      <c r="AD103" s="16">
        <v>0.70750000000000002</v>
      </c>
      <c r="AE103" s="12" t="s">
        <v>49</v>
      </c>
      <c r="AF103" s="12" t="s">
        <v>60</v>
      </c>
      <c r="AG103" s="12" t="s">
        <v>51</v>
      </c>
      <c r="AH103" s="12" t="s">
        <v>51</v>
      </c>
      <c r="AI103" s="13">
        <v>44889</v>
      </c>
      <c r="AJ103" s="16">
        <v>0.79500000000000004</v>
      </c>
      <c r="AK103" s="12" t="s">
        <v>49</v>
      </c>
      <c r="AU103" s="88" t="s">
        <v>53</v>
      </c>
    </row>
    <row r="104" spans="1:47" s="12" customFormat="1" ht="14.4" hidden="1" x14ac:dyDescent="0.3">
      <c r="A104" s="12" t="s">
        <v>39</v>
      </c>
      <c r="B104" s="12" t="s">
        <v>54</v>
      </c>
      <c r="C104" s="12">
        <v>70</v>
      </c>
      <c r="D104" s="12">
        <v>110</v>
      </c>
      <c r="F104" s="12" t="s">
        <v>441</v>
      </c>
      <c r="G104" s="12" t="str">
        <f t="shared" si="3"/>
        <v>701101005387811</v>
      </c>
      <c r="H104" s="12" t="s">
        <v>442</v>
      </c>
      <c r="I104" s="15">
        <v>1005387811</v>
      </c>
      <c r="J104" s="12" t="s">
        <v>443</v>
      </c>
      <c r="K104" s="12" t="s">
        <v>230</v>
      </c>
      <c r="L104" s="12">
        <v>3014358667</v>
      </c>
      <c r="M104" s="12" t="s">
        <v>7692</v>
      </c>
      <c r="N104" s="12" t="s">
        <v>432</v>
      </c>
      <c r="O104" s="12" t="s">
        <v>432</v>
      </c>
      <c r="P104" s="88" t="s">
        <v>261</v>
      </c>
      <c r="Q104" s="13">
        <v>46002</v>
      </c>
      <c r="R104" s="16">
        <v>0.85</v>
      </c>
      <c r="S104" s="12" t="s">
        <v>49</v>
      </c>
      <c r="U104" s="12" t="s">
        <v>50</v>
      </c>
      <c r="V104" s="13">
        <v>45377</v>
      </c>
      <c r="W104" s="16">
        <v>0.80500000000000005</v>
      </c>
      <c r="X104" s="12" t="s">
        <v>49</v>
      </c>
      <c r="Z104" s="12" t="s">
        <v>50</v>
      </c>
      <c r="AA104" s="12" t="s">
        <v>51</v>
      </c>
      <c r="AB104" s="12" t="s">
        <v>52</v>
      </c>
      <c r="AC104" s="13">
        <v>45044</v>
      </c>
      <c r="AD104" s="16">
        <v>0.67749999999999999</v>
      </c>
      <c r="AE104" s="12" t="s">
        <v>49</v>
      </c>
      <c r="AU104" s="88" t="s">
        <v>53</v>
      </c>
    </row>
    <row r="105" spans="1:47" s="12" customFormat="1" ht="14.4" hidden="1" x14ac:dyDescent="0.3">
      <c r="A105" s="12" t="s">
        <v>39</v>
      </c>
      <c r="B105" s="12" t="s">
        <v>54</v>
      </c>
      <c r="C105" s="12">
        <v>70</v>
      </c>
      <c r="D105" s="12">
        <v>110</v>
      </c>
      <c r="F105" s="12" t="s">
        <v>444</v>
      </c>
      <c r="G105" s="12" t="str">
        <f t="shared" si="3"/>
        <v>70110NO REGISTRA</v>
      </c>
      <c r="H105" s="12" t="s">
        <v>445</v>
      </c>
      <c r="I105" s="15" t="s">
        <v>45</v>
      </c>
      <c r="J105" s="12" t="s">
        <v>446</v>
      </c>
      <c r="K105" s="12" t="s">
        <v>230</v>
      </c>
      <c r="L105" s="12">
        <v>3015235774</v>
      </c>
      <c r="M105" s="12" t="s">
        <v>45</v>
      </c>
      <c r="N105" s="12" t="s">
        <v>432</v>
      </c>
      <c r="O105" s="12" t="s">
        <v>432</v>
      </c>
      <c r="P105" s="88" t="s">
        <v>261</v>
      </c>
      <c r="Q105" s="13">
        <v>45371</v>
      </c>
      <c r="R105" s="16">
        <v>0.80500000000000005</v>
      </c>
      <c r="S105" s="12" t="s">
        <v>49</v>
      </c>
      <c r="U105" s="12" t="s">
        <v>50</v>
      </c>
      <c r="V105" s="13">
        <v>45021</v>
      </c>
      <c r="W105" s="16">
        <v>0.71750000000000003</v>
      </c>
      <c r="X105" s="12" t="s">
        <v>49</v>
      </c>
      <c r="Z105" s="90" t="s">
        <v>50</v>
      </c>
      <c r="AA105" s="12" t="s">
        <v>51</v>
      </c>
      <c r="AB105" s="12" t="s">
        <v>52</v>
      </c>
      <c r="AU105" s="88" t="s">
        <v>53</v>
      </c>
    </row>
    <row r="106" spans="1:47" s="12" customFormat="1" ht="14.4" hidden="1" x14ac:dyDescent="0.3">
      <c r="A106" s="12" t="s">
        <v>39</v>
      </c>
      <c r="B106" s="12" t="s">
        <v>54</v>
      </c>
      <c r="C106" s="12">
        <v>70</v>
      </c>
      <c r="D106" s="12">
        <v>110</v>
      </c>
      <c r="F106" s="12" t="s">
        <v>447</v>
      </c>
      <c r="G106" s="12" t="str">
        <f t="shared" si="3"/>
        <v>70110NO REGISTRA</v>
      </c>
      <c r="H106" s="12" t="s">
        <v>448</v>
      </c>
      <c r="I106" s="15" t="s">
        <v>45</v>
      </c>
      <c r="J106" s="12" t="s">
        <v>443</v>
      </c>
      <c r="K106" s="12" t="s">
        <v>230</v>
      </c>
      <c r="L106" s="12">
        <v>3205128548</v>
      </c>
      <c r="M106" s="12" t="s">
        <v>45</v>
      </c>
      <c r="N106" s="12" t="s">
        <v>432</v>
      </c>
      <c r="O106" s="12" t="s">
        <v>432</v>
      </c>
      <c r="P106" s="88" t="s">
        <v>261</v>
      </c>
      <c r="Q106" s="13">
        <v>45394</v>
      </c>
      <c r="R106" s="16">
        <v>0.86499999999999999</v>
      </c>
      <c r="S106" s="12" t="s">
        <v>49</v>
      </c>
      <c r="U106" s="12" t="s">
        <v>50</v>
      </c>
      <c r="V106" s="13">
        <v>44962</v>
      </c>
      <c r="W106" s="16">
        <v>0.67749999999999999</v>
      </c>
      <c r="X106" s="12" t="s">
        <v>49</v>
      </c>
      <c r="Z106" s="12" t="s">
        <v>50</v>
      </c>
      <c r="AA106" s="12" t="s">
        <v>51</v>
      </c>
      <c r="AB106" s="12" t="s">
        <v>52</v>
      </c>
      <c r="AC106" s="13">
        <v>44656</v>
      </c>
      <c r="AD106" s="16">
        <v>0.8125</v>
      </c>
      <c r="AE106" s="13" t="s">
        <v>49</v>
      </c>
      <c r="AF106" s="12" t="s">
        <v>60</v>
      </c>
      <c r="AG106" s="12" t="s">
        <v>51</v>
      </c>
      <c r="AH106" s="12" t="s">
        <v>51</v>
      </c>
      <c r="AU106" s="88" t="s">
        <v>53</v>
      </c>
    </row>
    <row r="107" spans="1:47" s="12" customFormat="1" ht="14.4" hidden="1" x14ac:dyDescent="0.3">
      <c r="A107" s="12" t="s">
        <v>39</v>
      </c>
      <c r="B107" s="12" t="s">
        <v>54</v>
      </c>
      <c r="C107" s="12">
        <v>70</v>
      </c>
      <c r="D107" s="12">
        <v>110</v>
      </c>
      <c r="F107" s="12" t="s">
        <v>449</v>
      </c>
      <c r="G107" s="12" t="str">
        <f t="shared" si="3"/>
        <v>7011018762390-2</v>
      </c>
      <c r="H107" s="12" t="s">
        <v>450</v>
      </c>
      <c r="I107" s="12" t="s">
        <v>451</v>
      </c>
      <c r="J107" s="12" t="s">
        <v>452</v>
      </c>
      <c r="K107" s="12" t="s">
        <v>230</v>
      </c>
      <c r="L107" s="12">
        <v>3126657033</v>
      </c>
      <c r="M107" s="12" t="s">
        <v>453</v>
      </c>
      <c r="N107" s="12" t="s">
        <v>432</v>
      </c>
      <c r="O107" s="12" t="s">
        <v>432</v>
      </c>
      <c r="P107" s="88" t="s">
        <v>261</v>
      </c>
      <c r="Q107" s="13">
        <v>45334</v>
      </c>
      <c r="R107" s="16">
        <v>0.84</v>
      </c>
      <c r="S107" s="13">
        <v>45334</v>
      </c>
      <c r="T107" s="12" t="s">
        <v>231</v>
      </c>
      <c r="U107" s="12" t="s">
        <v>50</v>
      </c>
      <c r="V107" s="13">
        <v>45397</v>
      </c>
      <c r="W107" s="16">
        <v>0.83499999999999996</v>
      </c>
      <c r="X107" s="12" t="s">
        <v>49</v>
      </c>
      <c r="Z107" s="12" t="s">
        <v>50</v>
      </c>
      <c r="AA107" s="12" t="s">
        <v>51</v>
      </c>
      <c r="AB107" s="12" t="s">
        <v>52</v>
      </c>
      <c r="AC107" s="13" t="s">
        <v>454</v>
      </c>
      <c r="AD107" s="16">
        <v>0.81499999999999995</v>
      </c>
      <c r="AE107" s="12" t="s">
        <v>49</v>
      </c>
      <c r="AF107" s="12" t="s">
        <v>50</v>
      </c>
      <c r="AG107" s="12" t="s">
        <v>51</v>
      </c>
      <c r="AH107" s="12" t="s">
        <v>52</v>
      </c>
      <c r="AU107" s="88" t="s">
        <v>53</v>
      </c>
    </row>
    <row r="108" spans="1:47" s="12" customFormat="1" ht="14.4" hidden="1" x14ac:dyDescent="0.3">
      <c r="A108" s="12" t="s">
        <v>39</v>
      </c>
      <c r="B108" s="12" t="s">
        <v>54</v>
      </c>
      <c r="C108" s="12">
        <v>70</v>
      </c>
      <c r="D108" s="12">
        <v>110</v>
      </c>
      <c r="F108" s="12" t="s">
        <v>455</v>
      </c>
      <c r="G108" s="12" t="str">
        <f t="shared" si="3"/>
        <v>7011092512542</v>
      </c>
      <c r="H108" s="12" t="s">
        <v>456</v>
      </c>
      <c r="I108" s="12">
        <v>92512542</v>
      </c>
      <c r="J108" s="12" t="s">
        <v>457</v>
      </c>
      <c r="K108" s="12" t="s">
        <v>230</v>
      </c>
      <c r="L108" s="12" t="s">
        <v>45</v>
      </c>
      <c r="M108" s="12" t="s">
        <v>45</v>
      </c>
      <c r="N108" s="12" t="s">
        <v>432</v>
      </c>
      <c r="O108" s="12" t="s">
        <v>432</v>
      </c>
      <c r="P108" s="88" t="s">
        <v>261</v>
      </c>
      <c r="V108" s="13">
        <v>45373</v>
      </c>
      <c r="W108" s="16">
        <v>0.85</v>
      </c>
      <c r="X108" s="12" t="s">
        <v>49</v>
      </c>
      <c r="Z108" s="12" t="s">
        <v>50</v>
      </c>
      <c r="AA108" s="12" t="s">
        <v>51</v>
      </c>
      <c r="AB108" s="12" t="s">
        <v>52</v>
      </c>
      <c r="AC108" s="13">
        <v>45009</v>
      </c>
      <c r="AD108" s="16">
        <v>0.85499999999999998</v>
      </c>
      <c r="AE108" s="12" t="s">
        <v>49</v>
      </c>
      <c r="AF108" s="12" t="s">
        <v>50</v>
      </c>
      <c r="AG108" s="12" t="s">
        <v>51</v>
      </c>
      <c r="AH108" s="12" t="s">
        <v>52</v>
      </c>
      <c r="AI108" s="13">
        <v>44447</v>
      </c>
      <c r="AJ108" s="16">
        <v>0.70499999999999996</v>
      </c>
      <c r="AK108" s="13" t="s">
        <v>49</v>
      </c>
      <c r="AL108" s="12" t="s">
        <v>60</v>
      </c>
      <c r="AM108" s="12" t="s">
        <v>51</v>
      </c>
      <c r="AN108" s="12" t="s">
        <v>51</v>
      </c>
      <c r="AU108" s="88" t="s">
        <v>53</v>
      </c>
    </row>
    <row r="109" spans="1:47" s="12" customFormat="1" ht="14.4" hidden="1" x14ac:dyDescent="0.3">
      <c r="A109" s="12" t="s">
        <v>39</v>
      </c>
      <c r="B109" s="12" t="s">
        <v>54</v>
      </c>
      <c r="C109" s="12">
        <v>70</v>
      </c>
      <c r="D109" s="12">
        <v>110</v>
      </c>
      <c r="F109" s="12" t="s">
        <v>458</v>
      </c>
      <c r="G109" s="12" t="str">
        <f t="shared" si="3"/>
        <v>7011018761843</v>
      </c>
      <c r="H109" s="12" t="s">
        <v>42</v>
      </c>
      <c r="I109" s="15">
        <v>18761843</v>
      </c>
      <c r="J109" s="12" t="s">
        <v>459</v>
      </c>
      <c r="K109" s="12" t="s">
        <v>230</v>
      </c>
      <c r="L109" s="12" t="s">
        <v>45</v>
      </c>
      <c r="M109" s="12" t="s">
        <v>45</v>
      </c>
      <c r="N109" s="12" t="s">
        <v>432</v>
      </c>
      <c r="O109" s="12" t="s">
        <v>432</v>
      </c>
      <c r="P109" s="88" t="s">
        <v>261</v>
      </c>
      <c r="V109" s="13">
        <v>45608</v>
      </c>
      <c r="W109" s="16">
        <v>0.86499999999999999</v>
      </c>
      <c r="X109" s="12" t="s">
        <v>49</v>
      </c>
      <c r="Z109" s="12" t="s">
        <v>50</v>
      </c>
      <c r="AA109" s="12" t="s">
        <v>51</v>
      </c>
      <c r="AB109" s="12" t="s">
        <v>52</v>
      </c>
      <c r="AC109" s="13">
        <v>45259</v>
      </c>
      <c r="AD109" s="16">
        <v>0.76</v>
      </c>
      <c r="AE109" s="12" t="s">
        <v>49</v>
      </c>
      <c r="AF109" s="12" t="s">
        <v>50</v>
      </c>
      <c r="AG109" s="12" t="s">
        <v>51</v>
      </c>
      <c r="AH109" s="12" t="s">
        <v>52</v>
      </c>
      <c r="AU109" s="88" t="s">
        <v>53</v>
      </c>
    </row>
    <row r="110" spans="1:47" s="12" customFormat="1" ht="14.4" hidden="1" x14ac:dyDescent="0.3">
      <c r="A110" s="12" t="s">
        <v>39</v>
      </c>
      <c r="B110" s="12" t="s">
        <v>54</v>
      </c>
      <c r="C110" s="12">
        <v>70</v>
      </c>
      <c r="D110" s="12">
        <v>110</v>
      </c>
      <c r="F110" s="12" t="s">
        <v>460</v>
      </c>
      <c r="G110" s="12" t="str">
        <f t="shared" si="3"/>
        <v>70110332393339</v>
      </c>
      <c r="H110" s="12" t="s">
        <v>461</v>
      </c>
      <c r="I110" s="15">
        <v>332393339</v>
      </c>
      <c r="J110" s="12" t="s">
        <v>462</v>
      </c>
      <c r="K110" s="12" t="s">
        <v>133</v>
      </c>
      <c r="L110" s="12">
        <v>3116293702</v>
      </c>
      <c r="M110" s="12" t="s">
        <v>463</v>
      </c>
      <c r="N110" s="12" t="s">
        <v>432</v>
      </c>
      <c r="O110" s="12" t="s">
        <v>432</v>
      </c>
      <c r="P110" s="88" t="s">
        <v>261</v>
      </c>
      <c r="Q110" s="13">
        <v>45356</v>
      </c>
      <c r="R110" s="16">
        <v>0.82</v>
      </c>
      <c r="S110" s="12" t="s">
        <v>49</v>
      </c>
      <c r="T110" s="12" t="s">
        <v>464</v>
      </c>
      <c r="U110" s="12" t="s">
        <v>50</v>
      </c>
      <c r="V110" s="13" t="s">
        <v>465</v>
      </c>
      <c r="W110" s="16">
        <v>0.82499999999999996</v>
      </c>
      <c r="X110" s="12" t="s">
        <v>49</v>
      </c>
      <c r="Z110" s="12" t="s">
        <v>50</v>
      </c>
      <c r="AA110" s="12" t="s">
        <v>52</v>
      </c>
      <c r="AU110" s="88" t="s">
        <v>53</v>
      </c>
    </row>
    <row r="111" spans="1:47" s="12" customFormat="1" ht="14.4" hidden="1" x14ac:dyDescent="0.3">
      <c r="A111" s="12" t="s">
        <v>39</v>
      </c>
      <c r="B111" s="12" t="s">
        <v>54</v>
      </c>
      <c r="C111" s="12">
        <v>70</v>
      </c>
      <c r="D111" s="12">
        <v>110</v>
      </c>
      <c r="F111" s="12" t="s">
        <v>466</v>
      </c>
      <c r="G111" s="12" t="str">
        <f t="shared" si="3"/>
        <v>701109128208</v>
      </c>
      <c r="H111" s="12" t="s">
        <v>467</v>
      </c>
      <c r="I111" s="15">
        <v>9128208</v>
      </c>
      <c r="J111" s="12" t="s">
        <v>468</v>
      </c>
      <c r="K111" s="12" t="s">
        <v>230</v>
      </c>
      <c r="L111" s="12" t="s">
        <v>45</v>
      </c>
      <c r="M111" s="12" t="s">
        <v>45</v>
      </c>
      <c r="N111" s="12" t="s">
        <v>432</v>
      </c>
      <c r="O111" s="12" t="s">
        <v>432</v>
      </c>
      <c r="P111" s="88" t="s">
        <v>261</v>
      </c>
      <c r="V111" s="13">
        <v>45610</v>
      </c>
      <c r="W111" s="16">
        <v>0.89</v>
      </c>
      <c r="X111" s="12" t="s">
        <v>49</v>
      </c>
      <c r="Z111" s="12" t="s">
        <v>50</v>
      </c>
      <c r="AA111" s="12" t="s">
        <v>51</v>
      </c>
      <c r="AB111" s="12" t="s">
        <v>52</v>
      </c>
      <c r="AC111" s="13">
        <v>45252</v>
      </c>
      <c r="AD111" s="16">
        <v>0.90500000000000003</v>
      </c>
      <c r="AE111" s="12" t="s">
        <v>210</v>
      </c>
      <c r="AF111" s="12" t="s">
        <v>50</v>
      </c>
      <c r="AG111" s="12" t="s">
        <v>51</v>
      </c>
      <c r="AH111" s="12" t="s">
        <v>52</v>
      </c>
      <c r="AI111" s="13">
        <v>43321</v>
      </c>
      <c r="AJ111" s="16">
        <v>0.87</v>
      </c>
      <c r="AK111" s="13" t="s">
        <v>49</v>
      </c>
      <c r="AL111" s="12" t="s">
        <v>60</v>
      </c>
      <c r="AM111" s="12" t="s">
        <v>51</v>
      </c>
      <c r="AN111" s="12" t="s">
        <v>51</v>
      </c>
      <c r="AU111" s="88" t="s">
        <v>53</v>
      </c>
    </row>
    <row r="112" spans="1:47" s="12" customFormat="1" ht="14.4" hidden="1" x14ac:dyDescent="0.3">
      <c r="A112" s="12" t="s">
        <v>39</v>
      </c>
      <c r="B112" s="12" t="s">
        <v>54</v>
      </c>
      <c r="C112" s="12">
        <v>70</v>
      </c>
      <c r="D112" s="12">
        <v>110</v>
      </c>
      <c r="F112" s="12" t="s">
        <v>469</v>
      </c>
      <c r="G112" s="12" t="str">
        <f t="shared" si="3"/>
        <v>7011010053871277</v>
      </c>
      <c r="H112" s="12" t="s">
        <v>470</v>
      </c>
      <c r="I112" s="15">
        <v>10053871277</v>
      </c>
      <c r="J112" s="12" t="s">
        <v>471</v>
      </c>
      <c r="K112" s="12" t="s">
        <v>133</v>
      </c>
      <c r="L112" s="12">
        <v>3007019895</v>
      </c>
      <c r="M112" s="12" t="s">
        <v>472</v>
      </c>
      <c r="N112" s="12" t="s">
        <v>432</v>
      </c>
      <c r="O112" s="12" t="s">
        <v>432</v>
      </c>
      <c r="P112" s="88" t="s">
        <v>261</v>
      </c>
      <c r="Q112" s="12" t="s">
        <v>473</v>
      </c>
      <c r="R112" s="18">
        <v>0.73499999999999999</v>
      </c>
      <c r="S112" s="12" t="s">
        <v>7696</v>
      </c>
      <c r="T112" s="12" t="s">
        <v>231</v>
      </c>
      <c r="U112" s="12" t="s">
        <v>50</v>
      </c>
      <c r="V112" s="13">
        <v>45519</v>
      </c>
      <c r="W112" s="16">
        <v>0.90500000000000003</v>
      </c>
      <c r="X112" s="12" t="s">
        <v>210</v>
      </c>
      <c r="Z112" s="12" t="s">
        <v>50</v>
      </c>
      <c r="AA112" s="12" t="s">
        <v>51</v>
      </c>
      <c r="AB112" s="12" t="s">
        <v>52</v>
      </c>
      <c r="AC112" s="13">
        <v>45190</v>
      </c>
      <c r="AD112" s="16">
        <v>0.89</v>
      </c>
      <c r="AE112" s="12" t="s">
        <v>49</v>
      </c>
      <c r="AF112" s="12" t="s">
        <v>50</v>
      </c>
      <c r="AG112" s="12" t="s">
        <v>51</v>
      </c>
      <c r="AH112" s="12" t="s">
        <v>52</v>
      </c>
      <c r="AU112" s="88" t="s">
        <v>53</v>
      </c>
    </row>
    <row r="113" spans="1:53" s="12" customFormat="1" ht="14.4" hidden="1" x14ac:dyDescent="0.3">
      <c r="A113" s="12" t="s">
        <v>39</v>
      </c>
      <c r="B113" s="12" t="s">
        <v>54</v>
      </c>
      <c r="C113" s="12">
        <v>70</v>
      </c>
      <c r="D113" s="12">
        <v>110</v>
      </c>
      <c r="F113" s="12" t="s">
        <v>474</v>
      </c>
      <c r="G113" s="12" t="str">
        <f t="shared" si="3"/>
        <v>70110NO REGISTRA</v>
      </c>
      <c r="H113" s="12" t="s">
        <v>475</v>
      </c>
      <c r="I113" s="15" t="s">
        <v>45</v>
      </c>
      <c r="J113" s="12" t="s">
        <v>476</v>
      </c>
      <c r="K113" s="12" t="s">
        <v>230</v>
      </c>
      <c r="L113" s="12" t="s">
        <v>45</v>
      </c>
      <c r="M113" s="12" t="s">
        <v>45</v>
      </c>
      <c r="N113" s="12" t="s">
        <v>432</v>
      </c>
      <c r="O113" s="12" t="s">
        <v>432</v>
      </c>
      <c r="P113" s="88" t="s">
        <v>261</v>
      </c>
      <c r="Q113" s="13">
        <v>45567</v>
      </c>
      <c r="R113" s="16">
        <v>0.70750000000000002</v>
      </c>
      <c r="S113" s="12" t="s">
        <v>49</v>
      </c>
      <c r="U113" s="12" t="s">
        <v>50</v>
      </c>
      <c r="V113" s="13">
        <v>45133</v>
      </c>
      <c r="W113" s="16">
        <v>0.78500000000000003</v>
      </c>
      <c r="X113" s="12" t="s">
        <v>49</v>
      </c>
      <c r="Z113" s="12" t="s">
        <v>50</v>
      </c>
      <c r="AA113" s="12" t="s">
        <v>51</v>
      </c>
      <c r="AB113" s="12" t="s">
        <v>52</v>
      </c>
      <c r="AU113" s="88" t="s">
        <v>53</v>
      </c>
    </row>
    <row r="114" spans="1:53" s="12" customFormat="1" ht="14.4" hidden="1" x14ac:dyDescent="0.3">
      <c r="A114" s="12" t="s">
        <v>39</v>
      </c>
      <c r="B114" s="12" t="s">
        <v>54</v>
      </c>
      <c r="C114" s="12">
        <v>70</v>
      </c>
      <c r="D114" s="12">
        <v>110</v>
      </c>
      <c r="F114" s="12" t="s">
        <v>7701</v>
      </c>
      <c r="G114" s="12" t="str">
        <f t="shared" si="3"/>
        <v>7011018762247</v>
      </c>
      <c r="H114" s="12" t="s">
        <v>477</v>
      </c>
      <c r="I114" s="15">
        <v>18762247</v>
      </c>
      <c r="J114" s="12" t="s">
        <v>478</v>
      </c>
      <c r="K114" s="12" t="s">
        <v>230</v>
      </c>
      <c r="L114" s="12">
        <v>3043452331</v>
      </c>
      <c r="M114" s="12" t="s">
        <v>7702</v>
      </c>
      <c r="N114" s="12" t="s">
        <v>432</v>
      </c>
      <c r="O114" s="12" t="s">
        <v>432</v>
      </c>
      <c r="P114" s="88" t="s">
        <v>261</v>
      </c>
      <c r="Q114" s="13">
        <v>45979</v>
      </c>
      <c r="R114" s="16">
        <v>0.81</v>
      </c>
      <c r="S114" s="12" t="s">
        <v>49</v>
      </c>
      <c r="U114" s="12" t="s">
        <v>50</v>
      </c>
      <c r="V114" s="13">
        <v>45589</v>
      </c>
      <c r="W114" s="16">
        <v>0.72</v>
      </c>
      <c r="X114" s="12" t="s">
        <v>49</v>
      </c>
      <c r="Z114" s="12" t="s">
        <v>50</v>
      </c>
      <c r="AA114" s="12" t="s">
        <v>51</v>
      </c>
      <c r="AB114" s="12" t="s">
        <v>52</v>
      </c>
      <c r="AC114" s="13">
        <v>45155</v>
      </c>
      <c r="AD114" s="16">
        <v>0.85499999999999998</v>
      </c>
      <c r="AE114" s="12" t="s">
        <v>49</v>
      </c>
      <c r="AU114" s="88" t="s">
        <v>53</v>
      </c>
    </row>
    <row r="115" spans="1:53" s="12" customFormat="1" ht="14.4" hidden="1" x14ac:dyDescent="0.3">
      <c r="A115" s="12" t="s">
        <v>39</v>
      </c>
      <c r="B115" s="12" t="s">
        <v>54</v>
      </c>
      <c r="C115" s="12">
        <v>70</v>
      </c>
      <c r="D115" s="12">
        <v>110</v>
      </c>
      <c r="F115" s="12" t="s">
        <v>479</v>
      </c>
      <c r="G115" s="12" t="str">
        <f t="shared" si="3"/>
        <v>7011018760123</v>
      </c>
      <c r="H115" s="12" t="s">
        <v>480</v>
      </c>
      <c r="I115" s="15">
        <v>18760123</v>
      </c>
      <c r="J115" s="12" t="s">
        <v>481</v>
      </c>
      <c r="K115" s="12" t="s">
        <v>230</v>
      </c>
      <c r="L115" s="12" t="s">
        <v>45</v>
      </c>
      <c r="M115" s="12" t="s">
        <v>45</v>
      </c>
      <c r="N115" s="12" t="s">
        <v>432</v>
      </c>
      <c r="O115" s="12" t="s">
        <v>432</v>
      </c>
      <c r="P115" s="88" t="s">
        <v>261</v>
      </c>
      <c r="Q115" s="13">
        <v>45513</v>
      </c>
      <c r="R115" s="16">
        <v>0.91</v>
      </c>
      <c r="S115" s="12" t="s">
        <v>210</v>
      </c>
      <c r="U115" s="12" t="s">
        <v>50</v>
      </c>
      <c r="V115" s="13">
        <v>45152</v>
      </c>
      <c r="W115" s="16">
        <v>0.86499999999999999</v>
      </c>
      <c r="X115" s="12" t="s">
        <v>49</v>
      </c>
      <c r="Z115" s="12" t="s">
        <v>50</v>
      </c>
      <c r="AA115" s="12" t="s">
        <v>51</v>
      </c>
      <c r="AB115" s="12" t="s">
        <v>52</v>
      </c>
      <c r="AU115" s="88" t="s">
        <v>53</v>
      </c>
    </row>
    <row r="116" spans="1:53" s="12" customFormat="1" ht="14.4" hidden="1" x14ac:dyDescent="0.3">
      <c r="A116" s="12" t="s">
        <v>39</v>
      </c>
      <c r="B116" s="12" t="s">
        <v>54</v>
      </c>
      <c r="C116" s="12">
        <v>70</v>
      </c>
      <c r="D116" s="12">
        <v>110</v>
      </c>
      <c r="F116" s="12" t="s">
        <v>482</v>
      </c>
      <c r="G116" s="12" t="str">
        <f t="shared" si="3"/>
        <v>7011018762646</v>
      </c>
      <c r="H116" s="12" t="s">
        <v>483</v>
      </c>
      <c r="I116" s="15">
        <v>18762646</v>
      </c>
      <c r="J116" s="12" t="s">
        <v>484</v>
      </c>
      <c r="K116" s="12" t="s">
        <v>230</v>
      </c>
      <c r="L116" s="12" t="s">
        <v>193</v>
      </c>
      <c r="M116" s="12" t="s">
        <v>45</v>
      </c>
      <c r="N116" s="12" t="s">
        <v>432</v>
      </c>
      <c r="O116" s="12" t="s">
        <v>432</v>
      </c>
      <c r="P116" s="88" t="s">
        <v>261</v>
      </c>
      <c r="Q116" s="13">
        <v>45567</v>
      </c>
      <c r="R116" s="16">
        <v>0.65500000000000003</v>
      </c>
      <c r="S116" s="12" t="s">
        <v>49</v>
      </c>
      <c r="U116" s="12" t="s">
        <v>50</v>
      </c>
      <c r="V116" s="13">
        <v>45149</v>
      </c>
      <c r="W116" s="16">
        <v>0.90500000000000003</v>
      </c>
      <c r="X116" s="12" t="s">
        <v>210</v>
      </c>
      <c r="Z116" s="12" t="s">
        <v>50</v>
      </c>
      <c r="AA116" s="12" t="s">
        <v>51</v>
      </c>
      <c r="AB116" s="12" t="s">
        <v>52</v>
      </c>
      <c r="AU116" s="88" t="s">
        <v>53</v>
      </c>
    </row>
    <row r="117" spans="1:53" s="12" customFormat="1" ht="14.4" hidden="1" x14ac:dyDescent="0.3">
      <c r="A117" s="12" t="s">
        <v>39</v>
      </c>
      <c r="B117" s="12" t="s">
        <v>54</v>
      </c>
      <c r="C117" s="12">
        <v>70</v>
      </c>
      <c r="D117" s="12">
        <v>110</v>
      </c>
      <c r="F117" s="12" t="s">
        <v>485</v>
      </c>
      <c r="G117" s="12" t="str">
        <f t="shared" si="3"/>
        <v>701101099963072</v>
      </c>
      <c r="H117" s="12" t="s">
        <v>486</v>
      </c>
      <c r="I117" s="15">
        <v>1099963072</v>
      </c>
      <c r="J117" s="12" t="s">
        <v>487</v>
      </c>
      <c r="K117" s="12" t="s">
        <v>133</v>
      </c>
      <c r="L117" s="12" t="s">
        <v>45</v>
      </c>
      <c r="M117" s="12" t="s">
        <v>45</v>
      </c>
      <c r="N117" s="12" t="s">
        <v>432</v>
      </c>
      <c r="O117" s="12" t="s">
        <v>432</v>
      </c>
      <c r="P117" s="88" t="s">
        <v>261</v>
      </c>
      <c r="Q117" s="13">
        <v>45517</v>
      </c>
      <c r="R117" s="16">
        <v>0.86499999999999999</v>
      </c>
      <c r="S117" s="12" t="s">
        <v>49</v>
      </c>
      <c r="U117" s="12" t="s">
        <v>50</v>
      </c>
      <c r="V117" s="13">
        <v>45148</v>
      </c>
      <c r="W117" s="16">
        <v>0.85</v>
      </c>
      <c r="X117" s="12" t="s">
        <v>49</v>
      </c>
      <c r="Z117" s="12" t="s">
        <v>50</v>
      </c>
      <c r="AA117" s="12" t="s">
        <v>51</v>
      </c>
      <c r="AB117" s="12" t="s">
        <v>52</v>
      </c>
      <c r="AC117" s="13">
        <v>44404</v>
      </c>
      <c r="AD117" s="16">
        <v>0.7</v>
      </c>
      <c r="AE117" s="13" t="s">
        <v>49</v>
      </c>
      <c r="AF117" s="12" t="s">
        <v>60</v>
      </c>
      <c r="AG117" s="12" t="s">
        <v>51</v>
      </c>
      <c r="AH117" s="12" t="s">
        <v>51</v>
      </c>
      <c r="AU117" s="88" t="s">
        <v>53</v>
      </c>
    </row>
    <row r="118" spans="1:53" s="12" customFormat="1" ht="14.4" hidden="1" x14ac:dyDescent="0.3">
      <c r="A118" s="12" t="s">
        <v>39</v>
      </c>
      <c r="B118" s="12" t="s">
        <v>54</v>
      </c>
      <c r="C118" s="12">
        <v>70</v>
      </c>
      <c r="D118" s="12">
        <v>110</v>
      </c>
      <c r="F118" s="12" t="s">
        <v>488</v>
      </c>
      <c r="G118" s="12" t="str">
        <f t="shared" si="3"/>
        <v>7011018761712</v>
      </c>
      <c r="H118" s="12" t="s">
        <v>489</v>
      </c>
      <c r="I118" s="15">
        <v>18761712</v>
      </c>
      <c r="J118" s="12" t="s">
        <v>490</v>
      </c>
      <c r="K118" s="12" t="s">
        <v>133</v>
      </c>
      <c r="L118" s="12" t="s">
        <v>45</v>
      </c>
      <c r="M118" s="12" t="s">
        <v>45</v>
      </c>
      <c r="N118" s="12" t="s">
        <v>432</v>
      </c>
      <c r="O118" s="12" t="s">
        <v>432</v>
      </c>
      <c r="P118" s="88" t="s">
        <v>261</v>
      </c>
      <c r="Q118" s="13">
        <v>45517</v>
      </c>
      <c r="R118" s="16">
        <v>0.85499999999999998</v>
      </c>
      <c r="S118" s="12" t="s">
        <v>49</v>
      </c>
      <c r="U118" s="12" t="s">
        <v>50</v>
      </c>
      <c r="V118" s="13">
        <v>45148</v>
      </c>
      <c r="W118" s="16">
        <v>0.90500000000000003</v>
      </c>
      <c r="X118" s="12" t="s">
        <v>210</v>
      </c>
      <c r="Z118" s="12" t="s">
        <v>50</v>
      </c>
      <c r="AA118" s="12" t="s">
        <v>51</v>
      </c>
      <c r="AB118" s="12" t="s">
        <v>52</v>
      </c>
      <c r="AU118" s="88" t="s">
        <v>53</v>
      </c>
    </row>
    <row r="119" spans="1:53" s="12" customFormat="1" ht="14.4" hidden="1" x14ac:dyDescent="0.3">
      <c r="A119" s="12" t="s">
        <v>39</v>
      </c>
      <c r="B119" s="12" t="s">
        <v>54</v>
      </c>
      <c r="C119" s="12">
        <v>70</v>
      </c>
      <c r="D119" s="12">
        <v>110</v>
      </c>
      <c r="F119" s="12" t="s">
        <v>491</v>
      </c>
      <c r="G119" s="12" t="str">
        <f t="shared" si="3"/>
        <v>7011034165</v>
      </c>
      <c r="H119" s="12" t="s">
        <v>492</v>
      </c>
      <c r="I119" s="15">
        <v>34165</v>
      </c>
      <c r="J119" s="12" t="s">
        <v>493</v>
      </c>
      <c r="K119" s="12" t="s">
        <v>230</v>
      </c>
      <c r="L119" s="12" t="s">
        <v>45</v>
      </c>
      <c r="M119" s="12" t="s">
        <v>45</v>
      </c>
      <c r="N119" s="12" t="s">
        <v>432</v>
      </c>
      <c r="O119" s="12" t="s">
        <v>432</v>
      </c>
      <c r="P119" s="88" t="s">
        <v>261</v>
      </c>
      <c r="Q119" s="13">
        <v>45568</v>
      </c>
      <c r="R119" s="16">
        <v>0.71250000000000002</v>
      </c>
      <c r="S119" s="12" t="s">
        <v>49</v>
      </c>
      <c r="U119" s="12" t="s">
        <v>50</v>
      </c>
      <c r="V119" s="13">
        <v>45147</v>
      </c>
      <c r="W119" s="16">
        <v>0.85</v>
      </c>
      <c r="X119" s="12" t="s">
        <v>49</v>
      </c>
      <c r="Z119" s="12" t="s">
        <v>50</v>
      </c>
      <c r="AA119" s="12" t="s">
        <v>51</v>
      </c>
      <c r="AB119" s="12" t="s">
        <v>52</v>
      </c>
      <c r="AU119" s="88" t="s">
        <v>53</v>
      </c>
    </row>
    <row r="120" spans="1:53" s="12" customFormat="1" ht="14.4" hidden="1" x14ac:dyDescent="0.3">
      <c r="A120" s="12" t="s">
        <v>39</v>
      </c>
      <c r="B120" s="12" t="s">
        <v>54</v>
      </c>
      <c r="C120" s="12">
        <v>70</v>
      </c>
      <c r="D120" s="12">
        <v>110</v>
      </c>
      <c r="F120" s="12" t="s">
        <v>7703</v>
      </c>
      <c r="G120" s="12" t="str">
        <f t="shared" si="3"/>
        <v>701101099962288</v>
      </c>
      <c r="H120" s="12" t="s">
        <v>7704</v>
      </c>
      <c r="I120" s="12">
        <v>1099962288</v>
      </c>
      <c r="J120" s="12" t="s">
        <v>7705</v>
      </c>
      <c r="K120" s="12" t="s">
        <v>44</v>
      </c>
      <c r="L120" s="12">
        <v>3045934100</v>
      </c>
      <c r="M120" s="12" t="s">
        <v>7706</v>
      </c>
      <c r="N120" s="12" t="s">
        <v>432</v>
      </c>
      <c r="O120" s="12" t="s">
        <v>432</v>
      </c>
      <c r="P120" s="88" t="s">
        <v>261</v>
      </c>
      <c r="Q120" s="13">
        <v>45972</v>
      </c>
      <c r="R120" s="16">
        <v>0.84</v>
      </c>
      <c r="S120" s="12" t="s">
        <v>49</v>
      </c>
      <c r="U120" s="12" t="s">
        <v>60</v>
      </c>
      <c r="V120" s="13"/>
      <c r="W120" s="16"/>
      <c r="AU120" s="88"/>
    </row>
    <row r="121" spans="1:53" s="12" customFormat="1" ht="14.4" hidden="1" x14ac:dyDescent="0.3">
      <c r="A121" s="12" t="s">
        <v>39</v>
      </c>
      <c r="B121" s="12" t="s">
        <v>54</v>
      </c>
      <c r="C121" s="12">
        <v>70</v>
      </c>
      <c r="D121" s="12">
        <v>110</v>
      </c>
      <c r="F121" s="12" t="s">
        <v>494</v>
      </c>
      <c r="G121" s="12" t="str">
        <f t="shared" si="3"/>
        <v>7011018760976</v>
      </c>
      <c r="H121" s="12" t="s">
        <v>495</v>
      </c>
      <c r="I121" s="15">
        <v>18760976</v>
      </c>
      <c r="J121" s="12" t="s">
        <v>496</v>
      </c>
      <c r="K121" s="12" t="s">
        <v>230</v>
      </c>
      <c r="L121" s="12" t="s">
        <v>45</v>
      </c>
      <c r="M121" s="12" t="s">
        <v>45</v>
      </c>
      <c r="N121" s="12" t="s">
        <v>7648</v>
      </c>
      <c r="O121" s="12" t="s">
        <v>7653</v>
      </c>
      <c r="P121" s="88" t="s">
        <v>102</v>
      </c>
      <c r="Q121" s="13">
        <v>45387</v>
      </c>
      <c r="R121" s="16">
        <v>0.755</v>
      </c>
      <c r="S121" s="12" t="s">
        <v>49</v>
      </c>
      <c r="U121" s="12" t="s">
        <v>50</v>
      </c>
      <c r="V121" s="13">
        <v>45015</v>
      </c>
      <c r="W121" s="16">
        <v>0.85</v>
      </c>
      <c r="X121" s="12" t="s">
        <v>49</v>
      </c>
      <c r="Z121" s="12" t="s">
        <v>50</v>
      </c>
      <c r="AA121" s="12" t="s">
        <v>51</v>
      </c>
      <c r="AB121" s="12" t="s">
        <v>52</v>
      </c>
      <c r="AU121" s="88" t="s">
        <v>53</v>
      </c>
    </row>
    <row r="122" spans="1:53" s="12" customFormat="1" ht="14.4" hidden="1" x14ac:dyDescent="0.3">
      <c r="A122" s="12" t="s">
        <v>39</v>
      </c>
      <c r="B122" s="12" t="s">
        <v>54</v>
      </c>
      <c r="C122" s="12">
        <v>70</v>
      </c>
      <c r="D122" s="12">
        <v>110</v>
      </c>
      <c r="F122" s="12" t="s">
        <v>497</v>
      </c>
      <c r="G122" s="12" t="str">
        <f t="shared" si="3"/>
        <v>7011018761424</v>
      </c>
      <c r="H122" s="12" t="s">
        <v>498</v>
      </c>
      <c r="I122" s="15">
        <v>18761424</v>
      </c>
      <c r="J122" s="12" t="s">
        <v>499</v>
      </c>
      <c r="K122" s="12" t="s">
        <v>230</v>
      </c>
      <c r="L122" s="12" t="s">
        <v>45</v>
      </c>
      <c r="M122" s="12" t="s">
        <v>45</v>
      </c>
      <c r="N122" s="12" t="s">
        <v>7648</v>
      </c>
      <c r="O122" s="12" t="s">
        <v>7653</v>
      </c>
      <c r="P122" s="88" t="s">
        <v>102</v>
      </c>
      <c r="Q122" s="13">
        <v>45539</v>
      </c>
      <c r="R122" s="16">
        <v>0.61499999999999999</v>
      </c>
      <c r="S122" s="12" t="s">
        <v>49</v>
      </c>
      <c r="U122" s="12" t="s">
        <v>50</v>
      </c>
      <c r="V122" s="13">
        <v>45085</v>
      </c>
      <c r="W122" s="16">
        <v>0.75</v>
      </c>
      <c r="X122" s="12" t="s">
        <v>49</v>
      </c>
      <c r="Z122" s="12" t="s">
        <v>50</v>
      </c>
      <c r="AA122" s="12" t="s">
        <v>51</v>
      </c>
      <c r="AB122" s="12" t="s">
        <v>52</v>
      </c>
      <c r="AU122" s="88" t="s">
        <v>53</v>
      </c>
    </row>
    <row r="123" spans="1:53" s="12" customFormat="1" ht="14.4" hidden="1" x14ac:dyDescent="0.3">
      <c r="A123" s="12" t="s">
        <v>39</v>
      </c>
      <c r="B123" s="12" t="s">
        <v>54</v>
      </c>
      <c r="C123" s="12">
        <v>70</v>
      </c>
      <c r="D123" s="12">
        <v>110</v>
      </c>
      <c r="F123" s="12" t="s">
        <v>500</v>
      </c>
      <c r="G123" s="12" t="str">
        <f t="shared" si="3"/>
        <v>7011018761797</v>
      </c>
      <c r="H123" s="12" t="s">
        <v>501</v>
      </c>
      <c r="I123" s="15">
        <v>18761797</v>
      </c>
      <c r="J123" s="12" t="s">
        <v>502</v>
      </c>
      <c r="K123" s="12" t="s">
        <v>230</v>
      </c>
      <c r="L123" s="12" t="s">
        <v>45</v>
      </c>
      <c r="M123" s="12" t="s">
        <v>45</v>
      </c>
      <c r="N123" s="12" t="s">
        <v>7648</v>
      </c>
      <c r="O123" s="12" t="s">
        <v>7653</v>
      </c>
      <c r="P123" s="88" t="s">
        <v>102</v>
      </c>
      <c r="Q123" s="13">
        <v>45496</v>
      </c>
      <c r="R123" s="16">
        <v>0.65249999999999997</v>
      </c>
      <c r="S123" s="12" t="s">
        <v>49</v>
      </c>
      <c r="U123" s="12" t="s">
        <v>50</v>
      </c>
      <c r="V123" s="13">
        <v>45233</v>
      </c>
      <c r="W123" s="16">
        <v>0.82499999999999996</v>
      </c>
      <c r="X123" s="12" t="s">
        <v>49</v>
      </c>
      <c r="Z123" s="12" t="s">
        <v>50</v>
      </c>
      <c r="AA123" s="12" t="s">
        <v>51</v>
      </c>
      <c r="AB123" s="12" t="s">
        <v>52</v>
      </c>
      <c r="AU123" s="88" t="s">
        <v>53</v>
      </c>
    </row>
    <row r="124" spans="1:53" s="12" customFormat="1" ht="14.4" hidden="1" x14ac:dyDescent="0.3">
      <c r="A124" s="12" t="s">
        <v>39</v>
      </c>
      <c r="B124" s="12" t="s">
        <v>54</v>
      </c>
      <c r="C124" s="12">
        <v>70</v>
      </c>
      <c r="D124" s="12">
        <v>110</v>
      </c>
      <c r="F124" s="12" t="s">
        <v>503</v>
      </c>
      <c r="G124" s="12" t="str">
        <f t="shared" si="3"/>
        <v>7011051524</v>
      </c>
      <c r="H124" s="12" t="s">
        <v>504</v>
      </c>
      <c r="I124" s="15">
        <v>51524</v>
      </c>
      <c r="J124" s="12" t="s">
        <v>67</v>
      </c>
      <c r="K124" s="12" t="s">
        <v>230</v>
      </c>
      <c r="L124" s="12" t="s">
        <v>45</v>
      </c>
      <c r="M124" s="12" t="s">
        <v>45</v>
      </c>
      <c r="N124" s="12" t="s">
        <v>7648</v>
      </c>
      <c r="O124" s="12" t="s">
        <v>7653</v>
      </c>
      <c r="P124" s="88" t="s">
        <v>102</v>
      </c>
      <c r="Q124" s="13">
        <v>45568</v>
      </c>
      <c r="R124" s="16">
        <v>0.69499999999999995</v>
      </c>
      <c r="S124" s="12" t="s">
        <v>49</v>
      </c>
      <c r="U124" s="12" t="s">
        <v>50</v>
      </c>
      <c r="V124" s="13">
        <v>45247</v>
      </c>
      <c r="W124" s="16">
        <v>0.77</v>
      </c>
      <c r="X124" s="12" t="s">
        <v>49</v>
      </c>
      <c r="Z124" s="12" t="s">
        <v>50</v>
      </c>
      <c r="AA124" s="12" t="s">
        <v>51</v>
      </c>
      <c r="AB124" s="12" t="s">
        <v>52</v>
      </c>
      <c r="AU124" s="12" t="s">
        <v>53</v>
      </c>
    </row>
    <row r="125" spans="1:53" s="12" customFormat="1" ht="14.4" hidden="1" x14ac:dyDescent="0.3">
      <c r="A125" s="12" t="s">
        <v>39</v>
      </c>
      <c r="B125" s="12" t="s">
        <v>54</v>
      </c>
      <c r="C125" s="12">
        <v>70</v>
      </c>
      <c r="D125" s="12">
        <v>110</v>
      </c>
      <c r="E125" s="12" t="s">
        <v>7660</v>
      </c>
      <c r="F125" s="12" t="s">
        <v>2903</v>
      </c>
      <c r="G125" s="12" t="str">
        <f>C2913&amp;D2913&amp;I125</f>
        <v>8230015081</v>
      </c>
      <c r="H125" s="12" t="s">
        <v>7659</v>
      </c>
      <c r="I125" s="12">
        <v>8230015081</v>
      </c>
      <c r="J125" s="12" t="s">
        <v>7661</v>
      </c>
      <c r="K125" s="12" t="s">
        <v>246</v>
      </c>
      <c r="L125" s="12">
        <v>3107128612</v>
      </c>
      <c r="M125" s="17" t="s">
        <v>220</v>
      </c>
      <c r="N125" s="12" t="s">
        <v>2906</v>
      </c>
      <c r="O125" s="12" t="s">
        <v>7652</v>
      </c>
      <c r="P125" s="12" t="s">
        <v>80</v>
      </c>
      <c r="Q125" s="13">
        <v>45741</v>
      </c>
      <c r="R125" s="16">
        <v>0.95</v>
      </c>
      <c r="S125" s="12" t="s">
        <v>49</v>
      </c>
      <c r="T125" s="12" t="s">
        <v>7662</v>
      </c>
      <c r="U125" s="12" t="s">
        <v>2456</v>
      </c>
      <c r="V125" s="13"/>
      <c r="W125" s="16"/>
      <c r="AU125" s="12" t="s">
        <v>53</v>
      </c>
    </row>
    <row r="126" spans="1:53" s="12" customFormat="1" ht="14.4" hidden="1" x14ac:dyDescent="0.3">
      <c r="A126" s="12" t="s">
        <v>39</v>
      </c>
      <c r="B126" s="12" t="s">
        <v>54</v>
      </c>
      <c r="C126" s="12">
        <v>70</v>
      </c>
      <c r="D126" s="12">
        <v>110</v>
      </c>
      <c r="E126" s="12" t="s">
        <v>831</v>
      </c>
      <c r="F126" s="12" t="s">
        <v>7665</v>
      </c>
      <c r="G126" s="12" t="str">
        <f>C2914&amp;D2914&amp;I126</f>
        <v>8305071039</v>
      </c>
      <c r="H126" s="12" t="s">
        <v>7666</v>
      </c>
      <c r="I126" s="12">
        <v>8305071039</v>
      </c>
      <c r="J126" s="12" t="s">
        <v>7667</v>
      </c>
      <c r="K126" s="12" t="s">
        <v>230</v>
      </c>
      <c r="L126" s="12">
        <v>3128038861</v>
      </c>
      <c r="M126" s="17" t="s">
        <v>207</v>
      </c>
      <c r="N126" s="12" t="s">
        <v>2906</v>
      </c>
      <c r="O126" s="12" t="s">
        <v>9014</v>
      </c>
      <c r="P126" s="12" t="s">
        <v>80</v>
      </c>
      <c r="Q126" s="13">
        <v>45804</v>
      </c>
      <c r="R126" s="12" t="s">
        <v>146</v>
      </c>
      <c r="S126" s="12" t="s">
        <v>49</v>
      </c>
      <c r="T126" s="12" t="s">
        <v>7662</v>
      </c>
      <c r="U126" s="12" t="s">
        <v>2456</v>
      </c>
      <c r="V126" s="13"/>
      <c r="W126" s="16"/>
      <c r="AU126" s="12" t="s">
        <v>53</v>
      </c>
      <c r="AX126" s="12" t="s">
        <v>1920</v>
      </c>
      <c r="AZ126" s="12" t="s">
        <v>7668</v>
      </c>
    </row>
    <row r="127" spans="1:53" s="35" customFormat="1" ht="15" hidden="1" customHeight="1" x14ac:dyDescent="0.3">
      <c r="A127" s="27" t="s">
        <v>505</v>
      </c>
      <c r="B127" s="27" t="s">
        <v>506</v>
      </c>
      <c r="C127" s="27">
        <v>70</v>
      </c>
      <c r="D127" s="27">
        <v>124</v>
      </c>
      <c r="E127" s="27" t="s">
        <v>507</v>
      </c>
      <c r="F127" s="28" t="s">
        <v>508</v>
      </c>
      <c r="G127" s="29" t="str">
        <f t="shared" ref="G127:G196" si="4">C127&amp;D127&amp;I127</f>
        <v>7012411040823-6</v>
      </c>
      <c r="H127" s="27" t="s">
        <v>509</v>
      </c>
      <c r="I127" s="27" t="s">
        <v>510</v>
      </c>
      <c r="J127" s="27" t="s">
        <v>511</v>
      </c>
      <c r="K127" s="27" t="s">
        <v>230</v>
      </c>
      <c r="L127" s="27" t="s">
        <v>45</v>
      </c>
      <c r="M127" s="28" t="s">
        <v>45</v>
      </c>
      <c r="N127" s="12" t="s">
        <v>259</v>
      </c>
      <c r="O127" s="12" t="s">
        <v>260</v>
      </c>
      <c r="P127" s="177" t="s">
        <v>80</v>
      </c>
      <c r="Q127" s="27" t="s">
        <v>512</v>
      </c>
      <c r="R127" s="30">
        <v>0.89</v>
      </c>
      <c r="S127" s="29" t="s">
        <v>49</v>
      </c>
      <c r="T127" s="27" t="s">
        <v>507</v>
      </c>
      <c r="U127" s="27" t="s">
        <v>507</v>
      </c>
      <c r="V127" s="31">
        <v>45118</v>
      </c>
      <c r="W127" s="30">
        <v>0.82</v>
      </c>
      <c r="X127" s="29" t="s">
        <v>49</v>
      </c>
      <c r="Y127" s="29" t="s">
        <v>507</v>
      </c>
      <c r="Z127" s="27" t="s">
        <v>507</v>
      </c>
      <c r="AA127" s="27" t="s">
        <v>507</v>
      </c>
      <c r="AB127" s="27" t="s">
        <v>507</v>
      </c>
      <c r="AC127" s="31">
        <v>45111</v>
      </c>
      <c r="AD127" s="30">
        <v>0.68</v>
      </c>
      <c r="AE127" s="27" t="s">
        <v>49</v>
      </c>
      <c r="AG127" s="27" t="s">
        <v>507</v>
      </c>
      <c r="AH127" s="27" t="s">
        <v>507</v>
      </c>
      <c r="AI127" s="27" t="s">
        <v>507</v>
      </c>
      <c r="AJ127" s="27" t="s">
        <v>507</v>
      </c>
      <c r="AK127" s="29" t="s">
        <v>507</v>
      </c>
      <c r="AL127" s="27" t="s">
        <v>507</v>
      </c>
      <c r="AM127" s="27" t="s">
        <v>507</v>
      </c>
      <c r="AN127" s="27" t="s">
        <v>507</v>
      </c>
      <c r="AO127" s="27" t="s">
        <v>507</v>
      </c>
      <c r="AP127" s="27" t="s">
        <v>507</v>
      </c>
      <c r="AQ127" s="27" t="s">
        <v>507</v>
      </c>
      <c r="AR127" s="27" t="s">
        <v>507</v>
      </c>
      <c r="AS127" s="27" t="s">
        <v>507</v>
      </c>
      <c r="AT127" s="27" t="s">
        <v>507</v>
      </c>
      <c r="AU127" s="32" t="s">
        <v>53</v>
      </c>
      <c r="AV127" s="27" t="s">
        <v>507</v>
      </c>
      <c r="AW127" s="27" t="s">
        <v>507</v>
      </c>
      <c r="AX127" s="27" t="s">
        <v>507</v>
      </c>
      <c r="AY127" s="27" t="s">
        <v>507</v>
      </c>
      <c r="AZ127" s="33" t="s">
        <v>507</v>
      </c>
      <c r="BA127" s="33" t="s">
        <v>507</v>
      </c>
    </row>
    <row r="128" spans="1:53" s="35" customFormat="1" ht="15" hidden="1" customHeight="1" x14ac:dyDescent="0.3">
      <c r="A128" s="27" t="s">
        <v>505</v>
      </c>
      <c r="B128" s="27" t="s">
        <v>506</v>
      </c>
      <c r="C128" s="27">
        <v>70</v>
      </c>
      <c r="D128" s="27">
        <v>124</v>
      </c>
      <c r="E128" s="27" t="s">
        <v>507</v>
      </c>
      <c r="F128" s="28" t="s">
        <v>513</v>
      </c>
      <c r="G128" s="29" t="str">
        <f t="shared" si="4"/>
        <v>7012411040061</v>
      </c>
      <c r="H128" s="27" t="s">
        <v>514</v>
      </c>
      <c r="I128" s="27">
        <v>11040061</v>
      </c>
      <c r="J128" s="27" t="s">
        <v>515</v>
      </c>
      <c r="K128" s="27" t="s">
        <v>230</v>
      </c>
      <c r="L128" s="27">
        <v>3218995144</v>
      </c>
      <c r="M128" s="28" t="s">
        <v>45</v>
      </c>
      <c r="N128" s="12" t="s">
        <v>259</v>
      </c>
      <c r="O128" s="12" t="s">
        <v>260</v>
      </c>
      <c r="P128" s="177" t="s">
        <v>80</v>
      </c>
      <c r="Q128" s="27" t="s">
        <v>516</v>
      </c>
      <c r="R128" s="30">
        <v>0.82</v>
      </c>
      <c r="S128" s="29" t="s">
        <v>49</v>
      </c>
      <c r="T128" s="27" t="s">
        <v>507</v>
      </c>
      <c r="U128" s="27" t="s">
        <v>507</v>
      </c>
      <c r="V128" s="27" t="s">
        <v>86</v>
      </c>
      <c r="W128" s="30">
        <v>0.82</v>
      </c>
      <c r="X128" s="29" t="s">
        <v>49</v>
      </c>
      <c r="Y128" s="29" t="s">
        <v>507</v>
      </c>
      <c r="Z128" s="27" t="s">
        <v>507</v>
      </c>
      <c r="AA128" s="27" t="s">
        <v>507</v>
      </c>
      <c r="AB128" s="27" t="s">
        <v>507</v>
      </c>
      <c r="AC128" s="27" t="s">
        <v>517</v>
      </c>
      <c r="AD128" s="30">
        <v>0.7</v>
      </c>
      <c r="AE128" s="27" t="s">
        <v>49</v>
      </c>
      <c r="AG128" s="27" t="s">
        <v>507</v>
      </c>
      <c r="AH128" s="27" t="s">
        <v>507</v>
      </c>
      <c r="AI128" s="27" t="s">
        <v>507</v>
      </c>
      <c r="AJ128" s="27" t="s">
        <v>507</v>
      </c>
      <c r="AK128" s="29" t="s">
        <v>507</v>
      </c>
      <c r="AL128" s="27" t="s">
        <v>507</v>
      </c>
      <c r="AM128" s="27" t="s">
        <v>507</v>
      </c>
      <c r="AN128" s="27" t="s">
        <v>507</v>
      </c>
      <c r="AO128" s="27" t="s">
        <v>507</v>
      </c>
      <c r="AP128" s="27" t="s">
        <v>507</v>
      </c>
      <c r="AQ128" s="27" t="s">
        <v>507</v>
      </c>
      <c r="AR128" s="27" t="s">
        <v>507</v>
      </c>
      <c r="AS128" s="27" t="s">
        <v>507</v>
      </c>
      <c r="AT128" s="27" t="s">
        <v>507</v>
      </c>
      <c r="AU128" s="32" t="s">
        <v>53</v>
      </c>
      <c r="AV128" s="27" t="s">
        <v>507</v>
      </c>
      <c r="AW128" s="27" t="s">
        <v>507</v>
      </c>
      <c r="AX128" s="27" t="s">
        <v>507</v>
      </c>
      <c r="AY128" s="27" t="s">
        <v>507</v>
      </c>
      <c r="AZ128" s="33" t="s">
        <v>507</v>
      </c>
      <c r="BA128" s="33" t="s">
        <v>507</v>
      </c>
    </row>
    <row r="129" spans="1:53" s="35" customFormat="1" ht="15" hidden="1" customHeight="1" x14ac:dyDescent="0.3">
      <c r="A129" s="27" t="s">
        <v>505</v>
      </c>
      <c r="B129" s="27" t="s">
        <v>506</v>
      </c>
      <c r="C129" s="27">
        <v>70</v>
      </c>
      <c r="D129" s="27">
        <v>124</v>
      </c>
      <c r="E129" s="27" t="s">
        <v>507</v>
      </c>
      <c r="F129" s="28" t="s">
        <v>518</v>
      </c>
      <c r="G129" s="29" t="str">
        <f t="shared" si="4"/>
        <v>7012411041415</v>
      </c>
      <c r="H129" s="27" t="s">
        <v>519</v>
      </c>
      <c r="I129" s="27">
        <v>11041415</v>
      </c>
      <c r="J129" s="27" t="s">
        <v>520</v>
      </c>
      <c r="K129" s="27" t="s">
        <v>230</v>
      </c>
      <c r="L129" s="27">
        <v>3003030626</v>
      </c>
      <c r="M129" s="28" t="s">
        <v>45</v>
      </c>
      <c r="N129" s="12" t="s">
        <v>46</v>
      </c>
      <c r="O129" s="28" t="s">
        <v>521</v>
      </c>
      <c r="P129" s="177" t="s">
        <v>48</v>
      </c>
      <c r="Q129" s="27" t="s">
        <v>522</v>
      </c>
      <c r="R129" s="30">
        <v>0.8</v>
      </c>
      <c r="S129" s="29" t="s">
        <v>49</v>
      </c>
      <c r="T129" s="27" t="s">
        <v>507</v>
      </c>
      <c r="U129" s="27" t="s">
        <v>507</v>
      </c>
      <c r="V129" s="27" t="s">
        <v>523</v>
      </c>
      <c r="W129" s="30">
        <v>0.82</v>
      </c>
      <c r="X129" s="29" t="s">
        <v>49</v>
      </c>
      <c r="Y129" s="29" t="s">
        <v>507</v>
      </c>
      <c r="Z129" s="27" t="s">
        <v>507</v>
      </c>
      <c r="AA129" s="27" t="s">
        <v>507</v>
      </c>
      <c r="AB129" s="27" t="s">
        <v>507</v>
      </c>
      <c r="AC129" s="27" t="s">
        <v>507</v>
      </c>
      <c r="AD129" s="29" t="s">
        <v>507</v>
      </c>
      <c r="AE129" s="27" t="s">
        <v>507</v>
      </c>
      <c r="AG129" s="27" t="s">
        <v>507</v>
      </c>
      <c r="AH129" s="27" t="s">
        <v>507</v>
      </c>
      <c r="AI129" s="27" t="s">
        <v>507</v>
      </c>
      <c r="AJ129" s="27" t="s">
        <v>507</v>
      </c>
      <c r="AK129" s="29" t="s">
        <v>507</v>
      </c>
      <c r="AL129" s="27" t="s">
        <v>507</v>
      </c>
      <c r="AM129" s="27" t="s">
        <v>507</v>
      </c>
      <c r="AN129" s="27" t="s">
        <v>507</v>
      </c>
      <c r="AO129" s="27" t="s">
        <v>507</v>
      </c>
      <c r="AP129" s="27" t="s">
        <v>507</v>
      </c>
      <c r="AQ129" s="27" t="s">
        <v>507</v>
      </c>
      <c r="AR129" s="27" t="s">
        <v>507</v>
      </c>
      <c r="AS129" s="27" t="s">
        <v>507</v>
      </c>
      <c r="AT129" s="27" t="s">
        <v>507</v>
      </c>
      <c r="AU129" s="32" t="s">
        <v>53</v>
      </c>
      <c r="AV129" s="27" t="s">
        <v>507</v>
      </c>
      <c r="AW129" s="27" t="s">
        <v>507</v>
      </c>
      <c r="AX129" s="27" t="s">
        <v>507</v>
      </c>
      <c r="AY129" s="27" t="s">
        <v>507</v>
      </c>
      <c r="AZ129" s="33" t="s">
        <v>507</v>
      </c>
      <c r="BA129" s="33" t="s">
        <v>507</v>
      </c>
    </row>
    <row r="130" spans="1:53" s="35" customFormat="1" ht="15" hidden="1" customHeight="1" x14ac:dyDescent="0.3">
      <c r="A130" s="27" t="s">
        <v>505</v>
      </c>
      <c r="B130" s="27" t="s">
        <v>506</v>
      </c>
      <c r="C130" s="27">
        <v>70</v>
      </c>
      <c r="D130" s="27">
        <v>124</v>
      </c>
      <c r="E130" s="27" t="s">
        <v>507</v>
      </c>
      <c r="F130" s="28" t="s">
        <v>524</v>
      </c>
      <c r="G130" s="29" t="str">
        <f t="shared" si="4"/>
        <v>7012422836025</v>
      </c>
      <c r="H130" s="27" t="s">
        <v>525</v>
      </c>
      <c r="I130" s="27">
        <v>22836025</v>
      </c>
      <c r="J130" s="27" t="s">
        <v>526</v>
      </c>
      <c r="K130" s="27" t="s">
        <v>230</v>
      </c>
      <c r="L130" s="27">
        <v>3225970286</v>
      </c>
      <c r="M130" s="28" t="s">
        <v>45</v>
      </c>
      <c r="N130" s="12" t="s">
        <v>432</v>
      </c>
      <c r="O130" s="12" t="s">
        <v>432</v>
      </c>
      <c r="P130" s="177" t="s">
        <v>261</v>
      </c>
      <c r="Q130" s="31">
        <v>45600</v>
      </c>
      <c r="R130" s="30">
        <v>0.87</v>
      </c>
      <c r="S130" s="29" t="s">
        <v>49</v>
      </c>
      <c r="T130" s="27" t="s">
        <v>507</v>
      </c>
      <c r="U130" s="27" t="s">
        <v>507</v>
      </c>
      <c r="V130" s="27" t="s">
        <v>527</v>
      </c>
      <c r="W130" s="30">
        <v>0.69</v>
      </c>
      <c r="X130" s="29" t="s">
        <v>49</v>
      </c>
      <c r="Y130" s="29" t="s">
        <v>507</v>
      </c>
      <c r="Z130" s="27" t="s">
        <v>507</v>
      </c>
      <c r="AA130" s="27" t="s">
        <v>507</v>
      </c>
      <c r="AB130" s="27" t="s">
        <v>507</v>
      </c>
      <c r="AC130" s="27" t="s">
        <v>528</v>
      </c>
      <c r="AD130" s="30">
        <v>0.73</v>
      </c>
      <c r="AE130" s="27" t="s">
        <v>49</v>
      </c>
      <c r="AG130" s="27" t="s">
        <v>507</v>
      </c>
      <c r="AH130" s="27" t="s">
        <v>507</v>
      </c>
      <c r="AI130" s="27" t="s">
        <v>507</v>
      </c>
      <c r="AJ130" s="27" t="s">
        <v>507</v>
      </c>
      <c r="AK130" s="29" t="s">
        <v>507</v>
      </c>
      <c r="AL130" s="27" t="s">
        <v>507</v>
      </c>
      <c r="AM130" s="27" t="s">
        <v>507</v>
      </c>
      <c r="AN130" s="27" t="s">
        <v>507</v>
      </c>
      <c r="AO130" s="27" t="s">
        <v>507</v>
      </c>
      <c r="AP130" s="27" t="s">
        <v>507</v>
      </c>
      <c r="AQ130" s="27" t="s">
        <v>507</v>
      </c>
      <c r="AR130" s="27" t="s">
        <v>507</v>
      </c>
      <c r="AS130" s="27" t="s">
        <v>507</v>
      </c>
      <c r="AT130" s="27" t="s">
        <v>507</v>
      </c>
      <c r="AU130" s="32" t="s">
        <v>53</v>
      </c>
      <c r="AV130" s="27" t="s">
        <v>507</v>
      </c>
      <c r="AW130" s="27" t="s">
        <v>507</v>
      </c>
      <c r="AX130" s="27" t="s">
        <v>507</v>
      </c>
      <c r="AY130" s="27" t="s">
        <v>507</v>
      </c>
      <c r="AZ130" s="33" t="s">
        <v>507</v>
      </c>
      <c r="BA130" s="33" t="s">
        <v>507</v>
      </c>
    </row>
    <row r="131" spans="1:53" s="34" customFormat="1" ht="15" hidden="1" customHeight="1" x14ac:dyDescent="0.3">
      <c r="A131" s="27" t="s">
        <v>505</v>
      </c>
      <c r="B131" s="27" t="s">
        <v>506</v>
      </c>
      <c r="C131" s="27">
        <v>70</v>
      </c>
      <c r="D131" s="27">
        <v>124</v>
      </c>
      <c r="E131" s="27"/>
      <c r="F131" s="28" t="s">
        <v>529</v>
      </c>
      <c r="G131" s="29" t="str">
        <f t="shared" si="4"/>
        <v>7012418877588-8</v>
      </c>
      <c r="H131" s="27" t="s">
        <v>530</v>
      </c>
      <c r="I131" s="27" t="s">
        <v>531</v>
      </c>
      <c r="J131" s="27" t="s">
        <v>532</v>
      </c>
      <c r="K131" s="27" t="s">
        <v>230</v>
      </c>
      <c r="L131" s="27">
        <v>3006850701</v>
      </c>
      <c r="M131" s="107" t="s">
        <v>533</v>
      </c>
      <c r="N131" s="12" t="s">
        <v>259</v>
      </c>
      <c r="O131" s="12" t="s">
        <v>260</v>
      </c>
      <c r="P131" s="177" t="s">
        <v>80</v>
      </c>
      <c r="Q131" s="31" t="s">
        <v>534</v>
      </c>
      <c r="R131" s="30">
        <v>0.76</v>
      </c>
      <c r="S131" s="29" t="s">
        <v>49</v>
      </c>
      <c r="T131" s="27" t="s">
        <v>535</v>
      </c>
      <c r="U131" s="27"/>
      <c r="V131" s="27"/>
      <c r="W131" s="30"/>
      <c r="X131" s="29"/>
      <c r="Y131" s="29"/>
      <c r="Z131" s="27"/>
      <c r="AA131" s="27"/>
      <c r="AB131" s="27"/>
      <c r="AC131" s="27"/>
      <c r="AD131" s="30"/>
      <c r="AE131" s="27"/>
      <c r="AG131" s="27"/>
      <c r="AH131" s="27"/>
      <c r="AI131" s="27"/>
      <c r="AJ131" s="27"/>
      <c r="AK131" s="29"/>
      <c r="AL131" s="27"/>
      <c r="AM131" s="27"/>
      <c r="AN131" s="27"/>
      <c r="AO131" s="27"/>
      <c r="AP131" s="27"/>
      <c r="AQ131" s="27"/>
      <c r="AR131" s="27"/>
      <c r="AS131" s="27"/>
      <c r="AT131" s="27"/>
      <c r="AU131" s="32"/>
      <c r="AV131" s="27"/>
      <c r="AW131" s="27"/>
      <c r="AX131" s="27"/>
      <c r="AY131" s="27"/>
      <c r="AZ131" s="33"/>
      <c r="BA131" s="33"/>
    </row>
    <row r="132" spans="1:53" s="35" customFormat="1" ht="15" hidden="1" customHeight="1" x14ac:dyDescent="0.3">
      <c r="A132" s="27" t="s">
        <v>505</v>
      </c>
      <c r="B132" s="27" t="s">
        <v>506</v>
      </c>
      <c r="C132" s="27">
        <v>70</v>
      </c>
      <c r="D132" s="27">
        <v>124</v>
      </c>
      <c r="E132" s="27" t="s">
        <v>507</v>
      </c>
      <c r="F132" s="28" t="s">
        <v>536</v>
      </c>
      <c r="G132" s="29" t="str">
        <f t="shared" si="4"/>
        <v>701241100250192</v>
      </c>
      <c r="H132" s="27" t="s">
        <v>537</v>
      </c>
      <c r="I132" s="27">
        <v>1100250192</v>
      </c>
      <c r="J132" s="27" t="s">
        <v>538</v>
      </c>
      <c r="K132" s="27" t="s">
        <v>230</v>
      </c>
      <c r="L132" s="27">
        <v>3042172016</v>
      </c>
      <c r="M132" s="28" t="s">
        <v>45</v>
      </c>
      <c r="N132" s="12" t="s">
        <v>46</v>
      </c>
      <c r="O132" s="28" t="s">
        <v>521</v>
      </c>
      <c r="P132" s="177" t="s">
        <v>48</v>
      </c>
      <c r="Q132" s="31">
        <v>45326</v>
      </c>
      <c r="R132" s="30">
        <v>0.84</v>
      </c>
      <c r="S132" s="29" t="s">
        <v>49</v>
      </c>
      <c r="T132" s="27" t="s">
        <v>507</v>
      </c>
      <c r="U132" s="27" t="s">
        <v>507</v>
      </c>
      <c r="V132" s="27" t="s">
        <v>539</v>
      </c>
      <c r="W132" s="30">
        <v>0.88</v>
      </c>
      <c r="X132" s="29" t="s">
        <v>49</v>
      </c>
      <c r="Y132" s="29" t="s">
        <v>507</v>
      </c>
      <c r="Z132" s="27" t="s">
        <v>507</v>
      </c>
      <c r="AA132" s="27" t="s">
        <v>507</v>
      </c>
      <c r="AB132" s="27" t="s">
        <v>507</v>
      </c>
      <c r="AC132" s="27" t="s">
        <v>540</v>
      </c>
      <c r="AD132" s="30">
        <v>0.63</v>
      </c>
      <c r="AE132" s="27" t="s">
        <v>49</v>
      </c>
      <c r="AG132" s="27" t="s">
        <v>507</v>
      </c>
      <c r="AH132" s="27" t="s">
        <v>507</v>
      </c>
      <c r="AI132" s="27" t="s">
        <v>507</v>
      </c>
      <c r="AJ132" s="27" t="s">
        <v>507</v>
      </c>
      <c r="AK132" s="29" t="s">
        <v>507</v>
      </c>
      <c r="AL132" s="27" t="s">
        <v>507</v>
      </c>
      <c r="AM132" s="27" t="s">
        <v>507</v>
      </c>
      <c r="AN132" s="27" t="s">
        <v>507</v>
      </c>
      <c r="AO132" s="27" t="s">
        <v>507</v>
      </c>
      <c r="AP132" s="27" t="s">
        <v>507</v>
      </c>
      <c r="AQ132" s="27" t="s">
        <v>507</v>
      </c>
      <c r="AR132" s="27" t="s">
        <v>507</v>
      </c>
      <c r="AS132" s="27" t="s">
        <v>507</v>
      </c>
      <c r="AT132" s="27" t="s">
        <v>507</v>
      </c>
      <c r="AU132" s="32" t="s">
        <v>53</v>
      </c>
      <c r="AV132" s="27" t="s">
        <v>507</v>
      </c>
      <c r="AW132" s="27" t="s">
        <v>507</v>
      </c>
      <c r="AX132" s="27" t="s">
        <v>507</v>
      </c>
      <c r="AY132" s="27" t="s">
        <v>507</v>
      </c>
      <c r="AZ132" s="33" t="s">
        <v>507</v>
      </c>
      <c r="BA132" s="33" t="s">
        <v>507</v>
      </c>
    </row>
    <row r="133" spans="1:53" s="35" customFormat="1" ht="15" hidden="1" customHeight="1" x14ac:dyDescent="0.3">
      <c r="A133" s="27" t="s">
        <v>505</v>
      </c>
      <c r="B133" s="27" t="s">
        <v>506</v>
      </c>
      <c r="C133" s="27">
        <v>70</v>
      </c>
      <c r="D133" s="27">
        <v>124</v>
      </c>
      <c r="E133" s="27" t="s">
        <v>507</v>
      </c>
      <c r="F133" s="28" t="s">
        <v>541</v>
      </c>
      <c r="G133" s="29" t="str">
        <f t="shared" si="4"/>
        <v>701241104379882</v>
      </c>
      <c r="H133" s="27" t="s">
        <v>542</v>
      </c>
      <c r="I133" s="27">
        <v>1104379882</v>
      </c>
      <c r="J133" s="27" t="s">
        <v>543</v>
      </c>
      <c r="K133" s="27" t="s">
        <v>230</v>
      </c>
      <c r="L133" s="27">
        <v>3147973143</v>
      </c>
      <c r="M133" s="28" t="s">
        <v>45</v>
      </c>
      <c r="N133" s="12" t="s">
        <v>46</v>
      </c>
      <c r="O133" s="28" t="s">
        <v>521</v>
      </c>
      <c r="P133" s="177" t="s">
        <v>48</v>
      </c>
      <c r="Q133" s="31">
        <v>45934</v>
      </c>
      <c r="R133" s="30">
        <v>0.89</v>
      </c>
      <c r="S133" s="29" t="s">
        <v>49</v>
      </c>
      <c r="T133" s="27" t="s">
        <v>507</v>
      </c>
      <c r="U133" s="27" t="s">
        <v>507</v>
      </c>
      <c r="V133" s="31">
        <v>45421</v>
      </c>
      <c r="W133" s="30">
        <v>0.8</v>
      </c>
      <c r="X133" s="29" t="s">
        <v>49</v>
      </c>
      <c r="Y133" s="29" t="s">
        <v>507</v>
      </c>
      <c r="Z133" s="27" t="s">
        <v>507</v>
      </c>
      <c r="AA133" s="27" t="s">
        <v>507</v>
      </c>
      <c r="AB133" s="27" t="s">
        <v>507</v>
      </c>
      <c r="AC133" s="31">
        <v>45083</v>
      </c>
      <c r="AD133" s="30">
        <v>0.79</v>
      </c>
      <c r="AE133" s="27" t="s">
        <v>49</v>
      </c>
      <c r="AG133" s="27" t="s">
        <v>507</v>
      </c>
      <c r="AH133" s="27" t="s">
        <v>507</v>
      </c>
      <c r="AI133" s="27" t="s">
        <v>507</v>
      </c>
      <c r="AJ133" s="27" t="s">
        <v>507</v>
      </c>
      <c r="AK133" s="29" t="s">
        <v>507</v>
      </c>
      <c r="AL133" s="27" t="s">
        <v>507</v>
      </c>
      <c r="AM133" s="27" t="s">
        <v>507</v>
      </c>
      <c r="AN133" s="27" t="s">
        <v>507</v>
      </c>
      <c r="AO133" s="27" t="s">
        <v>507</v>
      </c>
      <c r="AP133" s="27" t="s">
        <v>507</v>
      </c>
      <c r="AQ133" s="27" t="s">
        <v>507</v>
      </c>
      <c r="AR133" s="27" t="s">
        <v>507</v>
      </c>
      <c r="AS133" s="27" t="s">
        <v>507</v>
      </c>
      <c r="AT133" s="27" t="s">
        <v>507</v>
      </c>
      <c r="AU133" s="32" t="s">
        <v>53</v>
      </c>
      <c r="AV133" s="27" t="s">
        <v>507</v>
      </c>
      <c r="AW133" s="27" t="s">
        <v>507</v>
      </c>
      <c r="AX133" s="27" t="s">
        <v>507</v>
      </c>
      <c r="AY133" s="27" t="s">
        <v>507</v>
      </c>
      <c r="AZ133" s="33" t="s">
        <v>507</v>
      </c>
      <c r="BA133" s="33" t="s">
        <v>507</v>
      </c>
    </row>
    <row r="134" spans="1:53" s="35" customFormat="1" ht="15" hidden="1" customHeight="1" x14ac:dyDescent="0.3">
      <c r="A134" s="27" t="s">
        <v>505</v>
      </c>
      <c r="B134" s="27" t="s">
        <v>506</v>
      </c>
      <c r="C134" s="27">
        <v>70</v>
      </c>
      <c r="D134" s="27">
        <v>124</v>
      </c>
      <c r="E134" s="27" t="s">
        <v>507</v>
      </c>
      <c r="F134" s="28" t="s">
        <v>544</v>
      </c>
      <c r="G134" s="29" t="str">
        <f t="shared" si="4"/>
        <v>701249178191</v>
      </c>
      <c r="H134" s="27" t="s">
        <v>545</v>
      </c>
      <c r="I134" s="27">
        <v>9178191</v>
      </c>
      <c r="J134" s="27" t="s">
        <v>546</v>
      </c>
      <c r="K134" s="27" t="s">
        <v>230</v>
      </c>
      <c r="L134" s="27">
        <v>3002133389</v>
      </c>
      <c r="M134" s="28" t="s">
        <v>45</v>
      </c>
      <c r="N134" s="12" t="s">
        <v>46</v>
      </c>
      <c r="O134" s="28" t="s">
        <v>521</v>
      </c>
      <c r="P134" s="177" t="s">
        <v>48</v>
      </c>
      <c r="Q134" s="31">
        <v>45965</v>
      </c>
      <c r="R134" s="30">
        <v>0.78</v>
      </c>
      <c r="S134" s="29" t="s">
        <v>49</v>
      </c>
      <c r="T134" s="27" t="s">
        <v>507</v>
      </c>
      <c r="U134" s="27" t="s">
        <v>507</v>
      </c>
      <c r="V134" s="31">
        <v>45331</v>
      </c>
      <c r="W134" s="30">
        <v>0.77</v>
      </c>
      <c r="X134" s="29" t="s">
        <v>49</v>
      </c>
      <c r="Y134" s="29" t="s">
        <v>507</v>
      </c>
      <c r="Z134" s="27" t="s">
        <v>507</v>
      </c>
      <c r="AA134" s="27" t="s">
        <v>507</v>
      </c>
      <c r="AB134" s="27" t="s">
        <v>507</v>
      </c>
      <c r="AC134" s="27" t="s">
        <v>547</v>
      </c>
      <c r="AD134" s="30">
        <v>0.87</v>
      </c>
      <c r="AE134" s="27" t="s">
        <v>49</v>
      </c>
      <c r="AG134" s="27" t="s">
        <v>507</v>
      </c>
      <c r="AH134" s="27" t="s">
        <v>507</v>
      </c>
      <c r="AI134" s="27" t="s">
        <v>507</v>
      </c>
      <c r="AJ134" s="27" t="s">
        <v>507</v>
      </c>
      <c r="AK134" s="29" t="s">
        <v>507</v>
      </c>
      <c r="AL134" s="27" t="s">
        <v>507</v>
      </c>
      <c r="AM134" s="27" t="s">
        <v>507</v>
      </c>
      <c r="AN134" s="27" t="s">
        <v>507</v>
      </c>
      <c r="AO134" s="27" t="s">
        <v>507</v>
      </c>
      <c r="AP134" s="27" t="s">
        <v>507</v>
      </c>
      <c r="AQ134" s="27" t="s">
        <v>507</v>
      </c>
      <c r="AR134" s="27" t="s">
        <v>507</v>
      </c>
      <c r="AS134" s="27" t="s">
        <v>507</v>
      </c>
      <c r="AT134" s="27" t="s">
        <v>507</v>
      </c>
      <c r="AU134" s="32" t="s">
        <v>53</v>
      </c>
      <c r="AV134" s="27" t="s">
        <v>507</v>
      </c>
      <c r="AW134" s="27" t="s">
        <v>507</v>
      </c>
      <c r="AX134" s="27" t="s">
        <v>507</v>
      </c>
      <c r="AY134" s="27" t="s">
        <v>507</v>
      </c>
      <c r="AZ134" s="33" t="s">
        <v>507</v>
      </c>
      <c r="BA134" s="33" t="s">
        <v>507</v>
      </c>
    </row>
    <row r="135" spans="1:53" s="35" customFormat="1" ht="15" hidden="1" customHeight="1" x14ac:dyDescent="0.3">
      <c r="A135" s="27" t="s">
        <v>505</v>
      </c>
      <c r="B135" s="27" t="s">
        <v>506</v>
      </c>
      <c r="C135" s="27">
        <v>70</v>
      </c>
      <c r="D135" s="27">
        <v>124</v>
      </c>
      <c r="E135" s="27" t="s">
        <v>507</v>
      </c>
      <c r="F135" s="28" t="s">
        <v>548</v>
      </c>
      <c r="G135" s="29" t="str">
        <f t="shared" si="4"/>
        <v>701243998674</v>
      </c>
      <c r="H135" s="27" t="s">
        <v>549</v>
      </c>
      <c r="I135" s="27">
        <v>3998674</v>
      </c>
      <c r="J135" s="27" t="s">
        <v>550</v>
      </c>
      <c r="K135" s="27" t="s">
        <v>230</v>
      </c>
      <c r="L135" s="27" t="s">
        <v>45</v>
      </c>
      <c r="M135" s="28" t="s">
        <v>45</v>
      </c>
      <c r="N135" s="12" t="s">
        <v>432</v>
      </c>
      <c r="O135" s="12" t="s">
        <v>432</v>
      </c>
      <c r="P135" s="177" t="s">
        <v>261</v>
      </c>
      <c r="Q135" s="27" t="s">
        <v>551</v>
      </c>
      <c r="R135" s="30">
        <v>0.87</v>
      </c>
      <c r="S135" s="29" t="s">
        <v>49</v>
      </c>
      <c r="T135" s="27" t="s">
        <v>507</v>
      </c>
      <c r="U135" s="27" t="s">
        <v>507</v>
      </c>
      <c r="V135" s="27" t="s">
        <v>552</v>
      </c>
      <c r="W135" s="30">
        <v>0.72</v>
      </c>
      <c r="X135" s="29" t="s">
        <v>49</v>
      </c>
      <c r="Y135" s="29" t="s">
        <v>507</v>
      </c>
      <c r="Z135" s="27" t="s">
        <v>507</v>
      </c>
      <c r="AA135" s="27" t="s">
        <v>507</v>
      </c>
      <c r="AB135" s="27" t="s">
        <v>507</v>
      </c>
      <c r="AC135" s="27" t="s">
        <v>553</v>
      </c>
      <c r="AD135" s="30">
        <v>0.7</v>
      </c>
      <c r="AE135" s="27" t="s">
        <v>49</v>
      </c>
      <c r="AG135" s="27" t="s">
        <v>507</v>
      </c>
      <c r="AH135" s="27" t="s">
        <v>507</v>
      </c>
      <c r="AI135" s="27" t="s">
        <v>507</v>
      </c>
      <c r="AJ135" s="27" t="s">
        <v>507</v>
      </c>
      <c r="AK135" s="29" t="s">
        <v>507</v>
      </c>
      <c r="AL135" s="27" t="s">
        <v>507</v>
      </c>
      <c r="AM135" s="27" t="s">
        <v>507</v>
      </c>
      <c r="AN135" s="27" t="s">
        <v>507</v>
      </c>
      <c r="AO135" s="27" t="s">
        <v>507</v>
      </c>
      <c r="AP135" s="27" t="s">
        <v>507</v>
      </c>
      <c r="AQ135" s="27" t="s">
        <v>507</v>
      </c>
      <c r="AR135" s="27" t="s">
        <v>507</v>
      </c>
      <c r="AS135" s="27" t="s">
        <v>507</v>
      </c>
      <c r="AT135" s="27" t="s">
        <v>507</v>
      </c>
      <c r="AU135" s="32" t="s">
        <v>53</v>
      </c>
      <c r="AV135" s="27" t="s">
        <v>507</v>
      </c>
      <c r="AW135" s="27" t="s">
        <v>507</v>
      </c>
      <c r="AX135" s="27" t="s">
        <v>507</v>
      </c>
      <c r="AY135" s="27" t="s">
        <v>507</v>
      </c>
      <c r="AZ135" s="33" t="s">
        <v>507</v>
      </c>
      <c r="BA135" s="33" t="s">
        <v>507</v>
      </c>
    </row>
    <row r="136" spans="1:53" s="35" customFormat="1" ht="15" hidden="1" customHeight="1" x14ac:dyDescent="0.3">
      <c r="A136" s="27" t="s">
        <v>505</v>
      </c>
      <c r="B136" s="27" t="s">
        <v>506</v>
      </c>
      <c r="C136" s="27">
        <v>70</v>
      </c>
      <c r="D136" s="27">
        <v>124</v>
      </c>
      <c r="E136" s="27" t="s">
        <v>507</v>
      </c>
      <c r="F136" s="28" t="s">
        <v>554</v>
      </c>
      <c r="G136" s="29" t="str">
        <f t="shared" si="4"/>
        <v>7012411040287</v>
      </c>
      <c r="H136" s="27" t="s">
        <v>555</v>
      </c>
      <c r="I136" s="27">
        <v>11040287</v>
      </c>
      <c r="J136" s="27" t="s">
        <v>556</v>
      </c>
      <c r="K136" s="27" t="s">
        <v>230</v>
      </c>
      <c r="L136" s="27" t="s">
        <v>45</v>
      </c>
      <c r="M136" s="28" t="s">
        <v>45</v>
      </c>
      <c r="N136" s="12" t="s">
        <v>432</v>
      </c>
      <c r="O136" s="12" t="s">
        <v>432</v>
      </c>
      <c r="P136" s="177" t="s">
        <v>261</v>
      </c>
      <c r="Q136" s="27" t="s">
        <v>512</v>
      </c>
      <c r="R136" s="30">
        <v>0.81</v>
      </c>
      <c r="S136" s="29" t="s">
        <v>49</v>
      </c>
      <c r="T136" s="27" t="s">
        <v>507</v>
      </c>
      <c r="U136" s="27" t="s">
        <v>507</v>
      </c>
      <c r="V136" s="27" t="s">
        <v>557</v>
      </c>
      <c r="W136" s="30">
        <v>0.74</v>
      </c>
      <c r="X136" s="29" t="s">
        <v>49</v>
      </c>
      <c r="Y136" s="29" t="s">
        <v>507</v>
      </c>
      <c r="Z136" s="27" t="s">
        <v>507</v>
      </c>
      <c r="AA136" s="27" t="s">
        <v>507</v>
      </c>
      <c r="AB136" s="27" t="s">
        <v>507</v>
      </c>
      <c r="AC136" s="27" t="s">
        <v>558</v>
      </c>
      <c r="AD136" s="30">
        <v>0.78</v>
      </c>
      <c r="AE136" s="27" t="s">
        <v>49</v>
      </c>
      <c r="AG136" s="27" t="s">
        <v>507</v>
      </c>
      <c r="AH136" s="27" t="s">
        <v>507</v>
      </c>
      <c r="AI136" s="27" t="s">
        <v>507</v>
      </c>
      <c r="AJ136" s="27" t="s">
        <v>507</v>
      </c>
      <c r="AK136" s="29" t="s">
        <v>507</v>
      </c>
      <c r="AL136" s="27" t="s">
        <v>507</v>
      </c>
      <c r="AM136" s="27" t="s">
        <v>507</v>
      </c>
      <c r="AN136" s="27" t="s">
        <v>507</v>
      </c>
      <c r="AO136" s="27" t="s">
        <v>507</v>
      </c>
      <c r="AP136" s="27" t="s">
        <v>507</v>
      </c>
      <c r="AQ136" s="27" t="s">
        <v>507</v>
      </c>
      <c r="AR136" s="27" t="s">
        <v>507</v>
      </c>
      <c r="AS136" s="27" t="s">
        <v>507</v>
      </c>
      <c r="AT136" s="27" t="s">
        <v>507</v>
      </c>
      <c r="AU136" s="32" t="s">
        <v>53</v>
      </c>
      <c r="AV136" s="27" t="s">
        <v>507</v>
      </c>
      <c r="AW136" s="27" t="s">
        <v>507</v>
      </c>
      <c r="AX136" s="27" t="s">
        <v>507</v>
      </c>
      <c r="AY136" s="27" t="s">
        <v>507</v>
      </c>
      <c r="AZ136" s="33" t="s">
        <v>507</v>
      </c>
      <c r="BA136" s="33" t="s">
        <v>507</v>
      </c>
    </row>
    <row r="137" spans="1:53" s="35" customFormat="1" ht="15" hidden="1" customHeight="1" x14ac:dyDescent="0.3">
      <c r="A137" s="27" t="s">
        <v>505</v>
      </c>
      <c r="B137" s="27" t="s">
        <v>506</v>
      </c>
      <c r="C137" s="27">
        <v>70</v>
      </c>
      <c r="D137" s="27">
        <v>124</v>
      </c>
      <c r="E137" s="27" t="s">
        <v>507</v>
      </c>
      <c r="F137" s="28" t="s">
        <v>559</v>
      </c>
      <c r="G137" s="29" t="str">
        <f t="shared" si="4"/>
        <v>701241020457074</v>
      </c>
      <c r="H137" s="27" t="s">
        <v>560</v>
      </c>
      <c r="I137" s="27">
        <v>1020457074</v>
      </c>
      <c r="J137" s="27" t="s">
        <v>561</v>
      </c>
      <c r="K137" s="27" t="s">
        <v>230</v>
      </c>
      <c r="L137" s="27" t="s">
        <v>45</v>
      </c>
      <c r="M137" s="28" t="s">
        <v>45</v>
      </c>
      <c r="N137" s="12" t="s">
        <v>259</v>
      </c>
      <c r="O137" s="12" t="s">
        <v>260</v>
      </c>
      <c r="P137" s="177" t="s">
        <v>80</v>
      </c>
      <c r="Q137" s="27" t="s">
        <v>522</v>
      </c>
      <c r="R137" s="30">
        <v>0.81</v>
      </c>
      <c r="S137" s="29" t="s">
        <v>49</v>
      </c>
      <c r="T137" s="27" t="s">
        <v>507</v>
      </c>
      <c r="U137" s="27" t="s">
        <v>507</v>
      </c>
      <c r="V137" s="27" t="s">
        <v>562</v>
      </c>
      <c r="W137" s="30">
        <v>0.74</v>
      </c>
      <c r="X137" s="29" t="s">
        <v>49</v>
      </c>
      <c r="Y137" s="29" t="s">
        <v>507</v>
      </c>
      <c r="Z137" s="27" t="s">
        <v>507</v>
      </c>
      <c r="AA137" s="27" t="s">
        <v>507</v>
      </c>
      <c r="AB137" s="27" t="s">
        <v>507</v>
      </c>
      <c r="AC137" s="27" t="s">
        <v>563</v>
      </c>
      <c r="AD137" s="30">
        <v>0.8</v>
      </c>
      <c r="AE137" s="27" t="s">
        <v>49</v>
      </c>
      <c r="AG137" s="27" t="s">
        <v>507</v>
      </c>
      <c r="AH137" s="27" t="s">
        <v>507</v>
      </c>
      <c r="AI137" s="27" t="s">
        <v>507</v>
      </c>
      <c r="AJ137" s="27" t="s">
        <v>507</v>
      </c>
      <c r="AK137" s="29" t="s">
        <v>507</v>
      </c>
      <c r="AL137" s="27" t="s">
        <v>507</v>
      </c>
      <c r="AM137" s="27" t="s">
        <v>507</v>
      </c>
      <c r="AN137" s="27" t="s">
        <v>507</v>
      </c>
      <c r="AO137" s="27" t="s">
        <v>507</v>
      </c>
      <c r="AP137" s="27" t="s">
        <v>507</v>
      </c>
      <c r="AQ137" s="27" t="s">
        <v>507</v>
      </c>
      <c r="AR137" s="27" t="s">
        <v>507</v>
      </c>
      <c r="AS137" s="27" t="s">
        <v>507</v>
      </c>
      <c r="AT137" s="27" t="s">
        <v>507</v>
      </c>
      <c r="AU137" s="32" t="s">
        <v>53</v>
      </c>
      <c r="AV137" s="27" t="s">
        <v>507</v>
      </c>
      <c r="AW137" s="27" t="s">
        <v>507</v>
      </c>
      <c r="AX137" s="27" t="s">
        <v>507</v>
      </c>
      <c r="AY137" s="27" t="s">
        <v>507</v>
      </c>
      <c r="AZ137" s="33" t="s">
        <v>507</v>
      </c>
      <c r="BA137" s="33" t="s">
        <v>507</v>
      </c>
    </row>
    <row r="138" spans="1:53" s="35" customFormat="1" ht="15" hidden="1" customHeight="1" x14ac:dyDescent="0.3">
      <c r="A138" s="27" t="s">
        <v>505</v>
      </c>
      <c r="B138" s="27" t="s">
        <v>506</v>
      </c>
      <c r="C138" s="27">
        <v>70</v>
      </c>
      <c r="D138" s="27">
        <v>124</v>
      </c>
      <c r="E138" s="27" t="s">
        <v>507</v>
      </c>
      <c r="F138" s="28" t="s">
        <v>564</v>
      </c>
      <c r="G138" s="29" t="str">
        <f t="shared" si="4"/>
        <v>7012415385820</v>
      </c>
      <c r="H138" s="27" t="s">
        <v>565</v>
      </c>
      <c r="I138" s="27">
        <v>15385820</v>
      </c>
      <c r="J138" s="27" t="s">
        <v>566</v>
      </c>
      <c r="K138" s="27" t="s">
        <v>230</v>
      </c>
      <c r="L138" s="27" t="s">
        <v>45</v>
      </c>
      <c r="M138" s="28" t="s">
        <v>45</v>
      </c>
      <c r="N138" s="12" t="s">
        <v>259</v>
      </c>
      <c r="O138" s="12" t="s">
        <v>260</v>
      </c>
      <c r="P138" s="177" t="s">
        <v>80</v>
      </c>
      <c r="Q138" s="31">
        <v>45630</v>
      </c>
      <c r="R138" s="30">
        <v>0.87</v>
      </c>
      <c r="S138" s="29" t="s">
        <v>49</v>
      </c>
      <c r="T138" s="27" t="s">
        <v>507</v>
      </c>
      <c r="U138" s="27" t="s">
        <v>507</v>
      </c>
      <c r="V138" s="31">
        <v>44968</v>
      </c>
      <c r="W138" s="30">
        <v>0.79</v>
      </c>
      <c r="X138" s="29" t="s">
        <v>49</v>
      </c>
      <c r="Y138" s="29" t="s">
        <v>507</v>
      </c>
      <c r="Z138" s="27" t="s">
        <v>507</v>
      </c>
      <c r="AA138" s="27" t="s">
        <v>507</v>
      </c>
      <c r="AB138" s="27" t="s">
        <v>507</v>
      </c>
      <c r="AC138" s="27" t="s">
        <v>507</v>
      </c>
      <c r="AD138" s="29" t="s">
        <v>507</v>
      </c>
      <c r="AE138" s="27" t="s">
        <v>507</v>
      </c>
      <c r="AG138" s="27" t="s">
        <v>507</v>
      </c>
      <c r="AH138" s="27" t="s">
        <v>507</v>
      </c>
      <c r="AI138" s="27" t="s">
        <v>507</v>
      </c>
      <c r="AJ138" s="27" t="s">
        <v>507</v>
      </c>
      <c r="AK138" s="29" t="s">
        <v>507</v>
      </c>
      <c r="AL138" s="27" t="s">
        <v>507</v>
      </c>
      <c r="AM138" s="27" t="s">
        <v>507</v>
      </c>
      <c r="AN138" s="27" t="s">
        <v>507</v>
      </c>
      <c r="AO138" s="27" t="s">
        <v>507</v>
      </c>
      <c r="AP138" s="27" t="s">
        <v>507</v>
      </c>
      <c r="AQ138" s="27" t="s">
        <v>507</v>
      </c>
      <c r="AR138" s="27" t="s">
        <v>507</v>
      </c>
      <c r="AS138" s="27" t="s">
        <v>507</v>
      </c>
      <c r="AT138" s="27" t="s">
        <v>507</v>
      </c>
      <c r="AU138" s="32" t="s">
        <v>53</v>
      </c>
      <c r="AV138" s="27" t="s">
        <v>507</v>
      </c>
      <c r="AW138" s="27" t="s">
        <v>507</v>
      </c>
      <c r="AX138" s="27" t="s">
        <v>507</v>
      </c>
      <c r="AY138" s="27" t="s">
        <v>507</v>
      </c>
      <c r="AZ138" s="33" t="s">
        <v>507</v>
      </c>
      <c r="BA138" s="33" t="s">
        <v>507</v>
      </c>
    </row>
    <row r="139" spans="1:53" s="35" customFormat="1" ht="15" hidden="1" customHeight="1" x14ac:dyDescent="0.3">
      <c r="A139" s="27" t="s">
        <v>505</v>
      </c>
      <c r="B139" s="27" t="s">
        <v>506</v>
      </c>
      <c r="C139" s="27">
        <v>70</v>
      </c>
      <c r="D139" s="27">
        <v>124</v>
      </c>
      <c r="E139" s="27" t="s">
        <v>507</v>
      </c>
      <c r="F139" s="28" t="s">
        <v>567</v>
      </c>
      <c r="G139" s="29" t="str">
        <f t="shared" si="4"/>
        <v>7012422836458</v>
      </c>
      <c r="H139" s="27" t="s">
        <v>568</v>
      </c>
      <c r="I139" s="27">
        <v>22836458</v>
      </c>
      <c r="J139" s="27" t="s">
        <v>569</v>
      </c>
      <c r="K139" s="27" t="s">
        <v>230</v>
      </c>
      <c r="L139" s="27" t="s">
        <v>45</v>
      </c>
      <c r="M139" s="28" t="s">
        <v>45</v>
      </c>
      <c r="N139" s="12" t="s">
        <v>259</v>
      </c>
      <c r="O139" s="12" t="s">
        <v>260</v>
      </c>
      <c r="P139" s="177" t="s">
        <v>80</v>
      </c>
      <c r="Q139" s="31">
        <v>45600</v>
      </c>
      <c r="R139" s="30">
        <v>0.87</v>
      </c>
      <c r="S139" s="29" t="s">
        <v>49</v>
      </c>
      <c r="T139" s="27" t="s">
        <v>507</v>
      </c>
      <c r="U139" s="27" t="s">
        <v>507</v>
      </c>
      <c r="V139" s="27" t="s">
        <v>570</v>
      </c>
      <c r="W139" s="30">
        <v>0.81</v>
      </c>
      <c r="X139" s="29" t="s">
        <v>49</v>
      </c>
      <c r="Y139" s="29" t="s">
        <v>507</v>
      </c>
      <c r="Z139" s="27" t="s">
        <v>507</v>
      </c>
      <c r="AA139" s="27" t="s">
        <v>507</v>
      </c>
      <c r="AB139" s="27" t="s">
        <v>507</v>
      </c>
      <c r="AC139" s="27" t="s">
        <v>507</v>
      </c>
      <c r="AD139" s="29" t="s">
        <v>507</v>
      </c>
      <c r="AE139" s="27" t="s">
        <v>507</v>
      </c>
      <c r="AG139" s="27" t="s">
        <v>507</v>
      </c>
      <c r="AH139" s="27" t="s">
        <v>507</v>
      </c>
      <c r="AI139" s="27" t="s">
        <v>507</v>
      </c>
      <c r="AJ139" s="27" t="s">
        <v>507</v>
      </c>
      <c r="AK139" s="29" t="s">
        <v>507</v>
      </c>
      <c r="AL139" s="27" t="s">
        <v>507</v>
      </c>
      <c r="AM139" s="27" t="s">
        <v>507</v>
      </c>
      <c r="AN139" s="27" t="s">
        <v>507</v>
      </c>
      <c r="AO139" s="27" t="s">
        <v>507</v>
      </c>
      <c r="AP139" s="27" t="s">
        <v>507</v>
      </c>
      <c r="AQ139" s="27" t="s">
        <v>507</v>
      </c>
      <c r="AR139" s="27" t="s">
        <v>507</v>
      </c>
      <c r="AS139" s="27" t="s">
        <v>507</v>
      </c>
      <c r="AT139" s="27" t="s">
        <v>507</v>
      </c>
      <c r="AU139" s="32" t="s">
        <v>53</v>
      </c>
      <c r="AV139" s="27" t="s">
        <v>507</v>
      </c>
      <c r="AW139" s="27" t="s">
        <v>507</v>
      </c>
      <c r="AX139" s="27" t="s">
        <v>507</v>
      </c>
      <c r="AY139" s="27" t="s">
        <v>507</v>
      </c>
      <c r="AZ139" s="33" t="s">
        <v>507</v>
      </c>
      <c r="BA139" s="33" t="s">
        <v>507</v>
      </c>
    </row>
    <row r="140" spans="1:53" s="35" customFormat="1" ht="15" hidden="1" customHeight="1" x14ac:dyDescent="0.3">
      <c r="A140" s="27" t="s">
        <v>505</v>
      </c>
      <c r="B140" s="27" t="s">
        <v>506</v>
      </c>
      <c r="C140" s="27">
        <v>70</v>
      </c>
      <c r="D140" s="27">
        <v>124</v>
      </c>
      <c r="E140" s="27" t="s">
        <v>507</v>
      </c>
      <c r="F140" s="28" t="s">
        <v>571</v>
      </c>
      <c r="G140" s="29" t="str">
        <f t="shared" si="4"/>
        <v>7012411028669438</v>
      </c>
      <c r="H140" s="27" t="s">
        <v>572</v>
      </c>
      <c r="I140" s="27">
        <v>11028669438</v>
      </c>
      <c r="J140" s="27" t="s">
        <v>573</v>
      </c>
      <c r="K140" s="27" t="s">
        <v>230</v>
      </c>
      <c r="L140" s="27" t="s">
        <v>45</v>
      </c>
      <c r="M140" s="28" t="s">
        <v>45</v>
      </c>
      <c r="N140" s="12" t="s">
        <v>432</v>
      </c>
      <c r="O140" s="12" t="s">
        <v>432</v>
      </c>
      <c r="P140" s="177" t="s">
        <v>261</v>
      </c>
      <c r="Q140" s="27" t="s">
        <v>574</v>
      </c>
      <c r="R140" s="30">
        <v>0.84</v>
      </c>
      <c r="S140" s="29" t="s">
        <v>49</v>
      </c>
      <c r="T140" s="27" t="s">
        <v>507</v>
      </c>
      <c r="U140" s="27" t="s">
        <v>507</v>
      </c>
      <c r="V140" s="27" t="s">
        <v>539</v>
      </c>
      <c r="W140" s="30">
        <v>0.77</v>
      </c>
      <c r="X140" s="29" t="s">
        <v>49</v>
      </c>
      <c r="Y140" s="29" t="s">
        <v>507</v>
      </c>
      <c r="Z140" s="27" t="s">
        <v>507</v>
      </c>
      <c r="AA140" s="27" t="s">
        <v>507</v>
      </c>
      <c r="AB140" s="27" t="s">
        <v>507</v>
      </c>
      <c r="AC140" s="27" t="s">
        <v>507</v>
      </c>
      <c r="AD140" s="29" t="s">
        <v>507</v>
      </c>
      <c r="AE140" s="27" t="s">
        <v>507</v>
      </c>
      <c r="AG140" s="27" t="s">
        <v>507</v>
      </c>
      <c r="AH140" s="27" t="s">
        <v>507</v>
      </c>
      <c r="AI140" s="27" t="s">
        <v>507</v>
      </c>
      <c r="AJ140" s="27" t="s">
        <v>507</v>
      </c>
      <c r="AK140" s="29" t="s">
        <v>507</v>
      </c>
      <c r="AL140" s="27" t="s">
        <v>507</v>
      </c>
      <c r="AM140" s="27" t="s">
        <v>507</v>
      </c>
      <c r="AN140" s="27" t="s">
        <v>507</v>
      </c>
      <c r="AO140" s="27" t="s">
        <v>507</v>
      </c>
      <c r="AP140" s="27" t="s">
        <v>507</v>
      </c>
      <c r="AQ140" s="27" t="s">
        <v>507</v>
      </c>
      <c r="AR140" s="27" t="s">
        <v>507</v>
      </c>
      <c r="AS140" s="27" t="s">
        <v>507</v>
      </c>
      <c r="AT140" s="27" t="s">
        <v>507</v>
      </c>
      <c r="AU140" s="32" t="s">
        <v>53</v>
      </c>
      <c r="AV140" s="27" t="s">
        <v>507</v>
      </c>
      <c r="AW140" s="27" t="s">
        <v>507</v>
      </c>
      <c r="AX140" s="27" t="s">
        <v>507</v>
      </c>
      <c r="AY140" s="27" t="s">
        <v>507</v>
      </c>
      <c r="AZ140" s="33" t="s">
        <v>507</v>
      </c>
      <c r="BA140" s="33" t="s">
        <v>507</v>
      </c>
    </row>
    <row r="141" spans="1:53" s="35" customFormat="1" ht="15" hidden="1" customHeight="1" x14ac:dyDescent="0.3">
      <c r="A141" s="27" t="s">
        <v>505</v>
      </c>
      <c r="B141" s="27" t="s">
        <v>506</v>
      </c>
      <c r="C141" s="27">
        <v>70</v>
      </c>
      <c r="D141" s="27">
        <v>124</v>
      </c>
      <c r="E141" s="27" t="s">
        <v>507</v>
      </c>
      <c r="F141" s="28" t="s">
        <v>575</v>
      </c>
      <c r="G141" s="29" t="str">
        <f t="shared" si="4"/>
        <v>7012448041621</v>
      </c>
      <c r="H141" s="27" t="s">
        <v>576</v>
      </c>
      <c r="I141" s="27">
        <v>48041621</v>
      </c>
      <c r="J141" s="27" t="s">
        <v>577</v>
      </c>
      <c r="K141" s="27" t="s">
        <v>230</v>
      </c>
      <c r="L141" s="27" t="s">
        <v>45</v>
      </c>
      <c r="M141" s="28" t="s">
        <v>45</v>
      </c>
      <c r="N141" s="12" t="s">
        <v>259</v>
      </c>
      <c r="O141" s="12" t="s">
        <v>260</v>
      </c>
      <c r="P141" s="177" t="s">
        <v>80</v>
      </c>
      <c r="Q141" s="27" t="s">
        <v>578</v>
      </c>
      <c r="R141" s="30">
        <v>0.85</v>
      </c>
      <c r="S141" s="29" t="s">
        <v>49</v>
      </c>
      <c r="T141" s="27" t="s">
        <v>507</v>
      </c>
      <c r="U141" s="27" t="s">
        <v>507</v>
      </c>
      <c r="V141" s="31">
        <v>44962</v>
      </c>
      <c r="W141" s="30">
        <v>0.79</v>
      </c>
      <c r="X141" s="29" t="s">
        <v>49</v>
      </c>
      <c r="Y141" s="29" t="s">
        <v>507</v>
      </c>
      <c r="Z141" s="27" t="s">
        <v>507</v>
      </c>
      <c r="AA141" s="27" t="s">
        <v>507</v>
      </c>
      <c r="AB141" s="27" t="s">
        <v>507</v>
      </c>
      <c r="AC141" s="27" t="s">
        <v>507</v>
      </c>
      <c r="AD141" s="29" t="s">
        <v>507</v>
      </c>
      <c r="AE141" s="27" t="s">
        <v>507</v>
      </c>
      <c r="AG141" s="27" t="s">
        <v>507</v>
      </c>
      <c r="AH141" s="27" t="s">
        <v>507</v>
      </c>
      <c r="AI141" s="27" t="s">
        <v>507</v>
      </c>
      <c r="AJ141" s="27" t="s">
        <v>507</v>
      </c>
      <c r="AK141" s="29" t="s">
        <v>507</v>
      </c>
      <c r="AL141" s="27" t="s">
        <v>507</v>
      </c>
      <c r="AM141" s="27" t="s">
        <v>507</v>
      </c>
      <c r="AN141" s="27" t="s">
        <v>507</v>
      </c>
      <c r="AO141" s="27" t="s">
        <v>507</v>
      </c>
      <c r="AP141" s="27" t="s">
        <v>507</v>
      </c>
      <c r="AQ141" s="27" t="s">
        <v>507</v>
      </c>
      <c r="AR141" s="27" t="s">
        <v>507</v>
      </c>
      <c r="AS141" s="27" t="s">
        <v>507</v>
      </c>
      <c r="AT141" s="27" t="s">
        <v>507</v>
      </c>
      <c r="AU141" s="32" t="s">
        <v>53</v>
      </c>
      <c r="AV141" s="27" t="s">
        <v>507</v>
      </c>
      <c r="AW141" s="27" t="s">
        <v>507</v>
      </c>
      <c r="AX141" s="27" t="s">
        <v>507</v>
      </c>
      <c r="AY141" s="27" t="s">
        <v>507</v>
      </c>
      <c r="AZ141" s="33" t="s">
        <v>507</v>
      </c>
      <c r="BA141" s="33" t="s">
        <v>507</v>
      </c>
    </row>
    <row r="142" spans="1:53" s="35" customFormat="1" ht="15" hidden="1" customHeight="1" x14ac:dyDescent="0.3">
      <c r="A142" s="27" t="s">
        <v>505</v>
      </c>
      <c r="B142" s="27" t="s">
        <v>506</v>
      </c>
      <c r="C142" s="27">
        <v>70</v>
      </c>
      <c r="D142" s="27">
        <v>124</v>
      </c>
      <c r="E142" s="27" t="s">
        <v>507</v>
      </c>
      <c r="F142" s="28" t="s">
        <v>579</v>
      </c>
      <c r="G142" s="29" t="str">
        <f t="shared" si="4"/>
        <v>7012422837362</v>
      </c>
      <c r="H142" s="27" t="s">
        <v>580</v>
      </c>
      <c r="I142" s="27">
        <v>22837362</v>
      </c>
      <c r="J142" s="27" t="s">
        <v>581</v>
      </c>
      <c r="K142" s="27" t="s">
        <v>230</v>
      </c>
      <c r="L142" s="27" t="s">
        <v>45</v>
      </c>
      <c r="M142" s="28" t="s">
        <v>45</v>
      </c>
      <c r="N142" s="12" t="s">
        <v>259</v>
      </c>
      <c r="O142" s="174" t="s">
        <v>275</v>
      </c>
      <c r="P142" s="177" t="s">
        <v>80</v>
      </c>
      <c r="Q142" s="31">
        <v>45416</v>
      </c>
      <c r="R142" s="30">
        <v>0.76</v>
      </c>
      <c r="S142" s="29" t="s">
        <v>49</v>
      </c>
      <c r="T142" s="27" t="s">
        <v>507</v>
      </c>
      <c r="U142" s="27" t="s">
        <v>507</v>
      </c>
      <c r="V142" s="27" t="s">
        <v>582</v>
      </c>
      <c r="W142" s="30">
        <v>0.78</v>
      </c>
      <c r="X142" s="29" t="s">
        <v>49</v>
      </c>
      <c r="Y142" s="29" t="s">
        <v>507</v>
      </c>
      <c r="Z142" s="27" t="s">
        <v>507</v>
      </c>
      <c r="AA142" s="27" t="s">
        <v>507</v>
      </c>
      <c r="AB142" s="27" t="s">
        <v>507</v>
      </c>
      <c r="AC142" s="27" t="s">
        <v>507</v>
      </c>
      <c r="AD142" s="29" t="s">
        <v>507</v>
      </c>
      <c r="AE142" s="27" t="s">
        <v>507</v>
      </c>
      <c r="AG142" s="27" t="s">
        <v>507</v>
      </c>
      <c r="AH142" s="27" t="s">
        <v>507</v>
      </c>
      <c r="AI142" s="27" t="s">
        <v>507</v>
      </c>
      <c r="AJ142" s="27" t="s">
        <v>507</v>
      </c>
      <c r="AK142" s="29" t="s">
        <v>507</v>
      </c>
      <c r="AL142" s="27" t="s">
        <v>507</v>
      </c>
      <c r="AM142" s="27" t="s">
        <v>507</v>
      </c>
      <c r="AN142" s="27" t="s">
        <v>507</v>
      </c>
      <c r="AO142" s="27" t="s">
        <v>507</v>
      </c>
      <c r="AP142" s="27" t="s">
        <v>507</v>
      </c>
      <c r="AQ142" s="27" t="s">
        <v>507</v>
      </c>
      <c r="AR142" s="27" t="s">
        <v>507</v>
      </c>
      <c r="AS142" s="27" t="s">
        <v>507</v>
      </c>
      <c r="AT142" s="27" t="s">
        <v>507</v>
      </c>
      <c r="AU142" s="32" t="s">
        <v>53</v>
      </c>
      <c r="AV142" s="27" t="s">
        <v>507</v>
      </c>
      <c r="AW142" s="27" t="s">
        <v>507</v>
      </c>
      <c r="AX142" s="27" t="s">
        <v>507</v>
      </c>
      <c r="AY142" s="27" t="s">
        <v>507</v>
      </c>
      <c r="AZ142" s="33" t="s">
        <v>507</v>
      </c>
      <c r="BA142" s="33" t="s">
        <v>507</v>
      </c>
    </row>
    <row r="143" spans="1:53" s="35" customFormat="1" ht="15" hidden="1" customHeight="1" x14ac:dyDescent="0.3">
      <c r="A143" s="27" t="s">
        <v>505</v>
      </c>
      <c r="B143" s="27" t="s">
        <v>506</v>
      </c>
      <c r="C143" s="27">
        <v>70</v>
      </c>
      <c r="D143" s="27">
        <v>124</v>
      </c>
      <c r="E143" s="27" t="s">
        <v>507</v>
      </c>
      <c r="F143" s="28" t="s">
        <v>583</v>
      </c>
      <c r="G143" s="29" t="str">
        <f t="shared" si="4"/>
        <v>7012422836945</v>
      </c>
      <c r="H143" s="27" t="s">
        <v>584</v>
      </c>
      <c r="I143" s="27">
        <v>22836945</v>
      </c>
      <c r="J143" s="27" t="s">
        <v>585</v>
      </c>
      <c r="K143" s="27" t="s">
        <v>230</v>
      </c>
      <c r="L143" s="27" t="s">
        <v>45</v>
      </c>
      <c r="M143" s="28" t="s">
        <v>45</v>
      </c>
      <c r="N143" s="12" t="s">
        <v>259</v>
      </c>
      <c r="O143" s="174" t="s">
        <v>275</v>
      </c>
      <c r="P143" s="177" t="s">
        <v>80</v>
      </c>
      <c r="Q143" s="31">
        <v>45600</v>
      </c>
      <c r="R143" s="30">
        <v>0.75</v>
      </c>
      <c r="S143" s="29" t="s">
        <v>49</v>
      </c>
      <c r="T143" s="27" t="s">
        <v>507</v>
      </c>
      <c r="U143" s="27" t="s">
        <v>507</v>
      </c>
      <c r="V143" s="31">
        <v>45052</v>
      </c>
      <c r="W143" s="30">
        <v>0.81</v>
      </c>
      <c r="X143" s="29" t="s">
        <v>49</v>
      </c>
      <c r="Y143" s="29" t="s">
        <v>507</v>
      </c>
      <c r="Z143" s="27" t="s">
        <v>507</v>
      </c>
      <c r="AA143" s="27" t="s">
        <v>507</v>
      </c>
      <c r="AB143" s="27" t="s">
        <v>507</v>
      </c>
      <c r="AC143" s="27" t="s">
        <v>586</v>
      </c>
      <c r="AD143" s="30">
        <v>0.76</v>
      </c>
      <c r="AE143" s="27" t="s">
        <v>49</v>
      </c>
      <c r="AG143" s="27" t="s">
        <v>507</v>
      </c>
      <c r="AH143" s="27" t="s">
        <v>507</v>
      </c>
      <c r="AI143" s="27" t="s">
        <v>507</v>
      </c>
      <c r="AJ143" s="27" t="s">
        <v>507</v>
      </c>
      <c r="AK143" s="29" t="s">
        <v>507</v>
      </c>
      <c r="AL143" s="27" t="s">
        <v>507</v>
      </c>
      <c r="AM143" s="27" t="s">
        <v>507</v>
      </c>
      <c r="AN143" s="27" t="s">
        <v>507</v>
      </c>
      <c r="AO143" s="27" t="s">
        <v>507</v>
      </c>
      <c r="AP143" s="27" t="s">
        <v>507</v>
      </c>
      <c r="AQ143" s="27" t="s">
        <v>507</v>
      </c>
      <c r="AR143" s="27" t="s">
        <v>507</v>
      </c>
      <c r="AS143" s="27" t="s">
        <v>507</v>
      </c>
      <c r="AT143" s="27" t="s">
        <v>507</v>
      </c>
      <c r="AU143" s="32" t="s">
        <v>53</v>
      </c>
      <c r="AV143" s="27" t="s">
        <v>507</v>
      </c>
      <c r="AW143" s="27" t="s">
        <v>507</v>
      </c>
      <c r="AX143" s="27" t="s">
        <v>507</v>
      </c>
      <c r="AY143" s="27" t="s">
        <v>507</v>
      </c>
      <c r="AZ143" s="33" t="s">
        <v>507</v>
      </c>
      <c r="BA143" s="33" t="s">
        <v>507</v>
      </c>
    </row>
    <row r="144" spans="1:53" s="35" customFormat="1" ht="15" hidden="1" customHeight="1" x14ac:dyDescent="0.3">
      <c r="A144" s="27" t="s">
        <v>505</v>
      </c>
      <c r="B144" s="27" t="s">
        <v>506</v>
      </c>
      <c r="C144" s="27">
        <v>70</v>
      </c>
      <c r="D144" s="27">
        <v>124</v>
      </c>
      <c r="E144" s="27" t="s">
        <v>507</v>
      </c>
      <c r="F144" s="28" t="s">
        <v>587</v>
      </c>
      <c r="G144" s="29" t="str">
        <f t="shared" si="4"/>
        <v>7012411002499316</v>
      </c>
      <c r="H144" s="27" t="s">
        <v>588</v>
      </c>
      <c r="I144" s="27">
        <v>11002499316</v>
      </c>
      <c r="J144" s="27" t="s">
        <v>589</v>
      </c>
      <c r="K144" s="27" t="s">
        <v>230</v>
      </c>
      <c r="L144" s="27" t="s">
        <v>45</v>
      </c>
      <c r="M144" s="28" t="s">
        <v>45</v>
      </c>
      <c r="N144" s="12" t="s">
        <v>259</v>
      </c>
      <c r="O144" s="29" t="s">
        <v>260</v>
      </c>
      <c r="P144" s="177" t="s">
        <v>80</v>
      </c>
      <c r="Q144" s="31">
        <v>45447</v>
      </c>
      <c r="R144" s="30">
        <v>0.82</v>
      </c>
      <c r="S144" s="29" t="s">
        <v>49</v>
      </c>
      <c r="T144" s="27" t="s">
        <v>507</v>
      </c>
      <c r="U144" s="27" t="s">
        <v>507</v>
      </c>
      <c r="V144" s="31">
        <v>45113</v>
      </c>
      <c r="W144" s="30">
        <v>0.81</v>
      </c>
      <c r="X144" s="29" t="s">
        <v>49</v>
      </c>
      <c r="Y144" s="29" t="s">
        <v>507</v>
      </c>
      <c r="Z144" s="27" t="s">
        <v>507</v>
      </c>
      <c r="AA144" s="27" t="s">
        <v>507</v>
      </c>
      <c r="AB144" s="27" t="s">
        <v>507</v>
      </c>
      <c r="AC144" s="27" t="s">
        <v>507</v>
      </c>
      <c r="AD144" s="29" t="s">
        <v>507</v>
      </c>
      <c r="AE144" s="27" t="s">
        <v>507</v>
      </c>
      <c r="AG144" s="27" t="s">
        <v>507</v>
      </c>
      <c r="AH144" s="27" t="s">
        <v>507</v>
      </c>
      <c r="AI144" s="27" t="s">
        <v>507</v>
      </c>
      <c r="AJ144" s="27" t="s">
        <v>507</v>
      </c>
      <c r="AK144" s="29" t="s">
        <v>507</v>
      </c>
      <c r="AL144" s="27" t="s">
        <v>507</v>
      </c>
      <c r="AM144" s="27" t="s">
        <v>507</v>
      </c>
      <c r="AN144" s="27" t="s">
        <v>507</v>
      </c>
      <c r="AO144" s="27" t="s">
        <v>507</v>
      </c>
      <c r="AP144" s="27" t="s">
        <v>507</v>
      </c>
      <c r="AQ144" s="27" t="s">
        <v>507</v>
      </c>
      <c r="AR144" s="27" t="s">
        <v>507</v>
      </c>
      <c r="AS144" s="27" t="s">
        <v>507</v>
      </c>
      <c r="AT144" s="27" t="s">
        <v>507</v>
      </c>
      <c r="AU144" s="32" t="s">
        <v>53</v>
      </c>
      <c r="AV144" s="27" t="s">
        <v>507</v>
      </c>
      <c r="AW144" s="27" t="s">
        <v>507</v>
      </c>
      <c r="AX144" s="27" t="s">
        <v>507</v>
      </c>
      <c r="AY144" s="27" t="s">
        <v>507</v>
      </c>
      <c r="AZ144" s="33" t="s">
        <v>507</v>
      </c>
      <c r="BA144" s="33" t="s">
        <v>507</v>
      </c>
    </row>
    <row r="145" spans="1:53" s="35" customFormat="1" ht="15.75" customHeight="1" x14ac:dyDescent="0.3">
      <c r="A145" s="27" t="s">
        <v>505</v>
      </c>
      <c r="B145" s="27" t="s">
        <v>506</v>
      </c>
      <c r="C145" s="27">
        <v>70</v>
      </c>
      <c r="D145" s="27">
        <v>124</v>
      </c>
      <c r="E145" s="27" t="s">
        <v>507</v>
      </c>
      <c r="F145" s="350" t="s">
        <v>590</v>
      </c>
      <c r="G145" s="29" t="str">
        <f t="shared" si="4"/>
        <v>7012423181799</v>
      </c>
      <c r="H145" s="27" t="s">
        <v>591</v>
      </c>
      <c r="I145" s="27">
        <v>23181799</v>
      </c>
      <c r="J145" s="27" t="s">
        <v>592</v>
      </c>
      <c r="K145" s="27" t="s">
        <v>230</v>
      </c>
      <c r="L145" s="27">
        <v>3218489913</v>
      </c>
      <c r="M145" s="28" t="s">
        <v>9032</v>
      </c>
      <c r="N145" s="12" t="s">
        <v>46</v>
      </c>
      <c r="O145" s="12" t="s">
        <v>47</v>
      </c>
      <c r="P145" s="177" t="s">
        <v>48</v>
      </c>
      <c r="Q145" s="351">
        <v>46224</v>
      </c>
      <c r="R145" s="35">
        <v>70</v>
      </c>
      <c r="S145" s="29" t="s">
        <v>49</v>
      </c>
      <c r="T145" s="27" t="s">
        <v>722</v>
      </c>
      <c r="U145" s="27" t="s">
        <v>60</v>
      </c>
      <c r="V145" s="351">
        <v>45972</v>
      </c>
      <c r="W145" s="35">
        <v>78</v>
      </c>
      <c r="X145" s="12" t="s">
        <v>49</v>
      </c>
      <c r="Y145" s="29" t="s">
        <v>507</v>
      </c>
      <c r="Z145" s="27" t="s">
        <v>60</v>
      </c>
      <c r="AA145" s="27" t="s">
        <v>507</v>
      </c>
      <c r="AB145" s="27" t="s">
        <v>507</v>
      </c>
      <c r="AC145" s="31">
        <v>45600</v>
      </c>
      <c r="AD145" s="30">
        <v>0.78</v>
      </c>
      <c r="AE145" s="29" t="s">
        <v>49</v>
      </c>
      <c r="AF145" s="12" t="s">
        <v>60</v>
      </c>
      <c r="AG145" s="27" t="s">
        <v>507</v>
      </c>
      <c r="AH145" s="27" t="s">
        <v>507</v>
      </c>
      <c r="AI145" s="27" t="s">
        <v>593</v>
      </c>
      <c r="AJ145" s="30">
        <v>0.67</v>
      </c>
      <c r="AK145" s="29" t="s">
        <v>49</v>
      </c>
      <c r="AL145" s="27" t="s">
        <v>60</v>
      </c>
      <c r="AM145" s="27" t="s">
        <v>507</v>
      </c>
      <c r="AN145" s="27" t="s">
        <v>507</v>
      </c>
      <c r="AO145" s="31">
        <v>44387</v>
      </c>
      <c r="AP145" s="30">
        <v>0.69</v>
      </c>
      <c r="AQ145" s="27" t="s">
        <v>49</v>
      </c>
      <c r="AR145" s="27" t="s">
        <v>60</v>
      </c>
      <c r="AS145" s="27" t="s">
        <v>507</v>
      </c>
      <c r="AT145" s="27" t="s">
        <v>507</v>
      </c>
      <c r="AU145" s="32" t="s">
        <v>53</v>
      </c>
      <c r="AV145" s="27" t="s">
        <v>507</v>
      </c>
      <c r="AW145" s="27" t="s">
        <v>507</v>
      </c>
      <c r="AX145" s="27" t="s">
        <v>507</v>
      </c>
      <c r="AY145" s="27" t="s">
        <v>507</v>
      </c>
      <c r="AZ145" s="33" t="s">
        <v>507</v>
      </c>
      <c r="BA145" s="33" t="s">
        <v>507</v>
      </c>
    </row>
    <row r="146" spans="1:53" s="35" customFormat="1" ht="15.75" hidden="1" customHeight="1" x14ac:dyDescent="0.3">
      <c r="A146" s="27" t="s">
        <v>505</v>
      </c>
      <c r="B146" s="27" t="s">
        <v>506</v>
      </c>
      <c r="C146" s="27">
        <v>70</v>
      </c>
      <c r="D146" s="27">
        <v>124</v>
      </c>
      <c r="E146" s="27" t="s">
        <v>507</v>
      </c>
      <c r="F146" s="28" t="s">
        <v>594</v>
      </c>
      <c r="G146" s="29" t="str">
        <f t="shared" si="4"/>
        <v>7012411042033</v>
      </c>
      <c r="H146" s="27" t="s">
        <v>595</v>
      </c>
      <c r="I146" s="27">
        <v>11042033</v>
      </c>
      <c r="J146" s="27" t="s">
        <v>596</v>
      </c>
      <c r="K146" s="27" t="s">
        <v>230</v>
      </c>
      <c r="L146" s="27" t="s">
        <v>45</v>
      </c>
      <c r="M146" s="28" t="s">
        <v>45</v>
      </c>
      <c r="N146" s="12" t="s">
        <v>432</v>
      </c>
      <c r="O146" s="12" t="s">
        <v>432</v>
      </c>
      <c r="P146" s="177" t="s">
        <v>261</v>
      </c>
      <c r="Q146" s="31">
        <v>45389</v>
      </c>
      <c r="R146" s="30">
        <v>0.95</v>
      </c>
      <c r="S146" s="27" t="s">
        <v>210</v>
      </c>
      <c r="T146" s="27" t="s">
        <v>507</v>
      </c>
      <c r="U146" s="27" t="s">
        <v>507</v>
      </c>
      <c r="V146" s="31">
        <v>44418</v>
      </c>
      <c r="W146" s="30">
        <v>0.76</v>
      </c>
      <c r="X146" s="29" t="s">
        <v>49</v>
      </c>
      <c r="Y146" s="29" t="s">
        <v>507</v>
      </c>
      <c r="Z146" s="27" t="s">
        <v>507</v>
      </c>
      <c r="AA146" s="27" t="s">
        <v>507</v>
      </c>
      <c r="AB146" s="27" t="s">
        <v>507</v>
      </c>
      <c r="AC146" s="31">
        <v>44418</v>
      </c>
      <c r="AD146" s="30">
        <v>0.76</v>
      </c>
      <c r="AE146" s="27" t="s">
        <v>49</v>
      </c>
      <c r="AG146" s="27" t="s">
        <v>507</v>
      </c>
      <c r="AH146" s="27" t="s">
        <v>507</v>
      </c>
      <c r="AI146" s="27" t="s">
        <v>507</v>
      </c>
      <c r="AJ146" s="27" t="s">
        <v>507</v>
      </c>
      <c r="AK146" s="29" t="s">
        <v>507</v>
      </c>
      <c r="AL146" s="27" t="s">
        <v>507</v>
      </c>
      <c r="AM146" s="27" t="s">
        <v>507</v>
      </c>
      <c r="AN146" s="27" t="s">
        <v>507</v>
      </c>
      <c r="AO146" s="27" t="s">
        <v>507</v>
      </c>
      <c r="AP146" s="27" t="s">
        <v>507</v>
      </c>
      <c r="AQ146" s="27" t="s">
        <v>507</v>
      </c>
      <c r="AR146" s="27" t="s">
        <v>507</v>
      </c>
      <c r="AS146" s="27" t="s">
        <v>507</v>
      </c>
      <c r="AT146" s="27" t="s">
        <v>507</v>
      </c>
      <c r="AU146" s="32" t="s">
        <v>53</v>
      </c>
      <c r="AV146" s="27" t="s">
        <v>507</v>
      </c>
      <c r="AW146" s="27" t="s">
        <v>507</v>
      </c>
      <c r="AX146" s="27" t="s">
        <v>507</v>
      </c>
      <c r="AY146" s="27" t="s">
        <v>507</v>
      </c>
      <c r="AZ146" s="33" t="s">
        <v>507</v>
      </c>
      <c r="BA146" s="33" t="s">
        <v>507</v>
      </c>
    </row>
    <row r="147" spans="1:53" s="35" customFormat="1" ht="15.75" hidden="1" customHeight="1" x14ac:dyDescent="0.3">
      <c r="A147" s="27" t="s">
        <v>505</v>
      </c>
      <c r="B147" s="27" t="s">
        <v>506</v>
      </c>
      <c r="C147" s="27">
        <v>70</v>
      </c>
      <c r="D147" s="27">
        <v>124</v>
      </c>
      <c r="E147" s="27" t="s">
        <v>507</v>
      </c>
      <c r="F147" s="28" t="s">
        <v>597</v>
      </c>
      <c r="G147" s="29" t="str">
        <f t="shared" si="4"/>
        <v>70124110406863</v>
      </c>
      <c r="H147" s="27" t="s">
        <v>598</v>
      </c>
      <c r="I147" s="27">
        <v>110406863</v>
      </c>
      <c r="J147" s="27" t="s">
        <v>561</v>
      </c>
      <c r="K147" s="27" t="s">
        <v>230</v>
      </c>
      <c r="L147" s="27" t="s">
        <v>45</v>
      </c>
      <c r="M147" s="28" t="s">
        <v>45</v>
      </c>
      <c r="N147" s="12" t="s">
        <v>7648</v>
      </c>
      <c r="O147" s="12" t="s">
        <v>7653</v>
      </c>
      <c r="P147" s="177" t="s">
        <v>48</v>
      </c>
      <c r="Q147" s="27" t="s">
        <v>599</v>
      </c>
      <c r="R147" s="30">
        <v>0.92</v>
      </c>
      <c r="S147" s="27" t="s">
        <v>210</v>
      </c>
      <c r="T147" s="27" t="s">
        <v>507</v>
      </c>
      <c r="U147" s="27" t="s">
        <v>507</v>
      </c>
      <c r="V147" s="27" t="s">
        <v>600</v>
      </c>
      <c r="W147" s="30">
        <v>0.73</v>
      </c>
      <c r="X147" s="29" t="s">
        <v>49</v>
      </c>
      <c r="Y147" s="29" t="s">
        <v>507</v>
      </c>
      <c r="Z147" s="27" t="s">
        <v>507</v>
      </c>
      <c r="AA147" s="27" t="s">
        <v>507</v>
      </c>
      <c r="AB147" s="27" t="s">
        <v>507</v>
      </c>
      <c r="AC147" s="27" t="s">
        <v>600</v>
      </c>
      <c r="AD147" s="30">
        <v>0.73</v>
      </c>
      <c r="AE147" s="27" t="s">
        <v>49</v>
      </c>
      <c r="AG147" s="27" t="s">
        <v>507</v>
      </c>
      <c r="AH147" s="27" t="s">
        <v>507</v>
      </c>
      <c r="AI147" s="27" t="s">
        <v>507</v>
      </c>
      <c r="AJ147" s="27" t="s">
        <v>507</v>
      </c>
      <c r="AK147" s="29" t="s">
        <v>507</v>
      </c>
      <c r="AL147" s="27" t="s">
        <v>507</v>
      </c>
      <c r="AM147" s="27" t="s">
        <v>507</v>
      </c>
      <c r="AN147" s="27" t="s">
        <v>507</v>
      </c>
      <c r="AO147" s="27" t="s">
        <v>507</v>
      </c>
      <c r="AP147" s="27" t="s">
        <v>507</v>
      </c>
      <c r="AQ147" s="27" t="s">
        <v>507</v>
      </c>
      <c r="AR147" s="27" t="s">
        <v>507</v>
      </c>
      <c r="AS147" s="27" t="s">
        <v>507</v>
      </c>
      <c r="AT147" s="27" t="s">
        <v>507</v>
      </c>
      <c r="AU147" s="32" t="s">
        <v>53</v>
      </c>
      <c r="AV147" s="27" t="s">
        <v>507</v>
      </c>
      <c r="AW147" s="27" t="s">
        <v>507</v>
      </c>
      <c r="AX147" s="27" t="s">
        <v>507</v>
      </c>
      <c r="AY147" s="27" t="s">
        <v>507</v>
      </c>
      <c r="AZ147" s="33" t="s">
        <v>507</v>
      </c>
      <c r="BA147" s="33" t="s">
        <v>507</v>
      </c>
    </row>
    <row r="148" spans="1:53" s="35" customFormat="1" ht="14.25" hidden="1" customHeight="1" x14ac:dyDescent="0.3">
      <c r="A148" s="27" t="s">
        <v>505</v>
      </c>
      <c r="B148" s="27" t="s">
        <v>506</v>
      </c>
      <c r="C148" s="27">
        <v>70</v>
      </c>
      <c r="D148" s="27">
        <v>124</v>
      </c>
      <c r="E148" s="27" t="s">
        <v>507</v>
      </c>
      <c r="F148" s="28" t="s">
        <v>601</v>
      </c>
      <c r="G148" s="29" t="str">
        <f t="shared" si="4"/>
        <v>701241063282281</v>
      </c>
      <c r="H148" s="27" t="s">
        <v>602</v>
      </c>
      <c r="I148" s="27">
        <v>1063282281</v>
      </c>
      <c r="J148" s="27" t="s">
        <v>561</v>
      </c>
      <c r="K148" s="27" t="s">
        <v>230</v>
      </c>
      <c r="L148" s="27" t="s">
        <v>45</v>
      </c>
      <c r="M148" s="28" t="s">
        <v>45</v>
      </c>
      <c r="N148" s="12" t="s">
        <v>7648</v>
      </c>
      <c r="O148" s="12" t="s">
        <v>7653</v>
      </c>
      <c r="P148" s="177" t="s">
        <v>48</v>
      </c>
      <c r="Q148" s="27" t="s">
        <v>603</v>
      </c>
      <c r="R148" s="30">
        <v>0.89</v>
      </c>
      <c r="S148" s="29" t="s">
        <v>49</v>
      </c>
      <c r="T148" s="27" t="s">
        <v>507</v>
      </c>
      <c r="U148" s="27" t="s">
        <v>507</v>
      </c>
      <c r="V148" s="27" t="s">
        <v>604</v>
      </c>
      <c r="W148" s="30">
        <v>0.77</v>
      </c>
      <c r="X148" s="29" t="s">
        <v>49</v>
      </c>
      <c r="Y148" s="29" t="s">
        <v>507</v>
      </c>
      <c r="Z148" s="27" t="s">
        <v>507</v>
      </c>
      <c r="AA148" s="27" t="s">
        <v>507</v>
      </c>
      <c r="AB148" s="27" t="s">
        <v>507</v>
      </c>
      <c r="AC148" s="27" t="s">
        <v>604</v>
      </c>
      <c r="AD148" s="30">
        <v>0.77</v>
      </c>
      <c r="AE148" s="27" t="s">
        <v>49</v>
      </c>
      <c r="AG148" s="27" t="s">
        <v>507</v>
      </c>
      <c r="AH148" s="27" t="s">
        <v>507</v>
      </c>
      <c r="AI148" s="27" t="s">
        <v>507</v>
      </c>
      <c r="AJ148" s="27" t="s">
        <v>507</v>
      </c>
      <c r="AK148" s="29" t="s">
        <v>507</v>
      </c>
      <c r="AL148" s="27" t="s">
        <v>507</v>
      </c>
      <c r="AM148" s="27" t="s">
        <v>507</v>
      </c>
      <c r="AN148" s="27" t="s">
        <v>507</v>
      </c>
      <c r="AO148" s="27" t="s">
        <v>507</v>
      </c>
      <c r="AP148" s="27" t="s">
        <v>507</v>
      </c>
      <c r="AQ148" s="27" t="s">
        <v>507</v>
      </c>
      <c r="AR148" s="27" t="s">
        <v>507</v>
      </c>
      <c r="AS148" s="27" t="s">
        <v>507</v>
      </c>
      <c r="AT148" s="27" t="s">
        <v>507</v>
      </c>
      <c r="AU148" s="32" t="s">
        <v>53</v>
      </c>
      <c r="AV148" s="27" t="s">
        <v>507</v>
      </c>
      <c r="AW148" s="27" t="s">
        <v>507</v>
      </c>
      <c r="AX148" s="27" t="s">
        <v>507</v>
      </c>
      <c r="AY148" s="27" t="s">
        <v>507</v>
      </c>
      <c r="AZ148" s="33" t="s">
        <v>507</v>
      </c>
      <c r="BA148" s="33" t="s">
        <v>507</v>
      </c>
    </row>
    <row r="149" spans="1:53" s="35" customFormat="1" ht="14.25" customHeight="1" x14ac:dyDescent="0.3">
      <c r="A149" s="27" t="s">
        <v>505</v>
      </c>
      <c r="B149" s="27" t="s">
        <v>506</v>
      </c>
      <c r="C149" s="27">
        <v>70</v>
      </c>
      <c r="D149" s="27">
        <v>124</v>
      </c>
      <c r="E149" s="27" t="s">
        <v>507</v>
      </c>
      <c r="F149" s="350" t="s">
        <v>605</v>
      </c>
      <c r="G149" s="29" t="str">
        <f t="shared" si="4"/>
        <v>7012422836696</v>
      </c>
      <c r="H149" s="27" t="s">
        <v>9027</v>
      </c>
      <c r="I149" s="27">
        <v>22836696</v>
      </c>
      <c r="J149" s="27" t="s">
        <v>9028</v>
      </c>
      <c r="K149" s="27" t="s">
        <v>230</v>
      </c>
      <c r="L149" s="27">
        <v>3224644099</v>
      </c>
      <c r="M149" s="28" t="s">
        <v>9029</v>
      </c>
      <c r="N149" s="12" t="s">
        <v>46</v>
      </c>
      <c r="O149" s="12" t="s">
        <v>47</v>
      </c>
      <c r="P149" s="177" t="s">
        <v>48</v>
      </c>
      <c r="Q149" s="351">
        <v>46210</v>
      </c>
      <c r="R149" s="35" t="s">
        <v>2768</v>
      </c>
      <c r="S149" s="29" t="s">
        <v>49</v>
      </c>
      <c r="T149" s="12" t="s">
        <v>722</v>
      </c>
      <c r="U149" s="12" t="s">
        <v>50</v>
      </c>
      <c r="V149" s="351">
        <v>45985</v>
      </c>
      <c r="W149" s="35" t="s">
        <v>8503</v>
      </c>
      <c r="X149" s="12" t="s">
        <v>49</v>
      </c>
      <c r="Y149" s="27" t="s">
        <v>507</v>
      </c>
      <c r="Z149" s="27" t="s">
        <v>60</v>
      </c>
      <c r="AA149" s="27" t="s">
        <v>507</v>
      </c>
      <c r="AB149" s="27" t="s">
        <v>507</v>
      </c>
      <c r="AC149" s="27" t="s">
        <v>607</v>
      </c>
      <c r="AD149" s="30">
        <v>0.93</v>
      </c>
      <c r="AE149" s="27" t="s">
        <v>210</v>
      </c>
      <c r="AG149" s="27" t="s">
        <v>507</v>
      </c>
      <c r="AH149" s="27" t="s">
        <v>507</v>
      </c>
      <c r="AI149" s="27" t="s">
        <v>608</v>
      </c>
      <c r="AJ149" s="30">
        <v>0.72</v>
      </c>
      <c r="AK149" s="29" t="s">
        <v>49</v>
      </c>
      <c r="AL149" s="27" t="s">
        <v>60</v>
      </c>
      <c r="AM149" s="27" t="s">
        <v>507</v>
      </c>
      <c r="AN149" s="27" t="s">
        <v>507</v>
      </c>
      <c r="AO149" s="27" t="s">
        <v>609</v>
      </c>
      <c r="AP149" s="30">
        <v>0.74</v>
      </c>
      <c r="AQ149" s="27" t="s">
        <v>49</v>
      </c>
      <c r="AR149" s="27" t="s">
        <v>60</v>
      </c>
      <c r="AS149" s="27" t="s">
        <v>507</v>
      </c>
      <c r="AT149" s="27" t="s">
        <v>507</v>
      </c>
      <c r="AU149" s="32" t="s">
        <v>53</v>
      </c>
      <c r="AV149" s="27" t="s">
        <v>507</v>
      </c>
      <c r="AW149" s="27" t="s">
        <v>507</v>
      </c>
      <c r="AX149" s="27" t="s">
        <v>507</v>
      </c>
      <c r="AY149" s="27" t="s">
        <v>507</v>
      </c>
      <c r="AZ149" s="33" t="s">
        <v>507</v>
      </c>
      <c r="BA149" s="33" t="s">
        <v>507</v>
      </c>
    </row>
    <row r="150" spans="1:53" s="35" customFormat="1" ht="14.25" hidden="1" customHeight="1" x14ac:dyDescent="0.3">
      <c r="A150" s="27" t="s">
        <v>505</v>
      </c>
      <c r="B150" s="27" t="s">
        <v>506</v>
      </c>
      <c r="C150" s="27">
        <v>70</v>
      </c>
      <c r="D150" s="27">
        <v>124</v>
      </c>
      <c r="E150" s="27" t="s">
        <v>507</v>
      </c>
      <c r="F150" s="28" t="s">
        <v>610</v>
      </c>
      <c r="G150" s="29" t="str">
        <f t="shared" si="4"/>
        <v>7012411041261</v>
      </c>
      <c r="H150" s="27" t="s">
        <v>611</v>
      </c>
      <c r="I150" s="27">
        <v>11041261</v>
      </c>
      <c r="J150" s="27" t="s">
        <v>612</v>
      </c>
      <c r="K150" s="27" t="s">
        <v>230</v>
      </c>
      <c r="L150" s="27" t="s">
        <v>45</v>
      </c>
      <c r="M150" s="28" t="s">
        <v>45</v>
      </c>
      <c r="N150" s="12" t="s">
        <v>259</v>
      </c>
      <c r="O150" s="12" t="s">
        <v>260</v>
      </c>
      <c r="P150" s="177" t="s">
        <v>80</v>
      </c>
      <c r="Q150" s="31">
        <v>45605</v>
      </c>
      <c r="R150" s="30">
        <v>0.86</v>
      </c>
      <c r="S150" s="29" t="s">
        <v>49</v>
      </c>
      <c r="T150" s="27" t="s">
        <v>507</v>
      </c>
      <c r="U150" s="27" t="s">
        <v>507</v>
      </c>
      <c r="V150" s="27" t="s">
        <v>613</v>
      </c>
      <c r="W150" s="30">
        <v>0.73</v>
      </c>
      <c r="X150" s="29" t="s">
        <v>49</v>
      </c>
      <c r="Y150" s="29" t="s">
        <v>507</v>
      </c>
      <c r="Z150" s="27" t="s">
        <v>507</v>
      </c>
      <c r="AA150" s="27" t="s">
        <v>507</v>
      </c>
      <c r="AB150" s="27" t="s">
        <v>507</v>
      </c>
      <c r="AC150" s="27" t="s">
        <v>614</v>
      </c>
      <c r="AD150" s="30">
        <v>0.73</v>
      </c>
      <c r="AE150" s="27" t="s">
        <v>49</v>
      </c>
      <c r="AG150" s="27" t="s">
        <v>507</v>
      </c>
      <c r="AH150" s="27" t="s">
        <v>507</v>
      </c>
      <c r="AI150" s="27" t="s">
        <v>507</v>
      </c>
      <c r="AJ150" s="27" t="s">
        <v>507</v>
      </c>
      <c r="AK150" s="29" t="s">
        <v>507</v>
      </c>
      <c r="AL150" s="27" t="s">
        <v>507</v>
      </c>
      <c r="AM150" s="27" t="s">
        <v>507</v>
      </c>
      <c r="AN150" s="27" t="s">
        <v>507</v>
      </c>
      <c r="AO150" s="27" t="s">
        <v>507</v>
      </c>
      <c r="AP150" s="27" t="s">
        <v>507</v>
      </c>
      <c r="AQ150" s="27" t="s">
        <v>507</v>
      </c>
      <c r="AR150" s="27" t="s">
        <v>507</v>
      </c>
      <c r="AS150" s="27" t="s">
        <v>507</v>
      </c>
      <c r="AT150" s="27" t="s">
        <v>507</v>
      </c>
      <c r="AU150" s="32" t="s">
        <v>53</v>
      </c>
      <c r="AV150" s="27" t="s">
        <v>507</v>
      </c>
      <c r="AW150" s="27" t="s">
        <v>507</v>
      </c>
      <c r="AX150" s="27" t="s">
        <v>507</v>
      </c>
      <c r="AY150" s="27" t="s">
        <v>507</v>
      </c>
      <c r="AZ150" s="33" t="s">
        <v>507</v>
      </c>
      <c r="BA150" s="33" t="s">
        <v>507</v>
      </c>
    </row>
    <row r="151" spans="1:53" s="35" customFormat="1" ht="15.75" hidden="1" customHeight="1" x14ac:dyDescent="0.3">
      <c r="A151" s="27" t="s">
        <v>505</v>
      </c>
      <c r="B151" s="27" t="s">
        <v>506</v>
      </c>
      <c r="C151" s="27">
        <v>70</v>
      </c>
      <c r="D151" s="27">
        <v>124</v>
      </c>
      <c r="E151" s="27" t="s">
        <v>615</v>
      </c>
      <c r="F151" s="28" t="s">
        <v>616</v>
      </c>
      <c r="G151" s="29" t="str">
        <f t="shared" si="4"/>
        <v>701248230028286</v>
      </c>
      <c r="H151" s="27" t="s">
        <v>617</v>
      </c>
      <c r="I151" s="27">
        <v>8230028286</v>
      </c>
      <c r="J151" s="27" t="s">
        <v>618</v>
      </c>
      <c r="K151" s="27" t="s">
        <v>230</v>
      </c>
      <c r="L151" s="27">
        <v>3207442883</v>
      </c>
      <c r="M151" s="170" t="s">
        <v>619</v>
      </c>
      <c r="N151" s="174" t="s">
        <v>127</v>
      </c>
      <c r="O151" s="12" t="s">
        <v>2822</v>
      </c>
      <c r="P151" s="177" t="s">
        <v>48</v>
      </c>
      <c r="Q151" s="29" t="s">
        <v>620</v>
      </c>
      <c r="R151" s="29" t="s">
        <v>621</v>
      </c>
      <c r="S151" s="29" t="s">
        <v>49</v>
      </c>
      <c r="T151" s="27" t="s">
        <v>622</v>
      </c>
      <c r="U151" s="27" t="s">
        <v>50</v>
      </c>
      <c r="V151" s="29" t="s">
        <v>623</v>
      </c>
      <c r="W151" s="30">
        <v>0.79</v>
      </c>
      <c r="X151" s="29" t="s">
        <v>49</v>
      </c>
      <c r="Y151" s="29" t="s">
        <v>507</v>
      </c>
      <c r="Z151" s="27" t="s">
        <v>507</v>
      </c>
      <c r="AA151" s="27" t="s">
        <v>507</v>
      </c>
      <c r="AB151" s="27" t="s">
        <v>507</v>
      </c>
      <c r="AC151" s="27" t="s">
        <v>624</v>
      </c>
      <c r="AD151" s="30">
        <v>0.85</v>
      </c>
      <c r="AE151" s="27" t="s">
        <v>49</v>
      </c>
      <c r="AG151" s="27" t="s">
        <v>507</v>
      </c>
      <c r="AH151" s="27" t="s">
        <v>507</v>
      </c>
      <c r="AI151" s="27" t="s">
        <v>507</v>
      </c>
      <c r="AJ151" s="27" t="s">
        <v>614</v>
      </c>
      <c r="AK151" s="29" t="s">
        <v>625</v>
      </c>
      <c r="AL151" s="27" t="s">
        <v>49</v>
      </c>
      <c r="AM151" s="27" t="s">
        <v>507</v>
      </c>
      <c r="AN151" s="27" t="s">
        <v>507</v>
      </c>
      <c r="AO151" s="27" t="s">
        <v>507</v>
      </c>
      <c r="AP151" s="27" t="s">
        <v>507</v>
      </c>
      <c r="AQ151" s="27" t="s">
        <v>507</v>
      </c>
      <c r="AR151" s="27" t="s">
        <v>507</v>
      </c>
      <c r="AS151" s="27" t="s">
        <v>507</v>
      </c>
      <c r="AT151" s="27" t="s">
        <v>507</v>
      </c>
      <c r="AU151" s="32" t="s">
        <v>53</v>
      </c>
      <c r="AV151" s="27" t="s">
        <v>507</v>
      </c>
      <c r="AW151" s="27" t="s">
        <v>507</v>
      </c>
      <c r="AX151" s="27" t="s">
        <v>507</v>
      </c>
      <c r="AY151" s="27" t="s">
        <v>507</v>
      </c>
      <c r="AZ151" s="33" t="s">
        <v>507</v>
      </c>
      <c r="BA151" s="33" t="s">
        <v>507</v>
      </c>
    </row>
    <row r="152" spans="1:53" s="35" customFormat="1" ht="15.75" hidden="1" customHeight="1" x14ac:dyDescent="0.3">
      <c r="A152" s="27" t="s">
        <v>505</v>
      </c>
      <c r="B152" s="27" t="s">
        <v>506</v>
      </c>
      <c r="C152" s="27">
        <v>70</v>
      </c>
      <c r="D152" s="27">
        <v>124</v>
      </c>
      <c r="E152" s="27" t="s">
        <v>507</v>
      </c>
      <c r="F152" s="28" t="s">
        <v>626</v>
      </c>
      <c r="G152" s="29" t="str">
        <f t="shared" si="4"/>
        <v>701241102874807-8</v>
      </c>
      <c r="H152" s="27" t="s">
        <v>627</v>
      </c>
      <c r="I152" s="27" t="s">
        <v>628</v>
      </c>
      <c r="J152" s="27" t="s">
        <v>629</v>
      </c>
      <c r="K152" s="27" t="s">
        <v>230</v>
      </c>
      <c r="L152" s="27" t="s">
        <v>45</v>
      </c>
      <c r="M152" s="171" t="s">
        <v>45</v>
      </c>
      <c r="N152" s="12" t="s">
        <v>259</v>
      </c>
      <c r="O152" s="12" t="s">
        <v>260</v>
      </c>
      <c r="P152" s="177" t="s">
        <v>80</v>
      </c>
      <c r="Q152" s="27" t="s">
        <v>236</v>
      </c>
      <c r="R152" s="30">
        <v>0.85</v>
      </c>
      <c r="S152" s="29" t="s">
        <v>49</v>
      </c>
      <c r="T152" s="27" t="s">
        <v>507</v>
      </c>
      <c r="U152" s="27" t="s">
        <v>507</v>
      </c>
      <c r="V152" s="27" t="s">
        <v>630</v>
      </c>
      <c r="W152" s="30">
        <v>0.8</v>
      </c>
      <c r="X152" s="29" t="s">
        <v>49</v>
      </c>
      <c r="Y152" s="29" t="s">
        <v>507</v>
      </c>
      <c r="Z152" s="27" t="s">
        <v>507</v>
      </c>
      <c r="AA152" s="27" t="s">
        <v>507</v>
      </c>
      <c r="AB152" s="27" t="s">
        <v>507</v>
      </c>
      <c r="AC152" s="27" t="s">
        <v>507</v>
      </c>
      <c r="AD152" s="29" t="s">
        <v>507</v>
      </c>
      <c r="AE152" s="27" t="s">
        <v>507</v>
      </c>
      <c r="AG152" s="27" t="s">
        <v>507</v>
      </c>
      <c r="AH152" s="27" t="s">
        <v>507</v>
      </c>
      <c r="AI152" s="27" t="s">
        <v>507</v>
      </c>
      <c r="AJ152" s="27" t="s">
        <v>507</v>
      </c>
      <c r="AK152" s="29" t="s">
        <v>507</v>
      </c>
      <c r="AL152" s="27" t="s">
        <v>507</v>
      </c>
      <c r="AM152" s="27" t="s">
        <v>507</v>
      </c>
      <c r="AN152" s="27" t="s">
        <v>507</v>
      </c>
      <c r="AO152" s="27" t="s">
        <v>507</v>
      </c>
      <c r="AP152" s="27" t="s">
        <v>507</v>
      </c>
      <c r="AQ152" s="27" t="s">
        <v>507</v>
      </c>
      <c r="AR152" s="27" t="s">
        <v>507</v>
      </c>
      <c r="AS152" s="27" t="s">
        <v>507</v>
      </c>
      <c r="AT152" s="27" t="s">
        <v>507</v>
      </c>
      <c r="AU152" s="32" t="s">
        <v>53</v>
      </c>
      <c r="AV152" s="27" t="s">
        <v>507</v>
      </c>
      <c r="AW152" s="27" t="s">
        <v>507</v>
      </c>
      <c r="AX152" s="27" t="s">
        <v>507</v>
      </c>
      <c r="AY152" s="27" t="s">
        <v>507</v>
      </c>
      <c r="AZ152" s="33" t="s">
        <v>507</v>
      </c>
      <c r="BA152" s="33" t="s">
        <v>507</v>
      </c>
    </row>
    <row r="153" spans="1:53" s="35" customFormat="1" ht="15.75" hidden="1" customHeight="1" x14ac:dyDescent="0.3">
      <c r="A153" s="27" t="s">
        <v>505</v>
      </c>
      <c r="B153" s="27" t="s">
        <v>506</v>
      </c>
      <c r="C153" s="27">
        <v>70</v>
      </c>
      <c r="D153" s="27">
        <v>124</v>
      </c>
      <c r="E153" s="27" t="s">
        <v>507</v>
      </c>
      <c r="F153" s="28" t="s">
        <v>631</v>
      </c>
      <c r="G153" s="29" t="str">
        <f t="shared" si="4"/>
        <v>701248230028286</v>
      </c>
      <c r="H153" s="27" t="s">
        <v>617</v>
      </c>
      <c r="I153" s="27">
        <v>8230028286</v>
      </c>
      <c r="J153" s="27" t="s">
        <v>632</v>
      </c>
      <c r="K153" s="27" t="s">
        <v>230</v>
      </c>
      <c r="L153" s="27" t="s">
        <v>45</v>
      </c>
      <c r="M153" s="171" t="s">
        <v>45</v>
      </c>
      <c r="N153" s="174" t="s">
        <v>127</v>
      </c>
      <c r="O153" s="12" t="s">
        <v>2822</v>
      </c>
      <c r="P153" s="177" t="s">
        <v>48</v>
      </c>
      <c r="Q153" s="27" t="s">
        <v>633</v>
      </c>
      <c r="R153" s="30">
        <v>0.85</v>
      </c>
      <c r="S153" s="29" t="s">
        <v>49</v>
      </c>
      <c r="T153" s="27" t="s">
        <v>507</v>
      </c>
      <c r="U153" s="27" t="s">
        <v>507</v>
      </c>
      <c r="V153" s="27" t="s">
        <v>634</v>
      </c>
      <c r="W153" s="30">
        <v>0.89</v>
      </c>
      <c r="X153" s="29" t="s">
        <v>49</v>
      </c>
      <c r="Y153" s="29" t="s">
        <v>507</v>
      </c>
      <c r="Z153" s="27" t="s">
        <v>507</v>
      </c>
      <c r="AA153" s="27" t="s">
        <v>507</v>
      </c>
      <c r="AB153" s="27" t="s">
        <v>507</v>
      </c>
      <c r="AC153" s="27" t="s">
        <v>635</v>
      </c>
      <c r="AD153" s="30">
        <v>0.74</v>
      </c>
      <c r="AE153" s="27" t="s">
        <v>49</v>
      </c>
      <c r="AG153" s="27" t="s">
        <v>507</v>
      </c>
      <c r="AH153" s="27" t="s">
        <v>507</v>
      </c>
      <c r="AI153" s="27" t="s">
        <v>507</v>
      </c>
      <c r="AJ153" s="31">
        <v>44715</v>
      </c>
      <c r="AK153" s="29" t="s">
        <v>625</v>
      </c>
      <c r="AL153" s="27" t="s">
        <v>507</v>
      </c>
      <c r="AM153" s="27" t="s">
        <v>507</v>
      </c>
      <c r="AN153" s="27" t="s">
        <v>507</v>
      </c>
      <c r="AO153" s="27" t="s">
        <v>507</v>
      </c>
      <c r="AP153" s="27" t="s">
        <v>507</v>
      </c>
      <c r="AQ153" s="27" t="s">
        <v>507</v>
      </c>
      <c r="AR153" s="27" t="s">
        <v>507</v>
      </c>
      <c r="AS153" s="27" t="s">
        <v>507</v>
      </c>
      <c r="AT153" s="27" t="s">
        <v>507</v>
      </c>
      <c r="AU153" s="32" t="s">
        <v>53</v>
      </c>
      <c r="AV153" s="27" t="s">
        <v>507</v>
      </c>
      <c r="AW153" s="27" t="s">
        <v>507</v>
      </c>
      <c r="AX153" s="27" t="s">
        <v>507</v>
      </c>
      <c r="AY153" s="27" t="s">
        <v>507</v>
      </c>
      <c r="AZ153" s="33" t="s">
        <v>507</v>
      </c>
      <c r="BA153" s="33" t="s">
        <v>507</v>
      </c>
    </row>
    <row r="154" spans="1:53" s="35" customFormat="1" ht="14.25" hidden="1" customHeight="1" x14ac:dyDescent="0.3">
      <c r="A154" s="27" t="s">
        <v>505</v>
      </c>
      <c r="B154" s="27" t="s">
        <v>506</v>
      </c>
      <c r="C154" s="27">
        <v>70</v>
      </c>
      <c r="D154" s="27">
        <v>124</v>
      </c>
      <c r="E154" s="27" t="s">
        <v>507</v>
      </c>
      <c r="F154" s="28" t="s">
        <v>636</v>
      </c>
      <c r="G154" s="29" t="str">
        <f t="shared" si="4"/>
        <v>70124823003083</v>
      </c>
      <c r="H154" s="27" t="s">
        <v>637</v>
      </c>
      <c r="I154" s="27">
        <v>823003083</v>
      </c>
      <c r="J154" s="27" t="s">
        <v>638</v>
      </c>
      <c r="K154" s="27" t="s">
        <v>230</v>
      </c>
      <c r="L154" s="27" t="s">
        <v>45</v>
      </c>
      <c r="M154" s="171" t="s">
        <v>45</v>
      </c>
      <c r="N154" s="174" t="s">
        <v>127</v>
      </c>
      <c r="O154" s="12" t="s">
        <v>2822</v>
      </c>
      <c r="P154" s="177" t="s">
        <v>48</v>
      </c>
      <c r="Q154" s="27" t="s">
        <v>639</v>
      </c>
      <c r="R154" s="30">
        <v>0.87</v>
      </c>
      <c r="S154" s="29" t="s">
        <v>49</v>
      </c>
      <c r="T154" s="27" t="s">
        <v>507</v>
      </c>
      <c r="U154" s="27" t="s">
        <v>507</v>
      </c>
      <c r="V154" s="27" t="s">
        <v>344</v>
      </c>
      <c r="W154" s="30">
        <v>0.83</v>
      </c>
      <c r="X154" s="29" t="s">
        <v>49</v>
      </c>
      <c r="Y154" s="29" t="s">
        <v>507</v>
      </c>
      <c r="Z154" s="27" t="s">
        <v>507</v>
      </c>
      <c r="AA154" s="27" t="s">
        <v>507</v>
      </c>
      <c r="AB154" s="27" t="s">
        <v>507</v>
      </c>
      <c r="AC154" s="31">
        <v>44621</v>
      </c>
      <c r="AD154" s="30">
        <v>0.79</v>
      </c>
      <c r="AE154" s="27" t="s">
        <v>49</v>
      </c>
      <c r="AG154" s="27" t="s">
        <v>507</v>
      </c>
      <c r="AH154" s="27" t="s">
        <v>507</v>
      </c>
      <c r="AI154" s="27" t="s">
        <v>507</v>
      </c>
      <c r="AJ154" s="27" t="s">
        <v>640</v>
      </c>
      <c r="AK154" s="29" t="s">
        <v>625</v>
      </c>
      <c r="AL154" s="27" t="s">
        <v>507</v>
      </c>
      <c r="AM154" s="27" t="s">
        <v>507</v>
      </c>
      <c r="AN154" s="27" t="s">
        <v>507</v>
      </c>
      <c r="AO154" s="27" t="s">
        <v>507</v>
      </c>
      <c r="AP154" s="27" t="s">
        <v>507</v>
      </c>
      <c r="AQ154" s="27" t="s">
        <v>507</v>
      </c>
      <c r="AR154" s="27" t="s">
        <v>507</v>
      </c>
      <c r="AS154" s="27" t="s">
        <v>507</v>
      </c>
      <c r="AT154" s="27" t="s">
        <v>507</v>
      </c>
      <c r="AU154" s="32" t="s">
        <v>53</v>
      </c>
      <c r="AV154" s="27" t="s">
        <v>507</v>
      </c>
      <c r="AW154" s="27" t="s">
        <v>507</v>
      </c>
      <c r="AX154" s="27" t="s">
        <v>507</v>
      </c>
      <c r="AY154" s="27" t="s">
        <v>507</v>
      </c>
      <c r="AZ154" s="33" t="s">
        <v>507</v>
      </c>
      <c r="BA154" s="33" t="s">
        <v>507</v>
      </c>
    </row>
    <row r="155" spans="1:53" s="35" customFormat="1" ht="14.25" hidden="1" customHeight="1" x14ac:dyDescent="0.3">
      <c r="A155" s="27" t="s">
        <v>505</v>
      </c>
      <c r="B155" s="27" t="s">
        <v>506</v>
      </c>
      <c r="C155" s="27">
        <v>70</v>
      </c>
      <c r="D155" s="27">
        <v>124</v>
      </c>
      <c r="E155" s="27" t="s">
        <v>507</v>
      </c>
      <c r="F155" s="28" t="s">
        <v>641</v>
      </c>
      <c r="G155" s="29" t="str">
        <f t="shared" si="4"/>
        <v>70124228375168</v>
      </c>
      <c r="H155" s="27" t="s">
        <v>642</v>
      </c>
      <c r="I155" s="27">
        <v>228375168</v>
      </c>
      <c r="J155" s="27" t="s">
        <v>643</v>
      </c>
      <c r="K155" s="27" t="s">
        <v>230</v>
      </c>
      <c r="L155" s="27" t="s">
        <v>45</v>
      </c>
      <c r="M155" s="171" t="s">
        <v>45</v>
      </c>
      <c r="N155" s="12" t="s">
        <v>432</v>
      </c>
      <c r="O155" s="12" t="s">
        <v>432</v>
      </c>
      <c r="P155" s="177" t="s">
        <v>261</v>
      </c>
      <c r="Q155" s="27" t="s">
        <v>644</v>
      </c>
      <c r="R155" s="30">
        <v>0.87</v>
      </c>
      <c r="S155" s="29" t="s">
        <v>49</v>
      </c>
      <c r="T155" s="27" t="s">
        <v>507</v>
      </c>
      <c r="U155" s="27" t="s">
        <v>507</v>
      </c>
      <c r="V155" s="31">
        <v>45144</v>
      </c>
      <c r="W155" s="30">
        <v>0.98</v>
      </c>
      <c r="X155" s="29" t="s">
        <v>210</v>
      </c>
      <c r="Y155" s="29" t="s">
        <v>507</v>
      </c>
      <c r="Z155" s="27" t="s">
        <v>507</v>
      </c>
      <c r="AA155" s="27" t="s">
        <v>507</v>
      </c>
      <c r="AB155" s="27" t="s">
        <v>507</v>
      </c>
      <c r="AC155" s="27" t="s">
        <v>645</v>
      </c>
      <c r="AD155" s="30">
        <v>0.88</v>
      </c>
      <c r="AE155" s="27" t="s">
        <v>49</v>
      </c>
      <c r="AG155" s="27" t="s">
        <v>507</v>
      </c>
      <c r="AH155" s="27" t="s">
        <v>507</v>
      </c>
      <c r="AI155" s="27" t="s">
        <v>507</v>
      </c>
      <c r="AJ155" s="27" t="s">
        <v>507</v>
      </c>
      <c r="AK155" s="29" t="s">
        <v>507</v>
      </c>
      <c r="AL155" s="27" t="s">
        <v>507</v>
      </c>
      <c r="AM155" s="27" t="s">
        <v>507</v>
      </c>
      <c r="AN155" s="27" t="s">
        <v>507</v>
      </c>
      <c r="AO155" s="27" t="s">
        <v>507</v>
      </c>
      <c r="AP155" s="27" t="s">
        <v>507</v>
      </c>
      <c r="AQ155" s="27" t="s">
        <v>507</v>
      </c>
      <c r="AR155" s="27" t="s">
        <v>507</v>
      </c>
      <c r="AS155" s="27" t="s">
        <v>507</v>
      </c>
      <c r="AT155" s="27" t="s">
        <v>507</v>
      </c>
      <c r="AU155" s="32" t="s">
        <v>53</v>
      </c>
      <c r="AV155" s="27" t="s">
        <v>507</v>
      </c>
      <c r="AW155" s="27" t="s">
        <v>507</v>
      </c>
      <c r="AX155" s="27" t="s">
        <v>507</v>
      </c>
      <c r="AY155" s="27" t="s">
        <v>507</v>
      </c>
      <c r="AZ155" s="33" t="s">
        <v>507</v>
      </c>
      <c r="BA155" s="33" t="s">
        <v>507</v>
      </c>
    </row>
    <row r="156" spans="1:53" s="35" customFormat="1" ht="14.25" hidden="1" customHeight="1" x14ac:dyDescent="0.3">
      <c r="A156" s="27" t="s">
        <v>505</v>
      </c>
      <c r="B156" s="27" t="s">
        <v>506</v>
      </c>
      <c r="C156" s="27">
        <v>70</v>
      </c>
      <c r="D156" s="27">
        <v>124</v>
      </c>
      <c r="E156" s="27" t="s">
        <v>507</v>
      </c>
      <c r="F156" s="28" t="s">
        <v>646</v>
      </c>
      <c r="G156" s="29" t="str">
        <f t="shared" si="4"/>
        <v>701241100250255</v>
      </c>
      <c r="H156" s="27" t="s">
        <v>647</v>
      </c>
      <c r="I156" s="27">
        <v>1100250255</v>
      </c>
      <c r="J156" s="27" t="s">
        <v>648</v>
      </c>
      <c r="K156" s="27" t="s">
        <v>230</v>
      </c>
      <c r="L156" s="27" t="s">
        <v>45</v>
      </c>
      <c r="M156" s="171" t="s">
        <v>45</v>
      </c>
      <c r="N156" s="12" t="s">
        <v>432</v>
      </c>
      <c r="O156" s="12" t="s">
        <v>432</v>
      </c>
      <c r="P156" s="177" t="s">
        <v>261</v>
      </c>
      <c r="Q156" s="31">
        <v>45543</v>
      </c>
      <c r="R156" s="30">
        <v>0.82</v>
      </c>
      <c r="S156" s="29" t="s">
        <v>49</v>
      </c>
      <c r="T156" s="27" t="s">
        <v>507</v>
      </c>
      <c r="U156" s="27" t="s">
        <v>507</v>
      </c>
      <c r="V156" s="27" t="s">
        <v>649</v>
      </c>
      <c r="W156" s="30">
        <v>0.98</v>
      </c>
      <c r="X156" s="29" t="s">
        <v>210</v>
      </c>
      <c r="Y156" s="29" t="s">
        <v>507</v>
      </c>
      <c r="Z156" s="27" t="s">
        <v>507</v>
      </c>
      <c r="AA156" s="27" t="s">
        <v>507</v>
      </c>
      <c r="AB156" s="27" t="s">
        <v>507</v>
      </c>
      <c r="AC156" s="27" t="s">
        <v>650</v>
      </c>
      <c r="AD156" s="30">
        <v>0.8</v>
      </c>
      <c r="AE156" s="27" t="s">
        <v>49</v>
      </c>
      <c r="AG156" s="27" t="s">
        <v>507</v>
      </c>
      <c r="AH156" s="27" t="s">
        <v>507</v>
      </c>
      <c r="AI156" s="27" t="s">
        <v>507</v>
      </c>
      <c r="AJ156" s="27" t="s">
        <v>507</v>
      </c>
      <c r="AK156" s="29" t="s">
        <v>507</v>
      </c>
      <c r="AL156" s="27" t="s">
        <v>507</v>
      </c>
      <c r="AM156" s="27" t="s">
        <v>507</v>
      </c>
      <c r="AN156" s="27" t="s">
        <v>507</v>
      </c>
      <c r="AO156" s="27" t="s">
        <v>507</v>
      </c>
      <c r="AP156" s="27" t="s">
        <v>507</v>
      </c>
      <c r="AQ156" s="27" t="s">
        <v>507</v>
      </c>
      <c r="AR156" s="27" t="s">
        <v>507</v>
      </c>
      <c r="AS156" s="27" t="s">
        <v>507</v>
      </c>
      <c r="AT156" s="27" t="s">
        <v>507</v>
      </c>
      <c r="AU156" s="32" t="s">
        <v>53</v>
      </c>
      <c r="AV156" s="27" t="s">
        <v>507</v>
      </c>
      <c r="AW156" s="27" t="s">
        <v>507</v>
      </c>
      <c r="AX156" s="27" t="s">
        <v>507</v>
      </c>
      <c r="AY156" s="27" t="s">
        <v>507</v>
      </c>
      <c r="AZ156" s="33" t="s">
        <v>507</v>
      </c>
      <c r="BA156" s="33" t="s">
        <v>507</v>
      </c>
    </row>
    <row r="157" spans="1:53" s="35" customFormat="1" ht="14.25" hidden="1" customHeight="1" x14ac:dyDescent="0.3">
      <c r="A157" s="27" t="s">
        <v>505</v>
      </c>
      <c r="B157" s="27" t="s">
        <v>506</v>
      </c>
      <c r="C157" s="27">
        <v>70</v>
      </c>
      <c r="D157" s="27">
        <v>124</v>
      </c>
      <c r="E157" s="27" t="s">
        <v>507</v>
      </c>
      <c r="F157" s="28" t="s">
        <v>651</v>
      </c>
      <c r="G157" s="29" t="str">
        <f t="shared" si="4"/>
        <v>7012422836983</v>
      </c>
      <c r="H157" s="27" t="s">
        <v>652</v>
      </c>
      <c r="I157" s="27">
        <v>22836983</v>
      </c>
      <c r="J157" s="27" t="s">
        <v>606</v>
      </c>
      <c r="K157" s="27" t="s">
        <v>230</v>
      </c>
      <c r="L157" s="27">
        <v>3217866366</v>
      </c>
      <c r="M157" s="171" t="s">
        <v>45</v>
      </c>
      <c r="N157" s="12" t="s">
        <v>46</v>
      </c>
      <c r="O157" s="28" t="s">
        <v>521</v>
      </c>
      <c r="P157" s="177" t="s">
        <v>48</v>
      </c>
      <c r="Q157" s="27" t="s">
        <v>599</v>
      </c>
      <c r="R157" s="30">
        <v>0.79</v>
      </c>
      <c r="S157" s="29" t="s">
        <v>49</v>
      </c>
      <c r="T157" s="27" t="s">
        <v>507</v>
      </c>
      <c r="U157" s="27" t="s">
        <v>507</v>
      </c>
      <c r="V157" s="31">
        <v>45140</v>
      </c>
      <c r="W157" s="30">
        <v>0.92</v>
      </c>
      <c r="X157" s="29" t="s">
        <v>210</v>
      </c>
      <c r="Y157" s="29" t="s">
        <v>507</v>
      </c>
      <c r="Z157" s="27" t="s">
        <v>507</v>
      </c>
      <c r="AA157" s="27" t="s">
        <v>507</v>
      </c>
      <c r="AB157" s="27" t="s">
        <v>507</v>
      </c>
      <c r="AC157" s="27" t="s">
        <v>653</v>
      </c>
      <c r="AD157" s="30">
        <v>0.82</v>
      </c>
      <c r="AE157" s="27" t="s">
        <v>49</v>
      </c>
      <c r="AG157" s="27" t="s">
        <v>507</v>
      </c>
      <c r="AH157" s="27" t="s">
        <v>507</v>
      </c>
      <c r="AI157" s="27" t="s">
        <v>507</v>
      </c>
      <c r="AJ157" s="27" t="s">
        <v>507</v>
      </c>
      <c r="AK157" s="29" t="s">
        <v>507</v>
      </c>
      <c r="AL157" s="27" t="s">
        <v>507</v>
      </c>
      <c r="AM157" s="27" t="s">
        <v>507</v>
      </c>
      <c r="AN157" s="27" t="s">
        <v>507</v>
      </c>
      <c r="AO157" s="27" t="s">
        <v>507</v>
      </c>
      <c r="AP157" s="27" t="s">
        <v>507</v>
      </c>
      <c r="AQ157" s="27" t="s">
        <v>507</v>
      </c>
      <c r="AR157" s="27" t="s">
        <v>507</v>
      </c>
      <c r="AS157" s="27" t="s">
        <v>507</v>
      </c>
      <c r="AT157" s="27" t="s">
        <v>507</v>
      </c>
      <c r="AU157" s="32" t="s">
        <v>53</v>
      </c>
      <c r="AV157" s="27" t="s">
        <v>507</v>
      </c>
      <c r="AW157" s="27" t="s">
        <v>507</v>
      </c>
      <c r="AX157" s="27" t="s">
        <v>507</v>
      </c>
      <c r="AY157" s="27" t="s">
        <v>507</v>
      </c>
      <c r="AZ157" s="33" t="s">
        <v>507</v>
      </c>
      <c r="BA157" s="33" t="s">
        <v>507</v>
      </c>
    </row>
    <row r="158" spans="1:53" s="35" customFormat="1" ht="14.25" hidden="1" customHeight="1" x14ac:dyDescent="0.3">
      <c r="A158" s="27" t="s">
        <v>505</v>
      </c>
      <c r="B158" s="27" t="s">
        <v>506</v>
      </c>
      <c r="C158" s="27">
        <v>70</v>
      </c>
      <c r="D158" s="27">
        <v>124</v>
      </c>
      <c r="E158" s="27" t="s">
        <v>507</v>
      </c>
      <c r="F158" s="28" t="s">
        <v>654</v>
      </c>
      <c r="G158" s="29" t="str">
        <f t="shared" si="4"/>
        <v>701241100250188-1</v>
      </c>
      <c r="H158" s="27" t="s">
        <v>655</v>
      </c>
      <c r="I158" s="27" t="s">
        <v>656</v>
      </c>
      <c r="J158" s="27" t="s">
        <v>657</v>
      </c>
      <c r="K158" s="27" t="s">
        <v>230</v>
      </c>
      <c r="L158" s="27">
        <v>3216925205</v>
      </c>
      <c r="M158" s="171" t="s">
        <v>45</v>
      </c>
      <c r="N158" s="12" t="s">
        <v>46</v>
      </c>
      <c r="O158" s="28" t="s">
        <v>521</v>
      </c>
      <c r="P158" s="177" t="s">
        <v>48</v>
      </c>
      <c r="Q158" s="27" t="s">
        <v>182</v>
      </c>
      <c r="R158" s="30">
        <v>0.74</v>
      </c>
      <c r="S158" s="29" t="s">
        <v>49</v>
      </c>
      <c r="T158" s="27" t="s">
        <v>507</v>
      </c>
      <c r="U158" s="27" t="s">
        <v>507</v>
      </c>
      <c r="V158" s="27" t="s">
        <v>658</v>
      </c>
      <c r="W158" s="30">
        <v>0.82</v>
      </c>
      <c r="X158" s="29" t="s">
        <v>49</v>
      </c>
      <c r="Y158" s="29" t="s">
        <v>507</v>
      </c>
      <c r="Z158" s="27" t="s">
        <v>507</v>
      </c>
      <c r="AA158" s="27" t="s">
        <v>507</v>
      </c>
      <c r="AB158" s="27" t="s">
        <v>507</v>
      </c>
      <c r="AC158" s="27" t="s">
        <v>507</v>
      </c>
      <c r="AD158" s="29" t="s">
        <v>507</v>
      </c>
      <c r="AF158" s="27" t="s">
        <v>507</v>
      </c>
      <c r="AG158" s="27" t="s">
        <v>507</v>
      </c>
      <c r="AH158" s="27" t="s">
        <v>507</v>
      </c>
      <c r="AI158" s="27" t="s">
        <v>507</v>
      </c>
      <c r="AJ158" s="27" t="s">
        <v>507</v>
      </c>
      <c r="AK158" s="29" t="s">
        <v>507</v>
      </c>
      <c r="AL158" s="27" t="s">
        <v>507</v>
      </c>
      <c r="AM158" s="27" t="s">
        <v>507</v>
      </c>
      <c r="AN158" s="27" t="s">
        <v>507</v>
      </c>
      <c r="AO158" s="27" t="s">
        <v>507</v>
      </c>
      <c r="AP158" s="27" t="s">
        <v>507</v>
      </c>
      <c r="AQ158" s="27" t="s">
        <v>507</v>
      </c>
      <c r="AR158" s="27" t="s">
        <v>507</v>
      </c>
      <c r="AS158" s="27" t="s">
        <v>507</v>
      </c>
      <c r="AT158" s="27" t="s">
        <v>507</v>
      </c>
      <c r="AU158" s="32" t="s">
        <v>53</v>
      </c>
      <c r="AV158" s="27" t="s">
        <v>507</v>
      </c>
      <c r="AW158" s="27" t="s">
        <v>507</v>
      </c>
      <c r="AX158" s="27" t="s">
        <v>507</v>
      </c>
      <c r="AY158" s="27" t="s">
        <v>507</v>
      </c>
      <c r="AZ158" s="33" t="s">
        <v>507</v>
      </c>
      <c r="BA158" s="33" t="s">
        <v>507</v>
      </c>
    </row>
    <row r="159" spans="1:53" s="35" customFormat="1" ht="15" hidden="1" customHeight="1" x14ac:dyDescent="0.3">
      <c r="A159" s="27" t="s">
        <v>505</v>
      </c>
      <c r="B159" s="27" t="s">
        <v>506</v>
      </c>
      <c r="C159" s="27">
        <v>70</v>
      </c>
      <c r="D159" s="27">
        <v>124</v>
      </c>
      <c r="E159" s="27" t="s">
        <v>507</v>
      </c>
      <c r="F159" s="350" t="s">
        <v>659</v>
      </c>
      <c r="G159" s="29" t="str">
        <f t="shared" si="4"/>
        <v>701241100247866</v>
      </c>
      <c r="H159" s="27" t="s">
        <v>9030</v>
      </c>
      <c r="I159" s="27">
        <v>1100247866</v>
      </c>
      <c r="J159" s="27" t="s">
        <v>660</v>
      </c>
      <c r="K159" s="27" t="s">
        <v>230</v>
      </c>
      <c r="L159" s="27">
        <v>3004351061</v>
      </c>
      <c r="M159" s="170" t="s">
        <v>9031</v>
      </c>
      <c r="N159" s="12" t="s">
        <v>46</v>
      </c>
      <c r="O159" s="12" t="s">
        <v>2797</v>
      </c>
      <c r="P159" s="177" t="s">
        <v>48</v>
      </c>
      <c r="Q159" s="351">
        <v>46220</v>
      </c>
      <c r="R159" s="35" t="s">
        <v>7842</v>
      </c>
      <c r="S159" s="29" t="s">
        <v>49</v>
      </c>
      <c r="T159" s="27" t="s">
        <v>722</v>
      </c>
      <c r="U159" s="27" t="s">
        <v>60</v>
      </c>
      <c r="V159" s="31">
        <v>45294</v>
      </c>
      <c r="W159" s="30">
        <v>0.72</v>
      </c>
      <c r="X159" s="29" t="s">
        <v>49</v>
      </c>
      <c r="Y159" s="29" t="s">
        <v>507</v>
      </c>
      <c r="Z159" s="27" t="s">
        <v>60</v>
      </c>
      <c r="AA159" s="27" t="s">
        <v>507</v>
      </c>
      <c r="AB159" s="27" t="s">
        <v>507</v>
      </c>
      <c r="AC159" s="27" t="s">
        <v>507</v>
      </c>
      <c r="AD159" s="29" t="s">
        <v>507</v>
      </c>
      <c r="AF159" s="27" t="s">
        <v>507</v>
      </c>
      <c r="AG159" s="27" t="s">
        <v>507</v>
      </c>
      <c r="AH159" s="27" t="s">
        <v>507</v>
      </c>
      <c r="AI159" s="27" t="s">
        <v>507</v>
      </c>
      <c r="AJ159" s="27" t="s">
        <v>507</v>
      </c>
      <c r="AK159" s="29" t="s">
        <v>507</v>
      </c>
      <c r="AL159" s="27" t="s">
        <v>507</v>
      </c>
      <c r="AM159" s="27" t="s">
        <v>507</v>
      </c>
      <c r="AN159" s="27" t="s">
        <v>507</v>
      </c>
      <c r="AO159" s="27" t="s">
        <v>507</v>
      </c>
      <c r="AP159" s="27" t="s">
        <v>507</v>
      </c>
      <c r="AQ159" s="27" t="s">
        <v>507</v>
      </c>
      <c r="AR159" s="27" t="s">
        <v>507</v>
      </c>
      <c r="AS159" s="27" t="s">
        <v>507</v>
      </c>
      <c r="AT159" s="27" t="s">
        <v>507</v>
      </c>
      <c r="AU159" s="32" t="s">
        <v>53</v>
      </c>
      <c r="AV159" s="27" t="s">
        <v>507</v>
      </c>
      <c r="AW159" s="27" t="s">
        <v>507</v>
      </c>
      <c r="AX159" s="27" t="s">
        <v>507</v>
      </c>
      <c r="AY159" s="27" t="s">
        <v>507</v>
      </c>
      <c r="AZ159" s="33" t="s">
        <v>507</v>
      </c>
      <c r="BA159" s="33" t="s">
        <v>507</v>
      </c>
    </row>
    <row r="160" spans="1:53" s="35" customFormat="1" ht="15" hidden="1" customHeight="1" x14ac:dyDescent="0.3">
      <c r="A160" s="27" t="s">
        <v>505</v>
      </c>
      <c r="B160" s="27" t="s">
        <v>506</v>
      </c>
      <c r="C160" s="27">
        <v>70</v>
      </c>
      <c r="D160" s="27">
        <v>124</v>
      </c>
      <c r="E160" s="27" t="s">
        <v>507</v>
      </c>
      <c r="F160" s="28" t="s">
        <v>661</v>
      </c>
      <c r="G160" s="29" t="str">
        <f t="shared" si="4"/>
        <v>701241064482079</v>
      </c>
      <c r="H160" s="27" t="s">
        <v>662</v>
      </c>
      <c r="I160" s="27">
        <v>1064482079</v>
      </c>
      <c r="J160" s="27" t="s">
        <v>663</v>
      </c>
      <c r="K160" s="27" t="s">
        <v>230</v>
      </c>
      <c r="L160" s="27">
        <v>3137129482</v>
      </c>
      <c r="M160" s="171" t="s">
        <v>45</v>
      </c>
      <c r="N160" s="12" t="s">
        <v>432</v>
      </c>
      <c r="O160" s="12" t="s">
        <v>432</v>
      </c>
      <c r="P160" s="177" t="s">
        <v>261</v>
      </c>
      <c r="Q160" s="31">
        <v>45385</v>
      </c>
      <c r="R160" s="30">
        <v>0.72</v>
      </c>
      <c r="S160" s="29" t="s">
        <v>49</v>
      </c>
      <c r="T160" s="27" t="s">
        <v>507</v>
      </c>
      <c r="U160" s="27" t="s">
        <v>507</v>
      </c>
      <c r="V160" s="27" t="s">
        <v>507</v>
      </c>
      <c r="W160" s="29" t="s">
        <v>507</v>
      </c>
      <c r="X160" s="29" t="s">
        <v>507</v>
      </c>
      <c r="Y160" s="29" t="s">
        <v>507</v>
      </c>
      <c r="Z160" s="27" t="s">
        <v>507</v>
      </c>
      <c r="AA160" s="27" t="s">
        <v>507</v>
      </c>
      <c r="AB160" s="27" t="s">
        <v>507</v>
      </c>
      <c r="AC160" s="27" t="s">
        <v>507</v>
      </c>
      <c r="AD160" s="29" t="s">
        <v>507</v>
      </c>
      <c r="AF160" s="27" t="s">
        <v>507</v>
      </c>
      <c r="AG160" s="27" t="s">
        <v>507</v>
      </c>
      <c r="AH160" s="27" t="s">
        <v>507</v>
      </c>
      <c r="AI160" s="27" t="s">
        <v>507</v>
      </c>
      <c r="AJ160" s="27" t="s">
        <v>507</v>
      </c>
      <c r="AK160" s="29" t="s">
        <v>507</v>
      </c>
      <c r="AL160" s="27" t="s">
        <v>507</v>
      </c>
      <c r="AM160" s="27" t="s">
        <v>507</v>
      </c>
      <c r="AN160" s="27" t="s">
        <v>507</v>
      </c>
      <c r="AO160" s="27" t="s">
        <v>507</v>
      </c>
      <c r="AP160" s="27" t="s">
        <v>507</v>
      </c>
      <c r="AQ160" s="27" t="s">
        <v>507</v>
      </c>
      <c r="AR160" s="27" t="s">
        <v>507</v>
      </c>
      <c r="AS160" s="27" t="s">
        <v>507</v>
      </c>
      <c r="AT160" s="27" t="s">
        <v>507</v>
      </c>
      <c r="AU160" s="32" t="s">
        <v>53</v>
      </c>
      <c r="AV160" s="27" t="s">
        <v>507</v>
      </c>
      <c r="AW160" s="27" t="s">
        <v>507</v>
      </c>
      <c r="AX160" s="27" t="s">
        <v>507</v>
      </c>
      <c r="AY160" s="27" t="s">
        <v>507</v>
      </c>
      <c r="AZ160" s="33" t="s">
        <v>507</v>
      </c>
      <c r="BA160" s="33" t="s">
        <v>507</v>
      </c>
    </row>
    <row r="161" spans="1:53" s="35" customFormat="1" ht="15" hidden="1" customHeight="1" x14ac:dyDescent="0.3">
      <c r="A161" s="27" t="s">
        <v>505</v>
      </c>
      <c r="B161" s="27" t="s">
        <v>506</v>
      </c>
      <c r="C161" s="27">
        <v>70</v>
      </c>
      <c r="D161" s="27">
        <v>124</v>
      </c>
      <c r="E161" s="27" t="s">
        <v>507</v>
      </c>
      <c r="F161" s="28" t="s">
        <v>664</v>
      </c>
      <c r="G161" s="29" t="str">
        <f t="shared" si="4"/>
        <v>7012422837911</v>
      </c>
      <c r="H161" s="27" t="s">
        <v>8357</v>
      </c>
      <c r="I161" s="27">
        <v>22837911</v>
      </c>
      <c r="J161" s="27" t="s">
        <v>8356</v>
      </c>
      <c r="K161" s="27" t="s">
        <v>230</v>
      </c>
      <c r="L161" s="27">
        <v>3205640811</v>
      </c>
      <c r="M161" s="171" t="s">
        <v>8355</v>
      </c>
      <c r="N161" s="174" t="s">
        <v>127</v>
      </c>
      <c r="O161" s="12" t="s">
        <v>2822</v>
      </c>
      <c r="P161" s="177" t="s">
        <v>48</v>
      </c>
      <c r="Q161" s="27" t="s">
        <v>666</v>
      </c>
      <c r="R161" s="37">
        <v>0.81</v>
      </c>
      <c r="S161" s="27" t="s">
        <v>49</v>
      </c>
      <c r="T161" s="27" t="s">
        <v>507</v>
      </c>
      <c r="U161" s="27" t="s">
        <v>507</v>
      </c>
      <c r="V161" s="31">
        <v>45415</v>
      </c>
      <c r="W161" s="37">
        <v>0.72</v>
      </c>
      <c r="X161" s="27" t="s">
        <v>49</v>
      </c>
      <c r="Y161" s="27" t="s">
        <v>507</v>
      </c>
      <c r="Z161" s="27" t="s">
        <v>507</v>
      </c>
      <c r="AA161" s="27" t="s">
        <v>507</v>
      </c>
      <c r="AB161" s="27" t="s">
        <v>507</v>
      </c>
      <c r="AC161" s="27" t="s">
        <v>667</v>
      </c>
      <c r="AD161" s="37">
        <v>0.86</v>
      </c>
      <c r="AF161" s="27" t="s">
        <v>49</v>
      </c>
      <c r="AG161" s="27" t="s">
        <v>507</v>
      </c>
      <c r="AH161" s="27" t="s">
        <v>507</v>
      </c>
      <c r="AI161" s="27" t="s">
        <v>507</v>
      </c>
      <c r="AJ161" s="27" t="s">
        <v>507</v>
      </c>
      <c r="AK161" s="27" t="s">
        <v>507</v>
      </c>
      <c r="AL161" s="27" t="s">
        <v>507</v>
      </c>
      <c r="AM161" s="27" t="s">
        <v>507</v>
      </c>
      <c r="AN161" s="27" t="s">
        <v>507</v>
      </c>
      <c r="AO161" s="27" t="s">
        <v>507</v>
      </c>
      <c r="AP161" s="27" t="s">
        <v>507</v>
      </c>
      <c r="AQ161" s="27" t="s">
        <v>507</v>
      </c>
      <c r="AR161" s="27" t="s">
        <v>507</v>
      </c>
      <c r="AS161" s="27" t="s">
        <v>507</v>
      </c>
      <c r="AT161" s="27" t="s">
        <v>507</v>
      </c>
      <c r="AU161" s="32" t="s">
        <v>53</v>
      </c>
      <c r="AV161" s="27" t="s">
        <v>507</v>
      </c>
      <c r="AW161" s="27" t="s">
        <v>507</v>
      </c>
      <c r="AX161" s="27" t="s">
        <v>507</v>
      </c>
      <c r="AY161" s="27" t="s">
        <v>507</v>
      </c>
      <c r="AZ161" s="33" t="s">
        <v>507</v>
      </c>
      <c r="BA161" s="33" t="s">
        <v>507</v>
      </c>
    </row>
    <row r="162" spans="1:53" s="35" customFormat="1" ht="15" customHeight="1" x14ac:dyDescent="0.3">
      <c r="A162" s="27" t="s">
        <v>505</v>
      </c>
      <c r="B162" s="27" t="s">
        <v>506</v>
      </c>
      <c r="C162" s="27">
        <v>70</v>
      </c>
      <c r="D162" s="27">
        <v>124</v>
      </c>
      <c r="E162" s="27" t="s">
        <v>507</v>
      </c>
      <c r="F162" s="350" t="s">
        <v>668</v>
      </c>
      <c r="G162" s="29" t="str">
        <f t="shared" si="4"/>
        <v>7012422836467</v>
      </c>
      <c r="H162" s="27" t="s">
        <v>9021</v>
      </c>
      <c r="I162" s="27">
        <v>22836467</v>
      </c>
      <c r="J162" s="27" t="s">
        <v>669</v>
      </c>
      <c r="K162" s="27" t="s">
        <v>230</v>
      </c>
      <c r="L162" s="27">
        <v>3205034579</v>
      </c>
      <c r="M162" s="170" t="s">
        <v>670</v>
      </c>
      <c r="N162" s="12" t="s">
        <v>46</v>
      </c>
      <c r="O162" s="12" t="s">
        <v>47</v>
      </c>
      <c r="P162" s="177" t="s">
        <v>48</v>
      </c>
      <c r="Q162" s="351">
        <v>46192</v>
      </c>
      <c r="R162" s="35">
        <v>77</v>
      </c>
      <c r="S162" s="12" t="s">
        <v>49</v>
      </c>
      <c r="T162" s="27" t="s">
        <v>507</v>
      </c>
      <c r="U162" s="27" t="s">
        <v>50</v>
      </c>
      <c r="V162" s="31">
        <v>45996</v>
      </c>
      <c r="W162" s="30">
        <v>0.79</v>
      </c>
      <c r="X162" s="29" t="s">
        <v>49</v>
      </c>
      <c r="Y162" s="29" t="s">
        <v>507</v>
      </c>
      <c r="Z162" s="27" t="s">
        <v>60</v>
      </c>
      <c r="AA162" s="27" t="s">
        <v>507</v>
      </c>
      <c r="AB162" s="27" t="s">
        <v>507</v>
      </c>
      <c r="AC162" s="27" t="s">
        <v>671</v>
      </c>
      <c r="AD162" s="30">
        <v>0.74</v>
      </c>
      <c r="AE162" s="29" t="s">
        <v>49</v>
      </c>
      <c r="AF162" s="27" t="s">
        <v>60</v>
      </c>
      <c r="AG162" s="27" t="s">
        <v>507</v>
      </c>
      <c r="AH162" s="27" t="s">
        <v>507</v>
      </c>
      <c r="AI162" s="27" t="s">
        <v>507</v>
      </c>
      <c r="AJ162" s="27" t="s">
        <v>507</v>
      </c>
      <c r="AK162" s="29" t="s">
        <v>507</v>
      </c>
      <c r="AL162" s="27" t="s">
        <v>507</v>
      </c>
      <c r="AM162" s="27" t="s">
        <v>507</v>
      </c>
      <c r="AN162" s="27" t="s">
        <v>507</v>
      </c>
      <c r="AO162" s="27" t="s">
        <v>507</v>
      </c>
      <c r="AP162" s="27" t="s">
        <v>507</v>
      </c>
      <c r="AQ162" s="27" t="s">
        <v>507</v>
      </c>
      <c r="AR162" s="27" t="s">
        <v>507</v>
      </c>
      <c r="AS162" s="27" t="s">
        <v>507</v>
      </c>
      <c r="AT162" s="27" t="s">
        <v>507</v>
      </c>
      <c r="AU162" s="32" t="s">
        <v>53</v>
      </c>
      <c r="AV162" s="27" t="s">
        <v>507</v>
      </c>
      <c r="AW162" s="27" t="s">
        <v>507</v>
      </c>
      <c r="AX162" s="27" t="s">
        <v>507</v>
      </c>
      <c r="AY162" s="27" t="s">
        <v>507</v>
      </c>
      <c r="AZ162" s="33" t="s">
        <v>507</v>
      </c>
      <c r="BA162" s="33" t="s">
        <v>507</v>
      </c>
    </row>
    <row r="163" spans="1:53" s="35" customFormat="1" ht="15" hidden="1" customHeight="1" x14ac:dyDescent="0.3">
      <c r="A163" s="27" t="s">
        <v>505</v>
      </c>
      <c r="B163" s="27" t="s">
        <v>506</v>
      </c>
      <c r="C163" s="27">
        <v>70</v>
      </c>
      <c r="D163" s="27">
        <v>124</v>
      </c>
      <c r="E163" s="27" t="s">
        <v>507</v>
      </c>
      <c r="F163" s="28" t="s">
        <v>672</v>
      </c>
      <c r="G163" s="29" t="str">
        <f t="shared" si="4"/>
        <v>7012411040412</v>
      </c>
      <c r="H163" s="27" t="s">
        <v>673</v>
      </c>
      <c r="I163" s="27">
        <v>11040412</v>
      </c>
      <c r="J163" s="27" t="s">
        <v>660</v>
      </c>
      <c r="K163" s="27" t="s">
        <v>230</v>
      </c>
      <c r="L163" s="27">
        <v>3123880233</v>
      </c>
      <c r="M163" s="171" t="s">
        <v>45</v>
      </c>
      <c r="N163" s="12" t="s">
        <v>259</v>
      </c>
      <c r="O163" s="12" t="s">
        <v>260</v>
      </c>
      <c r="P163" s="177" t="s">
        <v>80</v>
      </c>
      <c r="Q163" s="27" t="s">
        <v>674</v>
      </c>
      <c r="R163" s="30">
        <v>0.67</v>
      </c>
      <c r="S163" s="29" t="s">
        <v>49</v>
      </c>
      <c r="T163" s="27" t="s">
        <v>507</v>
      </c>
      <c r="U163" s="27" t="s">
        <v>507</v>
      </c>
      <c r="V163" s="27" t="s">
        <v>507</v>
      </c>
      <c r="W163" s="29" t="s">
        <v>507</v>
      </c>
      <c r="X163" s="29" t="s">
        <v>507</v>
      </c>
      <c r="Y163" s="29" t="s">
        <v>507</v>
      </c>
      <c r="Z163" s="27" t="s">
        <v>507</v>
      </c>
      <c r="AA163" s="27" t="s">
        <v>507</v>
      </c>
      <c r="AB163" s="27" t="s">
        <v>507</v>
      </c>
      <c r="AC163" s="27" t="s">
        <v>507</v>
      </c>
      <c r="AD163" s="27" t="s">
        <v>507</v>
      </c>
      <c r="AE163" s="29" t="s">
        <v>507</v>
      </c>
      <c r="AF163" s="27" t="s">
        <v>507</v>
      </c>
      <c r="AG163" s="27" t="s">
        <v>507</v>
      </c>
      <c r="AH163" s="27" t="s">
        <v>507</v>
      </c>
      <c r="AI163" s="27" t="s">
        <v>507</v>
      </c>
      <c r="AJ163" s="27" t="s">
        <v>507</v>
      </c>
      <c r="AK163" s="29" t="s">
        <v>507</v>
      </c>
      <c r="AL163" s="27" t="s">
        <v>507</v>
      </c>
      <c r="AM163" s="27" t="s">
        <v>507</v>
      </c>
      <c r="AN163" s="27" t="s">
        <v>507</v>
      </c>
      <c r="AO163" s="27" t="s">
        <v>507</v>
      </c>
      <c r="AP163" s="27" t="s">
        <v>507</v>
      </c>
      <c r="AQ163" s="27" t="s">
        <v>507</v>
      </c>
      <c r="AR163" s="27" t="s">
        <v>507</v>
      </c>
      <c r="AS163" s="27" t="s">
        <v>507</v>
      </c>
      <c r="AT163" s="27" t="s">
        <v>507</v>
      </c>
      <c r="AU163" s="32" t="s">
        <v>53</v>
      </c>
      <c r="AV163" s="27" t="s">
        <v>507</v>
      </c>
      <c r="AW163" s="27" t="s">
        <v>507</v>
      </c>
      <c r="AX163" s="27" t="s">
        <v>507</v>
      </c>
      <c r="AY163" s="27" t="s">
        <v>507</v>
      </c>
      <c r="AZ163" s="33" t="s">
        <v>507</v>
      </c>
      <c r="BA163" s="33" t="s">
        <v>507</v>
      </c>
    </row>
    <row r="164" spans="1:53" s="35" customFormat="1" ht="15" hidden="1" customHeight="1" x14ac:dyDescent="0.3">
      <c r="A164" s="27" t="s">
        <v>505</v>
      </c>
      <c r="B164" s="27" t="s">
        <v>506</v>
      </c>
      <c r="C164" s="27">
        <v>70</v>
      </c>
      <c r="D164" s="27">
        <v>124</v>
      </c>
      <c r="E164" s="27" t="s">
        <v>507</v>
      </c>
      <c r="F164" s="28" t="s">
        <v>675</v>
      </c>
      <c r="G164" s="29" t="str">
        <f t="shared" si="4"/>
        <v>7012411041640</v>
      </c>
      <c r="H164" s="27" t="s">
        <v>676</v>
      </c>
      <c r="I164" s="27">
        <v>11041640</v>
      </c>
      <c r="J164" s="27" t="s">
        <v>677</v>
      </c>
      <c r="K164" s="27" t="s">
        <v>230</v>
      </c>
      <c r="L164" s="27" t="s">
        <v>45</v>
      </c>
      <c r="M164" s="171" t="s">
        <v>45</v>
      </c>
      <c r="N164" s="12" t="s">
        <v>259</v>
      </c>
      <c r="O164" s="12" t="s">
        <v>260</v>
      </c>
      <c r="P164" s="177" t="s">
        <v>80</v>
      </c>
      <c r="Q164" s="27" t="s">
        <v>644</v>
      </c>
      <c r="R164" s="30">
        <v>0.81</v>
      </c>
      <c r="S164" s="29" t="s">
        <v>49</v>
      </c>
      <c r="T164" s="27" t="s">
        <v>507</v>
      </c>
      <c r="U164" s="27" t="s">
        <v>507</v>
      </c>
      <c r="V164" s="27" t="s">
        <v>678</v>
      </c>
      <c r="W164" s="30">
        <v>0.88</v>
      </c>
      <c r="X164" s="29" t="s">
        <v>49</v>
      </c>
      <c r="Y164" s="29" t="s">
        <v>507</v>
      </c>
      <c r="Z164" s="27" t="s">
        <v>507</v>
      </c>
      <c r="AA164" s="27" t="s">
        <v>507</v>
      </c>
      <c r="AB164" s="27" t="s">
        <v>507</v>
      </c>
      <c r="AC164" s="27" t="s">
        <v>678</v>
      </c>
      <c r="AD164" s="30">
        <v>0.88</v>
      </c>
      <c r="AE164" s="27" t="s">
        <v>49</v>
      </c>
      <c r="AG164" s="27" t="s">
        <v>507</v>
      </c>
      <c r="AH164" s="27" t="s">
        <v>507</v>
      </c>
      <c r="AI164" s="27" t="s">
        <v>507</v>
      </c>
      <c r="AJ164" s="27" t="s">
        <v>507</v>
      </c>
      <c r="AK164" s="29" t="s">
        <v>507</v>
      </c>
      <c r="AL164" s="27" t="s">
        <v>507</v>
      </c>
      <c r="AM164" s="27" t="s">
        <v>507</v>
      </c>
      <c r="AN164" s="27" t="s">
        <v>507</v>
      </c>
      <c r="AO164" s="27" t="s">
        <v>507</v>
      </c>
      <c r="AP164" s="27" t="s">
        <v>507</v>
      </c>
      <c r="AQ164" s="27" t="s">
        <v>507</v>
      </c>
      <c r="AR164" s="27" t="s">
        <v>507</v>
      </c>
      <c r="AS164" s="27" t="s">
        <v>507</v>
      </c>
      <c r="AT164" s="27" t="s">
        <v>507</v>
      </c>
      <c r="AU164" s="32" t="s">
        <v>53</v>
      </c>
      <c r="AV164" s="27" t="s">
        <v>507</v>
      </c>
      <c r="AW164" s="27" t="s">
        <v>507</v>
      </c>
      <c r="AX164" s="27" t="s">
        <v>507</v>
      </c>
      <c r="AY164" s="27" t="s">
        <v>507</v>
      </c>
      <c r="AZ164" s="33" t="s">
        <v>507</v>
      </c>
      <c r="BA164" s="33" t="s">
        <v>507</v>
      </c>
    </row>
    <row r="165" spans="1:53" s="35" customFormat="1" ht="15" hidden="1" customHeight="1" x14ac:dyDescent="0.3">
      <c r="A165" s="27" t="s">
        <v>505</v>
      </c>
      <c r="B165" s="27" t="s">
        <v>506</v>
      </c>
      <c r="C165" s="27">
        <v>70</v>
      </c>
      <c r="D165" s="27">
        <v>124</v>
      </c>
      <c r="E165" s="27" t="s">
        <v>507</v>
      </c>
      <c r="F165" s="28" t="s">
        <v>679</v>
      </c>
      <c r="G165" s="29" t="str">
        <f t="shared" si="4"/>
        <v>701241100249754</v>
      </c>
      <c r="H165" s="27" t="s">
        <v>680</v>
      </c>
      <c r="I165" s="27">
        <v>1100249754</v>
      </c>
      <c r="J165" s="27" t="s">
        <v>681</v>
      </c>
      <c r="K165" s="27" t="s">
        <v>230</v>
      </c>
      <c r="L165" s="27" t="s">
        <v>45</v>
      </c>
      <c r="M165" s="171" t="s">
        <v>45</v>
      </c>
      <c r="N165" s="12" t="s">
        <v>259</v>
      </c>
      <c r="O165" s="12" t="s">
        <v>260</v>
      </c>
      <c r="P165" s="177" t="s">
        <v>80</v>
      </c>
      <c r="Q165" s="31">
        <v>45452</v>
      </c>
      <c r="R165" s="30">
        <v>0.61</v>
      </c>
      <c r="S165" s="29" t="s">
        <v>49</v>
      </c>
      <c r="T165" s="27" t="s">
        <v>507</v>
      </c>
      <c r="U165" s="27" t="s">
        <v>507</v>
      </c>
      <c r="V165" s="27" t="s">
        <v>682</v>
      </c>
      <c r="W165" s="30">
        <v>0.83</v>
      </c>
      <c r="X165" s="29" t="s">
        <v>49</v>
      </c>
      <c r="Y165" s="29" t="s">
        <v>507</v>
      </c>
      <c r="Z165" s="27" t="s">
        <v>507</v>
      </c>
      <c r="AA165" s="27" t="s">
        <v>507</v>
      </c>
      <c r="AB165" s="27" t="s">
        <v>507</v>
      </c>
      <c r="AC165" s="27" t="s">
        <v>682</v>
      </c>
      <c r="AD165" s="30">
        <v>0.83</v>
      </c>
      <c r="AE165" s="27" t="s">
        <v>49</v>
      </c>
      <c r="AG165" s="27" t="s">
        <v>507</v>
      </c>
      <c r="AH165" s="27" t="s">
        <v>507</v>
      </c>
      <c r="AI165" s="27" t="s">
        <v>507</v>
      </c>
      <c r="AJ165" s="27" t="s">
        <v>507</v>
      </c>
      <c r="AK165" s="29" t="s">
        <v>507</v>
      </c>
      <c r="AL165" s="27" t="s">
        <v>507</v>
      </c>
      <c r="AM165" s="27" t="s">
        <v>507</v>
      </c>
      <c r="AN165" s="27" t="s">
        <v>507</v>
      </c>
      <c r="AO165" s="27" t="s">
        <v>507</v>
      </c>
      <c r="AP165" s="27" t="s">
        <v>507</v>
      </c>
      <c r="AQ165" s="27" t="s">
        <v>507</v>
      </c>
      <c r="AR165" s="27" t="s">
        <v>507</v>
      </c>
      <c r="AS165" s="27" t="s">
        <v>507</v>
      </c>
      <c r="AT165" s="27" t="s">
        <v>507</v>
      </c>
      <c r="AU165" s="32" t="s">
        <v>53</v>
      </c>
      <c r="AV165" s="27" t="s">
        <v>507</v>
      </c>
      <c r="AW165" s="27" t="s">
        <v>507</v>
      </c>
      <c r="AX165" s="27" t="s">
        <v>507</v>
      </c>
      <c r="AY165" s="27" t="s">
        <v>507</v>
      </c>
      <c r="AZ165" s="33" t="s">
        <v>507</v>
      </c>
      <c r="BA165" s="33" t="s">
        <v>507</v>
      </c>
    </row>
    <row r="166" spans="1:53" s="35" customFormat="1" ht="15" hidden="1" customHeight="1" x14ac:dyDescent="0.3">
      <c r="A166" s="27" t="s">
        <v>505</v>
      </c>
      <c r="B166" s="27" t="s">
        <v>506</v>
      </c>
      <c r="C166" s="27">
        <v>70</v>
      </c>
      <c r="D166" s="27">
        <v>124</v>
      </c>
      <c r="E166" s="27" t="s">
        <v>507</v>
      </c>
      <c r="F166" s="28" t="s">
        <v>683</v>
      </c>
      <c r="G166" s="29" t="str">
        <f t="shared" si="4"/>
        <v>701241104419165</v>
      </c>
      <c r="H166" s="27" t="s">
        <v>684</v>
      </c>
      <c r="I166" s="27">
        <v>1104419165</v>
      </c>
      <c r="J166" s="27" t="s">
        <v>685</v>
      </c>
      <c r="K166" s="27" t="s">
        <v>230</v>
      </c>
      <c r="L166" s="27" t="s">
        <v>45</v>
      </c>
      <c r="M166" s="171" t="s">
        <v>45</v>
      </c>
      <c r="N166" s="12" t="s">
        <v>259</v>
      </c>
      <c r="O166" s="12" t="s">
        <v>260</v>
      </c>
      <c r="P166" s="177" t="s">
        <v>80</v>
      </c>
      <c r="Q166" s="27" t="s">
        <v>686</v>
      </c>
      <c r="R166" s="30">
        <v>0.83</v>
      </c>
      <c r="S166" s="29" t="s">
        <v>49</v>
      </c>
      <c r="T166" s="27" t="s">
        <v>507</v>
      </c>
      <c r="U166" s="27" t="s">
        <v>507</v>
      </c>
      <c r="V166" s="27" t="s">
        <v>507</v>
      </c>
      <c r="W166" s="29" t="s">
        <v>507</v>
      </c>
      <c r="X166" s="29" t="s">
        <v>507</v>
      </c>
      <c r="Y166" s="29" t="s">
        <v>507</v>
      </c>
      <c r="Z166" s="27" t="s">
        <v>507</v>
      </c>
      <c r="AA166" s="27" t="s">
        <v>507</v>
      </c>
      <c r="AB166" s="27" t="s">
        <v>507</v>
      </c>
      <c r="AC166" s="27" t="s">
        <v>507</v>
      </c>
      <c r="AD166" s="29" t="s">
        <v>507</v>
      </c>
      <c r="AE166" s="27" t="s">
        <v>507</v>
      </c>
      <c r="AG166" s="27" t="s">
        <v>507</v>
      </c>
      <c r="AH166" s="27" t="s">
        <v>507</v>
      </c>
      <c r="AI166" s="27" t="s">
        <v>507</v>
      </c>
      <c r="AJ166" s="27" t="s">
        <v>507</v>
      </c>
      <c r="AK166" s="29" t="s">
        <v>507</v>
      </c>
      <c r="AL166" s="27" t="s">
        <v>507</v>
      </c>
      <c r="AM166" s="27" t="s">
        <v>507</v>
      </c>
      <c r="AN166" s="27" t="s">
        <v>507</v>
      </c>
      <c r="AO166" s="27" t="s">
        <v>507</v>
      </c>
      <c r="AP166" s="27" t="s">
        <v>507</v>
      </c>
      <c r="AQ166" s="27" t="s">
        <v>507</v>
      </c>
      <c r="AR166" s="27" t="s">
        <v>507</v>
      </c>
      <c r="AS166" s="27" t="s">
        <v>507</v>
      </c>
      <c r="AT166" s="27" t="s">
        <v>507</v>
      </c>
      <c r="AU166" s="32" t="s">
        <v>53</v>
      </c>
      <c r="AV166" s="27" t="s">
        <v>507</v>
      </c>
      <c r="AW166" s="27" t="s">
        <v>507</v>
      </c>
      <c r="AX166" s="27" t="s">
        <v>507</v>
      </c>
      <c r="AY166" s="27" t="s">
        <v>507</v>
      </c>
      <c r="AZ166" s="33" t="s">
        <v>507</v>
      </c>
      <c r="BA166" s="33" t="s">
        <v>507</v>
      </c>
    </row>
    <row r="167" spans="1:53" s="35" customFormat="1" ht="15" hidden="1" customHeight="1" x14ac:dyDescent="0.3">
      <c r="A167" s="27" t="s">
        <v>505</v>
      </c>
      <c r="B167" s="27" t="s">
        <v>506</v>
      </c>
      <c r="C167" s="27">
        <v>70</v>
      </c>
      <c r="D167" s="27">
        <v>124</v>
      </c>
      <c r="E167" s="27" t="s">
        <v>507</v>
      </c>
      <c r="F167" s="28" t="s">
        <v>687</v>
      </c>
      <c r="G167" s="29" t="str">
        <f t="shared" si="4"/>
        <v>701241045751752</v>
      </c>
      <c r="H167" s="27" t="s">
        <v>688</v>
      </c>
      <c r="I167" s="27">
        <v>1045751752</v>
      </c>
      <c r="J167" s="27" t="s">
        <v>689</v>
      </c>
      <c r="K167" s="27" t="s">
        <v>230</v>
      </c>
      <c r="L167" s="27" t="s">
        <v>45</v>
      </c>
      <c r="M167" s="171" t="s">
        <v>45</v>
      </c>
      <c r="N167" s="12" t="s">
        <v>46</v>
      </c>
      <c r="O167" s="28" t="s">
        <v>521</v>
      </c>
      <c r="P167" s="177" t="s">
        <v>48</v>
      </c>
      <c r="Q167" s="31">
        <v>45476</v>
      </c>
      <c r="R167" s="30">
        <v>1</v>
      </c>
      <c r="S167" s="27" t="s">
        <v>210</v>
      </c>
      <c r="T167" s="27" t="s">
        <v>507</v>
      </c>
      <c r="U167" s="27" t="s">
        <v>507</v>
      </c>
      <c r="V167" s="27" t="s">
        <v>507</v>
      </c>
      <c r="W167" s="29" t="s">
        <v>507</v>
      </c>
      <c r="X167" s="29" t="s">
        <v>507</v>
      </c>
      <c r="Y167" s="29" t="s">
        <v>507</v>
      </c>
      <c r="Z167" s="27" t="s">
        <v>507</v>
      </c>
      <c r="AA167" s="27" t="s">
        <v>507</v>
      </c>
      <c r="AB167" s="27" t="s">
        <v>507</v>
      </c>
      <c r="AC167" s="27" t="s">
        <v>507</v>
      </c>
      <c r="AD167" s="29" t="s">
        <v>507</v>
      </c>
      <c r="AE167" s="27" t="s">
        <v>507</v>
      </c>
      <c r="AG167" s="27" t="s">
        <v>507</v>
      </c>
      <c r="AH167" s="27" t="s">
        <v>507</v>
      </c>
      <c r="AI167" s="27" t="s">
        <v>507</v>
      </c>
      <c r="AJ167" s="27" t="s">
        <v>507</v>
      </c>
      <c r="AK167" s="29" t="s">
        <v>507</v>
      </c>
      <c r="AL167" s="27" t="s">
        <v>507</v>
      </c>
      <c r="AM167" s="27" t="s">
        <v>507</v>
      </c>
      <c r="AN167" s="27" t="s">
        <v>507</v>
      </c>
      <c r="AO167" s="27" t="s">
        <v>507</v>
      </c>
      <c r="AP167" s="27" t="s">
        <v>507</v>
      </c>
      <c r="AQ167" s="27" t="s">
        <v>507</v>
      </c>
      <c r="AR167" s="27" t="s">
        <v>507</v>
      </c>
      <c r="AS167" s="27" t="s">
        <v>507</v>
      </c>
      <c r="AT167" s="27" t="s">
        <v>507</v>
      </c>
      <c r="AU167" s="32" t="s">
        <v>53</v>
      </c>
      <c r="AV167" s="27" t="s">
        <v>507</v>
      </c>
      <c r="AW167" s="27" t="s">
        <v>507</v>
      </c>
      <c r="AX167" s="27" t="s">
        <v>507</v>
      </c>
      <c r="AY167" s="27" t="s">
        <v>507</v>
      </c>
      <c r="AZ167" s="33" t="s">
        <v>507</v>
      </c>
      <c r="BA167" s="33" t="s">
        <v>507</v>
      </c>
    </row>
    <row r="168" spans="1:53" s="35" customFormat="1" ht="15" hidden="1" customHeight="1" x14ac:dyDescent="0.3">
      <c r="A168" s="27" t="s">
        <v>505</v>
      </c>
      <c r="B168" s="27" t="s">
        <v>506</v>
      </c>
      <c r="C168" s="27">
        <v>70</v>
      </c>
      <c r="D168" s="27">
        <v>124</v>
      </c>
      <c r="E168" s="27" t="s">
        <v>507</v>
      </c>
      <c r="F168" s="28" t="s">
        <v>690</v>
      </c>
      <c r="G168" s="29" t="str">
        <f t="shared" si="4"/>
        <v>70124228375502</v>
      </c>
      <c r="H168" s="27" t="s">
        <v>691</v>
      </c>
      <c r="I168" s="27">
        <v>228375502</v>
      </c>
      <c r="J168" s="27" t="s">
        <v>692</v>
      </c>
      <c r="K168" s="27" t="s">
        <v>230</v>
      </c>
      <c r="L168" s="27" t="s">
        <v>45</v>
      </c>
      <c r="M168" s="171" t="s">
        <v>45</v>
      </c>
      <c r="N168" s="12" t="s">
        <v>432</v>
      </c>
      <c r="O168" s="12" t="s">
        <v>432</v>
      </c>
      <c r="P168" s="177" t="s">
        <v>261</v>
      </c>
      <c r="Q168" s="31">
        <v>45512</v>
      </c>
      <c r="R168" s="30">
        <v>0.77</v>
      </c>
      <c r="S168" s="29" t="s">
        <v>49</v>
      </c>
      <c r="T168" s="27" t="s">
        <v>507</v>
      </c>
      <c r="U168" s="27" t="s">
        <v>507</v>
      </c>
      <c r="V168" s="27" t="s">
        <v>507</v>
      </c>
      <c r="W168" s="29" t="s">
        <v>507</v>
      </c>
      <c r="X168" s="29" t="s">
        <v>507</v>
      </c>
      <c r="Y168" s="29" t="s">
        <v>507</v>
      </c>
      <c r="Z168" s="27" t="s">
        <v>507</v>
      </c>
      <c r="AA168" s="27" t="s">
        <v>507</v>
      </c>
      <c r="AB168" s="27" t="s">
        <v>507</v>
      </c>
      <c r="AC168" s="27" t="s">
        <v>507</v>
      </c>
      <c r="AD168" s="29" t="s">
        <v>507</v>
      </c>
      <c r="AE168" s="27" t="s">
        <v>507</v>
      </c>
      <c r="AG168" s="27" t="s">
        <v>507</v>
      </c>
      <c r="AH168" s="27" t="s">
        <v>507</v>
      </c>
      <c r="AI168" s="27" t="s">
        <v>507</v>
      </c>
      <c r="AJ168" s="27" t="s">
        <v>507</v>
      </c>
      <c r="AK168" s="29" t="s">
        <v>507</v>
      </c>
      <c r="AL168" s="27" t="s">
        <v>507</v>
      </c>
      <c r="AM168" s="27" t="s">
        <v>507</v>
      </c>
      <c r="AN168" s="27" t="s">
        <v>507</v>
      </c>
      <c r="AO168" s="27" t="s">
        <v>507</v>
      </c>
      <c r="AP168" s="27" t="s">
        <v>507</v>
      </c>
      <c r="AQ168" s="27" t="s">
        <v>507</v>
      </c>
      <c r="AR168" s="27" t="s">
        <v>507</v>
      </c>
      <c r="AS168" s="27" t="s">
        <v>507</v>
      </c>
      <c r="AT168" s="27" t="s">
        <v>507</v>
      </c>
      <c r="AU168" s="32" t="s">
        <v>53</v>
      </c>
      <c r="AV168" s="27" t="s">
        <v>507</v>
      </c>
      <c r="AW168" s="27" t="s">
        <v>507</v>
      </c>
      <c r="AX168" s="27" t="s">
        <v>507</v>
      </c>
      <c r="AY168" s="27" t="s">
        <v>507</v>
      </c>
      <c r="AZ168" s="33" t="s">
        <v>507</v>
      </c>
      <c r="BA168" s="33" t="s">
        <v>507</v>
      </c>
    </row>
    <row r="169" spans="1:53" s="35" customFormat="1" ht="15" hidden="1" customHeight="1" x14ac:dyDescent="0.3">
      <c r="A169" s="27" t="s">
        <v>505</v>
      </c>
      <c r="B169" s="27" t="s">
        <v>506</v>
      </c>
      <c r="C169" s="27">
        <v>70</v>
      </c>
      <c r="D169" s="27">
        <v>124</v>
      </c>
      <c r="E169" s="27" t="s">
        <v>507</v>
      </c>
      <c r="F169" s="28" t="s">
        <v>693</v>
      </c>
      <c r="G169" s="29" t="str">
        <f t="shared" si="4"/>
        <v>7012422837117</v>
      </c>
      <c r="H169" s="27" t="s">
        <v>694</v>
      </c>
      <c r="I169" s="27">
        <v>22837117</v>
      </c>
      <c r="J169" s="27" t="s">
        <v>695</v>
      </c>
      <c r="K169" s="27" t="s">
        <v>230</v>
      </c>
      <c r="L169" s="27" t="s">
        <v>45</v>
      </c>
      <c r="M169" s="171" t="s">
        <v>45</v>
      </c>
      <c r="N169" s="12" t="s">
        <v>46</v>
      </c>
      <c r="O169" s="28" t="s">
        <v>521</v>
      </c>
      <c r="P169" s="177" t="s">
        <v>48</v>
      </c>
      <c r="Q169" s="27" t="s">
        <v>696</v>
      </c>
      <c r="R169" s="30">
        <v>0.83</v>
      </c>
      <c r="S169" s="29" t="s">
        <v>49</v>
      </c>
      <c r="T169" s="27" t="s">
        <v>507</v>
      </c>
      <c r="U169" s="27" t="s">
        <v>507</v>
      </c>
      <c r="V169" s="27" t="s">
        <v>613</v>
      </c>
      <c r="W169" s="30">
        <v>0.73</v>
      </c>
      <c r="X169" s="29" t="s">
        <v>49</v>
      </c>
      <c r="Y169" s="29" t="s">
        <v>507</v>
      </c>
      <c r="Z169" s="27" t="s">
        <v>507</v>
      </c>
      <c r="AA169" s="27" t="s">
        <v>507</v>
      </c>
      <c r="AB169" s="27" t="s">
        <v>507</v>
      </c>
      <c r="AC169" s="27" t="s">
        <v>697</v>
      </c>
      <c r="AD169" s="30">
        <v>0.85</v>
      </c>
      <c r="AE169" s="27" t="s">
        <v>49</v>
      </c>
      <c r="AG169" s="27" t="s">
        <v>507</v>
      </c>
      <c r="AH169" s="27" t="s">
        <v>507</v>
      </c>
      <c r="AI169" s="27" t="s">
        <v>507</v>
      </c>
      <c r="AJ169" s="27" t="s">
        <v>507</v>
      </c>
      <c r="AK169" s="29" t="s">
        <v>507</v>
      </c>
      <c r="AL169" s="27" t="s">
        <v>507</v>
      </c>
      <c r="AM169" s="27" t="s">
        <v>507</v>
      </c>
      <c r="AN169" s="27" t="s">
        <v>507</v>
      </c>
      <c r="AO169" s="27" t="s">
        <v>507</v>
      </c>
      <c r="AP169" s="27" t="s">
        <v>507</v>
      </c>
      <c r="AQ169" s="27" t="s">
        <v>507</v>
      </c>
      <c r="AR169" s="27" t="s">
        <v>507</v>
      </c>
      <c r="AS169" s="27" t="s">
        <v>507</v>
      </c>
      <c r="AT169" s="27" t="s">
        <v>507</v>
      </c>
      <c r="AU169" s="32" t="s">
        <v>53</v>
      </c>
      <c r="AV169" s="27" t="s">
        <v>507</v>
      </c>
      <c r="AW169" s="27" t="s">
        <v>507</v>
      </c>
      <c r="AX169" s="27" t="s">
        <v>507</v>
      </c>
      <c r="AY169" s="27" t="s">
        <v>507</v>
      </c>
      <c r="AZ169" s="33" t="s">
        <v>507</v>
      </c>
      <c r="BA169" s="33" t="s">
        <v>507</v>
      </c>
    </row>
    <row r="170" spans="1:53" s="35" customFormat="1" ht="15" hidden="1" customHeight="1" x14ac:dyDescent="0.3">
      <c r="A170" s="27" t="s">
        <v>505</v>
      </c>
      <c r="B170" s="27" t="s">
        <v>506</v>
      </c>
      <c r="C170" s="27">
        <v>70</v>
      </c>
      <c r="D170" s="27">
        <v>124</v>
      </c>
      <c r="E170" s="27" t="s">
        <v>507</v>
      </c>
      <c r="F170" s="28" t="s">
        <v>698</v>
      </c>
      <c r="G170" s="29" t="str">
        <f t="shared" si="4"/>
        <v>701241052042177</v>
      </c>
      <c r="H170" s="27" t="s">
        <v>699</v>
      </c>
      <c r="I170" s="27">
        <v>1052042177</v>
      </c>
      <c r="J170" s="27" t="s">
        <v>700</v>
      </c>
      <c r="K170" s="27" t="s">
        <v>230</v>
      </c>
      <c r="L170" s="27" t="s">
        <v>45</v>
      </c>
      <c r="M170" s="171" t="s">
        <v>45</v>
      </c>
      <c r="N170" s="12" t="s">
        <v>46</v>
      </c>
      <c r="O170" s="12" t="s">
        <v>2797</v>
      </c>
      <c r="P170" s="177" t="s">
        <v>48</v>
      </c>
      <c r="Q170" s="31">
        <v>45509</v>
      </c>
      <c r="R170" s="37">
        <v>0.83</v>
      </c>
      <c r="S170" s="27" t="s">
        <v>49</v>
      </c>
      <c r="T170" s="27" t="s">
        <v>507</v>
      </c>
      <c r="U170" s="27" t="s">
        <v>507</v>
      </c>
      <c r="V170" s="27" t="s">
        <v>630</v>
      </c>
      <c r="W170" s="37">
        <v>0.8</v>
      </c>
      <c r="X170" s="27" t="s">
        <v>49</v>
      </c>
      <c r="Y170" s="27" t="s">
        <v>507</v>
      </c>
      <c r="Z170" s="27" t="s">
        <v>507</v>
      </c>
      <c r="AA170" s="27" t="s">
        <v>507</v>
      </c>
      <c r="AB170" s="27" t="s">
        <v>507</v>
      </c>
      <c r="AC170" s="27" t="s">
        <v>507</v>
      </c>
      <c r="AD170" s="27" t="s">
        <v>507</v>
      </c>
      <c r="AE170" s="27" t="s">
        <v>507</v>
      </c>
      <c r="AF170" s="27" t="s">
        <v>507</v>
      </c>
      <c r="AG170" s="27" t="s">
        <v>507</v>
      </c>
      <c r="AH170" s="27" t="s">
        <v>507</v>
      </c>
      <c r="AI170" s="27" t="s">
        <v>507</v>
      </c>
      <c r="AJ170" s="27" t="s">
        <v>507</v>
      </c>
      <c r="AK170" s="27" t="s">
        <v>507</v>
      </c>
      <c r="AL170" s="27" t="s">
        <v>507</v>
      </c>
      <c r="AM170" s="27" t="s">
        <v>507</v>
      </c>
      <c r="AN170" s="27" t="s">
        <v>507</v>
      </c>
      <c r="AO170" s="27" t="s">
        <v>507</v>
      </c>
      <c r="AP170" s="27" t="s">
        <v>507</v>
      </c>
      <c r="AQ170" s="27" t="s">
        <v>507</v>
      </c>
      <c r="AR170" s="27" t="s">
        <v>507</v>
      </c>
      <c r="AS170" s="27" t="s">
        <v>507</v>
      </c>
      <c r="AT170" s="27" t="s">
        <v>507</v>
      </c>
      <c r="AU170" s="32" t="s">
        <v>53</v>
      </c>
      <c r="AV170" s="27" t="s">
        <v>507</v>
      </c>
      <c r="AW170" s="27" t="s">
        <v>507</v>
      </c>
      <c r="AX170" s="27" t="s">
        <v>507</v>
      </c>
      <c r="AY170" s="27" t="s">
        <v>507</v>
      </c>
      <c r="AZ170" s="33" t="s">
        <v>507</v>
      </c>
      <c r="BA170" s="33" t="s">
        <v>507</v>
      </c>
    </row>
    <row r="171" spans="1:53" s="36" customFormat="1" ht="15" hidden="1" customHeight="1" x14ac:dyDescent="0.3">
      <c r="A171" s="29" t="s">
        <v>505</v>
      </c>
      <c r="B171" s="29" t="s">
        <v>506</v>
      </c>
      <c r="C171" s="29">
        <v>70</v>
      </c>
      <c r="D171" s="29">
        <v>124</v>
      </c>
      <c r="E171" s="38" t="s">
        <v>701</v>
      </c>
      <c r="F171" s="38" t="s">
        <v>702</v>
      </c>
      <c r="G171" s="29" t="str">
        <f t="shared" si="4"/>
        <v>70124901767658-6</v>
      </c>
      <c r="H171" s="29" t="s">
        <v>703</v>
      </c>
      <c r="I171" s="29" t="s">
        <v>704</v>
      </c>
      <c r="J171" s="29" t="s">
        <v>705</v>
      </c>
      <c r="K171" s="27" t="s">
        <v>133</v>
      </c>
      <c r="L171" s="29" t="s">
        <v>45</v>
      </c>
      <c r="M171" s="171" t="s">
        <v>45</v>
      </c>
      <c r="N171" s="174" t="s">
        <v>127</v>
      </c>
      <c r="O171" s="12" t="s">
        <v>2822</v>
      </c>
      <c r="P171" s="177" t="s">
        <v>48</v>
      </c>
      <c r="Q171" s="29" t="s">
        <v>507</v>
      </c>
      <c r="R171" s="29" t="s">
        <v>507</v>
      </c>
      <c r="S171" s="29" t="s">
        <v>507</v>
      </c>
      <c r="T171" s="29" t="s">
        <v>507</v>
      </c>
      <c r="U171" s="29" t="s">
        <v>507</v>
      </c>
      <c r="V171" s="29" t="s">
        <v>507</v>
      </c>
      <c r="W171" s="29" t="s">
        <v>507</v>
      </c>
      <c r="X171" s="29" t="s">
        <v>507</v>
      </c>
      <c r="Y171" s="29" t="s">
        <v>507</v>
      </c>
      <c r="Z171" s="29" t="s">
        <v>507</v>
      </c>
      <c r="AA171" s="29" t="s">
        <v>507</v>
      </c>
      <c r="AB171" s="29" t="s">
        <v>507</v>
      </c>
      <c r="AC171" s="29" t="s">
        <v>507</v>
      </c>
      <c r="AD171" s="29" t="s">
        <v>507</v>
      </c>
      <c r="AE171" s="29" t="s">
        <v>507</v>
      </c>
      <c r="AF171" s="29" t="s">
        <v>507</v>
      </c>
      <c r="AG171" s="29" t="s">
        <v>507</v>
      </c>
      <c r="AH171" s="29" t="s">
        <v>507</v>
      </c>
      <c r="AI171" s="29" t="s">
        <v>507</v>
      </c>
      <c r="AJ171" s="29" t="s">
        <v>507</v>
      </c>
      <c r="AK171" s="29" t="s">
        <v>507</v>
      </c>
      <c r="AL171" s="29" t="s">
        <v>507</v>
      </c>
      <c r="AM171" s="29" t="s">
        <v>507</v>
      </c>
      <c r="AN171" s="29" t="s">
        <v>507</v>
      </c>
      <c r="AO171" s="29" t="s">
        <v>507</v>
      </c>
      <c r="AP171" s="27" t="s">
        <v>507</v>
      </c>
      <c r="AQ171" s="29" t="s">
        <v>507</v>
      </c>
      <c r="AR171" s="29" t="s">
        <v>507</v>
      </c>
      <c r="AS171" s="29" t="s">
        <v>507</v>
      </c>
      <c r="AT171" s="29" t="s">
        <v>507</v>
      </c>
      <c r="AU171" s="32" t="s">
        <v>53</v>
      </c>
      <c r="AV171" s="27" t="s">
        <v>507</v>
      </c>
      <c r="AW171" s="27" t="s">
        <v>507</v>
      </c>
      <c r="AX171" s="27" t="s">
        <v>507</v>
      </c>
      <c r="AY171" s="27" t="s">
        <v>507</v>
      </c>
    </row>
    <row r="172" spans="1:53" s="36" customFormat="1" ht="15" hidden="1" customHeight="1" x14ac:dyDescent="0.3">
      <c r="A172" s="29" t="s">
        <v>505</v>
      </c>
      <c r="B172" s="29" t="s">
        <v>506</v>
      </c>
      <c r="C172" s="29">
        <v>70</v>
      </c>
      <c r="D172" s="29">
        <v>124</v>
      </c>
      <c r="E172" s="29" t="s">
        <v>706</v>
      </c>
      <c r="F172" s="29" t="s">
        <v>707</v>
      </c>
      <c r="G172" s="29" t="str">
        <f t="shared" si="4"/>
        <v>70124823002828-6</v>
      </c>
      <c r="H172" s="29" t="s">
        <v>617</v>
      </c>
      <c r="I172" s="27" t="s">
        <v>665</v>
      </c>
      <c r="J172" s="29" t="s">
        <v>708</v>
      </c>
      <c r="K172" s="27" t="s">
        <v>133</v>
      </c>
      <c r="L172" s="29" t="s">
        <v>45</v>
      </c>
      <c r="M172" s="171" t="s">
        <v>45</v>
      </c>
      <c r="N172" s="174" t="s">
        <v>127</v>
      </c>
      <c r="O172" s="12" t="s">
        <v>2822</v>
      </c>
      <c r="P172" s="177" t="s">
        <v>48</v>
      </c>
      <c r="Q172" s="29" t="s">
        <v>507</v>
      </c>
      <c r="R172" s="29" t="s">
        <v>507</v>
      </c>
      <c r="S172" s="29" t="s">
        <v>507</v>
      </c>
      <c r="T172" s="29" t="s">
        <v>507</v>
      </c>
      <c r="U172" s="29" t="s">
        <v>507</v>
      </c>
      <c r="V172" s="29" t="s">
        <v>507</v>
      </c>
      <c r="W172" s="29" t="s">
        <v>507</v>
      </c>
      <c r="X172" s="29" t="s">
        <v>507</v>
      </c>
      <c r="Y172" s="29" t="s">
        <v>507</v>
      </c>
      <c r="Z172" s="29" t="s">
        <v>507</v>
      </c>
      <c r="AA172" s="29" t="s">
        <v>507</v>
      </c>
      <c r="AB172" s="29" t="s">
        <v>507</v>
      </c>
      <c r="AC172" s="29" t="s">
        <v>507</v>
      </c>
      <c r="AD172" s="29" t="s">
        <v>507</v>
      </c>
      <c r="AE172" s="29" t="s">
        <v>507</v>
      </c>
      <c r="AF172" s="29" t="s">
        <v>507</v>
      </c>
      <c r="AG172" s="29" t="s">
        <v>507</v>
      </c>
      <c r="AH172" s="29" t="s">
        <v>507</v>
      </c>
      <c r="AI172" s="29" t="s">
        <v>507</v>
      </c>
      <c r="AJ172" s="29" t="s">
        <v>507</v>
      </c>
      <c r="AK172" s="29" t="s">
        <v>507</v>
      </c>
      <c r="AL172" s="29" t="s">
        <v>507</v>
      </c>
      <c r="AM172" s="29" t="s">
        <v>507</v>
      </c>
      <c r="AN172" s="29" t="s">
        <v>507</v>
      </c>
      <c r="AO172" s="29" t="s">
        <v>507</v>
      </c>
      <c r="AP172" s="27" t="s">
        <v>507</v>
      </c>
      <c r="AQ172" s="29" t="s">
        <v>507</v>
      </c>
      <c r="AR172" s="29" t="s">
        <v>507</v>
      </c>
      <c r="AS172" s="29" t="s">
        <v>507</v>
      </c>
      <c r="AT172" s="29" t="s">
        <v>507</v>
      </c>
      <c r="AU172" s="39" t="s">
        <v>164</v>
      </c>
      <c r="AV172" s="27" t="s">
        <v>507</v>
      </c>
      <c r="AW172" s="27" t="s">
        <v>507</v>
      </c>
      <c r="AX172" s="27" t="s">
        <v>507</v>
      </c>
      <c r="AY172" s="27" t="s">
        <v>507</v>
      </c>
    </row>
    <row r="173" spans="1:53" s="36" customFormat="1" ht="21" hidden="1" customHeight="1" x14ac:dyDescent="0.3">
      <c r="A173" s="29" t="s">
        <v>505</v>
      </c>
      <c r="B173" s="29" t="s">
        <v>506</v>
      </c>
      <c r="C173" s="29">
        <v>70</v>
      </c>
      <c r="D173" s="29">
        <v>124</v>
      </c>
      <c r="E173" s="29" t="s">
        <v>8334</v>
      </c>
      <c r="F173" s="306" t="s">
        <v>709</v>
      </c>
      <c r="G173" s="29" t="str">
        <f t="shared" si="4"/>
        <v>701249020247794</v>
      </c>
      <c r="H173" s="29" t="s">
        <v>710</v>
      </c>
      <c r="I173" s="27">
        <v>9020247794</v>
      </c>
      <c r="J173" s="29" t="s">
        <v>711</v>
      </c>
      <c r="K173" s="27" t="s">
        <v>230</v>
      </c>
      <c r="L173" s="29">
        <v>3205707710</v>
      </c>
      <c r="M173" s="278" t="s">
        <v>8335</v>
      </c>
      <c r="N173" s="174" t="s">
        <v>127</v>
      </c>
      <c r="O173" s="12" t="s">
        <v>2822</v>
      </c>
      <c r="P173" s="177" t="s">
        <v>48</v>
      </c>
      <c r="Q173" s="272">
        <v>46080</v>
      </c>
      <c r="R173" s="36" t="s">
        <v>2768</v>
      </c>
      <c r="S173" s="36" t="s">
        <v>74</v>
      </c>
      <c r="T173" s="29" t="s">
        <v>507</v>
      </c>
      <c r="U173" s="29" t="s">
        <v>50</v>
      </c>
      <c r="V173" s="29" t="s">
        <v>712</v>
      </c>
      <c r="W173" s="30">
        <v>0.87</v>
      </c>
      <c r="X173" s="29" t="s">
        <v>49</v>
      </c>
      <c r="Y173" s="29" t="s">
        <v>507</v>
      </c>
      <c r="Z173" s="29" t="s">
        <v>507</v>
      </c>
      <c r="AA173" s="29" t="s">
        <v>507</v>
      </c>
      <c r="AB173" s="29" t="s">
        <v>507</v>
      </c>
      <c r="AC173" s="40">
        <v>44752</v>
      </c>
      <c r="AD173" s="30">
        <v>0.79</v>
      </c>
      <c r="AE173" s="29" t="s">
        <v>49</v>
      </c>
      <c r="AF173" s="29" t="s">
        <v>507</v>
      </c>
      <c r="AG173" s="29" t="s">
        <v>507</v>
      </c>
      <c r="AH173" s="29" t="s">
        <v>507</v>
      </c>
      <c r="AI173" s="29" t="s">
        <v>507</v>
      </c>
      <c r="AJ173" s="29" t="s">
        <v>507</v>
      </c>
      <c r="AK173" s="29" t="s">
        <v>507</v>
      </c>
      <c r="AL173" s="29" t="s">
        <v>507</v>
      </c>
      <c r="AM173" s="29" t="s">
        <v>507</v>
      </c>
      <c r="AN173" s="29" t="s">
        <v>507</v>
      </c>
      <c r="AO173" s="29" t="s">
        <v>507</v>
      </c>
      <c r="AP173" s="27" t="s">
        <v>507</v>
      </c>
      <c r="AQ173" s="29" t="s">
        <v>507</v>
      </c>
      <c r="AR173" s="29" t="s">
        <v>507</v>
      </c>
      <c r="AS173" s="29" t="s">
        <v>507</v>
      </c>
      <c r="AT173" s="29" t="s">
        <v>507</v>
      </c>
      <c r="AU173" s="32" t="s">
        <v>53</v>
      </c>
      <c r="AV173" s="27" t="s">
        <v>507</v>
      </c>
      <c r="AW173" s="27" t="s">
        <v>507</v>
      </c>
      <c r="AX173" s="27" t="s">
        <v>507</v>
      </c>
      <c r="AY173" s="27" t="s">
        <v>507</v>
      </c>
    </row>
    <row r="174" spans="1:53" s="36" customFormat="1" ht="15" hidden="1" customHeight="1" x14ac:dyDescent="0.3">
      <c r="A174" s="29" t="s">
        <v>505</v>
      </c>
      <c r="B174" s="29" t="s">
        <v>506</v>
      </c>
      <c r="C174" s="29">
        <v>70</v>
      </c>
      <c r="D174" s="29">
        <v>124</v>
      </c>
      <c r="E174" s="29" t="s">
        <v>713</v>
      </c>
      <c r="F174" s="29" t="s">
        <v>714</v>
      </c>
      <c r="G174" s="29" t="str">
        <f t="shared" si="4"/>
        <v>70124823000886- 4</v>
      </c>
      <c r="H174" s="29" t="s">
        <v>715</v>
      </c>
      <c r="I174" s="29" t="s">
        <v>716</v>
      </c>
      <c r="J174" s="29" t="s">
        <v>717</v>
      </c>
      <c r="K174" s="27" t="s">
        <v>230</v>
      </c>
      <c r="L174" s="29" t="s">
        <v>45</v>
      </c>
      <c r="M174" s="171" t="s">
        <v>45</v>
      </c>
      <c r="N174" s="174" t="s">
        <v>127</v>
      </c>
      <c r="O174" s="12" t="s">
        <v>2822</v>
      </c>
      <c r="P174" s="177" t="s">
        <v>48</v>
      </c>
      <c r="Q174" s="29" t="s">
        <v>507</v>
      </c>
      <c r="R174" s="29" t="s">
        <v>507</v>
      </c>
      <c r="S174" s="29" t="s">
        <v>507</v>
      </c>
      <c r="T174" s="29" t="s">
        <v>507</v>
      </c>
      <c r="U174" s="29" t="s">
        <v>507</v>
      </c>
      <c r="V174" s="29" t="s">
        <v>507</v>
      </c>
      <c r="W174" s="29" t="s">
        <v>507</v>
      </c>
      <c r="X174" s="29" t="s">
        <v>507</v>
      </c>
      <c r="Y174" s="29" t="s">
        <v>507</v>
      </c>
      <c r="Z174" s="29" t="s">
        <v>507</v>
      </c>
      <c r="AA174" s="29" t="s">
        <v>507</v>
      </c>
      <c r="AB174" s="29" t="s">
        <v>507</v>
      </c>
      <c r="AC174" s="29" t="s">
        <v>507</v>
      </c>
      <c r="AD174" s="29" t="s">
        <v>507</v>
      </c>
      <c r="AE174" s="29" t="s">
        <v>507</v>
      </c>
      <c r="AF174" s="29" t="s">
        <v>507</v>
      </c>
      <c r="AG174" s="29" t="s">
        <v>507</v>
      </c>
      <c r="AH174" s="29" t="s">
        <v>507</v>
      </c>
      <c r="AI174" s="29" t="s">
        <v>507</v>
      </c>
      <c r="AJ174" s="29" t="s">
        <v>507</v>
      </c>
      <c r="AK174" s="29" t="s">
        <v>507</v>
      </c>
      <c r="AL174" s="29" t="s">
        <v>507</v>
      </c>
      <c r="AM174" s="29" t="s">
        <v>507</v>
      </c>
      <c r="AN174" s="29" t="s">
        <v>507</v>
      </c>
      <c r="AO174" s="29" t="s">
        <v>507</v>
      </c>
      <c r="AP174" s="27" t="s">
        <v>507</v>
      </c>
      <c r="AQ174" s="29" t="s">
        <v>507</v>
      </c>
      <c r="AR174" s="29" t="s">
        <v>507</v>
      </c>
      <c r="AS174" s="29" t="s">
        <v>507</v>
      </c>
      <c r="AT174" s="29" t="s">
        <v>507</v>
      </c>
      <c r="AU174" s="32" t="s">
        <v>53</v>
      </c>
      <c r="AV174" s="27" t="s">
        <v>507</v>
      </c>
      <c r="AW174" s="27" t="s">
        <v>507</v>
      </c>
      <c r="AX174" s="27" t="s">
        <v>507</v>
      </c>
      <c r="AY174" s="27" t="s">
        <v>507</v>
      </c>
    </row>
    <row r="175" spans="1:53" s="36" customFormat="1" ht="15" hidden="1" customHeight="1" x14ac:dyDescent="0.3">
      <c r="A175" s="27" t="s">
        <v>505</v>
      </c>
      <c r="B175" s="29" t="s">
        <v>506</v>
      </c>
      <c r="C175" s="29">
        <v>70</v>
      </c>
      <c r="D175" s="29">
        <v>124</v>
      </c>
      <c r="E175" s="29" t="s">
        <v>196</v>
      </c>
      <c r="F175" s="29" t="s">
        <v>8352</v>
      </c>
      <c r="G175" s="29" t="str">
        <f t="shared" si="4"/>
        <v>7012464580016</v>
      </c>
      <c r="H175" s="29" t="s">
        <v>8353</v>
      </c>
      <c r="I175" s="29">
        <v>64580016</v>
      </c>
      <c r="J175" s="29" t="s">
        <v>8354</v>
      </c>
      <c r="K175" s="27" t="s">
        <v>44</v>
      </c>
      <c r="L175" s="29">
        <v>3105114741</v>
      </c>
      <c r="M175" s="171" t="s">
        <v>1887</v>
      </c>
      <c r="N175" s="174" t="s">
        <v>127</v>
      </c>
      <c r="O175" s="12" t="s">
        <v>2822</v>
      </c>
      <c r="P175" s="177" t="s">
        <v>48</v>
      </c>
      <c r="Q175" s="40">
        <v>45755</v>
      </c>
      <c r="R175" s="29" t="s">
        <v>2148</v>
      </c>
      <c r="S175" s="29" t="s">
        <v>49</v>
      </c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7"/>
      <c r="AQ175" s="29"/>
      <c r="AR175" s="29"/>
      <c r="AS175" s="29"/>
      <c r="AT175" s="29"/>
      <c r="AU175" s="32" t="s">
        <v>53</v>
      </c>
      <c r="AV175" s="27"/>
      <c r="AW175" s="27"/>
      <c r="AX175" s="27"/>
      <c r="AY175" s="27"/>
    </row>
    <row r="176" spans="1:53" s="36" customFormat="1" ht="15" hidden="1" customHeight="1" x14ac:dyDescent="0.3">
      <c r="A176" s="29" t="s">
        <v>505</v>
      </c>
      <c r="B176" s="29" t="s">
        <v>506</v>
      </c>
      <c r="C176" s="29">
        <v>70</v>
      </c>
      <c r="D176" s="29">
        <v>124</v>
      </c>
      <c r="E176" s="29" t="s">
        <v>8337</v>
      </c>
      <c r="F176" s="306" t="s">
        <v>718</v>
      </c>
      <c r="G176" s="29" t="str">
        <f t="shared" si="4"/>
        <v>701249020247794</v>
      </c>
      <c r="H176" s="29" t="s">
        <v>710</v>
      </c>
      <c r="I176" s="29">
        <v>9020247794</v>
      </c>
      <c r="J176" s="29" t="s">
        <v>719</v>
      </c>
      <c r="K176" s="27" t="s">
        <v>133</v>
      </c>
      <c r="L176" s="29">
        <v>3205707710</v>
      </c>
      <c r="M176" s="278" t="s">
        <v>8335</v>
      </c>
      <c r="N176" s="174" t="s">
        <v>127</v>
      </c>
      <c r="O176" s="12" t="s">
        <v>2822</v>
      </c>
      <c r="P176" s="177" t="s">
        <v>48</v>
      </c>
      <c r="Q176" s="272">
        <v>46094</v>
      </c>
      <c r="R176" s="36">
        <v>87</v>
      </c>
      <c r="S176" s="36" t="s">
        <v>49</v>
      </c>
      <c r="T176" s="36" t="s">
        <v>722</v>
      </c>
      <c r="U176" s="29" t="s">
        <v>723</v>
      </c>
      <c r="V176" s="29" t="s">
        <v>721</v>
      </c>
      <c r="W176" s="41">
        <v>0.85499999999999998</v>
      </c>
      <c r="X176" s="27" t="s">
        <v>49</v>
      </c>
      <c r="Y176" s="29" t="s">
        <v>722</v>
      </c>
      <c r="Z176" s="29" t="s">
        <v>2881</v>
      </c>
      <c r="AA176" s="29" t="s">
        <v>507</v>
      </c>
      <c r="AB176" s="29" t="s">
        <v>507</v>
      </c>
      <c r="AC176" s="29" t="s">
        <v>724</v>
      </c>
      <c r="AD176" s="30">
        <v>0.78</v>
      </c>
      <c r="AE176" s="29" t="s">
        <v>49</v>
      </c>
      <c r="AF176" s="29" t="s">
        <v>60</v>
      </c>
      <c r="AG176" s="29" t="s">
        <v>507</v>
      </c>
      <c r="AH176" s="29" t="s">
        <v>507</v>
      </c>
      <c r="AI176" s="29" t="s">
        <v>507</v>
      </c>
      <c r="AJ176" s="29" t="s">
        <v>507</v>
      </c>
      <c r="AK176" s="29" t="s">
        <v>507</v>
      </c>
      <c r="AL176" s="29" t="s">
        <v>507</v>
      </c>
      <c r="AM176" s="29" t="s">
        <v>507</v>
      </c>
      <c r="AN176" s="29" t="s">
        <v>507</v>
      </c>
      <c r="AO176" s="29" t="s">
        <v>507</v>
      </c>
      <c r="AP176" s="27" t="s">
        <v>507</v>
      </c>
      <c r="AQ176" s="29" t="s">
        <v>507</v>
      </c>
      <c r="AR176" s="29" t="s">
        <v>507</v>
      </c>
      <c r="AS176" s="29" t="s">
        <v>507</v>
      </c>
      <c r="AT176" s="29" t="s">
        <v>507</v>
      </c>
      <c r="AU176" s="32" t="s">
        <v>53</v>
      </c>
      <c r="AV176" s="27" t="s">
        <v>507</v>
      </c>
      <c r="AW176" s="27" t="s">
        <v>507</v>
      </c>
      <c r="AX176" s="27" t="s">
        <v>507</v>
      </c>
      <c r="AY176" s="27" t="s">
        <v>507</v>
      </c>
    </row>
    <row r="177" spans="1:51" s="36" customFormat="1" ht="15" hidden="1" customHeight="1" x14ac:dyDescent="0.3">
      <c r="A177" s="29" t="s">
        <v>505</v>
      </c>
      <c r="B177" s="29" t="s">
        <v>506</v>
      </c>
      <c r="C177" s="29">
        <v>70</v>
      </c>
      <c r="D177" s="29">
        <v>124</v>
      </c>
      <c r="E177" s="29" t="s">
        <v>8337</v>
      </c>
      <c r="F177" s="306" t="s">
        <v>725</v>
      </c>
      <c r="G177" s="29" t="str">
        <f t="shared" si="4"/>
        <v>701249020247794</v>
      </c>
      <c r="H177" s="29" t="s">
        <v>710</v>
      </c>
      <c r="I177" s="29">
        <v>9020247794</v>
      </c>
      <c r="J177" s="29" t="s">
        <v>726</v>
      </c>
      <c r="K177" s="27" t="s">
        <v>133</v>
      </c>
      <c r="L177" s="29">
        <v>3205707710</v>
      </c>
      <c r="M177" s="278" t="s">
        <v>8335</v>
      </c>
      <c r="N177" s="174" t="s">
        <v>127</v>
      </c>
      <c r="O177" s="12" t="s">
        <v>2822</v>
      </c>
      <c r="P177" s="177" t="s">
        <v>48</v>
      </c>
      <c r="Q177" s="40">
        <v>46079</v>
      </c>
      <c r="R177" s="29" t="s">
        <v>8503</v>
      </c>
      <c r="S177" s="27" t="s">
        <v>49</v>
      </c>
      <c r="T177" s="29" t="s">
        <v>535</v>
      </c>
      <c r="U177" s="29" t="s">
        <v>50</v>
      </c>
      <c r="V177" s="29" t="s">
        <v>727</v>
      </c>
      <c r="W177" s="279">
        <v>0.85499999999999998</v>
      </c>
      <c r="X177" s="29" t="s">
        <v>49</v>
      </c>
      <c r="Y177" s="29" t="s">
        <v>507</v>
      </c>
      <c r="Z177" s="29" t="s">
        <v>2881</v>
      </c>
      <c r="AA177" s="29" t="s">
        <v>507</v>
      </c>
      <c r="AB177" s="29" t="s">
        <v>507</v>
      </c>
      <c r="AC177" s="29" t="s">
        <v>507</v>
      </c>
      <c r="AD177" s="29" t="s">
        <v>507</v>
      </c>
      <c r="AE177" s="29" t="s">
        <v>507</v>
      </c>
      <c r="AF177" s="29" t="s">
        <v>507</v>
      </c>
      <c r="AG177" s="29" t="s">
        <v>507</v>
      </c>
      <c r="AH177" s="29" t="s">
        <v>507</v>
      </c>
      <c r="AI177" s="29" t="s">
        <v>507</v>
      </c>
      <c r="AJ177" s="29" t="s">
        <v>507</v>
      </c>
      <c r="AK177" s="29" t="s">
        <v>507</v>
      </c>
      <c r="AL177" s="29" t="s">
        <v>507</v>
      </c>
      <c r="AM177" s="29" t="s">
        <v>507</v>
      </c>
      <c r="AN177" s="29" t="s">
        <v>507</v>
      </c>
      <c r="AO177" s="29" t="s">
        <v>507</v>
      </c>
      <c r="AP177" s="27" t="s">
        <v>507</v>
      </c>
      <c r="AQ177" s="29" t="s">
        <v>507</v>
      </c>
      <c r="AR177" s="29" t="s">
        <v>507</v>
      </c>
      <c r="AS177" s="29" t="s">
        <v>507</v>
      </c>
      <c r="AT177" s="29" t="s">
        <v>507</v>
      </c>
      <c r="AU177" s="32" t="s">
        <v>53</v>
      </c>
      <c r="AV177" s="27" t="s">
        <v>507</v>
      </c>
      <c r="AW177" s="27" t="s">
        <v>507</v>
      </c>
      <c r="AX177" s="27" t="s">
        <v>507</v>
      </c>
      <c r="AY177" s="27" t="s">
        <v>507</v>
      </c>
    </row>
    <row r="178" spans="1:51" s="36" customFormat="1" ht="15" hidden="1" customHeight="1" x14ac:dyDescent="0.3">
      <c r="A178" s="29" t="s">
        <v>505</v>
      </c>
      <c r="B178" s="29" t="s">
        <v>506</v>
      </c>
      <c r="C178" s="29">
        <v>70</v>
      </c>
      <c r="D178" s="29">
        <v>124</v>
      </c>
      <c r="E178" s="29" t="s">
        <v>8337</v>
      </c>
      <c r="F178" s="306" t="s">
        <v>8744</v>
      </c>
      <c r="G178" s="29" t="str">
        <f t="shared" si="4"/>
        <v>701249020247794</v>
      </c>
      <c r="H178" s="29" t="s">
        <v>710</v>
      </c>
      <c r="I178" s="29">
        <v>9020247794</v>
      </c>
      <c r="J178" s="29" t="s">
        <v>728</v>
      </c>
      <c r="K178" s="27" t="s">
        <v>133</v>
      </c>
      <c r="L178" s="29">
        <v>3103255700</v>
      </c>
      <c r="M178" s="278" t="s">
        <v>8335</v>
      </c>
      <c r="N178" s="174" t="s">
        <v>127</v>
      </c>
      <c r="O178" s="12" t="s">
        <v>2822</v>
      </c>
      <c r="P178" s="177" t="s">
        <v>48</v>
      </c>
      <c r="Q178" s="272">
        <v>46128</v>
      </c>
      <c r="R178" s="36">
        <v>79</v>
      </c>
      <c r="S178" s="36" t="s">
        <v>49</v>
      </c>
      <c r="T178" s="29" t="s">
        <v>722</v>
      </c>
      <c r="U178" s="29" t="s">
        <v>50</v>
      </c>
      <c r="V178" s="29" t="s">
        <v>729</v>
      </c>
      <c r="W178" s="30">
        <v>0.86</v>
      </c>
      <c r="X178" s="27" t="s">
        <v>49</v>
      </c>
      <c r="Y178" s="29" t="s">
        <v>507</v>
      </c>
      <c r="Z178" s="29" t="s">
        <v>2881</v>
      </c>
      <c r="AA178" s="29" t="s">
        <v>507</v>
      </c>
      <c r="AB178" s="29" t="s">
        <v>507</v>
      </c>
      <c r="AC178" s="29" t="s">
        <v>730</v>
      </c>
      <c r="AD178" s="30">
        <v>0.78</v>
      </c>
      <c r="AE178" s="29" t="s">
        <v>49</v>
      </c>
      <c r="AF178" s="29" t="s">
        <v>60</v>
      </c>
      <c r="AG178" s="29" t="s">
        <v>507</v>
      </c>
      <c r="AH178" s="29" t="s">
        <v>507</v>
      </c>
      <c r="AI178" s="29" t="s">
        <v>507</v>
      </c>
      <c r="AJ178" s="29" t="s">
        <v>507</v>
      </c>
      <c r="AK178" s="29" t="s">
        <v>507</v>
      </c>
      <c r="AL178" s="29" t="s">
        <v>507</v>
      </c>
      <c r="AM178" s="29" t="s">
        <v>507</v>
      </c>
      <c r="AN178" s="29" t="s">
        <v>507</v>
      </c>
      <c r="AO178" s="29" t="s">
        <v>507</v>
      </c>
      <c r="AP178" s="27" t="s">
        <v>507</v>
      </c>
      <c r="AQ178" s="29" t="s">
        <v>507</v>
      </c>
      <c r="AR178" s="29" t="s">
        <v>507</v>
      </c>
      <c r="AS178" s="29" t="s">
        <v>507</v>
      </c>
      <c r="AT178" s="29" t="s">
        <v>507</v>
      </c>
      <c r="AU178" s="32" t="s">
        <v>53</v>
      </c>
      <c r="AV178" s="27" t="s">
        <v>507</v>
      </c>
      <c r="AW178" s="27" t="s">
        <v>507</v>
      </c>
      <c r="AX178" s="27" t="s">
        <v>507</v>
      </c>
      <c r="AY178" s="27" t="s">
        <v>507</v>
      </c>
    </row>
    <row r="179" spans="1:51" s="36" customFormat="1" ht="15" hidden="1" customHeight="1" x14ac:dyDescent="0.3">
      <c r="A179" s="29" t="s">
        <v>505</v>
      </c>
      <c r="B179" s="29" t="s">
        <v>506</v>
      </c>
      <c r="C179" s="29">
        <v>70</v>
      </c>
      <c r="D179" s="29">
        <v>124</v>
      </c>
      <c r="E179" s="29" t="s">
        <v>8337</v>
      </c>
      <c r="F179" s="306" t="s">
        <v>8530</v>
      </c>
      <c r="G179" s="29" t="str">
        <f t="shared" si="4"/>
        <v>701249020247794</v>
      </c>
      <c r="H179" s="29" t="s">
        <v>710</v>
      </c>
      <c r="I179" s="29">
        <v>9020247794</v>
      </c>
      <c r="J179" s="29" t="s">
        <v>731</v>
      </c>
      <c r="K179" s="27" t="s">
        <v>133</v>
      </c>
      <c r="L179" s="29">
        <v>3103255700</v>
      </c>
      <c r="M179" s="278" t="s">
        <v>8335</v>
      </c>
      <c r="N179" s="174" t="s">
        <v>127</v>
      </c>
      <c r="O179" s="12" t="s">
        <v>2822</v>
      </c>
      <c r="P179" s="177" t="s">
        <v>48</v>
      </c>
      <c r="Q179" s="272">
        <v>46098</v>
      </c>
      <c r="R179" s="280">
        <v>0.72</v>
      </c>
      <c r="S179" s="36" t="s">
        <v>49</v>
      </c>
      <c r="T179" s="29" t="s">
        <v>722</v>
      </c>
      <c r="U179" s="29" t="s">
        <v>50</v>
      </c>
      <c r="V179" s="40">
        <v>45692</v>
      </c>
      <c r="W179" s="29" t="s">
        <v>732</v>
      </c>
      <c r="X179" s="27" t="s">
        <v>49</v>
      </c>
      <c r="Y179" s="29" t="s">
        <v>535</v>
      </c>
      <c r="Z179" s="29" t="s">
        <v>2881</v>
      </c>
      <c r="AA179" s="29" t="s">
        <v>507</v>
      </c>
      <c r="AB179" s="29" t="s">
        <v>507</v>
      </c>
      <c r="AC179" s="29" t="s">
        <v>733</v>
      </c>
      <c r="AD179" s="30">
        <v>0.78</v>
      </c>
      <c r="AE179" s="29" t="s">
        <v>49</v>
      </c>
      <c r="AF179" s="29" t="s">
        <v>507</v>
      </c>
      <c r="AG179" s="29" t="s">
        <v>507</v>
      </c>
      <c r="AH179" s="29" t="s">
        <v>507</v>
      </c>
      <c r="AI179" s="29" t="s">
        <v>507</v>
      </c>
      <c r="AJ179" s="29" t="s">
        <v>507</v>
      </c>
      <c r="AK179" s="29" t="s">
        <v>507</v>
      </c>
      <c r="AL179" s="29" t="s">
        <v>507</v>
      </c>
      <c r="AM179" s="29" t="s">
        <v>507</v>
      </c>
      <c r="AN179" s="29" t="s">
        <v>507</v>
      </c>
      <c r="AO179" s="29" t="s">
        <v>507</v>
      </c>
      <c r="AP179" s="27" t="s">
        <v>507</v>
      </c>
      <c r="AQ179" s="29" t="s">
        <v>507</v>
      </c>
      <c r="AR179" s="29" t="s">
        <v>507</v>
      </c>
      <c r="AS179" s="29" t="s">
        <v>507</v>
      </c>
      <c r="AT179" s="29" t="s">
        <v>507</v>
      </c>
      <c r="AU179" s="32" t="s">
        <v>53</v>
      </c>
      <c r="AV179" s="27" t="s">
        <v>507</v>
      </c>
      <c r="AW179" s="27" t="s">
        <v>507</v>
      </c>
      <c r="AX179" s="27" t="s">
        <v>507</v>
      </c>
      <c r="AY179" s="27" t="s">
        <v>507</v>
      </c>
    </row>
    <row r="180" spans="1:51" s="36" customFormat="1" ht="15" hidden="1" customHeight="1" x14ac:dyDescent="0.3">
      <c r="A180" s="29" t="s">
        <v>505</v>
      </c>
      <c r="B180" s="29" t="s">
        <v>506</v>
      </c>
      <c r="C180" s="29">
        <v>70</v>
      </c>
      <c r="D180" s="29">
        <v>124</v>
      </c>
      <c r="E180" s="29" t="s">
        <v>8337</v>
      </c>
      <c r="F180" s="306" t="s">
        <v>734</v>
      </c>
      <c r="G180" s="29" t="str">
        <f t="shared" si="4"/>
        <v>701249020247794</v>
      </c>
      <c r="H180" s="29" t="s">
        <v>710</v>
      </c>
      <c r="I180" s="29">
        <v>9020247794</v>
      </c>
      <c r="J180" s="29" t="s">
        <v>735</v>
      </c>
      <c r="K180" s="27" t="s">
        <v>133</v>
      </c>
      <c r="L180" s="29">
        <v>3103255700</v>
      </c>
      <c r="M180" s="278" t="s">
        <v>8335</v>
      </c>
      <c r="N180" s="174" t="s">
        <v>127</v>
      </c>
      <c r="O180" s="12" t="s">
        <v>2822</v>
      </c>
      <c r="P180" s="177" t="s">
        <v>48</v>
      </c>
      <c r="Q180" s="272">
        <v>46105</v>
      </c>
      <c r="R180" s="280">
        <v>0.72</v>
      </c>
      <c r="S180" s="36" t="s">
        <v>49</v>
      </c>
      <c r="T180" s="29" t="s">
        <v>722</v>
      </c>
      <c r="U180" s="29" t="s">
        <v>50</v>
      </c>
      <c r="V180" s="40">
        <v>45873</v>
      </c>
      <c r="W180" s="30">
        <v>0.84</v>
      </c>
      <c r="X180" s="27" t="s">
        <v>49</v>
      </c>
      <c r="Y180" s="29" t="s">
        <v>535</v>
      </c>
      <c r="Z180" s="29" t="s">
        <v>2881</v>
      </c>
      <c r="AA180" s="29" t="s">
        <v>507</v>
      </c>
      <c r="AB180" s="29" t="s">
        <v>507</v>
      </c>
      <c r="AC180" s="29" t="s">
        <v>736</v>
      </c>
      <c r="AD180" s="30">
        <v>0.78</v>
      </c>
      <c r="AE180" s="29" t="s">
        <v>49</v>
      </c>
      <c r="AF180" s="29" t="s">
        <v>507</v>
      </c>
      <c r="AG180" s="29" t="s">
        <v>507</v>
      </c>
      <c r="AH180" s="29" t="s">
        <v>507</v>
      </c>
      <c r="AI180" s="29" t="s">
        <v>507</v>
      </c>
      <c r="AJ180" s="29" t="s">
        <v>507</v>
      </c>
      <c r="AK180" s="29" t="s">
        <v>507</v>
      </c>
      <c r="AL180" s="29" t="s">
        <v>507</v>
      </c>
      <c r="AM180" s="29" t="s">
        <v>507</v>
      </c>
      <c r="AN180" s="29" t="s">
        <v>507</v>
      </c>
      <c r="AO180" s="29" t="s">
        <v>507</v>
      </c>
      <c r="AP180" s="27" t="s">
        <v>507</v>
      </c>
      <c r="AQ180" s="29" t="s">
        <v>507</v>
      </c>
      <c r="AR180" s="29" t="s">
        <v>507</v>
      </c>
      <c r="AS180" s="29" t="s">
        <v>507</v>
      </c>
      <c r="AT180" s="29" t="s">
        <v>507</v>
      </c>
      <c r="AU180" s="32" t="s">
        <v>53</v>
      </c>
      <c r="AV180" s="27" t="s">
        <v>507</v>
      </c>
      <c r="AW180" s="27" t="s">
        <v>507</v>
      </c>
      <c r="AX180" s="27" t="s">
        <v>507</v>
      </c>
      <c r="AY180" s="27" t="s">
        <v>507</v>
      </c>
    </row>
    <row r="181" spans="1:51" s="36" customFormat="1" ht="15" hidden="1" customHeight="1" x14ac:dyDescent="0.3">
      <c r="A181" s="29" t="s">
        <v>505</v>
      </c>
      <c r="B181" s="29" t="s">
        <v>506</v>
      </c>
      <c r="C181" s="29">
        <v>70</v>
      </c>
      <c r="D181" s="29">
        <v>124</v>
      </c>
      <c r="E181" s="29" t="s">
        <v>8337</v>
      </c>
      <c r="F181" s="306" t="s">
        <v>8742</v>
      </c>
      <c r="G181" s="29" t="str">
        <f t="shared" si="4"/>
        <v>701249020247794</v>
      </c>
      <c r="H181" s="29" t="s">
        <v>710</v>
      </c>
      <c r="I181" s="29">
        <v>9020247794</v>
      </c>
      <c r="J181" s="29" t="s">
        <v>8743</v>
      </c>
      <c r="K181" s="27" t="s">
        <v>133</v>
      </c>
      <c r="L181" s="29">
        <v>3103255700</v>
      </c>
      <c r="M181" s="278" t="s">
        <v>8335</v>
      </c>
      <c r="N181" s="174" t="s">
        <v>127</v>
      </c>
      <c r="O181" s="12" t="s">
        <v>2822</v>
      </c>
      <c r="P181" s="177" t="s">
        <v>48</v>
      </c>
      <c r="Q181" s="272">
        <v>46132</v>
      </c>
      <c r="R181" s="36">
        <v>70</v>
      </c>
      <c r="S181" s="36" t="s">
        <v>49</v>
      </c>
      <c r="T181" s="29"/>
      <c r="U181" s="29" t="s">
        <v>60</v>
      </c>
      <c r="V181" s="40"/>
      <c r="W181" s="30"/>
      <c r="X181" s="27"/>
      <c r="Y181" s="29"/>
      <c r="Z181" s="29"/>
      <c r="AA181" s="29"/>
      <c r="AB181" s="29"/>
      <c r="AC181" s="29"/>
      <c r="AD181" s="30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7"/>
      <c r="AQ181" s="29"/>
      <c r="AR181" s="29"/>
      <c r="AS181" s="29"/>
      <c r="AT181" s="29"/>
      <c r="AU181" s="32" t="s">
        <v>53</v>
      </c>
      <c r="AV181" s="27"/>
      <c r="AW181" s="27"/>
      <c r="AX181" s="27"/>
      <c r="AY181" s="27"/>
    </row>
    <row r="182" spans="1:51" s="36" customFormat="1" ht="15" hidden="1" customHeight="1" x14ac:dyDescent="0.3">
      <c r="A182" s="29" t="s">
        <v>505</v>
      </c>
      <c r="B182" s="29" t="s">
        <v>506</v>
      </c>
      <c r="C182" s="29">
        <v>70</v>
      </c>
      <c r="D182" s="29">
        <v>124</v>
      </c>
      <c r="E182" s="29" t="s">
        <v>8337</v>
      </c>
      <c r="F182" s="306" t="s">
        <v>8745</v>
      </c>
      <c r="G182" s="29" t="str">
        <f t="shared" si="4"/>
        <v>701249020247794</v>
      </c>
      <c r="H182" s="29" t="s">
        <v>710</v>
      </c>
      <c r="I182" s="29">
        <v>9020247794</v>
      </c>
      <c r="J182" s="29" t="s">
        <v>8746</v>
      </c>
      <c r="K182" s="27" t="s">
        <v>133</v>
      </c>
      <c r="L182" s="29">
        <v>3103255700</v>
      </c>
      <c r="M182" s="278" t="s">
        <v>8335</v>
      </c>
      <c r="N182" s="174" t="s">
        <v>127</v>
      </c>
      <c r="O182" s="12" t="s">
        <v>2822</v>
      </c>
      <c r="P182" s="177" t="s">
        <v>48</v>
      </c>
      <c r="Q182" s="272">
        <v>46136</v>
      </c>
      <c r="R182" s="36" t="s">
        <v>8683</v>
      </c>
      <c r="S182" s="36" t="s">
        <v>49</v>
      </c>
      <c r="T182" s="29"/>
      <c r="U182" s="29" t="s">
        <v>60</v>
      </c>
      <c r="V182" s="40"/>
      <c r="W182" s="30"/>
      <c r="X182" s="27"/>
      <c r="Y182" s="29"/>
      <c r="Z182" s="29"/>
      <c r="AA182" s="29"/>
      <c r="AB182" s="29"/>
      <c r="AC182" s="29"/>
      <c r="AD182" s="30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7"/>
      <c r="AQ182" s="29"/>
      <c r="AR182" s="29"/>
      <c r="AS182" s="29"/>
      <c r="AT182" s="29"/>
      <c r="AU182" s="32" t="s">
        <v>53</v>
      </c>
      <c r="AV182" s="27"/>
      <c r="AW182" s="27"/>
      <c r="AX182" s="27"/>
      <c r="AY182" s="27"/>
    </row>
    <row r="183" spans="1:51" s="36" customFormat="1" ht="15" hidden="1" customHeight="1" x14ac:dyDescent="0.3">
      <c r="A183" s="29" t="s">
        <v>505</v>
      </c>
      <c r="B183" s="29" t="s">
        <v>506</v>
      </c>
      <c r="C183" s="29">
        <v>70</v>
      </c>
      <c r="D183" s="29">
        <v>124</v>
      </c>
      <c r="E183" s="29" t="s">
        <v>8337</v>
      </c>
      <c r="F183" s="306" t="s">
        <v>8900</v>
      </c>
      <c r="G183" s="29" t="str">
        <f t="shared" si="4"/>
        <v>701249020247794</v>
      </c>
      <c r="H183" s="29" t="s">
        <v>710</v>
      </c>
      <c r="I183" s="29">
        <v>9020247794</v>
      </c>
      <c r="J183" s="29" t="s">
        <v>8899</v>
      </c>
      <c r="K183" s="27" t="s">
        <v>133</v>
      </c>
      <c r="L183" s="29">
        <v>3103255700</v>
      </c>
      <c r="M183" s="278" t="s">
        <v>8335</v>
      </c>
      <c r="N183" s="174" t="s">
        <v>127</v>
      </c>
      <c r="O183" s="12" t="s">
        <v>2822</v>
      </c>
      <c r="P183" s="177" t="s">
        <v>48</v>
      </c>
      <c r="Q183" s="272">
        <v>46148</v>
      </c>
      <c r="R183" s="280">
        <v>0.71</v>
      </c>
      <c r="S183" s="36" t="s">
        <v>49</v>
      </c>
      <c r="T183" s="29" t="s">
        <v>722</v>
      </c>
      <c r="U183" s="29" t="s">
        <v>60</v>
      </c>
      <c r="V183" s="40"/>
      <c r="W183" s="30"/>
      <c r="X183" s="27"/>
      <c r="Y183" s="29"/>
      <c r="Z183" s="29"/>
      <c r="AA183" s="29"/>
      <c r="AB183" s="29"/>
      <c r="AC183" s="29"/>
      <c r="AD183" s="30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7"/>
      <c r="AQ183" s="29"/>
      <c r="AR183" s="29"/>
      <c r="AS183" s="29"/>
      <c r="AT183" s="29"/>
      <c r="AU183" s="32" t="s">
        <v>53</v>
      </c>
      <c r="AV183" s="27"/>
      <c r="AW183" s="27"/>
      <c r="AX183" s="27"/>
      <c r="AY183" s="27"/>
    </row>
    <row r="184" spans="1:51" s="36" customFormat="1" ht="15" hidden="1" customHeight="1" x14ac:dyDescent="0.3">
      <c r="A184" s="29" t="s">
        <v>505</v>
      </c>
      <c r="B184" s="29" t="s">
        <v>506</v>
      </c>
      <c r="C184" s="29">
        <v>70</v>
      </c>
      <c r="D184" s="29">
        <v>124</v>
      </c>
      <c r="E184" s="29" t="s">
        <v>8337</v>
      </c>
      <c r="F184" s="306" t="s">
        <v>8898</v>
      </c>
      <c r="G184" s="29" t="str">
        <f t="shared" si="4"/>
        <v>701249020247794</v>
      </c>
      <c r="H184" s="29" t="s">
        <v>710</v>
      </c>
      <c r="I184" s="29">
        <v>9020247794</v>
      </c>
      <c r="J184" s="29" t="s">
        <v>8901</v>
      </c>
      <c r="K184" s="27" t="s">
        <v>133</v>
      </c>
      <c r="L184" s="29">
        <v>3103255700</v>
      </c>
      <c r="M184" s="278" t="s">
        <v>8335</v>
      </c>
      <c r="N184" s="174" t="s">
        <v>127</v>
      </c>
      <c r="O184" s="12" t="s">
        <v>2822</v>
      </c>
      <c r="P184" s="177" t="s">
        <v>48</v>
      </c>
      <c r="Q184" s="272">
        <v>46154</v>
      </c>
      <c r="R184" s="280">
        <v>0.7</v>
      </c>
      <c r="S184" s="36" t="s">
        <v>49</v>
      </c>
      <c r="T184" s="29" t="s">
        <v>722</v>
      </c>
      <c r="U184" s="29" t="s">
        <v>60</v>
      </c>
      <c r="V184" s="40"/>
      <c r="W184" s="30"/>
      <c r="X184" s="27"/>
      <c r="Y184" s="29"/>
      <c r="Z184" s="29"/>
      <c r="AA184" s="29"/>
      <c r="AB184" s="29"/>
      <c r="AC184" s="29"/>
      <c r="AD184" s="30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7"/>
      <c r="AQ184" s="29"/>
      <c r="AR184" s="29"/>
      <c r="AS184" s="29"/>
      <c r="AT184" s="29"/>
      <c r="AU184" s="32" t="s">
        <v>53</v>
      </c>
      <c r="AV184" s="27"/>
      <c r="AW184" s="27"/>
      <c r="AX184" s="27"/>
      <c r="AY184" s="27"/>
    </row>
    <row r="185" spans="1:51" s="36" customFormat="1" ht="15" hidden="1" customHeight="1" x14ac:dyDescent="0.3">
      <c r="A185" s="29" t="s">
        <v>505</v>
      </c>
      <c r="B185" s="29" t="s">
        <v>506</v>
      </c>
      <c r="C185" s="29">
        <v>70</v>
      </c>
      <c r="D185" s="29">
        <v>124</v>
      </c>
      <c r="E185" s="29" t="s">
        <v>8337</v>
      </c>
      <c r="F185" s="306" t="s">
        <v>8902</v>
      </c>
      <c r="G185" s="29" t="str">
        <f t="shared" si="4"/>
        <v>701249020247794</v>
      </c>
      <c r="H185" s="29" t="s">
        <v>710</v>
      </c>
      <c r="I185" s="29">
        <v>9020247794</v>
      </c>
      <c r="J185" s="29" t="s">
        <v>8903</v>
      </c>
      <c r="K185" s="27" t="s">
        <v>133</v>
      </c>
      <c r="L185" s="29">
        <v>3103255700</v>
      </c>
      <c r="M185" s="278" t="s">
        <v>8335</v>
      </c>
      <c r="N185" s="174" t="s">
        <v>127</v>
      </c>
      <c r="O185" s="12" t="s">
        <v>2822</v>
      </c>
      <c r="P185" s="177" t="s">
        <v>48</v>
      </c>
      <c r="Q185" s="272">
        <v>46156</v>
      </c>
      <c r="R185" s="36" t="s">
        <v>4569</v>
      </c>
      <c r="S185" s="36" t="s">
        <v>49</v>
      </c>
      <c r="T185" s="29" t="s">
        <v>722</v>
      </c>
      <c r="U185" s="29" t="s">
        <v>60</v>
      </c>
      <c r="V185" s="40"/>
      <c r="W185" s="30"/>
      <c r="X185" s="27"/>
      <c r="Y185" s="29"/>
      <c r="Z185" s="29"/>
      <c r="AA185" s="29"/>
      <c r="AB185" s="29"/>
      <c r="AC185" s="29"/>
      <c r="AD185" s="30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7"/>
      <c r="AQ185" s="29"/>
      <c r="AR185" s="29"/>
      <c r="AS185" s="29"/>
      <c r="AT185" s="29"/>
      <c r="AU185" s="32" t="s">
        <v>53</v>
      </c>
      <c r="AV185" s="27"/>
      <c r="AW185" s="27"/>
      <c r="AX185" s="27"/>
      <c r="AY185" s="27"/>
    </row>
    <row r="186" spans="1:51" s="36" customFormat="1" ht="25.95" hidden="1" customHeight="1" x14ac:dyDescent="0.3">
      <c r="A186" s="29" t="s">
        <v>505</v>
      </c>
      <c r="B186" s="29" t="s">
        <v>506</v>
      </c>
      <c r="C186" s="29">
        <v>70</v>
      </c>
      <c r="D186" s="29">
        <v>124</v>
      </c>
      <c r="E186" s="29" t="s">
        <v>9022</v>
      </c>
      <c r="F186" s="306" t="s">
        <v>9023</v>
      </c>
      <c r="G186" s="29" t="str">
        <f t="shared" si="4"/>
        <v>701248230028286</v>
      </c>
      <c r="H186" s="29" t="s">
        <v>9024</v>
      </c>
      <c r="I186" s="29">
        <v>8230028286</v>
      </c>
      <c r="J186" s="29" t="s">
        <v>9025</v>
      </c>
      <c r="K186" s="27" t="s">
        <v>230</v>
      </c>
      <c r="L186" s="29">
        <v>3145375643</v>
      </c>
      <c r="M186" s="278" t="s">
        <v>9026</v>
      </c>
      <c r="N186" s="174"/>
      <c r="O186" s="12"/>
      <c r="P186" s="177" t="s">
        <v>48</v>
      </c>
      <c r="Q186" s="272">
        <v>46182</v>
      </c>
      <c r="R186" s="36">
        <v>94</v>
      </c>
      <c r="S186" s="36" t="s">
        <v>319</v>
      </c>
      <c r="T186" s="29" t="s">
        <v>535</v>
      </c>
      <c r="U186" s="29" t="s">
        <v>60</v>
      </c>
      <c r="V186" s="40"/>
      <c r="W186" s="30"/>
      <c r="X186" s="27"/>
      <c r="Y186" s="29"/>
      <c r="Z186" s="29"/>
      <c r="AA186" s="29"/>
      <c r="AB186" s="29"/>
      <c r="AC186" s="29"/>
      <c r="AD186" s="30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7"/>
      <c r="AQ186" s="29"/>
      <c r="AR186" s="29"/>
      <c r="AS186" s="29"/>
      <c r="AT186" s="29"/>
      <c r="AU186" s="32" t="s">
        <v>53</v>
      </c>
      <c r="AV186" s="27"/>
      <c r="AW186" s="27"/>
      <c r="AX186" s="27"/>
      <c r="AY186" s="27"/>
    </row>
    <row r="187" spans="1:51" s="36" customFormat="1" ht="15" hidden="1" customHeight="1" x14ac:dyDescent="0.3">
      <c r="A187" s="29" t="s">
        <v>505</v>
      </c>
      <c r="B187" s="29" t="s">
        <v>506</v>
      </c>
      <c r="C187" s="29">
        <v>70</v>
      </c>
      <c r="D187" s="29">
        <v>124</v>
      </c>
      <c r="E187" s="29" t="s">
        <v>9022</v>
      </c>
      <c r="F187" s="29" t="s">
        <v>738</v>
      </c>
      <c r="G187" s="29" t="str">
        <f t="shared" si="4"/>
        <v>701248230028286</v>
      </c>
      <c r="H187" s="29" t="s">
        <v>617</v>
      </c>
      <c r="I187" s="29">
        <v>8230028286</v>
      </c>
      <c r="J187" s="29" t="s">
        <v>739</v>
      </c>
      <c r="K187" s="27" t="s">
        <v>133</v>
      </c>
      <c r="L187" s="29">
        <v>3103479508</v>
      </c>
      <c r="M187" s="172" t="s">
        <v>740</v>
      </c>
      <c r="N187" s="174" t="s">
        <v>127</v>
      </c>
      <c r="O187" s="12" t="s">
        <v>2822</v>
      </c>
      <c r="P187" s="177" t="s">
        <v>48</v>
      </c>
      <c r="Q187" s="272">
        <v>46178</v>
      </c>
      <c r="R187" s="36">
        <v>73</v>
      </c>
      <c r="S187" s="36" t="s">
        <v>49</v>
      </c>
      <c r="T187" s="29" t="s">
        <v>535</v>
      </c>
      <c r="U187" s="29" t="s">
        <v>50</v>
      </c>
      <c r="V187" s="29" t="s">
        <v>741</v>
      </c>
      <c r="W187" s="30">
        <v>0.8</v>
      </c>
      <c r="X187" s="27" t="s">
        <v>49</v>
      </c>
      <c r="Y187" s="29" t="s">
        <v>507</v>
      </c>
      <c r="Z187" s="29" t="s">
        <v>50</v>
      </c>
      <c r="AA187" s="29" t="s">
        <v>507</v>
      </c>
      <c r="AB187" s="29" t="s">
        <v>507</v>
      </c>
      <c r="AC187" s="29" t="s">
        <v>182</v>
      </c>
      <c r="AD187" s="30">
        <v>0.8</v>
      </c>
      <c r="AE187" s="29" t="s">
        <v>49</v>
      </c>
      <c r="AF187" s="29" t="s">
        <v>60</v>
      </c>
      <c r="AG187" s="29" t="s">
        <v>507</v>
      </c>
      <c r="AH187" s="29" t="s">
        <v>507</v>
      </c>
      <c r="AI187" s="29" t="s">
        <v>507</v>
      </c>
      <c r="AJ187" s="29" t="s">
        <v>507</v>
      </c>
      <c r="AK187" s="29" t="s">
        <v>507</v>
      </c>
      <c r="AL187" s="29" t="s">
        <v>507</v>
      </c>
      <c r="AM187" s="29" t="s">
        <v>507</v>
      </c>
      <c r="AN187" s="29" t="s">
        <v>507</v>
      </c>
      <c r="AO187" s="29" t="s">
        <v>507</v>
      </c>
      <c r="AP187" s="27" t="s">
        <v>507</v>
      </c>
      <c r="AQ187" s="29" t="s">
        <v>507</v>
      </c>
      <c r="AR187" s="29" t="s">
        <v>507</v>
      </c>
      <c r="AS187" s="29" t="s">
        <v>507</v>
      </c>
      <c r="AT187" s="29" t="s">
        <v>507</v>
      </c>
      <c r="AU187" s="32" t="s">
        <v>53</v>
      </c>
      <c r="AV187" s="27" t="s">
        <v>507</v>
      </c>
      <c r="AW187" s="27" t="s">
        <v>507</v>
      </c>
      <c r="AX187" s="27" t="s">
        <v>507</v>
      </c>
      <c r="AY187" s="27" t="s">
        <v>507</v>
      </c>
    </row>
    <row r="188" spans="1:51" s="36" customFormat="1" ht="15" hidden="1" customHeight="1" x14ac:dyDescent="0.3">
      <c r="A188" s="29" t="s">
        <v>505</v>
      </c>
      <c r="B188" s="29" t="s">
        <v>506</v>
      </c>
      <c r="C188" s="29">
        <v>70</v>
      </c>
      <c r="D188" s="29">
        <v>124</v>
      </c>
      <c r="E188" s="29" t="s">
        <v>9022</v>
      </c>
      <c r="F188" s="29" t="s">
        <v>742</v>
      </c>
      <c r="G188" s="29" t="str">
        <f t="shared" si="4"/>
        <v>701248230028286</v>
      </c>
      <c r="H188" s="29" t="s">
        <v>617</v>
      </c>
      <c r="I188" s="29">
        <v>8230028286</v>
      </c>
      <c r="J188" s="29" t="s">
        <v>743</v>
      </c>
      <c r="K188" s="27" t="s">
        <v>133</v>
      </c>
      <c r="L188" s="29">
        <v>3228167364</v>
      </c>
      <c r="M188" s="172" t="s">
        <v>740</v>
      </c>
      <c r="N188" s="174" t="s">
        <v>127</v>
      </c>
      <c r="O188" s="12" t="s">
        <v>2822</v>
      </c>
      <c r="P188" s="177" t="s">
        <v>48</v>
      </c>
      <c r="Q188" s="272">
        <v>46184</v>
      </c>
      <c r="R188" s="36" t="s">
        <v>2783</v>
      </c>
      <c r="S188" s="36" t="s">
        <v>49</v>
      </c>
      <c r="T188" s="29" t="s">
        <v>535</v>
      </c>
      <c r="U188" s="29" t="s">
        <v>50</v>
      </c>
      <c r="V188" s="29" t="s">
        <v>744</v>
      </c>
      <c r="W188" s="30">
        <v>0.8</v>
      </c>
      <c r="X188" s="27" t="s">
        <v>49</v>
      </c>
      <c r="Y188" s="29" t="s">
        <v>507</v>
      </c>
      <c r="Z188" s="29" t="s">
        <v>60</v>
      </c>
      <c r="AA188" s="29" t="s">
        <v>507</v>
      </c>
      <c r="AB188" s="29" t="s">
        <v>507</v>
      </c>
      <c r="AC188" s="29" t="s">
        <v>241</v>
      </c>
      <c r="AD188" s="29" t="s">
        <v>745</v>
      </c>
      <c r="AE188" s="29" t="s">
        <v>49</v>
      </c>
      <c r="AF188" s="29" t="s">
        <v>60</v>
      </c>
      <c r="AG188" s="29" t="s">
        <v>507</v>
      </c>
      <c r="AH188" s="29" t="s">
        <v>507</v>
      </c>
      <c r="AI188" s="29" t="s">
        <v>507</v>
      </c>
      <c r="AJ188" s="29" t="s">
        <v>507</v>
      </c>
      <c r="AK188" s="29" t="s">
        <v>507</v>
      </c>
      <c r="AL188" s="29" t="s">
        <v>507</v>
      </c>
      <c r="AM188" s="29" t="s">
        <v>507</v>
      </c>
      <c r="AN188" s="29" t="s">
        <v>507</v>
      </c>
      <c r="AO188" s="29" t="s">
        <v>507</v>
      </c>
      <c r="AP188" s="27" t="s">
        <v>507</v>
      </c>
      <c r="AQ188" s="29" t="s">
        <v>507</v>
      </c>
      <c r="AR188" s="29" t="s">
        <v>507</v>
      </c>
      <c r="AS188" s="29" t="s">
        <v>507</v>
      </c>
      <c r="AT188" s="29" t="s">
        <v>507</v>
      </c>
      <c r="AU188" s="32" t="s">
        <v>53</v>
      </c>
      <c r="AV188" s="27" t="s">
        <v>507</v>
      </c>
      <c r="AW188" s="27" t="s">
        <v>507</v>
      </c>
      <c r="AX188" s="27" t="s">
        <v>507</v>
      </c>
      <c r="AY188" s="27" t="s">
        <v>507</v>
      </c>
    </row>
    <row r="189" spans="1:51" s="36" customFormat="1" ht="15" hidden="1" customHeight="1" x14ac:dyDescent="0.3">
      <c r="A189" s="29" t="s">
        <v>505</v>
      </c>
      <c r="B189" s="29" t="s">
        <v>506</v>
      </c>
      <c r="C189" s="29">
        <v>70</v>
      </c>
      <c r="D189" s="29">
        <v>124</v>
      </c>
      <c r="E189" s="29" t="s">
        <v>746</v>
      </c>
      <c r="F189" s="29" t="s">
        <v>747</v>
      </c>
      <c r="G189" s="29" t="str">
        <f t="shared" si="4"/>
        <v>70124823000886-0</v>
      </c>
      <c r="H189" s="29" t="s">
        <v>715</v>
      </c>
      <c r="I189" s="29" t="s">
        <v>748</v>
      </c>
      <c r="J189" s="29" t="s">
        <v>749</v>
      </c>
      <c r="K189" s="27" t="s">
        <v>133</v>
      </c>
      <c r="L189" s="29">
        <v>3225970290</v>
      </c>
      <c r="M189" s="172" t="s">
        <v>750</v>
      </c>
      <c r="N189" s="174" t="s">
        <v>127</v>
      </c>
      <c r="O189" s="12" t="s">
        <v>2822</v>
      </c>
      <c r="P189" s="177" t="s">
        <v>48</v>
      </c>
      <c r="Q189" s="29" t="s">
        <v>751</v>
      </c>
      <c r="R189" s="30">
        <v>0.78</v>
      </c>
      <c r="S189" s="27" t="s">
        <v>49</v>
      </c>
      <c r="T189" s="29" t="s">
        <v>507</v>
      </c>
      <c r="U189" s="29" t="s">
        <v>507</v>
      </c>
      <c r="V189" s="29" t="s">
        <v>522</v>
      </c>
      <c r="W189" s="30">
        <v>0.81</v>
      </c>
      <c r="X189" s="29" t="s">
        <v>49</v>
      </c>
      <c r="Y189" s="29" t="s">
        <v>507</v>
      </c>
      <c r="Z189" s="29" t="s">
        <v>507</v>
      </c>
      <c r="AA189" s="29" t="s">
        <v>507</v>
      </c>
      <c r="AB189" s="29" t="s">
        <v>507</v>
      </c>
      <c r="AC189" s="29" t="s">
        <v>507</v>
      </c>
      <c r="AD189" s="29" t="s">
        <v>507</v>
      </c>
      <c r="AE189" s="29" t="s">
        <v>507</v>
      </c>
      <c r="AF189" s="29" t="s">
        <v>507</v>
      </c>
      <c r="AG189" s="29" t="s">
        <v>507</v>
      </c>
      <c r="AH189" s="29" t="s">
        <v>507</v>
      </c>
      <c r="AI189" s="29" t="s">
        <v>507</v>
      </c>
      <c r="AJ189" s="29" t="s">
        <v>507</v>
      </c>
      <c r="AK189" s="29" t="s">
        <v>507</v>
      </c>
      <c r="AL189" s="29" t="s">
        <v>507</v>
      </c>
      <c r="AM189" s="29" t="s">
        <v>507</v>
      </c>
      <c r="AN189" s="29" t="s">
        <v>507</v>
      </c>
      <c r="AO189" s="29" t="s">
        <v>507</v>
      </c>
      <c r="AP189" s="27" t="s">
        <v>507</v>
      </c>
      <c r="AQ189" s="29" t="s">
        <v>507</v>
      </c>
      <c r="AR189" s="29" t="s">
        <v>507</v>
      </c>
      <c r="AS189" s="29" t="s">
        <v>507</v>
      </c>
      <c r="AT189" s="29" t="s">
        <v>507</v>
      </c>
      <c r="AU189" s="32" t="s">
        <v>53</v>
      </c>
      <c r="AV189" s="27" t="s">
        <v>507</v>
      </c>
      <c r="AW189" s="27" t="s">
        <v>507</v>
      </c>
      <c r="AX189" s="27" t="s">
        <v>507</v>
      </c>
      <c r="AY189" s="27" t="s">
        <v>507</v>
      </c>
    </row>
    <row r="190" spans="1:51" s="36" customFormat="1" ht="14.25" hidden="1" customHeight="1" x14ac:dyDescent="0.3">
      <c r="A190" s="29" t="s">
        <v>505</v>
      </c>
      <c r="B190" s="29" t="s">
        <v>506</v>
      </c>
      <c r="C190" s="29">
        <v>70</v>
      </c>
      <c r="D190" s="29">
        <v>124</v>
      </c>
      <c r="E190" s="29" t="s">
        <v>746</v>
      </c>
      <c r="F190" s="29" t="s">
        <v>752</v>
      </c>
      <c r="G190" s="29" t="str">
        <f t="shared" si="4"/>
        <v>70124823000886-4</v>
      </c>
      <c r="H190" s="29" t="s">
        <v>715</v>
      </c>
      <c r="I190" s="29" t="s">
        <v>753</v>
      </c>
      <c r="J190" s="29" t="s">
        <v>754</v>
      </c>
      <c r="K190" s="27" t="s">
        <v>133</v>
      </c>
      <c r="L190" s="29">
        <v>3146805106</v>
      </c>
      <c r="M190" s="172" t="s">
        <v>750</v>
      </c>
      <c r="N190" s="174" t="s">
        <v>127</v>
      </c>
      <c r="O190" s="12" t="s">
        <v>2822</v>
      </c>
      <c r="P190" s="177" t="s">
        <v>48</v>
      </c>
      <c r="Q190" s="29" t="s">
        <v>755</v>
      </c>
      <c r="R190" s="30">
        <v>0.81</v>
      </c>
      <c r="S190" s="27" t="s">
        <v>49</v>
      </c>
      <c r="T190" s="29" t="s">
        <v>535</v>
      </c>
      <c r="U190" s="29" t="s">
        <v>507</v>
      </c>
      <c r="V190" s="29" t="s">
        <v>756</v>
      </c>
      <c r="W190" s="30">
        <v>0.89</v>
      </c>
      <c r="X190" s="29" t="s">
        <v>49</v>
      </c>
      <c r="Y190" s="29" t="s">
        <v>507</v>
      </c>
      <c r="Z190" s="29" t="s">
        <v>507</v>
      </c>
      <c r="AA190" s="29" t="s">
        <v>507</v>
      </c>
      <c r="AB190" s="29" t="s">
        <v>507</v>
      </c>
      <c r="AC190" s="29" t="s">
        <v>507</v>
      </c>
      <c r="AD190" s="29" t="s">
        <v>507</v>
      </c>
      <c r="AE190" s="29" t="s">
        <v>507</v>
      </c>
      <c r="AF190" s="29" t="s">
        <v>507</v>
      </c>
      <c r="AG190" s="29" t="s">
        <v>507</v>
      </c>
      <c r="AH190" s="29" t="s">
        <v>507</v>
      </c>
      <c r="AI190" s="29" t="s">
        <v>507</v>
      </c>
      <c r="AJ190" s="29" t="s">
        <v>507</v>
      </c>
      <c r="AK190" s="29" t="s">
        <v>507</v>
      </c>
      <c r="AL190" s="29" t="s">
        <v>507</v>
      </c>
      <c r="AM190" s="29" t="s">
        <v>507</v>
      </c>
      <c r="AN190" s="29" t="s">
        <v>507</v>
      </c>
      <c r="AO190" s="29" t="s">
        <v>507</v>
      </c>
      <c r="AP190" s="27" t="s">
        <v>507</v>
      </c>
      <c r="AQ190" s="29" t="s">
        <v>507</v>
      </c>
      <c r="AR190" s="29" t="s">
        <v>507</v>
      </c>
      <c r="AS190" s="29" t="s">
        <v>507</v>
      </c>
      <c r="AT190" s="29" t="s">
        <v>507</v>
      </c>
      <c r="AU190" s="39" t="s">
        <v>164</v>
      </c>
      <c r="AV190" s="27" t="s">
        <v>507</v>
      </c>
      <c r="AW190" s="27" t="s">
        <v>507</v>
      </c>
      <c r="AX190" s="27" t="s">
        <v>507</v>
      </c>
      <c r="AY190" s="27" t="s">
        <v>507</v>
      </c>
    </row>
    <row r="191" spans="1:51" s="36" customFormat="1" ht="14.25" hidden="1" customHeight="1" x14ac:dyDescent="0.3">
      <c r="A191" s="29" t="s">
        <v>505</v>
      </c>
      <c r="B191" s="29" t="s">
        <v>506</v>
      </c>
      <c r="C191" s="29">
        <v>70</v>
      </c>
      <c r="D191" s="29">
        <v>124</v>
      </c>
      <c r="E191" s="29" t="s">
        <v>737</v>
      </c>
      <c r="F191" s="29" t="s">
        <v>757</v>
      </c>
      <c r="G191" s="29" t="str">
        <f t="shared" si="4"/>
        <v>70124823002828-6</v>
      </c>
      <c r="H191" s="29" t="s">
        <v>617</v>
      </c>
      <c r="I191" s="29" t="s">
        <v>665</v>
      </c>
      <c r="J191" s="29" t="s">
        <v>758</v>
      </c>
      <c r="K191" s="27" t="s">
        <v>230</v>
      </c>
      <c r="L191" s="29">
        <v>3232367900</v>
      </c>
      <c r="M191" s="170" t="s">
        <v>720</v>
      </c>
      <c r="N191" s="174" t="s">
        <v>127</v>
      </c>
      <c r="O191" s="12" t="s">
        <v>2822</v>
      </c>
      <c r="P191" s="177" t="s">
        <v>48</v>
      </c>
      <c r="Q191" s="29" t="s">
        <v>759</v>
      </c>
      <c r="R191" s="30">
        <v>0.81</v>
      </c>
      <c r="S191" s="27" t="s">
        <v>49</v>
      </c>
      <c r="T191" s="29" t="s">
        <v>535</v>
      </c>
      <c r="U191" s="29" t="s">
        <v>507</v>
      </c>
      <c r="V191" s="29" t="s">
        <v>760</v>
      </c>
      <c r="W191" s="30">
        <v>0.94</v>
      </c>
      <c r="X191" s="29" t="s">
        <v>49</v>
      </c>
      <c r="Y191" s="29" t="s">
        <v>507</v>
      </c>
      <c r="Z191" s="29" t="s">
        <v>507</v>
      </c>
      <c r="AA191" s="29" t="s">
        <v>507</v>
      </c>
      <c r="AB191" s="29" t="s">
        <v>507</v>
      </c>
      <c r="AC191" s="29" t="s">
        <v>507</v>
      </c>
      <c r="AD191" s="29" t="s">
        <v>507</v>
      </c>
      <c r="AE191" s="29" t="s">
        <v>507</v>
      </c>
      <c r="AF191" s="29" t="s">
        <v>507</v>
      </c>
      <c r="AG191" s="29" t="s">
        <v>507</v>
      </c>
      <c r="AH191" s="29" t="s">
        <v>507</v>
      </c>
      <c r="AI191" s="29" t="s">
        <v>507</v>
      </c>
      <c r="AJ191" s="29" t="s">
        <v>507</v>
      </c>
      <c r="AK191" s="29" t="s">
        <v>507</v>
      </c>
      <c r="AL191" s="29" t="s">
        <v>507</v>
      </c>
      <c r="AM191" s="29" t="s">
        <v>507</v>
      </c>
      <c r="AN191" s="29" t="s">
        <v>507</v>
      </c>
      <c r="AO191" s="29" t="s">
        <v>507</v>
      </c>
      <c r="AP191" s="27" t="s">
        <v>507</v>
      </c>
      <c r="AQ191" s="29" t="s">
        <v>507</v>
      </c>
      <c r="AR191" s="29" t="s">
        <v>507</v>
      </c>
      <c r="AS191" s="29" t="s">
        <v>507</v>
      </c>
      <c r="AT191" s="29" t="s">
        <v>507</v>
      </c>
      <c r="AU191" s="32" t="s">
        <v>53</v>
      </c>
      <c r="AV191" s="27" t="s">
        <v>507</v>
      </c>
      <c r="AW191" s="27" t="s">
        <v>507</v>
      </c>
      <c r="AX191" s="27" t="s">
        <v>507</v>
      </c>
      <c r="AY191" s="27" t="s">
        <v>507</v>
      </c>
    </row>
    <row r="192" spans="1:51" s="36" customFormat="1" ht="14.25" hidden="1" customHeight="1" x14ac:dyDescent="0.3">
      <c r="A192" s="29" t="s">
        <v>505</v>
      </c>
      <c r="B192" s="29" t="s">
        <v>506</v>
      </c>
      <c r="C192" s="29">
        <v>70</v>
      </c>
      <c r="D192" s="29">
        <v>124</v>
      </c>
      <c r="E192" s="29" t="s">
        <v>737</v>
      </c>
      <c r="F192" s="29" t="s">
        <v>761</v>
      </c>
      <c r="G192" s="29" t="str">
        <f t="shared" si="4"/>
        <v>7012464915270</v>
      </c>
      <c r="H192" s="29" t="s">
        <v>8358</v>
      </c>
      <c r="I192" s="29">
        <v>64915270</v>
      </c>
      <c r="J192" s="29" t="s">
        <v>8359</v>
      </c>
      <c r="K192" s="27" t="s">
        <v>133</v>
      </c>
      <c r="L192" s="29">
        <v>3226658397</v>
      </c>
      <c r="M192" s="173" t="s">
        <v>8360</v>
      </c>
      <c r="N192" s="174" t="s">
        <v>127</v>
      </c>
      <c r="O192" s="12" t="s">
        <v>2822</v>
      </c>
      <c r="P192" s="177" t="s">
        <v>48</v>
      </c>
      <c r="Q192" s="29" t="s">
        <v>762</v>
      </c>
      <c r="R192" s="29" t="s">
        <v>621</v>
      </c>
      <c r="S192" s="27" t="s">
        <v>49</v>
      </c>
      <c r="T192" s="29" t="s">
        <v>507</v>
      </c>
      <c r="U192" s="29" t="s">
        <v>507</v>
      </c>
      <c r="V192" s="29" t="s">
        <v>241</v>
      </c>
      <c r="W192" s="29" t="s">
        <v>745</v>
      </c>
      <c r="X192" s="29" t="s">
        <v>49</v>
      </c>
      <c r="Y192" s="29" t="s">
        <v>507</v>
      </c>
      <c r="Z192" s="29" t="s">
        <v>507</v>
      </c>
      <c r="AA192" s="29" t="s">
        <v>507</v>
      </c>
      <c r="AB192" s="29" t="s">
        <v>507</v>
      </c>
      <c r="AC192" s="29" t="s">
        <v>507</v>
      </c>
      <c r="AD192" s="29" t="s">
        <v>507</v>
      </c>
      <c r="AE192" s="29" t="s">
        <v>507</v>
      </c>
      <c r="AF192" s="29" t="s">
        <v>507</v>
      </c>
      <c r="AG192" s="29" t="s">
        <v>507</v>
      </c>
      <c r="AH192" s="29" t="s">
        <v>507</v>
      </c>
      <c r="AI192" s="29" t="s">
        <v>507</v>
      </c>
      <c r="AJ192" s="29" t="s">
        <v>507</v>
      </c>
      <c r="AK192" s="29" t="s">
        <v>507</v>
      </c>
      <c r="AL192" s="29" t="s">
        <v>507</v>
      </c>
      <c r="AM192" s="29" t="s">
        <v>507</v>
      </c>
      <c r="AN192" s="29" t="s">
        <v>507</v>
      </c>
      <c r="AO192" s="29" t="s">
        <v>507</v>
      </c>
      <c r="AP192" s="29" t="s">
        <v>507</v>
      </c>
      <c r="AQ192" s="29" t="s">
        <v>507</v>
      </c>
      <c r="AR192" s="29" t="s">
        <v>507</v>
      </c>
      <c r="AS192" s="29" t="s">
        <v>507</v>
      </c>
      <c r="AT192" s="29" t="s">
        <v>507</v>
      </c>
      <c r="AU192" s="39" t="s">
        <v>164</v>
      </c>
      <c r="AV192" s="29" t="s">
        <v>507</v>
      </c>
      <c r="AW192" s="29" t="s">
        <v>507</v>
      </c>
      <c r="AX192" s="29" t="s">
        <v>507</v>
      </c>
      <c r="AY192" s="29" t="s">
        <v>507</v>
      </c>
    </row>
    <row r="193" spans="1:53" s="36" customFormat="1" ht="14.25" hidden="1" customHeight="1" x14ac:dyDescent="0.3">
      <c r="A193" s="152" t="s">
        <v>505</v>
      </c>
      <c r="B193" s="149" t="s">
        <v>763</v>
      </c>
      <c r="C193" s="153">
        <v>70</v>
      </c>
      <c r="D193" s="149">
        <v>230</v>
      </c>
      <c r="E193" s="148" t="s">
        <v>764</v>
      </c>
      <c r="F193" s="303" t="s">
        <v>8687</v>
      </c>
      <c r="G193" s="29" t="str">
        <f t="shared" si="4"/>
        <v>702308230019842</v>
      </c>
      <c r="H193" s="136" t="s">
        <v>8684</v>
      </c>
      <c r="I193" s="136">
        <v>8230019842</v>
      </c>
      <c r="J193" s="149" t="s">
        <v>8688</v>
      </c>
      <c r="K193" s="190" t="s">
        <v>133</v>
      </c>
      <c r="L193" s="149">
        <v>3226686034</v>
      </c>
      <c r="M193" s="154" t="s">
        <v>8686</v>
      </c>
      <c r="N193" s="155" t="s">
        <v>127</v>
      </c>
      <c r="O193" s="12" t="s">
        <v>2822</v>
      </c>
      <c r="P193" s="178" t="s">
        <v>48</v>
      </c>
      <c r="Q193" s="272">
        <v>46126</v>
      </c>
      <c r="R193" s="36">
        <v>82</v>
      </c>
      <c r="S193" s="36" t="s">
        <v>49</v>
      </c>
      <c r="T193" s="36" t="s">
        <v>767</v>
      </c>
      <c r="U193" s="36" t="s">
        <v>50</v>
      </c>
      <c r="V193" s="149" t="s">
        <v>766</v>
      </c>
      <c r="W193" s="156">
        <v>0.87</v>
      </c>
      <c r="X193" s="149" t="s">
        <v>49</v>
      </c>
      <c r="Y193" s="148" t="s">
        <v>767</v>
      </c>
      <c r="Z193" s="190" t="s">
        <v>50</v>
      </c>
      <c r="AA193" s="148" t="s">
        <v>507</v>
      </c>
      <c r="AB193" s="148" t="s">
        <v>507</v>
      </c>
      <c r="AC193" s="193">
        <v>44995</v>
      </c>
      <c r="AD193" s="148" t="s">
        <v>769</v>
      </c>
      <c r="AE193" s="148" t="s">
        <v>210</v>
      </c>
      <c r="AF193" s="190" t="s">
        <v>50</v>
      </c>
      <c r="AG193" s="194"/>
      <c r="AH193" s="148" t="s">
        <v>507</v>
      </c>
      <c r="AI193" s="149" t="s">
        <v>507</v>
      </c>
      <c r="AJ193" s="149" t="s">
        <v>507</v>
      </c>
      <c r="AK193" s="149" t="s">
        <v>507</v>
      </c>
      <c r="AL193" s="149" t="s">
        <v>507</v>
      </c>
      <c r="AM193" s="148" t="s">
        <v>507</v>
      </c>
      <c r="AN193" s="148" t="s">
        <v>507</v>
      </c>
      <c r="AO193" s="157"/>
      <c r="AP193" s="149"/>
      <c r="AQ193" s="149"/>
      <c r="AR193" s="149"/>
      <c r="AS193" s="149" t="s">
        <v>507</v>
      </c>
      <c r="AT193" s="148" t="s">
        <v>507</v>
      </c>
      <c r="AU193" s="150" t="s">
        <v>53</v>
      </c>
      <c r="AV193" s="148" t="s">
        <v>507</v>
      </c>
      <c r="AW193" s="148" t="s">
        <v>507</v>
      </c>
      <c r="AX193" s="148" t="s">
        <v>507</v>
      </c>
      <c r="AY193" s="148" t="s">
        <v>507</v>
      </c>
      <c r="AZ193" s="149" t="s">
        <v>507</v>
      </c>
      <c r="BA193" s="149" t="s">
        <v>507</v>
      </c>
    </row>
    <row r="194" spans="1:53" s="36" customFormat="1" ht="14.25" customHeight="1" x14ac:dyDescent="0.3">
      <c r="A194" s="152" t="s">
        <v>505</v>
      </c>
      <c r="B194" s="136" t="s">
        <v>763</v>
      </c>
      <c r="C194" s="153">
        <v>70</v>
      </c>
      <c r="D194" s="136">
        <v>230</v>
      </c>
      <c r="E194" s="136"/>
      <c r="F194" s="136" t="s">
        <v>771</v>
      </c>
      <c r="G194" s="29" t="str">
        <f t="shared" si="4"/>
        <v>7023070692033</v>
      </c>
      <c r="H194" s="136" t="s">
        <v>772</v>
      </c>
      <c r="I194" s="136">
        <v>70692033</v>
      </c>
      <c r="J194" s="136" t="s">
        <v>773</v>
      </c>
      <c r="K194" s="189" t="s">
        <v>4092</v>
      </c>
      <c r="L194" s="136" t="s">
        <v>45</v>
      </c>
      <c r="M194" s="136" t="s">
        <v>507</v>
      </c>
      <c r="N194" s="12" t="s">
        <v>46</v>
      </c>
      <c r="O194" s="12" t="s">
        <v>47</v>
      </c>
      <c r="P194" s="179" t="s">
        <v>48</v>
      </c>
      <c r="Q194" s="136" t="s">
        <v>157</v>
      </c>
      <c r="R194" s="140">
        <v>0.82</v>
      </c>
      <c r="S194" s="136" t="s">
        <v>49</v>
      </c>
      <c r="T194" s="134" t="s">
        <v>507</v>
      </c>
      <c r="U194" s="189" t="s">
        <v>60</v>
      </c>
      <c r="V194" s="136" t="s">
        <v>775</v>
      </c>
      <c r="W194" s="140">
        <v>0.85</v>
      </c>
      <c r="X194" s="134" t="s">
        <v>49</v>
      </c>
      <c r="Y194" s="136" t="s">
        <v>507</v>
      </c>
      <c r="Z194" s="192" t="s">
        <v>50</v>
      </c>
      <c r="AA194" s="134" t="s">
        <v>507</v>
      </c>
      <c r="AB194" s="134" t="s">
        <v>507</v>
      </c>
      <c r="AC194" s="134" t="s">
        <v>776</v>
      </c>
      <c r="AD194" s="164">
        <v>0.8</v>
      </c>
      <c r="AE194" s="134" t="s">
        <v>49</v>
      </c>
      <c r="AF194" s="192" t="s">
        <v>50</v>
      </c>
      <c r="AG194" s="134" t="s">
        <v>507</v>
      </c>
      <c r="AH194" s="134" t="s">
        <v>507</v>
      </c>
      <c r="AI194" s="136" t="s">
        <v>507</v>
      </c>
      <c r="AJ194" s="136" t="s">
        <v>507</v>
      </c>
      <c r="AK194" s="136" t="s">
        <v>507</v>
      </c>
      <c r="AL194" s="136" t="s">
        <v>507</v>
      </c>
      <c r="AM194" s="134" t="s">
        <v>507</v>
      </c>
      <c r="AN194" s="134" t="s">
        <v>507</v>
      </c>
      <c r="AO194" s="136"/>
      <c r="AP194" s="140"/>
      <c r="AQ194" s="136"/>
      <c r="AR194" s="136"/>
      <c r="AS194" s="136" t="s">
        <v>507</v>
      </c>
      <c r="AT194" s="134" t="s">
        <v>507</v>
      </c>
      <c r="AU194" s="151" t="s">
        <v>164</v>
      </c>
      <c r="AV194" s="134" t="s">
        <v>507</v>
      </c>
      <c r="AW194" s="134" t="s">
        <v>507</v>
      </c>
      <c r="AX194" s="134" t="s">
        <v>507</v>
      </c>
      <c r="AY194" s="134" t="s">
        <v>507</v>
      </c>
      <c r="AZ194" s="136" t="s">
        <v>507</v>
      </c>
      <c r="BA194" s="136" t="s">
        <v>507</v>
      </c>
    </row>
    <row r="195" spans="1:53" s="36" customFormat="1" ht="15" hidden="1" customHeight="1" x14ac:dyDescent="0.3">
      <c r="A195" s="152" t="s">
        <v>505</v>
      </c>
      <c r="B195" s="136" t="s">
        <v>763</v>
      </c>
      <c r="C195" s="153">
        <v>70</v>
      </c>
      <c r="D195" s="136">
        <v>230</v>
      </c>
      <c r="E195" s="136"/>
      <c r="F195" s="136" t="s">
        <v>777</v>
      </c>
      <c r="G195" s="36" t="str">
        <f t="shared" si="4"/>
        <v>7023070692033</v>
      </c>
      <c r="H195" s="136" t="s">
        <v>772</v>
      </c>
      <c r="I195" s="136">
        <v>70692033</v>
      </c>
      <c r="J195" s="136" t="s">
        <v>778</v>
      </c>
      <c r="K195" s="189" t="s">
        <v>4092</v>
      </c>
      <c r="L195" s="136">
        <v>3024532397</v>
      </c>
      <c r="M195" s="159" t="s">
        <v>779</v>
      </c>
      <c r="N195" s="158" t="s">
        <v>780</v>
      </c>
      <c r="O195" s="12" t="s">
        <v>260</v>
      </c>
      <c r="P195" s="179" t="s">
        <v>261</v>
      </c>
      <c r="Q195" s="136" t="s">
        <v>781</v>
      </c>
      <c r="R195" s="136" t="s">
        <v>782</v>
      </c>
      <c r="S195" s="136" t="s">
        <v>49</v>
      </c>
      <c r="T195" s="136" t="s">
        <v>507</v>
      </c>
      <c r="U195" s="189" t="s">
        <v>50</v>
      </c>
      <c r="V195" s="139">
        <v>44662</v>
      </c>
      <c r="W195" s="140">
        <v>0.76</v>
      </c>
      <c r="X195" s="136" t="s">
        <v>49</v>
      </c>
      <c r="Y195" s="136" t="s">
        <v>507</v>
      </c>
      <c r="Z195" s="189" t="s">
        <v>50</v>
      </c>
      <c r="AA195" s="136" t="s">
        <v>507</v>
      </c>
      <c r="AB195" s="136" t="s">
        <v>507</v>
      </c>
      <c r="AC195" s="136" t="s">
        <v>776</v>
      </c>
      <c r="AD195" s="136" t="s">
        <v>783</v>
      </c>
      <c r="AE195" s="136" t="s">
        <v>49</v>
      </c>
      <c r="AF195" s="189" t="s">
        <v>60</v>
      </c>
      <c r="AG195" s="136" t="s">
        <v>507</v>
      </c>
      <c r="AH195" s="136" t="s">
        <v>507</v>
      </c>
      <c r="AI195" s="136" t="s">
        <v>507</v>
      </c>
      <c r="AJ195" s="136" t="s">
        <v>507</v>
      </c>
      <c r="AK195" s="136" t="s">
        <v>507</v>
      </c>
      <c r="AL195" s="136" t="s">
        <v>507</v>
      </c>
      <c r="AM195" s="136" t="s">
        <v>507</v>
      </c>
      <c r="AN195" s="136" t="s">
        <v>507</v>
      </c>
      <c r="AO195" s="136"/>
      <c r="AP195" s="136"/>
      <c r="AQ195" s="136"/>
      <c r="AR195" s="136"/>
      <c r="AS195" s="136" t="s">
        <v>507</v>
      </c>
      <c r="AT195" s="136" t="s">
        <v>507</v>
      </c>
      <c r="AU195" s="270" t="s">
        <v>53</v>
      </c>
      <c r="AV195" s="136" t="s">
        <v>507</v>
      </c>
      <c r="AW195" s="136" t="s">
        <v>507</v>
      </c>
      <c r="AX195" s="136" t="s">
        <v>507</v>
      </c>
      <c r="AY195" s="136" t="s">
        <v>507</v>
      </c>
      <c r="AZ195" s="136" t="s">
        <v>507</v>
      </c>
      <c r="BA195" s="136" t="s">
        <v>507</v>
      </c>
    </row>
    <row r="196" spans="1:53" s="36" customFormat="1" ht="22.5" hidden="1" customHeight="1" x14ac:dyDescent="0.3">
      <c r="A196" s="152" t="s">
        <v>505</v>
      </c>
      <c r="B196" s="136" t="s">
        <v>763</v>
      </c>
      <c r="C196" s="153">
        <v>70</v>
      </c>
      <c r="D196" s="136">
        <v>230</v>
      </c>
      <c r="E196" s="134" t="s">
        <v>784</v>
      </c>
      <c r="F196" s="136" t="s">
        <v>785</v>
      </c>
      <c r="G196" s="29" t="str">
        <f t="shared" si="4"/>
        <v>70230900722227-8</v>
      </c>
      <c r="H196" s="136" t="s">
        <v>786</v>
      </c>
      <c r="I196" s="136" t="s">
        <v>252</v>
      </c>
      <c r="J196" s="136" t="s">
        <v>787</v>
      </c>
      <c r="K196" s="189" t="s">
        <v>4092</v>
      </c>
      <c r="L196" s="136">
        <v>3116382227</v>
      </c>
      <c r="M196" s="159" t="s">
        <v>788</v>
      </c>
      <c r="N196" s="158" t="s">
        <v>127</v>
      </c>
      <c r="O196" s="12" t="s">
        <v>2822</v>
      </c>
      <c r="P196" s="179" t="s">
        <v>48</v>
      </c>
      <c r="Q196" s="136" t="s">
        <v>789</v>
      </c>
      <c r="R196" s="136" t="s">
        <v>732</v>
      </c>
      <c r="S196" s="136" t="s">
        <v>49</v>
      </c>
      <c r="T196" s="134" t="s">
        <v>507</v>
      </c>
      <c r="U196" s="189" t="s">
        <v>60</v>
      </c>
      <c r="V196" s="134" t="s">
        <v>507</v>
      </c>
      <c r="W196" s="134" t="s">
        <v>507</v>
      </c>
      <c r="X196" s="134" t="s">
        <v>507</v>
      </c>
      <c r="Y196" s="136" t="s">
        <v>507</v>
      </c>
      <c r="Z196" s="134" t="s">
        <v>507</v>
      </c>
      <c r="AA196" s="134" t="s">
        <v>507</v>
      </c>
      <c r="AB196" s="134" t="s">
        <v>507</v>
      </c>
      <c r="AC196" s="134" t="s">
        <v>507</v>
      </c>
      <c r="AD196" s="134" t="s">
        <v>507</v>
      </c>
      <c r="AE196" s="134" t="s">
        <v>507</v>
      </c>
      <c r="AF196" s="134" t="s">
        <v>507</v>
      </c>
      <c r="AG196" s="134" t="s">
        <v>507</v>
      </c>
      <c r="AH196" s="134" t="s">
        <v>507</v>
      </c>
      <c r="AI196" s="136" t="s">
        <v>507</v>
      </c>
      <c r="AJ196" s="136" t="s">
        <v>507</v>
      </c>
      <c r="AK196" s="136" t="s">
        <v>507</v>
      </c>
      <c r="AL196" s="136" t="s">
        <v>507</v>
      </c>
      <c r="AM196" s="134" t="s">
        <v>507</v>
      </c>
      <c r="AN196" s="134" t="s">
        <v>507</v>
      </c>
      <c r="AO196" s="134" t="s">
        <v>507</v>
      </c>
      <c r="AP196" s="134" t="s">
        <v>507</v>
      </c>
      <c r="AQ196" s="136" t="s">
        <v>507</v>
      </c>
      <c r="AR196" s="134" t="s">
        <v>507</v>
      </c>
      <c r="AS196" s="136" t="s">
        <v>507</v>
      </c>
      <c r="AT196" s="134" t="s">
        <v>507</v>
      </c>
      <c r="AU196" s="150" t="s">
        <v>53</v>
      </c>
      <c r="AV196" s="134" t="s">
        <v>507</v>
      </c>
      <c r="AW196" s="134" t="s">
        <v>507</v>
      </c>
      <c r="AX196" s="134" t="s">
        <v>507</v>
      </c>
      <c r="AY196" s="134" t="s">
        <v>507</v>
      </c>
      <c r="AZ196" s="136" t="s">
        <v>507</v>
      </c>
      <c r="BA196" s="136" t="s">
        <v>507</v>
      </c>
    </row>
    <row r="197" spans="1:53" s="36" customFormat="1" ht="14.25" hidden="1" customHeight="1" x14ac:dyDescent="0.3">
      <c r="A197" s="152" t="s">
        <v>505</v>
      </c>
      <c r="B197" s="136" t="s">
        <v>763</v>
      </c>
      <c r="C197" s="153">
        <v>70</v>
      </c>
      <c r="D197" s="136">
        <v>230</v>
      </c>
      <c r="E197" s="189" t="s">
        <v>8337</v>
      </c>
      <c r="F197" s="299" t="s">
        <v>790</v>
      </c>
      <c r="G197" s="29" t="str">
        <f t="shared" ref="G197:G263" si="5">C197&amp;D197&amp;I197</f>
        <v>702309020247794</v>
      </c>
      <c r="H197" s="136" t="s">
        <v>710</v>
      </c>
      <c r="I197" s="136">
        <v>9020247794</v>
      </c>
      <c r="J197" s="136" t="s">
        <v>791</v>
      </c>
      <c r="K197" s="136" t="s">
        <v>133</v>
      </c>
      <c r="L197" s="136">
        <v>3103155698</v>
      </c>
      <c r="M197" s="159" t="s">
        <v>8335</v>
      </c>
      <c r="N197" s="158" t="s">
        <v>127</v>
      </c>
      <c r="O197" s="12" t="s">
        <v>2822</v>
      </c>
      <c r="P197" s="179" t="s">
        <v>48</v>
      </c>
      <c r="Q197" s="272">
        <v>46128</v>
      </c>
      <c r="R197" s="36" t="s">
        <v>8683</v>
      </c>
      <c r="S197" s="36" t="s">
        <v>49</v>
      </c>
      <c r="T197" s="36" t="s">
        <v>767</v>
      </c>
      <c r="U197" s="36" t="s">
        <v>60</v>
      </c>
      <c r="V197" s="136" t="s">
        <v>792</v>
      </c>
      <c r="W197" s="140">
        <v>0.86</v>
      </c>
      <c r="X197" s="136" t="s">
        <v>49</v>
      </c>
      <c r="Y197" s="134" t="s">
        <v>767</v>
      </c>
      <c r="Z197" s="189" t="s">
        <v>2881</v>
      </c>
      <c r="AA197" s="134" t="s">
        <v>507</v>
      </c>
      <c r="AB197" s="134" t="s">
        <v>507</v>
      </c>
      <c r="AC197" s="134" t="s">
        <v>507</v>
      </c>
      <c r="AD197" s="134" t="s">
        <v>507</v>
      </c>
      <c r="AE197" s="134" t="s">
        <v>507</v>
      </c>
      <c r="AF197" s="134" t="s">
        <v>507</v>
      </c>
      <c r="AG197" s="134" t="s">
        <v>507</v>
      </c>
      <c r="AH197" s="134" t="s">
        <v>507</v>
      </c>
      <c r="AI197" s="136" t="s">
        <v>507</v>
      </c>
      <c r="AJ197" s="136" t="s">
        <v>507</v>
      </c>
      <c r="AK197" s="136" t="s">
        <v>507</v>
      </c>
      <c r="AL197" s="136" t="s">
        <v>507</v>
      </c>
      <c r="AM197" s="134" t="s">
        <v>507</v>
      </c>
      <c r="AN197" s="134" t="s">
        <v>507</v>
      </c>
      <c r="AO197" s="136" t="s">
        <v>507</v>
      </c>
      <c r="AP197" s="134" t="s">
        <v>507</v>
      </c>
      <c r="AQ197" s="136" t="s">
        <v>507</v>
      </c>
      <c r="AR197" s="134" t="s">
        <v>507</v>
      </c>
      <c r="AS197" s="136" t="s">
        <v>507</v>
      </c>
      <c r="AT197" s="134" t="s">
        <v>507</v>
      </c>
      <c r="AU197" s="204" t="s">
        <v>53</v>
      </c>
      <c r="AV197" s="134" t="s">
        <v>507</v>
      </c>
      <c r="AW197" s="134" t="s">
        <v>507</v>
      </c>
      <c r="AX197" s="134" t="s">
        <v>507</v>
      </c>
      <c r="AY197" s="134" t="s">
        <v>507</v>
      </c>
      <c r="AZ197" s="136" t="s">
        <v>507</v>
      </c>
      <c r="BA197" s="136" t="s">
        <v>507</v>
      </c>
    </row>
    <row r="198" spans="1:53" s="36" customFormat="1" ht="12.75" hidden="1" customHeight="1" x14ac:dyDescent="0.3">
      <c r="A198" s="152" t="s">
        <v>505</v>
      </c>
      <c r="B198" s="136" t="s">
        <v>763</v>
      </c>
      <c r="C198" s="153">
        <v>70</v>
      </c>
      <c r="D198" s="136">
        <v>230</v>
      </c>
      <c r="E198" s="189" t="s">
        <v>8337</v>
      </c>
      <c r="F198" s="300" t="s">
        <v>793</v>
      </c>
      <c r="G198" s="29" t="str">
        <f t="shared" si="5"/>
        <v>702309020247794</v>
      </c>
      <c r="H198" s="136" t="s">
        <v>710</v>
      </c>
      <c r="I198" s="136">
        <v>9020247794</v>
      </c>
      <c r="J198" s="136" t="s">
        <v>794</v>
      </c>
      <c r="K198" s="136" t="s">
        <v>133</v>
      </c>
      <c r="L198" s="136">
        <v>3103155698</v>
      </c>
      <c r="M198" s="191" t="s">
        <v>8335</v>
      </c>
      <c r="N198" s="158" t="s">
        <v>127</v>
      </c>
      <c r="O198" s="12" t="s">
        <v>2822</v>
      </c>
      <c r="P198" s="179" t="s">
        <v>48</v>
      </c>
      <c r="Q198" s="272">
        <v>46085</v>
      </c>
      <c r="R198" s="36" t="s">
        <v>4833</v>
      </c>
      <c r="S198" s="36" t="s">
        <v>49</v>
      </c>
      <c r="T198" s="134" t="s">
        <v>767</v>
      </c>
      <c r="U198" s="36" t="s">
        <v>60</v>
      </c>
      <c r="V198" s="136" t="s">
        <v>792</v>
      </c>
      <c r="W198" s="136" t="s">
        <v>795</v>
      </c>
      <c r="X198" s="136" t="s">
        <v>49</v>
      </c>
      <c r="Y198" s="134" t="s">
        <v>767</v>
      </c>
      <c r="Z198" s="189" t="s">
        <v>2881</v>
      </c>
      <c r="AA198" s="134" t="s">
        <v>507</v>
      </c>
      <c r="AB198" s="134" t="s">
        <v>507</v>
      </c>
      <c r="AC198" s="134" t="s">
        <v>507</v>
      </c>
      <c r="AD198" s="134" t="s">
        <v>507</v>
      </c>
      <c r="AE198" s="134" t="s">
        <v>507</v>
      </c>
      <c r="AF198" s="134" t="s">
        <v>507</v>
      </c>
      <c r="AG198" s="134" t="s">
        <v>507</v>
      </c>
      <c r="AH198" s="134" t="s">
        <v>507</v>
      </c>
      <c r="AI198" s="136" t="s">
        <v>507</v>
      </c>
      <c r="AJ198" s="136" t="s">
        <v>507</v>
      </c>
      <c r="AK198" s="136" t="s">
        <v>507</v>
      </c>
      <c r="AL198" s="136" t="s">
        <v>507</v>
      </c>
      <c r="AM198" s="134" t="s">
        <v>507</v>
      </c>
      <c r="AN198" s="134" t="s">
        <v>507</v>
      </c>
      <c r="AO198" s="136" t="s">
        <v>507</v>
      </c>
      <c r="AP198" s="134" t="s">
        <v>507</v>
      </c>
      <c r="AQ198" s="136" t="s">
        <v>507</v>
      </c>
      <c r="AR198" s="134" t="s">
        <v>507</v>
      </c>
      <c r="AS198" s="136" t="s">
        <v>507</v>
      </c>
      <c r="AT198" s="134" t="s">
        <v>507</v>
      </c>
      <c r="AU198" s="204" t="s">
        <v>53</v>
      </c>
      <c r="AV198" s="134" t="s">
        <v>507</v>
      </c>
      <c r="AW198" s="134" t="s">
        <v>507</v>
      </c>
      <c r="AX198" s="134" t="s">
        <v>507</v>
      </c>
      <c r="AY198" s="134" t="s">
        <v>507</v>
      </c>
      <c r="AZ198" s="136" t="s">
        <v>507</v>
      </c>
      <c r="BA198" s="136" t="s">
        <v>507</v>
      </c>
    </row>
    <row r="199" spans="1:53" s="36" customFormat="1" ht="12.75" hidden="1" customHeight="1" x14ac:dyDescent="0.3">
      <c r="A199" s="152" t="s">
        <v>505</v>
      </c>
      <c r="B199" s="136" t="s">
        <v>763</v>
      </c>
      <c r="C199" s="153">
        <v>70</v>
      </c>
      <c r="D199" s="136">
        <v>230</v>
      </c>
      <c r="E199" s="189" t="s">
        <v>8337</v>
      </c>
      <c r="F199" s="300" t="s">
        <v>8418</v>
      </c>
      <c r="G199" s="29" t="str">
        <f t="shared" si="5"/>
        <v>702309020247794</v>
      </c>
      <c r="H199" s="136" t="s">
        <v>710</v>
      </c>
      <c r="I199" s="136">
        <v>9020247794</v>
      </c>
      <c r="J199" s="189" t="s">
        <v>8416</v>
      </c>
      <c r="K199" s="189" t="s">
        <v>133</v>
      </c>
      <c r="L199" s="136">
        <v>3103155698</v>
      </c>
      <c r="M199" s="159" t="s">
        <v>8335</v>
      </c>
      <c r="N199" s="271" t="s">
        <v>127</v>
      </c>
      <c r="O199" s="12" t="s">
        <v>2822</v>
      </c>
      <c r="P199" s="202" t="s">
        <v>48</v>
      </c>
      <c r="Q199" s="272">
        <v>46182</v>
      </c>
      <c r="R199" s="280">
        <v>0.84</v>
      </c>
      <c r="S199" s="36" t="s">
        <v>49</v>
      </c>
      <c r="T199" s="36" t="s">
        <v>8420</v>
      </c>
      <c r="U199" s="36" t="s">
        <v>60</v>
      </c>
      <c r="V199" s="139">
        <v>46071</v>
      </c>
      <c r="W199" s="140">
        <v>0.63</v>
      </c>
      <c r="X199" s="189" t="s">
        <v>49</v>
      </c>
      <c r="Y199" s="192" t="s">
        <v>8420</v>
      </c>
      <c r="Z199" s="189" t="s">
        <v>60</v>
      </c>
      <c r="AA199" s="134"/>
      <c r="AB199" s="134"/>
      <c r="AC199" s="134"/>
      <c r="AD199" s="134"/>
      <c r="AE199" s="134"/>
      <c r="AF199" s="134"/>
      <c r="AG199" s="134"/>
      <c r="AH199" s="134"/>
      <c r="AI199" s="136"/>
      <c r="AJ199" s="136"/>
      <c r="AK199" s="136"/>
      <c r="AL199" s="136"/>
      <c r="AM199" s="134"/>
      <c r="AN199" s="134"/>
      <c r="AO199" s="136"/>
      <c r="AP199" s="134"/>
      <c r="AQ199" s="136"/>
      <c r="AR199" s="134"/>
      <c r="AS199" s="136"/>
      <c r="AT199" s="134"/>
      <c r="AU199" s="204" t="s">
        <v>53</v>
      </c>
      <c r="AV199" s="134"/>
      <c r="AW199" s="134"/>
      <c r="AX199" s="134"/>
      <c r="AY199" s="134"/>
      <c r="AZ199" s="136"/>
      <c r="BA199" s="136"/>
    </row>
    <row r="200" spans="1:53" s="36" customFormat="1" ht="14.25" hidden="1" customHeight="1" x14ac:dyDescent="0.3">
      <c r="A200" s="152" t="s">
        <v>505</v>
      </c>
      <c r="B200" s="136" t="s">
        <v>763</v>
      </c>
      <c r="C200" s="153">
        <v>70</v>
      </c>
      <c r="D200" s="136">
        <v>230</v>
      </c>
      <c r="E200" s="189" t="s">
        <v>8337</v>
      </c>
      <c r="F200" s="299" t="s">
        <v>796</v>
      </c>
      <c r="G200" s="29" t="str">
        <f t="shared" si="5"/>
        <v>702309020247794</v>
      </c>
      <c r="H200" s="136" t="s">
        <v>710</v>
      </c>
      <c r="I200" s="136">
        <v>9020247794</v>
      </c>
      <c r="J200" s="136" t="s">
        <v>797</v>
      </c>
      <c r="K200" s="136" t="s">
        <v>133</v>
      </c>
      <c r="L200" s="136">
        <v>3103155698</v>
      </c>
      <c r="M200" s="141" t="s">
        <v>8335</v>
      </c>
      <c r="N200" s="158" t="s">
        <v>127</v>
      </c>
      <c r="O200" s="12" t="s">
        <v>2822</v>
      </c>
      <c r="P200" s="179" t="s">
        <v>48</v>
      </c>
      <c r="Q200" s="272">
        <v>46183</v>
      </c>
      <c r="R200" s="36" t="s">
        <v>203</v>
      </c>
      <c r="S200" s="36" t="s">
        <v>49</v>
      </c>
      <c r="T200" s="36" t="s">
        <v>8420</v>
      </c>
      <c r="U200" s="353" t="s">
        <v>60</v>
      </c>
      <c r="V200" s="281">
        <v>46077</v>
      </c>
      <c r="W200" s="282" t="s">
        <v>8419</v>
      </c>
      <c r="X200" s="282" t="s">
        <v>49</v>
      </c>
      <c r="Y200" s="134" t="s">
        <v>767</v>
      </c>
      <c r="Z200" s="189" t="s">
        <v>60</v>
      </c>
      <c r="AA200" s="134" t="s">
        <v>507</v>
      </c>
      <c r="AB200" s="134" t="s">
        <v>507</v>
      </c>
      <c r="AC200" s="136" t="s">
        <v>792</v>
      </c>
      <c r="AD200" s="189" t="s">
        <v>8417</v>
      </c>
      <c r="AE200" s="136" t="s">
        <v>49</v>
      </c>
      <c r="AF200" s="192" t="s">
        <v>60</v>
      </c>
      <c r="AG200" s="134" t="s">
        <v>507</v>
      </c>
      <c r="AH200" s="134" t="s">
        <v>507</v>
      </c>
      <c r="AI200" s="136" t="s">
        <v>507</v>
      </c>
      <c r="AJ200" s="136" t="s">
        <v>507</v>
      </c>
      <c r="AK200" s="136" t="s">
        <v>507</v>
      </c>
      <c r="AL200" s="136" t="s">
        <v>507</v>
      </c>
      <c r="AM200" s="134" t="s">
        <v>507</v>
      </c>
      <c r="AN200" s="134" t="s">
        <v>507</v>
      </c>
      <c r="AO200" s="136" t="s">
        <v>507</v>
      </c>
      <c r="AP200" s="134" t="s">
        <v>507</v>
      </c>
      <c r="AQ200" s="136" t="s">
        <v>507</v>
      </c>
      <c r="AR200" s="134" t="s">
        <v>507</v>
      </c>
      <c r="AS200" s="136" t="s">
        <v>507</v>
      </c>
      <c r="AT200" s="134" t="s">
        <v>507</v>
      </c>
      <c r="AU200" s="204" t="s">
        <v>53</v>
      </c>
      <c r="AV200" s="134" t="s">
        <v>507</v>
      </c>
      <c r="AW200" s="134" t="s">
        <v>507</v>
      </c>
      <c r="AX200" s="134" t="s">
        <v>507</v>
      </c>
      <c r="AY200" s="134" t="s">
        <v>507</v>
      </c>
      <c r="AZ200" s="136" t="s">
        <v>507</v>
      </c>
      <c r="BA200" s="136" t="s">
        <v>507</v>
      </c>
    </row>
    <row r="201" spans="1:53" s="36" customFormat="1" ht="14.25" hidden="1" customHeight="1" x14ac:dyDescent="0.3">
      <c r="A201" s="152" t="s">
        <v>505</v>
      </c>
      <c r="B201" s="136" t="s">
        <v>763</v>
      </c>
      <c r="C201" s="153">
        <v>70</v>
      </c>
      <c r="D201" s="136">
        <v>230</v>
      </c>
      <c r="E201" s="189" t="s">
        <v>8337</v>
      </c>
      <c r="F201" s="301" t="s">
        <v>8531</v>
      </c>
      <c r="G201" s="29" t="str">
        <f t="shared" si="5"/>
        <v>702309020247794</v>
      </c>
      <c r="H201" s="136" t="s">
        <v>710</v>
      </c>
      <c r="I201" s="136">
        <v>9020247794</v>
      </c>
      <c r="J201" s="136" t="s">
        <v>8532</v>
      </c>
      <c r="K201" s="136" t="s">
        <v>133</v>
      </c>
      <c r="L201" s="136">
        <v>3103155698</v>
      </c>
      <c r="M201" s="141" t="s">
        <v>8335</v>
      </c>
      <c r="N201" s="271" t="s">
        <v>127</v>
      </c>
      <c r="O201" s="12" t="s">
        <v>2822</v>
      </c>
      <c r="P201" s="202" t="s">
        <v>48</v>
      </c>
      <c r="Q201" s="281">
        <v>46091</v>
      </c>
      <c r="R201" s="282">
        <v>66</v>
      </c>
      <c r="S201" s="282" t="s">
        <v>49</v>
      </c>
      <c r="T201" s="192" t="s">
        <v>8420</v>
      </c>
      <c r="U201" s="271" t="s">
        <v>60</v>
      </c>
      <c r="V201" s="160"/>
      <c r="W201" s="326"/>
      <c r="X201" s="160"/>
      <c r="Y201" s="136"/>
      <c r="Z201" s="134"/>
      <c r="AA201" s="134"/>
      <c r="AB201" s="134"/>
      <c r="AC201" s="134"/>
      <c r="AD201" s="134"/>
      <c r="AE201" s="134"/>
      <c r="AF201" s="134"/>
      <c r="AG201" s="134"/>
      <c r="AH201" s="134"/>
      <c r="AI201" s="136"/>
      <c r="AJ201" s="136"/>
      <c r="AK201" s="136"/>
      <c r="AL201" s="136"/>
      <c r="AM201" s="134"/>
      <c r="AN201" s="134"/>
      <c r="AO201" s="136"/>
      <c r="AP201" s="134"/>
      <c r="AQ201" s="136"/>
      <c r="AR201" s="134"/>
      <c r="AS201" s="136"/>
      <c r="AT201" s="134"/>
      <c r="AU201" s="150" t="s">
        <v>53</v>
      </c>
      <c r="AV201" s="134"/>
      <c r="AW201" s="134"/>
      <c r="AX201" s="134"/>
      <c r="AY201" s="134"/>
      <c r="AZ201" s="136"/>
      <c r="BA201" s="136"/>
    </row>
    <row r="202" spans="1:53" s="36" customFormat="1" ht="14.25" hidden="1" customHeight="1" x14ac:dyDescent="0.3">
      <c r="A202" s="152" t="s">
        <v>505</v>
      </c>
      <c r="B202" s="136" t="s">
        <v>763</v>
      </c>
      <c r="C202" s="153">
        <v>70</v>
      </c>
      <c r="D202" s="136">
        <v>230</v>
      </c>
      <c r="E202" s="189" t="s">
        <v>8337</v>
      </c>
      <c r="F202" s="301" t="s">
        <v>8533</v>
      </c>
      <c r="G202" s="29" t="str">
        <f t="shared" si="5"/>
        <v>702309020247794</v>
      </c>
      <c r="H202" s="136" t="s">
        <v>710</v>
      </c>
      <c r="I202" s="136">
        <v>9020247794</v>
      </c>
      <c r="J202" s="136" t="s">
        <v>8534</v>
      </c>
      <c r="K202" s="189" t="s">
        <v>133</v>
      </c>
      <c r="L202" s="136">
        <v>3103155698</v>
      </c>
      <c r="M202" s="141" t="s">
        <v>8335</v>
      </c>
      <c r="N202" s="271" t="s">
        <v>127</v>
      </c>
      <c r="O202" s="12" t="s">
        <v>2822</v>
      </c>
      <c r="P202" s="202" t="s">
        <v>48</v>
      </c>
      <c r="Q202" s="281">
        <v>46097</v>
      </c>
      <c r="R202" s="282" t="s">
        <v>8535</v>
      </c>
      <c r="S202" s="282" t="s">
        <v>49</v>
      </c>
      <c r="T202" s="192" t="s">
        <v>8420</v>
      </c>
      <c r="U202" s="189" t="s">
        <v>60</v>
      </c>
      <c r="V202" s="136"/>
      <c r="W202" s="189"/>
      <c r="X202" s="136"/>
      <c r="Y202" s="136"/>
      <c r="Z202" s="134"/>
      <c r="AA202" s="134"/>
      <c r="AB202" s="134"/>
      <c r="AC202" s="134"/>
      <c r="AD202" s="134"/>
      <c r="AE202" s="134"/>
      <c r="AF202" s="134"/>
      <c r="AG202" s="134"/>
      <c r="AH202" s="134"/>
      <c r="AI202" s="136"/>
      <c r="AJ202" s="136"/>
      <c r="AK202" s="136"/>
      <c r="AL202" s="136"/>
      <c r="AM202" s="134"/>
      <c r="AN202" s="134"/>
      <c r="AO202" s="136"/>
      <c r="AP202" s="134"/>
      <c r="AQ202" s="136"/>
      <c r="AR202" s="134"/>
      <c r="AS202" s="136"/>
      <c r="AT202" s="134"/>
      <c r="AU202" s="150" t="s">
        <v>53</v>
      </c>
      <c r="AV202" s="134"/>
      <c r="AW202" s="134"/>
      <c r="AX202" s="134"/>
      <c r="AY202" s="134"/>
      <c r="AZ202" s="136"/>
      <c r="BA202" s="136"/>
    </row>
    <row r="203" spans="1:53" s="36" customFormat="1" ht="14.25" hidden="1" customHeight="1" x14ac:dyDescent="0.3">
      <c r="A203" s="152" t="s">
        <v>505</v>
      </c>
      <c r="B203" s="136" t="s">
        <v>763</v>
      </c>
      <c r="C203" s="153">
        <v>70</v>
      </c>
      <c r="D203" s="136">
        <v>230</v>
      </c>
      <c r="E203" s="136" t="s">
        <v>799</v>
      </c>
      <c r="F203" s="136" t="s">
        <v>800</v>
      </c>
      <c r="G203" s="29" t="str">
        <f t="shared" si="5"/>
        <v>70230823002720-1</v>
      </c>
      <c r="H203" s="136" t="s">
        <v>801</v>
      </c>
      <c r="I203" s="136" t="s">
        <v>802</v>
      </c>
      <c r="J203" s="136" t="s">
        <v>803</v>
      </c>
      <c r="K203" s="189" t="s">
        <v>4092</v>
      </c>
      <c r="L203" s="136">
        <v>3007102465</v>
      </c>
      <c r="M203" s="191" t="s">
        <v>7707</v>
      </c>
      <c r="N203" s="158" t="s">
        <v>127</v>
      </c>
      <c r="O203" s="12" t="s">
        <v>2822</v>
      </c>
      <c r="P203" s="179" t="s">
        <v>48</v>
      </c>
      <c r="Q203" s="139">
        <v>45816</v>
      </c>
      <c r="R203" s="189" t="s">
        <v>2106</v>
      </c>
      <c r="S203" s="136" t="s">
        <v>210</v>
      </c>
      <c r="T203" s="134" t="s">
        <v>507</v>
      </c>
      <c r="U203" s="189" t="s">
        <v>50</v>
      </c>
      <c r="V203" s="165">
        <v>45231</v>
      </c>
      <c r="W203" s="192" t="s">
        <v>146</v>
      </c>
      <c r="X203" s="192" t="s">
        <v>7708</v>
      </c>
      <c r="Y203" s="136" t="s">
        <v>507</v>
      </c>
      <c r="Z203" s="134" t="s">
        <v>507</v>
      </c>
      <c r="AA203" s="134" t="s">
        <v>507</v>
      </c>
      <c r="AB203" s="134" t="s">
        <v>507</v>
      </c>
      <c r="AC203" s="134" t="s">
        <v>507</v>
      </c>
      <c r="AD203" s="134" t="s">
        <v>507</v>
      </c>
      <c r="AE203" s="134" t="s">
        <v>507</v>
      </c>
      <c r="AF203" s="134" t="s">
        <v>507</v>
      </c>
      <c r="AG203" s="134" t="s">
        <v>507</v>
      </c>
      <c r="AH203" s="134" t="s">
        <v>507</v>
      </c>
      <c r="AI203" s="136" t="s">
        <v>507</v>
      </c>
      <c r="AJ203" s="136" t="s">
        <v>507</v>
      </c>
      <c r="AK203" s="136" t="s">
        <v>507</v>
      </c>
      <c r="AL203" s="136" t="s">
        <v>507</v>
      </c>
      <c r="AM203" s="134" t="s">
        <v>507</v>
      </c>
      <c r="AN203" s="134" t="s">
        <v>507</v>
      </c>
      <c r="AO203" s="139"/>
      <c r="AP203" s="136"/>
      <c r="AQ203" s="136"/>
      <c r="AR203" s="136"/>
      <c r="AS203" s="136" t="s">
        <v>507</v>
      </c>
      <c r="AT203" s="134" t="s">
        <v>507</v>
      </c>
      <c r="AU203" s="150" t="s">
        <v>53</v>
      </c>
      <c r="AV203" s="134" t="s">
        <v>507</v>
      </c>
      <c r="AW203" s="134" t="s">
        <v>507</v>
      </c>
      <c r="AX203" s="134" t="s">
        <v>507</v>
      </c>
      <c r="AY203" s="134" t="s">
        <v>507</v>
      </c>
      <c r="AZ203" s="136" t="s">
        <v>507</v>
      </c>
      <c r="BA203" s="136" t="s">
        <v>507</v>
      </c>
    </row>
    <row r="204" spans="1:53" s="36" customFormat="1" ht="14.25" hidden="1" customHeight="1" x14ac:dyDescent="0.3">
      <c r="A204" s="152" t="s">
        <v>505</v>
      </c>
      <c r="B204" s="136" t="s">
        <v>763</v>
      </c>
      <c r="C204" s="153">
        <v>70</v>
      </c>
      <c r="D204" s="136">
        <v>230</v>
      </c>
      <c r="E204" s="136" t="s">
        <v>805</v>
      </c>
      <c r="F204" s="299" t="s">
        <v>806</v>
      </c>
      <c r="G204" s="29" t="str">
        <f t="shared" si="5"/>
        <v>702308230019842</v>
      </c>
      <c r="H204" s="136" t="s">
        <v>8684</v>
      </c>
      <c r="I204" s="136">
        <v>8230019842</v>
      </c>
      <c r="J204" s="302" t="s">
        <v>8685</v>
      </c>
      <c r="K204" s="189" t="s">
        <v>4092</v>
      </c>
      <c r="L204" s="136">
        <v>3215145100</v>
      </c>
      <c r="M204" s="141" t="s">
        <v>8686</v>
      </c>
      <c r="N204" s="158" t="s">
        <v>127</v>
      </c>
      <c r="O204" s="12" t="s">
        <v>2822</v>
      </c>
      <c r="P204" s="179" t="s">
        <v>48</v>
      </c>
      <c r="Q204" s="272">
        <v>46126</v>
      </c>
      <c r="R204" s="36">
        <v>80</v>
      </c>
      <c r="S204" s="36" t="s">
        <v>49</v>
      </c>
      <c r="T204" s="36" t="s">
        <v>8420</v>
      </c>
      <c r="U204" s="36" t="s">
        <v>50</v>
      </c>
      <c r="V204" s="139">
        <v>45818</v>
      </c>
      <c r="W204" s="140">
        <v>0.8</v>
      </c>
      <c r="X204" s="136" t="s">
        <v>49</v>
      </c>
      <c r="Y204" s="134" t="s">
        <v>808</v>
      </c>
      <c r="Z204" s="136" t="s">
        <v>50</v>
      </c>
      <c r="AA204" s="134"/>
      <c r="AB204" s="134"/>
      <c r="AC204" s="134"/>
      <c r="AD204" s="134"/>
      <c r="AE204" s="134"/>
      <c r="AF204" s="134"/>
      <c r="AG204" s="134"/>
      <c r="AH204" s="134"/>
      <c r="AI204" s="136"/>
      <c r="AJ204" s="136"/>
      <c r="AK204" s="136"/>
      <c r="AL204" s="136"/>
      <c r="AM204" s="134"/>
      <c r="AN204" s="134"/>
      <c r="AO204" s="139"/>
      <c r="AP204" s="136"/>
      <c r="AQ204" s="136"/>
      <c r="AR204" s="136"/>
      <c r="AS204" s="136"/>
      <c r="AT204" s="134"/>
      <c r="AU204" s="150" t="s">
        <v>53</v>
      </c>
      <c r="AV204" s="134"/>
      <c r="AW204" s="134"/>
      <c r="AX204" s="134"/>
      <c r="AY204" s="134"/>
      <c r="AZ204" s="136"/>
      <c r="BA204" s="136"/>
    </row>
    <row r="205" spans="1:53" s="36" customFormat="1" ht="14.25" hidden="1" customHeight="1" x14ac:dyDescent="0.3">
      <c r="A205" s="152" t="s">
        <v>505</v>
      </c>
      <c r="B205" s="136" t="s">
        <v>763</v>
      </c>
      <c r="C205" s="153">
        <v>70</v>
      </c>
      <c r="D205" s="136">
        <v>230</v>
      </c>
      <c r="E205" s="136" t="s">
        <v>810</v>
      </c>
      <c r="F205" s="136" t="s">
        <v>811</v>
      </c>
      <c r="G205" s="29" t="str">
        <f t="shared" si="5"/>
        <v>7023064450789</v>
      </c>
      <c r="H205" s="136" t="s">
        <v>810</v>
      </c>
      <c r="I205" s="136">
        <v>64450789</v>
      </c>
      <c r="J205" s="136" t="s">
        <v>812</v>
      </c>
      <c r="K205" s="189" t="s">
        <v>4092</v>
      </c>
      <c r="L205" s="136">
        <v>3044314062</v>
      </c>
      <c r="M205" s="136" t="s">
        <v>507</v>
      </c>
      <c r="N205" s="12" t="s">
        <v>432</v>
      </c>
      <c r="O205" s="12" t="s">
        <v>432</v>
      </c>
      <c r="P205" s="179" t="s">
        <v>261</v>
      </c>
      <c r="Q205" s="136" t="s">
        <v>766</v>
      </c>
      <c r="R205" s="140">
        <v>0.86</v>
      </c>
      <c r="S205" s="136" t="s">
        <v>49</v>
      </c>
      <c r="T205" s="134" t="s">
        <v>507</v>
      </c>
      <c r="U205" s="189" t="s">
        <v>60</v>
      </c>
      <c r="V205" s="139">
        <v>44659</v>
      </c>
      <c r="W205" s="140">
        <v>0.68</v>
      </c>
      <c r="X205" s="134" t="s">
        <v>49</v>
      </c>
      <c r="Y205" s="136" t="s">
        <v>507</v>
      </c>
      <c r="Z205" s="189" t="s">
        <v>60</v>
      </c>
      <c r="AA205" s="134" t="s">
        <v>507</v>
      </c>
      <c r="AB205" s="134" t="s">
        <v>507</v>
      </c>
      <c r="AC205" s="136" t="s">
        <v>813</v>
      </c>
      <c r="AD205" s="136" t="s">
        <v>814</v>
      </c>
      <c r="AE205" s="134" t="s">
        <v>49</v>
      </c>
      <c r="AF205" s="189" t="s">
        <v>50</v>
      </c>
      <c r="AG205" s="136" t="s">
        <v>507</v>
      </c>
      <c r="AH205" s="134" t="s">
        <v>507</v>
      </c>
      <c r="AI205" s="139">
        <v>44206</v>
      </c>
      <c r="AJ205" s="140">
        <v>0.79</v>
      </c>
      <c r="AK205" s="136" t="s">
        <v>49</v>
      </c>
      <c r="AL205" s="136" t="s">
        <v>507</v>
      </c>
      <c r="AM205" s="136" t="s">
        <v>507</v>
      </c>
      <c r="AN205" s="134" t="s">
        <v>507</v>
      </c>
      <c r="AO205" s="136"/>
      <c r="AP205" s="136"/>
      <c r="AQ205" s="136"/>
      <c r="AR205" s="136"/>
      <c r="AS205" s="136" t="s">
        <v>507</v>
      </c>
      <c r="AT205" s="134" t="s">
        <v>507</v>
      </c>
      <c r="AU205" s="150" t="s">
        <v>53</v>
      </c>
      <c r="AV205" s="134" t="s">
        <v>507</v>
      </c>
      <c r="AW205" s="134" t="s">
        <v>507</v>
      </c>
      <c r="AX205" s="134" t="s">
        <v>507</v>
      </c>
      <c r="AY205" s="134" t="s">
        <v>507</v>
      </c>
      <c r="AZ205" s="136" t="s">
        <v>507</v>
      </c>
      <c r="BA205" s="136" t="s">
        <v>507</v>
      </c>
    </row>
    <row r="206" spans="1:53" s="36" customFormat="1" ht="14.25" hidden="1" customHeight="1" x14ac:dyDescent="0.3">
      <c r="A206" s="152" t="s">
        <v>505</v>
      </c>
      <c r="B206" s="149" t="s">
        <v>763</v>
      </c>
      <c r="C206" s="153">
        <v>70</v>
      </c>
      <c r="D206" s="149">
        <v>230</v>
      </c>
      <c r="E206" s="149" t="s">
        <v>815</v>
      </c>
      <c r="F206" s="149" t="s">
        <v>816</v>
      </c>
      <c r="G206" s="29" t="str">
        <f t="shared" si="5"/>
        <v>7023064450778</v>
      </c>
      <c r="H206" s="149" t="s">
        <v>815</v>
      </c>
      <c r="I206" s="149">
        <v>64450778</v>
      </c>
      <c r="J206" s="149" t="s">
        <v>817</v>
      </c>
      <c r="K206" s="189" t="s">
        <v>4092</v>
      </c>
      <c r="L206" s="149">
        <v>3118030327</v>
      </c>
      <c r="M206" s="149" t="s">
        <v>507</v>
      </c>
      <c r="N206" s="155" t="s">
        <v>780</v>
      </c>
      <c r="O206" s="12" t="s">
        <v>260</v>
      </c>
      <c r="P206" s="178" t="s">
        <v>261</v>
      </c>
      <c r="Q206" s="149" t="s">
        <v>603</v>
      </c>
      <c r="R206" s="156">
        <v>0.89</v>
      </c>
      <c r="S206" s="149" t="s">
        <v>49</v>
      </c>
      <c r="T206" s="148" t="s">
        <v>507</v>
      </c>
      <c r="U206" s="190" t="s">
        <v>60</v>
      </c>
      <c r="V206" s="148" t="s">
        <v>507</v>
      </c>
      <c r="W206" s="148" t="s">
        <v>507</v>
      </c>
      <c r="X206" s="148" t="s">
        <v>507</v>
      </c>
      <c r="Y206" s="149" t="s">
        <v>507</v>
      </c>
      <c r="Z206" s="148" t="s">
        <v>507</v>
      </c>
      <c r="AA206" s="148" t="s">
        <v>507</v>
      </c>
      <c r="AB206" s="148" t="s">
        <v>507</v>
      </c>
      <c r="AC206" s="148" t="s">
        <v>507</v>
      </c>
      <c r="AD206" s="148" t="s">
        <v>507</v>
      </c>
      <c r="AE206" s="148" t="s">
        <v>507</v>
      </c>
      <c r="AF206" s="148" t="s">
        <v>507</v>
      </c>
      <c r="AG206" s="148" t="s">
        <v>507</v>
      </c>
      <c r="AH206" s="148" t="s">
        <v>507</v>
      </c>
      <c r="AI206" s="149" t="s">
        <v>507</v>
      </c>
      <c r="AJ206" s="149" t="s">
        <v>507</v>
      </c>
      <c r="AK206" s="149" t="s">
        <v>507</v>
      </c>
      <c r="AL206" s="149" t="s">
        <v>507</v>
      </c>
      <c r="AM206" s="148" t="s">
        <v>507</v>
      </c>
      <c r="AN206" s="148" t="s">
        <v>507</v>
      </c>
      <c r="AO206" s="148" t="s">
        <v>507</v>
      </c>
      <c r="AP206" s="148" t="s">
        <v>507</v>
      </c>
      <c r="AQ206" s="149" t="s">
        <v>507</v>
      </c>
      <c r="AR206" s="148" t="s">
        <v>507</v>
      </c>
      <c r="AS206" s="149" t="s">
        <v>507</v>
      </c>
      <c r="AT206" s="148" t="s">
        <v>507</v>
      </c>
      <c r="AU206" s="150" t="s">
        <v>53</v>
      </c>
      <c r="AV206" s="148" t="s">
        <v>507</v>
      </c>
      <c r="AW206" s="148" t="s">
        <v>507</v>
      </c>
      <c r="AX206" s="148" t="s">
        <v>507</v>
      </c>
      <c r="AY206" s="148" t="s">
        <v>507</v>
      </c>
      <c r="AZ206" s="149" t="s">
        <v>507</v>
      </c>
      <c r="BA206" s="149" t="s">
        <v>507</v>
      </c>
    </row>
    <row r="207" spans="1:53" s="36" customFormat="1" ht="0.75" hidden="1" customHeight="1" x14ac:dyDescent="0.3">
      <c r="A207" s="152" t="s">
        <v>505</v>
      </c>
      <c r="B207" s="136" t="s">
        <v>763</v>
      </c>
      <c r="C207" s="153">
        <v>70</v>
      </c>
      <c r="D207" s="136">
        <v>230</v>
      </c>
      <c r="E207" s="136"/>
      <c r="F207" s="136" t="s">
        <v>818</v>
      </c>
      <c r="G207" s="29" t="str">
        <f t="shared" si="5"/>
        <v>7023023176127-6</v>
      </c>
      <c r="H207" s="136" t="s">
        <v>819</v>
      </c>
      <c r="I207" s="136" t="s">
        <v>820</v>
      </c>
      <c r="J207" s="136" t="s">
        <v>821</v>
      </c>
      <c r="K207" s="189" t="s">
        <v>4092</v>
      </c>
      <c r="L207" s="136" t="s">
        <v>45</v>
      </c>
      <c r="M207" s="136" t="s">
        <v>507</v>
      </c>
      <c r="N207" s="12" t="s">
        <v>46</v>
      </c>
      <c r="O207" s="12" t="s">
        <v>2797</v>
      </c>
      <c r="P207" s="179" t="s">
        <v>261</v>
      </c>
      <c r="Q207" s="136" t="s">
        <v>157</v>
      </c>
      <c r="R207" s="140">
        <v>0.8</v>
      </c>
      <c r="S207" s="136" t="s">
        <v>49</v>
      </c>
      <c r="T207" s="134" t="s">
        <v>507</v>
      </c>
      <c r="U207" s="136" t="s">
        <v>770</v>
      </c>
      <c r="V207" s="136" t="s">
        <v>822</v>
      </c>
      <c r="W207" s="140">
        <v>0.78</v>
      </c>
      <c r="X207" s="134" t="s">
        <v>49</v>
      </c>
      <c r="Y207" s="136" t="s">
        <v>507</v>
      </c>
      <c r="Z207" s="136" t="s">
        <v>768</v>
      </c>
      <c r="AA207" s="134" t="s">
        <v>507</v>
      </c>
      <c r="AB207" s="134" t="s">
        <v>507</v>
      </c>
      <c r="AC207" s="136" t="s">
        <v>823</v>
      </c>
      <c r="AD207" s="140">
        <v>0.74</v>
      </c>
      <c r="AE207" s="134" t="s">
        <v>49</v>
      </c>
      <c r="AF207" s="136" t="s">
        <v>770</v>
      </c>
      <c r="AG207" s="136" t="s">
        <v>507</v>
      </c>
      <c r="AH207" s="134" t="s">
        <v>507</v>
      </c>
      <c r="AI207" s="136" t="s">
        <v>507</v>
      </c>
      <c r="AJ207" s="136" t="s">
        <v>507</v>
      </c>
      <c r="AK207" s="136" t="s">
        <v>507</v>
      </c>
      <c r="AL207" s="136" t="s">
        <v>507</v>
      </c>
      <c r="AM207" s="136" t="s">
        <v>507</v>
      </c>
      <c r="AN207" s="134" t="s">
        <v>507</v>
      </c>
      <c r="AO207" s="136" t="s">
        <v>824</v>
      </c>
      <c r="AP207" s="136" t="s">
        <v>825</v>
      </c>
      <c r="AQ207" s="136" t="s">
        <v>49</v>
      </c>
      <c r="AR207" s="136" t="s">
        <v>774</v>
      </c>
      <c r="AS207" s="136" t="s">
        <v>507</v>
      </c>
      <c r="AT207" s="134" t="s">
        <v>507</v>
      </c>
      <c r="AU207" s="150" t="s">
        <v>53</v>
      </c>
      <c r="AV207" s="134" t="s">
        <v>507</v>
      </c>
      <c r="AW207" s="134" t="s">
        <v>507</v>
      </c>
      <c r="AX207" s="134" t="s">
        <v>507</v>
      </c>
      <c r="AY207" s="134" t="s">
        <v>507</v>
      </c>
      <c r="AZ207" s="136" t="s">
        <v>507</v>
      </c>
      <c r="BA207" s="136" t="s">
        <v>507</v>
      </c>
    </row>
    <row r="208" spans="1:53" s="36" customFormat="1" ht="14.25" hidden="1" customHeight="1" x14ac:dyDescent="0.3">
      <c r="A208" s="152" t="s">
        <v>505</v>
      </c>
      <c r="B208" s="136" t="s">
        <v>763</v>
      </c>
      <c r="C208" s="153">
        <v>70</v>
      </c>
      <c r="D208" s="136">
        <v>230</v>
      </c>
      <c r="E208" s="136"/>
      <c r="F208" s="136" t="s">
        <v>826</v>
      </c>
      <c r="G208" s="29" t="str">
        <f t="shared" si="5"/>
        <v>702301018497726</v>
      </c>
      <c r="H208" s="136" t="s">
        <v>827</v>
      </c>
      <c r="I208" s="136">
        <v>1018497726</v>
      </c>
      <c r="J208" s="136" t="s">
        <v>828</v>
      </c>
      <c r="K208" s="189" t="s">
        <v>4092</v>
      </c>
      <c r="L208" s="136">
        <v>3164428062</v>
      </c>
      <c r="M208" s="141" t="s">
        <v>829</v>
      </c>
      <c r="N208" s="158" t="s">
        <v>780</v>
      </c>
      <c r="O208" s="12" t="s">
        <v>260</v>
      </c>
      <c r="P208" s="179" t="s">
        <v>261</v>
      </c>
      <c r="Q208" s="139">
        <v>45941</v>
      </c>
      <c r="R208" s="140">
        <v>0.65</v>
      </c>
      <c r="S208" s="136" t="s">
        <v>49</v>
      </c>
      <c r="T208" s="134" t="s">
        <v>808</v>
      </c>
      <c r="U208" s="136" t="s">
        <v>50</v>
      </c>
      <c r="V208" s="134" t="s">
        <v>830</v>
      </c>
      <c r="W208" s="164">
        <v>0.88</v>
      </c>
      <c r="X208" s="134" t="s">
        <v>69</v>
      </c>
      <c r="Y208" s="136" t="s">
        <v>808</v>
      </c>
      <c r="Z208" s="134" t="s">
        <v>60</v>
      </c>
      <c r="AA208" s="134" t="s">
        <v>507</v>
      </c>
      <c r="AB208" s="134" t="s">
        <v>507</v>
      </c>
      <c r="AC208" s="134" t="s">
        <v>507</v>
      </c>
      <c r="AD208" s="134" t="s">
        <v>507</v>
      </c>
      <c r="AE208" s="134" t="s">
        <v>507</v>
      </c>
      <c r="AF208" s="134" t="s">
        <v>507</v>
      </c>
      <c r="AG208" s="134" t="s">
        <v>507</v>
      </c>
      <c r="AH208" s="134" t="s">
        <v>507</v>
      </c>
      <c r="AI208" s="136" t="s">
        <v>507</v>
      </c>
      <c r="AJ208" s="136" t="s">
        <v>507</v>
      </c>
      <c r="AK208" s="136" t="s">
        <v>507</v>
      </c>
      <c r="AL208" s="136" t="s">
        <v>507</v>
      </c>
      <c r="AM208" s="134" t="s">
        <v>507</v>
      </c>
      <c r="AN208" s="134" t="s">
        <v>507</v>
      </c>
      <c r="AO208" s="134" t="s">
        <v>507</v>
      </c>
      <c r="AP208" s="134" t="s">
        <v>507</v>
      </c>
      <c r="AQ208" s="136" t="s">
        <v>507</v>
      </c>
      <c r="AR208" s="134" t="s">
        <v>507</v>
      </c>
      <c r="AS208" s="136" t="s">
        <v>507</v>
      </c>
      <c r="AT208" s="134" t="s">
        <v>507</v>
      </c>
      <c r="AU208" s="150" t="s">
        <v>53</v>
      </c>
      <c r="AV208" s="134" t="s">
        <v>507</v>
      </c>
      <c r="AW208" s="134" t="s">
        <v>507</v>
      </c>
      <c r="AX208" s="134" t="s">
        <v>507</v>
      </c>
      <c r="AY208" s="134" t="s">
        <v>507</v>
      </c>
      <c r="AZ208" s="136" t="s">
        <v>507</v>
      </c>
      <c r="BA208" s="136" t="s">
        <v>507</v>
      </c>
    </row>
    <row r="209" spans="1:53" s="36" customFormat="1" ht="15" hidden="1" customHeight="1" x14ac:dyDescent="0.3">
      <c r="A209" s="152" t="s">
        <v>505</v>
      </c>
      <c r="B209" s="136" t="s">
        <v>763</v>
      </c>
      <c r="C209" s="153">
        <v>70</v>
      </c>
      <c r="D209" s="136">
        <v>230</v>
      </c>
      <c r="E209" s="136" t="s">
        <v>831</v>
      </c>
      <c r="F209" s="134" t="s">
        <v>832</v>
      </c>
      <c r="G209" s="29" t="str">
        <f t="shared" si="5"/>
        <v>70230830507103-9</v>
      </c>
      <c r="H209" s="136" t="s">
        <v>833</v>
      </c>
      <c r="I209" s="136" t="s">
        <v>834</v>
      </c>
      <c r="J209" s="136" t="s">
        <v>835</v>
      </c>
      <c r="K209" s="189" t="s">
        <v>4092</v>
      </c>
      <c r="L209" s="136">
        <v>3003575609</v>
      </c>
      <c r="M209" s="141" t="s">
        <v>788</v>
      </c>
      <c r="N209" s="158" t="s">
        <v>127</v>
      </c>
      <c r="O209" s="12" t="s">
        <v>2822</v>
      </c>
      <c r="P209" s="179" t="s">
        <v>48</v>
      </c>
      <c r="Q209" s="139">
        <v>45967</v>
      </c>
      <c r="R209" s="140">
        <v>0.98</v>
      </c>
      <c r="S209" s="136" t="s">
        <v>319</v>
      </c>
      <c r="T209" s="134" t="s">
        <v>808</v>
      </c>
      <c r="U209" s="136" t="s">
        <v>50</v>
      </c>
      <c r="V209" s="134" t="s">
        <v>614</v>
      </c>
      <c r="W209" s="164">
        <v>0.76</v>
      </c>
      <c r="X209" s="134" t="s">
        <v>49</v>
      </c>
      <c r="Y209" s="136" t="s">
        <v>507</v>
      </c>
      <c r="Z209" s="192" t="s">
        <v>60</v>
      </c>
      <c r="AA209" s="134" t="s">
        <v>507</v>
      </c>
      <c r="AB209" s="134" t="s">
        <v>507</v>
      </c>
      <c r="AC209" s="134" t="s">
        <v>507</v>
      </c>
      <c r="AD209" s="134" t="s">
        <v>507</v>
      </c>
      <c r="AE209" s="134" t="s">
        <v>507</v>
      </c>
      <c r="AF209" s="134" t="s">
        <v>507</v>
      </c>
      <c r="AG209" s="134" t="s">
        <v>507</v>
      </c>
      <c r="AH209" s="134" t="s">
        <v>507</v>
      </c>
      <c r="AI209" s="136" t="s">
        <v>507</v>
      </c>
      <c r="AJ209" s="136" t="s">
        <v>507</v>
      </c>
      <c r="AK209" s="136" t="s">
        <v>507</v>
      </c>
      <c r="AL209" s="136" t="s">
        <v>507</v>
      </c>
      <c r="AM209" s="134" t="s">
        <v>507</v>
      </c>
      <c r="AN209" s="134" t="s">
        <v>507</v>
      </c>
      <c r="AO209" s="136"/>
      <c r="AP209" s="140"/>
      <c r="AQ209" s="136"/>
      <c r="AR209" s="136"/>
      <c r="AS209" s="136" t="s">
        <v>507</v>
      </c>
      <c r="AT209" s="134" t="s">
        <v>507</v>
      </c>
      <c r="AU209" s="150" t="s">
        <v>53</v>
      </c>
      <c r="AV209" s="134" t="s">
        <v>507</v>
      </c>
      <c r="AW209" s="134" t="s">
        <v>507</v>
      </c>
      <c r="AX209" s="134" t="s">
        <v>507</v>
      </c>
      <c r="AY209" s="134" t="s">
        <v>507</v>
      </c>
      <c r="AZ209" s="136" t="s">
        <v>507</v>
      </c>
      <c r="BA209" s="136" t="s">
        <v>507</v>
      </c>
    </row>
    <row r="210" spans="1:53" s="36" customFormat="1" ht="14.25" hidden="1" customHeight="1" x14ac:dyDescent="0.3">
      <c r="A210" s="152" t="s">
        <v>505</v>
      </c>
      <c r="B210" s="136" t="s">
        <v>763</v>
      </c>
      <c r="C210" s="153">
        <v>70</v>
      </c>
      <c r="D210" s="136">
        <v>230</v>
      </c>
      <c r="E210" s="136"/>
      <c r="F210" s="136" t="s">
        <v>836</v>
      </c>
      <c r="G210" s="29" t="str">
        <f t="shared" si="5"/>
        <v>70230331013585</v>
      </c>
      <c r="H210" s="136" t="s">
        <v>837</v>
      </c>
      <c r="I210" s="136">
        <v>331013585</v>
      </c>
      <c r="J210" s="136" t="s">
        <v>838</v>
      </c>
      <c r="K210" s="189" t="s">
        <v>4092</v>
      </c>
      <c r="L210" s="136" t="s">
        <v>45</v>
      </c>
      <c r="M210" s="159" t="s">
        <v>839</v>
      </c>
      <c r="N210" s="12" t="s">
        <v>46</v>
      </c>
      <c r="O210" s="12" t="s">
        <v>2797</v>
      </c>
      <c r="P210" s="202" t="s">
        <v>80</v>
      </c>
      <c r="Q210" s="136" t="s">
        <v>157</v>
      </c>
      <c r="R210" s="140">
        <v>0.82</v>
      </c>
      <c r="S210" s="136" t="s">
        <v>49</v>
      </c>
      <c r="T210" s="134" t="s">
        <v>767</v>
      </c>
      <c r="U210" s="189" t="s">
        <v>50</v>
      </c>
      <c r="V210" s="136" t="s">
        <v>840</v>
      </c>
      <c r="W210" s="140">
        <v>0.75</v>
      </c>
      <c r="X210" s="134" t="s">
        <v>49</v>
      </c>
      <c r="Y210" s="136" t="s">
        <v>507</v>
      </c>
      <c r="Z210" s="189" t="s">
        <v>50</v>
      </c>
      <c r="AA210" s="134" t="s">
        <v>507</v>
      </c>
      <c r="AB210" s="134" t="s">
        <v>507</v>
      </c>
      <c r="AC210" s="134" t="s">
        <v>841</v>
      </c>
      <c r="AD210" s="164">
        <v>0.77</v>
      </c>
      <c r="AE210" s="134" t="s">
        <v>49</v>
      </c>
      <c r="AF210" s="192" t="s">
        <v>50</v>
      </c>
      <c r="AG210" s="136" t="s">
        <v>507</v>
      </c>
      <c r="AH210" s="134" t="s">
        <v>507</v>
      </c>
      <c r="AI210" s="136" t="s">
        <v>507</v>
      </c>
      <c r="AJ210" s="136" t="s">
        <v>507</v>
      </c>
      <c r="AK210" s="136" t="s">
        <v>507</v>
      </c>
      <c r="AL210" s="136" t="s">
        <v>507</v>
      </c>
      <c r="AM210" s="134" t="s">
        <v>507</v>
      </c>
      <c r="AN210" s="134" t="s">
        <v>507</v>
      </c>
      <c r="AO210" s="136"/>
      <c r="AP210" s="140"/>
      <c r="AQ210" s="136"/>
      <c r="AR210" s="136"/>
      <c r="AS210" s="136" t="s">
        <v>507</v>
      </c>
      <c r="AT210" s="134" t="s">
        <v>507</v>
      </c>
      <c r="AU210" s="204" t="s">
        <v>53</v>
      </c>
      <c r="AV210" s="134" t="s">
        <v>507</v>
      </c>
      <c r="AW210" s="134" t="s">
        <v>507</v>
      </c>
      <c r="AX210" s="134" t="s">
        <v>507</v>
      </c>
      <c r="AY210" s="134" t="s">
        <v>507</v>
      </c>
      <c r="AZ210" s="136" t="s">
        <v>507</v>
      </c>
      <c r="BA210" s="136" t="s">
        <v>507</v>
      </c>
    </row>
    <row r="211" spans="1:53" s="36" customFormat="1" ht="14.25" hidden="1" customHeight="1" x14ac:dyDescent="0.3">
      <c r="A211" s="152" t="s">
        <v>505</v>
      </c>
      <c r="B211" s="136" t="s">
        <v>763</v>
      </c>
      <c r="C211" s="153">
        <v>70</v>
      </c>
      <c r="D211" s="136">
        <v>230</v>
      </c>
      <c r="E211" s="136"/>
      <c r="F211" s="136" t="s">
        <v>842</v>
      </c>
      <c r="G211" s="29" t="str">
        <f t="shared" si="5"/>
        <v>7023045540827</v>
      </c>
      <c r="H211" s="136" t="s">
        <v>843</v>
      </c>
      <c r="I211" s="136">
        <v>45540827</v>
      </c>
      <c r="J211" s="136" t="s">
        <v>844</v>
      </c>
      <c r="K211" s="189" t="s">
        <v>4092</v>
      </c>
      <c r="L211" s="141">
        <v>3118086057</v>
      </c>
      <c r="M211" s="141" t="s">
        <v>845</v>
      </c>
      <c r="N211" s="12" t="s">
        <v>46</v>
      </c>
      <c r="O211" s="12" t="s">
        <v>2797</v>
      </c>
      <c r="P211" s="202" t="s">
        <v>8022</v>
      </c>
      <c r="Q211" s="139">
        <v>45787</v>
      </c>
      <c r="R211" s="143">
        <v>0.66500000000000004</v>
      </c>
      <c r="S211" s="136" t="s">
        <v>49</v>
      </c>
      <c r="T211" s="134" t="s">
        <v>808</v>
      </c>
      <c r="U211" s="136" t="s">
        <v>50</v>
      </c>
      <c r="V211" s="136" t="s">
        <v>846</v>
      </c>
      <c r="W211" s="140">
        <v>0.68</v>
      </c>
      <c r="X211" s="134" t="s">
        <v>49</v>
      </c>
      <c r="Y211" s="136" t="s">
        <v>808</v>
      </c>
      <c r="Z211" s="136" t="s">
        <v>60</v>
      </c>
      <c r="AA211" s="134"/>
      <c r="AB211" s="134"/>
      <c r="AC211" s="134"/>
      <c r="AD211" s="134"/>
      <c r="AE211" s="134"/>
      <c r="AF211" s="134"/>
      <c r="AG211" s="136"/>
      <c r="AH211" s="134"/>
      <c r="AI211" s="136"/>
      <c r="AJ211" s="136"/>
      <c r="AK211" s="136"/>
      <c r="AL211" s="136"/>
      <c r="AM211" s="134"/>
      <c r="AN211" s="134"/>
      <c r="AO211" s="136"/>
      <c r="AP211" s="140"/>
      <c r="AQ211" s="136"/>
      <c r="AR211" s="136"/>
      <c r="AS211" s="136"/>
      <c r="AT211" s="134"/>
      <c r="AU211" s="204" t="s">
        <v>53</v>
      </c>
      <c r="AV211" s="134"/>
      <c r="AW211" s="134"/>
      <c r="AX211" s="134"/>
      <c r="AY211" s="134"/>
      <c r="AZ211" s="136"/>
      <c r="BA211" s="136"/>
    </row>
    <row r="212" spans="1:53" s="36" customFormat="1" ht="14.25" hidden="1" customHeight="1" x14ac:dyDescent="0.3">
      <c r="A212" s="152" t="s">
        <v>505</v>
      </c>
      <c r="B212" s="136" t="s">
        <v>763</v>
      </c>
      <c r="C212" s="153">
        <v>70</v>
      </c>
      <c r="D212" s="136">
        <v>230</v>
      </c>
      <c r="E212" s="136"/>
      <c r="F212" s="299" t="s">
        <v>9033</v>
      </c>
      <c r="G212" s="29" t="str">
        <f t="shared" si="5"/>
        <v>7023073239000</v>
      </c>
      <c r="H212" s="136" t="s">
        <v>9034</v>
      </c>
      <c r="I212" s="136">
        <v>73239000</v>
      </c>
      <c r="J212" s="136" t="s">
        <v>9035</v>
      </c>
      <c r="K212" s="189" t="s">
        <v>4092</v>
      </c>
      <c r="L212" s="141">
        <v>3007455561</v>
      </c>
      <c r="M212" s="141" t="s">
        <v>9036</v>
      </c>
      <c r="N212" s="12" t="s">
        <v>46</v>
      </c>
      <c r="O212" s="12" t="s">
        <v>2797</v>
      </c>
      <c r="P212" s="202" t="s">
        <v>8022</v>
      </c>
      <c r="Q212" s="354">
        <v>46219</v>
      </c>
      <c r="R212" s="355" t="s">
        <v>8942</v>
      </c>
      <c r="S212" s="136" t="s">
        <v>49</v>
      </c>
      <c r="T212" s="192" t="s">
        <v>808</v>
      </c>
      <c r="U212" s="189" t="s">
        <v>60</v>
      </c>
      <c r="V212" s="136"/>
      <c r="W212" s="140"/>
      <c r="X212" s="134"/>
      <c r="Y212" s="136"/>
      <c r="Z212" s="136"/>
      <c r="AA212" s="134"/>
      <c r="AB212" s="134"/>
      <c r="AC212" s="134"/>
      <c r="AD212" s="134"/>
      <c r="AE212" s="134"/>
      <c r="AF212" s="134"/>
      <c r="AG212" s="136"/>
      <c r="AH212" s="134"/>
      <c r="AI212" s="136"/>
      <c r="AJ212" s="136"/>
      <c r="AK212" s="136"/>
      <c r="AL212" s="136"/>
      <c r="AM212" s="134"/>
      <c r="AN212" s="134"/>
      <c r="AO212" s="136"/>
      <c r="AP212" s="140"/>
      <c r="AQ212" s="136"/>
      <c r="AR212" s="136"/>
      <c r="AS212" s="136"/>
      <c r="AT212" s="134"/>
      <c r="AU212" s="204" t="s">
        <v>53</v>
      </c>
      <c r="AV212" s="134"/>
      <c r="AW212" s="134"/>
      <c r="AX212" s="134"/>
      <c r="AY212" s="134"/>
      <c r="AZ212" s="136"/>
      <c r="BA212" s="136"/>
    </row>
    <row r="213" spans="1:53" s="36" customFormat="1" ht="14.25" customHeight="1" x14ac:dyDescent="0.3">
      <c r="A213" s="152" t="s">
        <v>505</v>
      </c>
      <c r="B213" s="136" t="s">
        <v>763</v>
      </c>
      <c r="C213" s="153">
        <v>70</v>
      </c>
      <c r="D213" s="136">
        <v>230</v>
      </c>
      <c r="E213" s="136"/>
      <c r="F213" s="299" t="s">
        <v>847</v>
      </c>
      <c r="G213" s="29" t="str">
        <f t="shared" si="5"/>
        <v>7023064450132-7</v>
      </c>
      <c r="H213" s="136" t="s">
        <v>848</v>
      </c>
      <c r="I213" s="136" t="s">
        <v>849</v>
      </c>
      <c r="J213" s="136" t="s">
        <v>850</v>
      </c>
      <c r="K213" s="189" t="s">
        <v>4092</v>
      </c>
      <c r="L213" s="136">
        <v>3022956838</v>
      </c>
      <c r="M213" s="141" t="s">
        <v>851</v>
      </c>
      <c r="N213" s="12" t="s">
        <v>46</v>
      </c>
      <c r="O213" s="12" t="s">
        <v>47</v>
      </c>
      <c r="P213" s="179" t="s">
        <v>48</v>
      </c>
      <c r="Q213" s="272">
        <v>46153</v>
      </c>
      <c r="R213" s="280">
        <v>0.84</v>
      </c>
      <c r="S213" s="36" t="s">
        <v>49</v>
      </c>
      <c r="T213" s="134" t="s">
        <v>808</v>
      </c>
      <c r="U213" s="136" t="s">
        <v>50</v>
      </c>
      <c r="V213" s="136" t="s">
        <v>852</v>
      </c>
      <c r="W213" s="140">
        <v>0.84</v>
      </c>
      <c r="X213" s="136" t="s">
        <v>49</v>
      </c>
      <c r="Y213" s="136" t="s">
        <v>808</v>
      </c>
      <c r="Z213" s="136" t="s">
        <v>60</v>
      </c>
      <c r="AA213" s="134" t="s">
        <v>507</v>
      </c>
      <c r="AB213" s="134" t="s">
        <v>507</v>
      </c>
      <c r="AC213" s="134" t="s">
        <v>507</v>
      </c>
      <c r="AD213" s="134" t="s">
        <v>507</v>
      </c>
      <c r="AE213" s="134" t="s">
        <v>507</v>
      </c>
      <c r="AF213" s="134" t="s">
        <v>507</v>
      </c>
      <c r="AG213" s="134" t="s">
        <v>507</v>
      </c>
      <c r="AH213" s="134" t="s">
        <v>507</v>
      </c>
      <c r="AI213" s="136" t="s">
        <v>507</v>
      </c>
      <c r="AJ213" s="136" t="s">
        <v>507</v>
      </c>
      <c r="AK213" s="136" t="s">
        <v>507</v>
      </c>
      <c r="AL213" s="136" t="s">
        <v>507</v>
      </c>
      <c r="AM213" s="134" t="s">
        <v>507</v>
      </c>
      <c r="AN213" s="134" t="s">
        <v>507</v>
      </c>
      <c r="AO213" s="136" t="s">
        <v>507</v>
      </c>
      <c r="AP213" s="134" t="s">
        <v>507</v>
      </c>
      <c r="AQ213" s="136" t="s">
        <v>507</v>
      </c>
      <c r="AR213" s="134" t="s">
        <v>507</v>
      </c>
      <c r="AS213" s="136" t="s">
        <v>507</v>
      </c>
      <c r="AT213" s="134" t="s">
        <v>507</v>
      </c>
      <c r="AU213" s="150" t="s">
        <v>53</v>
      </c>
      <c r="AV213" s="134" t="s">
        <v>507</v>
      </c>
      <c r="AW213" s="134" t="s">
        <v>507</v>
      </c>
      <c r="AX213" s="134" t="s">
        <v>507</v>
      </c>
      <c r="AY213" s="134" t="s">
        <v>507</v>
      </c>
      <c r="AZ213" s="136" t="s">
        <v>507</v>
      </c>
      <c r="BA213" s="136" t="s">
        <v>507</v>
      </c>
    </row>
    <row r="214" spans="1:53" s="36" customFormat="1" ht="14.25" customHeight="1" x14ac:dyDescent="0.3">
      <c r="A214" s="152" t="s">
        <v>505</v>
      </c>
      <c r="B214" s="136" t="s">
        <v>763</v>
      </c>
      <c r="C214" s="153">
        <v>70</v>
      </c>
      <c r="D214" s="136">
        <v>230</v>
      </c>
      <c r="E214" s="136"/>
      <c r="F214" s="299" t="s">
        <v>853</v>
      </c>
      <c r="G214" s="29" t="str">
        <f t="shared" si="5"/>
        <v>7023064891582</v>
      </c>
      <c r="H214" s="136" t="s">
        <v>854</v>
      </c>
      <c r="I214" s="136">
        <v>64891582</v>
      </c>
      <c r="J214" s="136" t="s">
        <v>8904</v>
      </c>
      <c r="K214" s="189" t="s">
        <v>4092</v>
      </c>
      <c r="L214" s="136">
        <v>3234945054</v>
      </c>
      <c r="M214" s="141" t="s">
        <v>855</v>
      </c>
      <c r="N214" s="12" t="s">
        <v>46</v>
      </c>
      <c r="O214" s="12" t="s">
        <v>47</v>
      </c>
      <c r="P214" s="179" t="s">
        <v>48</v>
      </c>
      <c r="Q214" s="272">
        <v>46150</v>
      </c>
      <c r="R214" s="36" t="s">
        <v>8905</v>
      </c>
      <c r="S214" s="36" t="s">
        <v>49</v>
      </c>
      <c r="T214" s="134" t="s">
        <v>808</v>
      </c>
      <c r="U214" s="136" t="s">
        <v>50</v>
      </c>
      <c r="V214" s="136" t="s">
        <v>789</v>
      </c>
      <c r="W214" s="140">
        <v>0.89</v>
      </c>
      <c r="X214" s="136" t="s">
        <v>49</v>
      </c>
      <c r="Y214" s="134" t="s">
        <v>808</v>
      </c>
      <c r="Z214" s="136" t="s">
        <v>50</v>
      </c>
      <c r="AA214" s="134" t="s">
        <v>507</v>
      </c>
      <c r="AB214" s="134" t="s">
        <v>507</v>
      </c>
      <c r="AC214" s="134" t="s">
        <v>856</v>
      </c>
      <c r="AD214" s="166">
        <v>0.89500000000000002</v>
      </c>
      <c r="AE214" s="134" t="s">
        <v>69</v>
      </c>
      <c r="AF214" s="36" t="s">
        <v>60</v>
      </c>
      <c r="AG214" s="134" t="s">
        <v>507</v>
      </c>
      <c r="AH214" s="134" t="s">
        <v>507</v>
      </c>
      <c r="AI214" s="134" t="s">
        <v>857</v>
      </c>
      <c r="AJ214" s="164">
        <v>0.72</v>
      </c>
      <c r="AK214" s="134" t="s">
        <v>49</v>
      </c>
      <c r="AL214" s="192" t="s">
        <v>60</v>
      </c>
      <c r="AM214" s="134" t="s">
        <v>507</v>
      </c>
      <c r="AN214" s="134" t="s">
        <v>507</v>
      </c>
      <c r="AO214" s="195"/>
      <c r="AP214" s="196"/>
      <c r="AQ214" s="179"/>
      <c r="AR214" s="179"/>
      <c r="AS214" s="136" t="s">
        <v>507</v>
      </c>
      <c r="AT214" s="134" t="s">
        <v>507</v>
      </c>
      <c r="AU214" s="150" t="s">
        <v>53</v>
      </c>
      <c r="AV214" s="134" t="s">
        <v>507</v>
      </c>
      <c r="AW214" s="134" t="s">
        <v>507</v>
      </c>
      <c r="AX214" s="134" t="s">
        <v>507</v>
      </c>
      <c r="AY214" s="134" t="s">
        <v>507</v>
      </c>
      <c r="AZ214" s="136" t="s">
        <v>507</v>
      </c>
      <c r="BA214" s="136" t="s">
        <v>507</v>
      </c>
    </row>
    <row r="215" spans="1:53" s="36" customFormat="1" ht="14.25" customHeight="1" x14ac:dyDescent="0.3">
      <c r="A215" s="160" t="s">
        <v>505</v>
      </c>
      <c r="B215" s="136" t="s">
        <v>763</v>
      </c>
      <c r="C215" s="149">
        <v>70</v>
      </c>
      <c r="D215" s="136">
        <v>230</v>
      </c>
      <c r="E215" s="136"/>
      <c r="F215" s="299" t="s">
        <v>858</v>
      </c>
      <c r="G215" s="29" t="str">
        <f t="shared" si="5"/>
        <v>7023045496473</v>
      </c>
      <c r="H215" s="136" t="s">
        <v>859</v>
      </c>
      <c r="I215" s="136">
        <v>45496473</v>
      </c>
      <c r="J215" s="136" t="s">
        <v>860</v>
      </c>
      <c r="K215" s="189" t="s">
        <v>4092</v>
      </c>
      <c r="L215" s="136">
        <v>3154709211</v>
      </c>
      <c r="M215" s="141" t="s">
        <v>855</v>
      </c>
      <c r="N215" s="12" t="s">
        <v>46</v>
      </c>
      <c r="O215" s="12" t="s">
        <v>47</v>
      </c>
      <c r="P215" s="179" t="s">
        <v>48</v>
      </c>
      <c r="Q215" s="272">
        <v>46182</v>
      </c>
      <c r="R215" s="280">
        <v>0.85</v>
      </c>
      <c r="S215" s="36" t="s">
        <v>49</v>
      </c>
      <c r="T215" s="134" t="s">
        <v>808</v>
      </c>
      <c r="U215" s="36" t="s">
        <v>60</v>
      </c>
      <c r="V215" s="272">
        <v>45867</v>
      </c>
      <c r="W215" s="280">
        <v>0.89</v>
      </c>
      <c r="X215" s="136" t="s">
        <v>49</v>
      </c>
      <c r="Y215" s="189" t="s">
        <v>808</v>
      </c>
      <c r="Z215" s="192" t="s">
        <v>60</v>
      </c>
      <c r="AA215" s="134" t="s">
        <v>507</v>
      </c>
      <c r="AB215" s="134" t="s">
        <v>507</v>
      </c>
      <c r="AC215" s="136" t="s">
        <v>861</v>
      </c>
      <c r="AD215" s="140">
        <v>0.7</v>
      </c>
      <c r="AE215" s="136" t="s">
        <v>49</v>
      </c>
      <c r="AF215" s="192" t="s">
        <v>60</v>
      </c>
      <c r="AG215" s="136" t="s">
        <v>507</v>
      </c>
      <c r="AH215" s="134" t="s">
        <v>507</v>
      </c>
      <c r="AI215" s="134" t="s">
        <v>862</v>
      </c>
      <c r="AJ215" s="134" t="s">
        <v>863</v>
      </c>
      <c r="AK215" s="134" t="s">
        <v>49</v>
      </c>
      <c r="AL215" s="192" t="s">
        <v>60</v>
      </c>
      <c r="AM215" s="134" t="s">
        <v>507</v>
      </c>
      <c r="AN215" s="134" t="s">
        <v>507</v>
      </c>
      <c r="AO215" s="179"/>
      <c r="AP215" s="196"/>
      <c r="AQ215" s="179"/>
      <c r="AR215" s="179"/>
      <c r="AS215" s="136" t="s">
        <v>507</v>
      </c>
      <c r="AT215" s="134" t="s">
        <v>507</v>
      </c>
      <c r="AU215" s="150" t="s">
        <v>53</v>
      </c>
      <c r="AV215" s="134" t="s">
        <v>507</v>
      </c>
      <c r="AW215" s="134" t="s">
        <v>507</v>
      </c>
      <c r="AX215" s="134" t="s">
        <v>507</v>
      </c>
      <c r="AY215" s="134" t="s">
        <v>507</v>
      </c>
      <c r="AZ215" s="136" t="s">
        <v>507</v>
      </c>
      <c r="BA215" s="136" t="s">
        <v>507</v>
      </c>
    </row>
    <row r="216" spans="1:53" s="36" customFormat="1" ht="14.25" customHeight="1" x14ac:dyDescent="0.3">
      <c r="A216" s="135" t="s">
        <v>505</v>
      </c>
      <c r="B216" s="136" t="s">
        <v>763</v>
      </c>
      <c r="C216" s="136">
        <v>70</v>
      </c>
      <c r="D216" s="136">
        <v>230</v>
      </c>
      <c r="E216" s="136"/>
      <c r="F216" s="305" t="s">
        <v>864</v>
      </c>
      <c r="G216" s="29" t="str">
        <f t="shared" si="5"/>
        <v>7023039097542</v>
      </c>
      <c r="H216" s="136" t="s">
        <v>865</v>
      </c>
      <c r="I216" s="136">
        <v>39097542</v>
      </c>
      <c r="J216" s="136" t="s">
        <v>866</v>
      </c>
      <c r="K216" s="189" t="s">
        <v>4092</v>
      </c>
      <c r="L216" s="136" t="s">
        <v>45</v>
      </c>
      <c r="M216" s="136" t="s">
        <v>507</v>
      </c>
      <c r="N216" s="12" t="s">
        <v>46</v>
      </c>
      <c r="O216" s="12" t="s">
        <v>47</v>
      </c>
      <c r="P216" s="179" t="s">
        <v>48</v>
      </c>
      <c r="Q216" s="136" t="s">
        <v>867</v>
      </c>
      <c r="R216" s="140">
        <v>0.85</v>
      </c>
      <c r="S216" s="136" t="s">
        <v>49</v>
      </c>
      <c r="T216" s="134" t="s">
        <v>507</v>
      </c>
      <c r="U216" s="136" t="s">
        <v>507</v>
      </c>
      <c r="V216" s="165">
        <v>43992</v>
      </c>
      <c r="W216" s="164">
        <v>0.81</v>
      </c>
      <c r="X216" s="134" t="s">
        <v>49</v>
      </c>
      <c r="Y216" s="136" t="s">
        <v>507</v>
      </c>
      <c r="Z216" s="192" t="s">
        <v>60</v>
      </c>
      <c r="AA216" s="134" t="s">
        <v>507</v>
      </c>
      <c r="AB216" s="134" t="s">
        <v>507</v>
      </c>
      <c r="AC216" s="134" t="s">
        <v>507</v>
      </c>
      <c r="AD216" s="134" t="s">
        <v>507</v>
      </c>
      <c r="AE216" s="134" t="s">
        <v>507</v>
      </c>
      <c r="AF216" s="134" t="s">
        <v>507</v>
      </c>
      <c r="AG216" s="134" t="s">
        <v>507</v>
      </c>
      <c r="AH216" s="134" t="s">
        <v>507</v>
      </c>
      <c r="AI216" s="136" t="s">
        <v>507</v>
      </c>
      <c r="AJ216" s="136" t="s">
        <v>507</v>
      </c>
      <c r="AK216" s="136" t="s">
        <v>507</v>
      </c>
      <c r="AL216" s="136" t="s">
        <v>507</v>
      </c>
      <c r="AM216" s="134" t="s">
        <v>507</v>
      </c>
      <c r="AN216" s="134" t="s">
        <v>507</v>
      </c>
      <c r="AO216" s="139"/>
      <c r="AP216" s="140"/>
      <c r="AQ216" s="136"/>
      <c r="AR216" s="136"/>
      <c r="AS216" s="136" t="s">
        <v>507</v>
      </c>
      <c r="AT216" s="134" t="s">
        <v>507</v>
      </c>
      <c r="AU216" s="150" t="s">
        <v>53</v>
      </c>
      <c r="AV216" s="134" t="s">
        <v>507</v>
      </c>
      <c r="AW216" s="134" t="s">
        <v>507</v>
      </c>
      <c r="AX216" s="134" t="s">
        <v>507</v>
      </c>
      <c r="AY216" s="134" t="s">
        <v>507</v>
      </c>
      <c r="AZ216" s="136" t="s">
        <v>507</v>
      </c>
      <c r="BA216" s="136" t="s">
        <v>507</v>
      </c>
    </row>
    <row r="217" spans="1:53" s="36" customFormat="1" ht="14.25" customHeight="1" x14ac:dyDescent="0.3">
      <c r="A217" s="135" t="s">
        <v>505</v>
      </c>
      <c r="B217" s="136" t="s">
        <v>763</v>
      </c>
      <c r="C217" s="136">
        <v>70</v>
      </c>
      <c r="D217" s="136">
        <v>230</v>
      </c>
      <c r="E217" s="136"/>
      <c r="F217" s="336" t="s">
        <v>8906</v>
      </c>
      <c r="G217" s="29" t="str">
        <f t="shared" si="5"/>
        <v>7023064588671</v>
      </c>
      <c r="H217" s="189" t="s">
        <v>8907</v>
      </c>
      <c r="I217" s="136">
        <v>64588671</v>
      </c>
      <c r="J217" s="136" t="s">
        <v>8908</v>
      </c>
      <c r="K217" s="189" t="s">
        <v>4092</v>
      </c>
      <c r="L217" s="136">
        <v>3009695808</v>
      </c>
      <c r="M217" s="136" t="s">
        <v>8909</v>
      </c>
      <c r="N217" s="146" t="s">
        <v>46</v>
      </c>
      <c r="O217" s="12" t="s">
        <v>47</v>
      </c>
      <c r="P217" s="202" t="s">
        <v>48</v>
      </c>
      <c r="Q217" s="136"/>
      <c r="R217" s="140"/>
      <c r="S217" s="136"/>
      <c r="T217" s="134"/>
      <c r="U217" s="136"/>
      <c r="V217" s="165"/>
      <c r="W217" s="164"/>
      <c r="X217" s="134"/>
      <c r="Y217" s="136"/>
      <c r="Z217" s="192"/>
      <c r="AA217" s="134"/>
      <c r="AB217" s="134"/>
      <c r="AC217" s="134"/>
      <c r="AD217" s="134"/>
      <c r="AE217" s="134"/>
      <c r="AF217" s="134"/>
      <c r="AG217" s="134"/>
      <c r="AH217" s="134"/>
      <c r="AI217" s="136"/>
      <c r="AJ217" s="136"/>
      <c r="AK217" s="136"/>
      <c r="AL217" s="136"/>
      <c r="AM217" s="134"/>
      <c r="AN217" s="134"/>
      <c r="AO217" s="139"/>
      <c r="AP217" s="140"/>
      <c r="AQ217" s="136"/>
      <c r="AR217" s="136"/>
      <c r="AS217" s="136"/>
      <c r="AT217" s="134"/>
      <c r="AU217" s="151" t="s">
        <v>164</v>
      </c>
      <c r="AV217" s="134"/>
      <c r="AW217" s="134"/>
      <c r="AX217" s="134"/>
      <c r="AY217" s="134"/>
      <c r="AZ217" s="136"/>
      <c r="BA217" s="136"/>
    </row>
    <row r="218" spans="1:53" s="36" customFormat="1" ht="14.25" hidden="1" customHeight="1" x14ac:dyDescent="0.3">
      <c r="A218" s="135" t="s">
        <v>505</v>
      </c>
      <c r="B218" s="136" t="s">
        <v>763</v>
      </c>
      <c r="C218" s="136">
        <v>70</v>
      </c>
      <c r="D218" s="136">
        <v>230</v>
      </c>
      <c r="E218" s="136"/>
      <c r="F218" s="136" t="s">
        <v>868</v>
      </c>
      <c r="G218" s="29" t="str">
        <f t="shared" si="5"/>
        <v>7023064450854</v>
      </c>
      <c r="H218" s="136" t="s">
        <v>869</v>
      </c>
      <c r="I218" s="136">
        <v>64450854</v>
      </c>
      <c r="J218" s="136" t="s">
        <v>870</v>
      </c>
      <c r="K218" s="189" t="s">
        <v>4092</v>
      </c>
      <c r="L218" s="136">
        <v>3042711454</v>
      </c>
      <c r="M218" s="136" t="s">
        <v>507</v>
      </c>
      <c r="N218" s="158" t="s">
        <v>780</v>
      </c>
      <c r="O218" s="12" t="s">
        <v>260</v>
      </c>
      <c r="P218" s="179" t="s">
        <v>261</v>
      </c>
      <c r="Q218" s="136" t="s">
        <v>781</v>
      </c>
      <c r="R218" s="136" t="s">
        <v>871</v>
      </c>
      <c r="S218" s="136" t="s">
        <v>49</v>
      </c>
      <c r="T218" s="134" t="s">
        <v>507</v>
      </c>
      <c r="U218" s="189" t="s">
        <v>50</v>
      </c>
      <c r="V218" s="139">
        <v>44840</v>
      </c>
      <c r="W218" s="140">
        <v>0.84</v>
      </c>
      <c r="X218" s="134" t="s">
        <v>49</v>
      </c>
      <c r="Y218" s="136" t="s">
        <v>507</v>
      </c>
      <c r="Z218" s="192" t="s">
        <v>60</v>
      </c>
      <c r="AA218" s="134" t="s">
        <v>507</v>
      </c>
      <c r="AB218" s="134" t="s">
        <v>507</v>
      </c>
      <c r="AC218" s="136" t="s">
        <v>872</v>
      </c>
      <c r="AD218" s="136" t="s">
        <v>873</v>
      </c>
      <c r="AE218" s="134" t="s">
        <v>49</v>
      </c>
      <c r="AF218" s="189" t="s">
        <v>60</v>
      </c>
      <c r="AG218" s="136" t="s">
        <v>507</v>
      </c>
      <c r="AH218" s="134" t="s">
        <v>507</v>
      </c>
      <c r="AI218" s="136" t="s">
        <v>867</v>
      </c>
      <c r="AJ218" s="140">
        <v>0.85</v>
      </c>
      <c r="AK218" s="136" t="s">
        <v>49</v>
      </c>
      <c r="AL218" s="136" t="s">
        <v>507</v>
      </c>
      <c r="AM218" s="136" t="s">
        <v>507</v>
      </c>
      <c r="AN218" s="134" t="s">
        <v>507</v>
      </c>
      <c r="AO218" s="136"/>
      <c r="AP218" s="136"/>
      <c r="AQ218" s="136"/>
      <c r="AR218" s="136"/>
      <c r="AS218" s="136" t="s">
        <v>507</v>
      </c>
      <c r="AT218" s="134" t="s">
        <v>507</v>
      </c>
      <c r="AU218" s="150" t="s">
        <v>53</v>
      </c>
      <c r="AV218" s="134" t="s">
        <v>507</v>
      </c>
      <c r="AW218" s="134" t="s">
        <v>507</v>
      </c>
      <c r="AX218" s="134" t="s">
        <v>507</v>
      </c>
      <c r="AY218" s="134" t="s">
        <v>507</v>
      </c>
      <c r="AZ218" s="136" t="s">
        <v>507</v>
      </c>
      <c r="BA218" s="136" t="s">
        <v>507</v>
      </c>
    </row>
    <row r="219" spans="1:53" s="36" customFormat="1" ht="14.25" hidden="1" customHeight="1" x14ac:dyDescent="0.3">
      <c r="A219" s="160" t="s">
        <v>505</v>
      </c>
      <c r="B219" s="149" t="s">
        <v>763</v>
      </c>
      <c r="C219" s="149">
        <v>70</v>
      </c>
      <c r="D219" s="149">
        <v>230</v>
      </c>
      <c r="E219" s="149"/>
      <c r="F219" s="149" t="s">
        <v>874</v>
      </c>
      <c r="G219" s="29" t="str">
        <f t="shared" si="5"/>
        <v>702301100306631</v>
      </c>
      <c r="H219" s="149" t="s">
        <v>875</v>
      </c>
      <c r="I219" s="149">
        <v>1100306631</v>
      </c>
      <c r="J219" s="149" t="s">
        <v>876</v>
      </c>
      <c r="K219" s="189" t="s">
        <v>4092</v>
      </c>
      <c r="L219" s="149" t="s">
        <v>45</v>
      </c>
      <c r="M219" s="149" t="s">
        <v>507</v>
      </c>
      <c r="N219" s="155" t="s">
        <v>780</v>
      </c>
      <c r="O219" s="12" t="s">
        <v>260</v>
      </c>
      <c r="P219" s="178" t="s">
        <v>261</v>
      </c>
      <c r="Q219" s="149" t="s">
        <v>382</v>
      </c>
      <c r="R219" s="156">
        <v>0.85</v>
      </c>
      <c r="S219" s="149" t="s">
        <v>49</v>
      </c>
      <c r="T219" s="148" t="s">
        <v>507</v>
      </c>
      <c r="U219" s="190" t="s">
        <v>60</v>
      </c>
      <c r="V219" s="148" t="s">
        <v>507</v>
      </c>
      <c r="W219" s="148" t="s">
        <v>507</v>
      </c>
      <c r="X219" s="148" t="s">
        <v>507</v>
      </c>
      <c r="Y219" s="148" t="s">
        <v>507</v>
      </c>
      <c r="Z219" s="148" t="s">
        <v>507</v>
      </c>
      <c r="AA219" s="148" t="s">
        <v>507</v>
      </c>
      <c r="AB219" s="148" t="s">
        <v>507</v>
      </c>
      <c r="AC219" s="148" t="s">
        <v>507</v>
      </c>
      <c r="AD219" s="148" t="s">
        <v>507</v>
      </c>
      <c r="AE219" s="148" t="s">
        <v>507</v>
      </c>
      <c r="AF219" s="149" t="s">
        <v>507</v>
      </c>
      <c r="AG219" s="148" t="s">
        <v>507</v>
      </c>
      <c r="AH219" s="148" t="s">
        <v>507</v>
      </c>
      <c r="AI219" s="148" t="s">
        <v>507</v>
      </c>
      <c r="AJ219" s="148" t="s">
        <v>507</v>
      </c>
      <c r="AK219" s="149" t="s">
        <v>507</v>
      </c>
      <c r="AL219" s="148" t="s">
        <v>507</v>
      </c>
      <c r="AM219" s="148" t="s">
        <v>507</v>
      </c>
      <c r="AN219" s="148" t="s">
        <v>507</v>
      </c>
      <c r="AO219" s="148" t="s">
        <v>507</v>
      </c>
      <c r="AP219" s="148" t="s">
        <v>507</v>
      </c>
      <c r="AQ219" s="149" t="s">
        <v>507</v>
      </c>
      <c r="AR219" s="148" t="s">
        <v>507</v>
      </c>
      <c r="AS219" s="148" t="s">
        <v>507</v>
      </c>
      <c r="AT219" s="148" t="s">
        <v>507</v>
      </c>
      <c r="AU219" s="150" t="s">
        <v>53</v>
      </c>
      <c r="AV219" s="148" t="s">
        <v>507</v>
      </c>
      <c r="AW219" s="148" t="s">
        <v>507</v>
      </c>
      <c r="AX219" s="148" t="s">
        <v>507</v>
      </c>
      <c r="AY219" s="148" t="s">
        <v>507</v>
      </c>
      <c r="AZ219" s="149" t="s">
        <v>507</v>
      </c>
      <c r="BA219" s="149" t="s">
        <v>507</v>
      </c>
    </row>
    <row r="220" spans="1:53" s="36" customFormat="1" ht="14.25" hidden="1" customHeight="1" x14ac:dyDescent="0.3">
      <c r="A220" s="135" t="s">
        <v>505</v>
      </c>
      <c r="B220" s="136" t="s">
        <v>763</v>
      </c>
      <c r="C220" s="136">
        <v>70</v>
      </c>
      <c r="D220" s="136">
        <v>230</v>
      </c>
      <c r="E220" s="136"/>
      <c r="F220" s="136" t="s">
        <v>877</v>
      </c>
      <c r="G220" s="29" t="str">
        <f t="shared" si="5"/>
        <v>7023092600162</v>
      </c>
      <c r="H220" s="136" t="s">
        <v>878</v>
      </c>
      <c r="I220" s="136">
        <v>92600162</v>
      </c>
      <c r="J220" s="136" t="s">
        <v>879</v>
      </c>
      <c r="K220" s="189" t="s">
        <v>4092</v>
      </c>
      <c r="L220" s="136" t="s">
        <v>507</v>
      </c>
      <c r="M220" s="136" t="s">
        <v>507</v>
      </c>
      <c r="N220" s="158" t="s">
        <v>780</v>
      </c>
      <c r="O220" s="12" t="s">
        <v>260</v>
      </c>
      <c r="P220" s="179" t="s">
        <v>261</v>
      </c>
      <c r="Q220" s="136" t="s">
        <v>382</v>
      </c>
      <c r="R220" s="136" t="s">
        <v>880</v>
      </c>
      <c r="S220" s="136" t="s">
        <v>49</v>
      </c>
      <c r="T220" s="134" t="s">
        <v>507</v>
      </c>
      <c r="U220" s="136"/>
      <c r="V220" s="134" t="s">
        <v>507</v>
      </c>
      <c r="W220" s="134" t="s">
        <v>507</v>
      </c>
      <c r="X220" s="134" t="s">
        <v>507</v>
      </c>
      <c r="Y220" s="134" t="s">
        <v>507</v>
      </c>
      <c r="Z220" s="134" t="s">
        <v>507</v>
      </c>
      <c r="AA220" s="134" t="s">
        <v>507</v>
      </c>
      <c r="AB220" s="134" t="s">
        <v>507</v>
      </c>
      <c r="AC220" s="134" t="s">
        <v>507</v>
      </c>
      <c r="AD220" s="134" t="s">
        <v>507</v>
      </c>
      <c r="AE220" s="134" t="s">
        <v>507</v>
      </c>
      <c r="AF220" s="134" t="s">
        <v>507</v>
      </c>
      <c r="AG220" s="134" t="s">
        <v>507</v>
      </c>
      <c r="AH220" s="134" t="s">
        <v>507</v>
      </c>
      <c r="AI220" s="134" t="s">
        <v>507</v>
      </c>
      <c r="AJ220" s="134" t="s">
        <v>507</v>
      </c>
      <c r="AK220" s="136" t="s">
        <v>507</v>
      </c>
      <c r="AL220" s="134" t="s">
        <v>507</v>
      </c>
      <c r="AM220" s="134" t="s">
        <v>507</v>
      </c>
      <c r="AN220" s="134" t="s">
        <v>507</v>
      </c>
      <c r="AO220" s="134" t="s">
        <v>507</v>
      </c>
      <c r="AP220" s="134" t="s">
        <v>507</v>
      </c>
      <c r="AQ220" s="136" t="s">
        <v>507</v>
      </c>
      <c r="AR220" s="134" t="s">
        <v>507</v>
      </c>
      <c r="AS220" s="134" t="s">
        <v>507</v>
      </c>
      <c r="AT220" s="134" t="s">
        <v>507</v>
      </c>
      <c r="AU220" s="150" t="s">
        <v>53</v>
      </c>
      <c r="AV220" s="134" t="s">
        <v>507</v>
      </c>
      <c r="AW220" s="134" t="s">
        <v>507</v>
      </c>
      <c r="AX220" s="134" t="s">
        <v>507</v>
      </c>
      <c r="AY220" s="134" t="s">
        <v>507</v>
      </c>
      <c r="AZ220" s="136" t="s">
        <v>507</v>
      </c>
      <c r="BA220" s="136" t="s">
        <v>507</v>
      </c>
    </row>
    <row r="221" spans="1:53" s="36" customFormat="1" ht="14.25" hidden="1" customHeight="1" x14ac:dyDescent="0.3">
      <c r="A221" s="135" t="s">
        <v>505</v>
      </c>
      <c r="B221" s="136" t="s">
        <v>763</v>
      </c>
      <c r="C221" s="136">
        <v>70</v>
      </c>
      <c r="D221" s="136">
        <v>230</v>
      </c>
      <c r="E221" s="136" t="s">
        <v>881</v>
      </c>
      <c r="F221" s="136" t="s">
        <v>882</v>
      </c>
      <c r="G221" s="29" t="str">
        <f t="shared" si="5"/>
        <v>7023064586112</v>
      </c>
      <c r="H221" s="136" t="s">
        <v>881</v>
      </c>
      <c r="I221" s="136">
        <v>64586112</v>
      </c>
      <c r="J221" s="136" t="s">
        <v>883</v>
      </c>
      <c r="K221" s="189" t="s">
        <v>4092</v>
      </c>
      <c r="L221" s="136" t="s">
        <v>45</v>
      </c>
      <c r="M221" s="136" t="s">
        <v>507</v>
      </c>
      <c r="N221" s="158" t="s">
        <v>780</v>
      </c>
      <c r="O221" s="12" t="s">
        <v>260</v>
      </c>
      <c r="P221" s="179" t="s">
        <v>261</v>
      </c>
      <c r="Q221" s="136" t="s">
        <v>382</v>
      </c>
      <c r="R221" s="136" t="s">
        <v>783</v>
      </c>
      <c r="S221" s="136" t="s">
        <v>49</v>
      </c>
      <c r="T221" s="134" t="s">
        <v>507</v>
      </c>
      <c r="U221" s="189" t="s">
        <v>60</v>
      </c>
      <c r="V221" s="136" t="s">
        <v>570</v>
      </c>
      <c r="W221" s="136" t="s">
        <v>884</v>
      </c>
      <c r="X221" s="134" t="s">
        <v>49</v>
      </c>
      <c r="Y221" s="134" t="s">
        <v>507</v>
      </c>
      <c r="Z221" s="189" t="s">
        <v>50</v>
      </c>
      <c r="AA221" s="134" t="s">
        <v>507</v>
      </c>
      <c r="AB221" s="134" t="s">
        <v>507</v>
      </c>
      <c r="AC221" s="136" t="s">
        <v>886</v>
      </c>
      <c r="AD221" s="136" t="s">
        <v>887</v>
      </c>
      <c r="AE221" s="134" t="s">
        <v>49</v>
      </c>
      <c r="AF221" s="189" t="s">
        <v>60</v>
      </c>
      <c r="AG221" s="134" t="s">
        <v>507</v>
      </c>
      <c r="AH221" s="134" t="s">
        <v>507</v>
      </c>
      <c r="AI221" s="136" t="s">
        <v>604</v>
      </c>
      <c r="AJ221" s="140">
        <v>0.92</v>
      </c>
      <c r="AK221" s="136" t="s">
        <v>210</v>
      </c>
      <c r="AL221" s="189" t="s">
        <v>50</v>
      </c>
      <c r="AM221" s="134" t="s">
        <v>507</v>
      </c>
      <c r="AN221" s="134" t="s">
        <v>507</v>
      </c>
      <c r="AO221" s="139">
        <v>43842</v>
      </c>
      <c r="AP221" s="136" t="s">
        <v>885</v>
      </c>
      <c r="AQ221" s="136" t="s">
        <v>49</v>
      </c>
      <c r="AR221" s="189" t="s">
        <v>50</v>
      </c>
      <c r="AS221" s="134" t="s">
        <v>507</v>
      </c>
      <c r="AT221" s="134" t="s">
        <v>507</v>
      </c>
      <c r="AU221" s="151" t="s">
        <v>164</v>
      </c>
      <c r="AV221" s="134" t="s">
        <v>507</v>
      </c>
      <c r="AW221" s="134" t="s">
        <v>507</v>
      </c>
      <c r="AX221" s="134" t="s">
        <v>507</v>
      </c>
      <c r="AY221" s="134" t="s">
        <v>507</v>
      </c>
      <c r="AZ221" s="136" t="s">
        <v>507</v>
      </c>
      <c r="BA221" s="136" t="s">
        <v>507</v>
      </c>
    </row>
    <row r="222" spans="1:53" s="36" customFormat="1" ht="14.25" hidden="1" customHeight="1" x14ac:dyDescent="0.3">
      <c r="A222" s="135" t="s">
        <v>505</v>
      </c>
      <c r="B222" s="136" t="s">
        <v>763</v>
      </c>
      <c r="C222" s="136">
        <v>70</v>
      </c>
      <c r="D222" s="136">
        <v>230</v>
      </c>
      <c r="E222" s="136" t="s">
        <v>888</v>
      </c>
      <c r="F222" s="136" t="s">
        <v>889</v>
      </c>
      <c r="G222" s="29" t="str">
        <f t="shared" si="5"/>
        <v>702301100307371</v>
      </c>
      <c r="H222" s="136" t="s">
        <v>888</v>
      </c>
      <c r="I222" s="136">
        <v>1100307371</v>
      </c>
      <c r="J222" s="136" t="s">
        <v>890</v>
      </c>
      <c r="K222" s="189" t="s">
        <v>4092</v>
      </c>
      <c r="L222" s="136" t="s">
        <v>45</v>
      </c>
      <c r="M222" s="136" t="s">
        <v>507</v>
      </c>
      <c r="N222" s="158" t="s">
        <v>780</v>
      </c>
      <c r="O222" s="12" t="s">
        <v>260</v>
      </c>
      <c r="P222" s="179" t="s">
        <v>261</v>
      </c>
      <c r="Q222" s="136" t="s">
        <v>334</v>
      </c>
      <c r="R222" s="136" t="s">
        <v>795</v>
      </c>
      <c r="S222" s="136" t="s">
        <v>49</v>
      </c>
      <c r="T222" s="134" t="s">
        <v>507</v>
      </c>
      <c r="U222" s="189" t="s">
        <v>60</v>
      </c>
      <c r="V222" s="136" t="s">
        <v>892</v>
      </c>
      <c r="W222" s="136" t="s">
        <v>884</v>
      </c>
      <c r="X222" s="134" t="s">
        <v>49</v>
      </c>
      <c r="Y222" s="134"/>
      <c r="Z222" s="189" t="s">
        <v>50</v>
      </c>
      <c r="AA222" s="134" t="s">
        <v>507</v>
      </c>
      <c r="AB222" s="134" t="s">
        <v>507</v>
      </c>
      <c r="AC222" s="136" t="s">
        <v>891</v>
      </c>
      <c r="AD222" s="140">
        <v>84.25</v>
      </c>
      <c r="AE222" s="134" t="s">
        <v>210</v>
      </c>
      <c r="AF222" s="189" t="s">
        <v>50</v>
      </c>
      <c r="AG222" s="134" t="s">
        <v>507</v>
      </c>
      <c r="AH222" s="134" t="s">
        <v>507</v>
      </c>
      <c r="AI222" s="165">
        <v>43993</v>
      </c>
      <c r="AJ222" s="134" t="s">
        <v>884</v>
      </c>
      <c r="AK222" s="136" t="s">
        <v>49</v>
      </c>
      <c r="AL222" s="134" t="s">
        <v>507</v>
      </c>
      <c r="AM222" s="134" t="s">
        <v>507</v>
      </c>
      <c r="AN222" s="134" t="s">
        <v>507</v>
      </c>
      <c r="AO222" s="136"/>
      <c r="AP222" s="136"/>
      <c r="AQ222" s="136"/>
      <c r="AR222" s="136"/>
      <c r="AS222" s="134" t="s">
        <v>507</v>
      </c>
      <c r="AT222" s="134" t="s">
        <v>507</v>
      </c>
      <c r="AU222" s="150" t="s">
        <v>53</v>
      </c>
      <c r="AV222" s="134" t="s">
        <v>507</v>
      </c>
      <c r="AW222" s="134" t="s">
        <v>507</v>
      </c>
      <c r="AX222" s="134" t="s">
        <v>507</v>
      </c>
      <c r="AY222" s="134" t="s">
        <v>507</v>
      </c>
      <c r="AZ222" s="136" t="s">
        <v>507</v>
      </c>
      <c r="BA222" s="136" t="s">
        <v>507</v>
      </c>
    </row>
    <row r="223" spans="1:53" s="36" customFormat="1" ht="14.25" hidden="1" customHeight="1" x14ac:dyDescent="0.3">
      <c r="A223" s="135" t="s">
        <v>505</v>
      </c>
      <c r="B223" s="136" t="s">
        <v>763</v>
      </c>
      <c r="C223" s="136">
        <v>70</v>
      </c>
      <c r="D223" s="136">
        <v>230</v>
      </c>
      <c r="E223" s="136" t="s">
        <v>893</v>
      </c>
      <c r="F223" s="136" t="s">
        <v>894</v>
      </c>
      <c r="G223" s="29" t="str">
        <f t="shared" si="5"/>
        <v>7023015041969</v>
      </c>
      <c r="H223" s="136" t="s">
        <v>893</v>
      </c>
      <c r="I223" s="136">
        <v>15041969</v>
      </c>
      <c r="J223" s="136" t="s">
        <v>895</v>
      </c>
      <c r="K223" s="189" t="s">
        <v>4092</v>
      </c>
      <c r="L223" s="136">
        <v>3205552455</v>
      </c>
      <c r="M223" s="162" t="s">
        <v>507</v>
      </c>
      <c r="N223" s="158" t="s">
        <v>780</v>
      </c>
      <c r="O223" s="12" t="s">
        <v>260</v>
      </c>
      <c r="P223" s="179" t="s">
        <v>261</v>
      </c>
      <c r="Q223" s="136" t="s">
        <v>603</v>
      </c>
      <c r="R223" s="140">
        <v>0.88</v>
      </c>
      <c r="S223" s="136" t="s">
        <v>49</v>
      </c>
      <c r="T223" s="134" t="s">
        <v>507</v>
      </c>
      <c r="U223" s="189" t="s">
        <v>60</v>
      </c>
      <c r="V223" s="134" t="s">
        <v>507</v>
      </c>
      <c r="W223" s="134" t="s">
        <v>507</v>
      </c>
      <c r="X223" s="134" t="s">
        <v>507</v>
      </c>
      <c r="Y223" s="134" t="s">
        <v>507</v>
      </c>
      <c r="Z223" s="134" t="s">
        <v>507</v>
      </c>
      <c r="AA223" s="134" t="s">
        <v>507</v>
      </c>
      <c r="AB223" s="134" t="s">
        <v>507</v>
      </c>
      <c r="AC223" s="134" t="s">
        <v>507</v>
      </c>
      <c r="AD223" s="134" t="s">
        <v>507</v>
      </c>
      <c r="AE223" s="134" t="s">
        <v>507</v>
      </c>
      <c r="AF223" s="134" t="s">
        <v>507</v>
      </c>
      <c r="AG223" s="134" t="s">
        <v>507</v>
      </c>
      <c r="AH223" s="134" t="s">
        <v>507</v>
      </c>
      <c r="AI223" s="134" t="s">
        <v>507</v>
      </c>
      <c r="AJ223" s="134" t="s">
        <v>507</v>
      </c>
      <c r="AK223" s="136" t="s">
        <v>507</v>
      </c>
      <c r="AL223" s="134" t="s">
        <v>507</v>
      </c>
      <c r="AM223" s="134" t="s">
        <v>507</v>
      </c>
      <c r="AN223" s="134" t="s">
        <v>507</v>
      </c>
      <c r="AO223" s="134" t="s">
        <v>507</v>
      </c>
      <c r="AP223" s="134" t="s">
        <v>507</v>
      </c>
      <c r="AQ223" s="136" t="s">
        <v>507</v>
      </c>
      <c r="AR223" s="134" t="s">
        <v>507</v>
      </c>
      <c r="AS223" s="134" t="s">
        <v>507</v>
      </c>
      <c r="AT223" s="134" t="s">
        <v>507</v>
      </c>
      <c r="AU223" s="151" t="s">
        <v>164</v>
      </c>
      <c r="AV223" s="134" t="s">
        <v>507</v>
      </c>
      <c r="AW223" s="134" t="s">
        <v>507</v>
      </c>
      <c r="AX223" s="134" t="s">
        <v>507</v>
      </c>
      <c r="AY223" s="134" t="s">
        <v>507</v>
      </c>
      <c r="AZ223" s="136" t="s">
        <v>507</v>
      </c>
      <c r="BA223" s="136" t="s">
        <v>507</v>
      </c>
    </row>
    <row r="224" spans="1:53" s="36" customFormat="1" ht="14.25" hidden="1" customHeight="1" x14ac:dyDescent="0.3">
      <c r="A224" s="135" t="s">
        <v>505</v>
      </c>
      <c r="B224" s="136" t="s">
        <v>763</v>
      </c>
      <c r="C224" s="136">
        <v>70</v>
      </c>
      <c r="D224" s="136">
        <v>230</v>
      </c>
      <c r="E224" s="162" t="s">
        <v>896</v>
      </c>
      <c r="F224" s="162" t="s">
        <v>897</v>
      </c>
      <c r="G224" s="29" t="str">
        <f t="shared" si="5"/>
        <v>7023092071281</v>
      </c>
      <c r="H224" s="162" t="s">
        <v>896</v>
      </c>
      <c r="I224" s="162">
        <v>92071281</v>
      </c>
      <c r="J224" s="162" t="s">
        <v>898</v>
      </c>
      <c r="K224" s="189" t="s">
        <v>4092</v>
      </c>
      <c r="L224" s="162">
        <v>3233800613</v>
      </c>
      <c r="M224" s="149" t="s">
        <v>507</v>
      </c>
      <c r="N224" s="158" t="s">
        <v>780</v>
      </c>
      <c r="O224" s="12" t="s">
        <v>260</v>
      </c>
      <c r="P224" s="179" t="s">
        <v>261</v>
      </c>
      <c r="Q224" s="136" t="s">
        <v>603</v>
      </c>
      <c r="R224" s="136" t="s">
        <v>884</v>
      </c>
      <c r="S224" s="136" t="s">
        <v>49</v>
      </c>
      <c r="T224" s="134" t="s">
        <v>507</v>
      </c>
      <c r="U224" s="189" t="s">
        <v>60</v>
      </c>
      <c r="V224" s="134" t="s">
        <v>899</v>
      </c>
      <c r="W224" s="134" t="s">
        <v>900</v>
      </c>
      <c r="X224" s="134" t="s">
        <v>49</v>
      </c>
      <c r="Y224" s="134"/>
      <c r="Z224" s="192" t="s">
        <v>60</v>
      </c>
      <c r="AA224" s="134" t="s">
        <v>507</v>
      </c>
      <c r="AB224" s="134" t="s">
        <v>507</v>
      </c>
      <c r="AC224" s="134" t="s">
        <v>507</v>
      </c>
      <c r="AD224" s="134" t="s">
        <v>507</v>
      </c>
      <c r="AE224" s="134" t="s">
        <v>507</v>
      </c>
      <c r="AF224" s="134" t="s">
        <v>507</v>
      </c>
      <c r="AG224" s="134" t="s">
        <v>507</v>
      </c>
      <c r="AH224" s="134" t="s">
        <v>507</v>
      </c>
      <c r="AI224" s="134" t="s">
        <v>507</v>
      </c>
      <c r="AJ224" s="134" t="s">
        <v>507</v>
      </c>
      <c r="AK224" s="136" t="s">
        <v>507</v>
      </c>
      <c r="AL224" s="134" t="s">
        <v>507</v>
      </c>
      <c r="AM224" s="134" t="s">
        <v>507</v>
      </c>
      <c r="AN224" s="134" t="s">
        <v>507</v>
      </c>
      <c r="AO224" s="139"/>
      <c r="AP224" s="140"/>
      <c r="AQ224" s="136"/>
      <c r="AR224" s="136"/>
      <c r="AS224" s="134" t="s">
        <v>507</v>
      </c>
      <c r="AT224" s="134" t="s">
        <v>507</v>
      </c>
      <c r="AU224" s="150" t="s">
        <v>53</v>
      </c>
      <c r="AV224" s="134" t="s">
        <v>507</v>
      </c>
      <c r="AW224" s="134" t="s">
        <v>507</v>
      </c>
      <c r="AX224" s="134" t="s">
        <v>507</v>
      </c>
      <c r="AY224" s="134" t="s">
        <v>507</v>
      </c>
      <c r="AZ224" s="136" t="s">
        <v>507</v>
      </c>
      <c r="BA224" s="136" t="s">
        <v>507</v>
      </c>
    </row>
    <row r="225" spans="1:53" s="36" customFormat="1" ht="14.25" hidden="1" customHeight="1" x14ac:dyDescent="0.3">
      <c r="A225" s="135" t="s">
        <v>505</v>
      </c>
      <c r="B225" s="136" t="s">
        <v>763</v>
      </c>
      <c r="C225" s="136">
        <v>70</v>
      </c>
      <c r="D225" s="136">
        <v>230</v>
      </c>
      <c r="E225" s="149"/>
      <c r="F225" s="149" t="s">
        <v>901</v>
      </c>
      <c r="G225" s="29" t="str">
        <f t="shared" si="5"/>
        <v>7023092070651</v>
      </c>
      <c r="H225" s="149" t="s">
        <v>902</v>
      </c>
      <c r="I225" s="149">
        <v>92070651</v>
      </c>
      <c r="J225" s="149" t="s">
        <v>903</v>
      </c>
      <c r="K225" s="189" t="s">
        <v>4092</v>
      </c>
      <c r="L225" s="149" t="s">
        <v>45</v>
      </c>
      <c r="M225" s="136" t="s">
        <v>507</v>
      </c>
      <c r="N225" s="158" t="s">
        <v>780</v>
      </c>
      <c r="O225" s="12" t="s">
        <v>260</v>
      </c>
      <c r="P225" s="179" t="s">
        <v>261</v>
      </c>
      <c r="Q225" s="136" t="s">
        <v>157</v>
      </c>
      <c r="R225" s="140">
        <v>0.77</v>
      </c>
      <c r="S225" s="136" t="s">
        <v>49</v>
      </c>
      <c r="T225" s="134" t="s">
        <v>507</v>
      </c>
      <c r="U225" s="136" t="s">
        <v>60</v>
      </c>
      <c r="V225" s="136" t="s">
        <v>904</v>
      </c>
      <c r="W225" s="140">
        <v>0.64</v>
      </c>
      <c r="X225" s="134" t="s">
        <v>49</v>
      </c>
      <c r="Y225" s="136" t="s">
        <v>507</v>
      </c>
      <c r="Z225" s="189" t="s">
        <v>60</v>
      </c>
      <c r="AA225" s="134" t="s">
        <v>507</v>
      </c>
      <c r="AB225" s="134" t="s">
        <v>507</v>
      </c>
      <c r="AC225" s="139">
        <v>44778</v>
      </c>
      <c r="AD225" s="140">
        <v>0.71</v>
      </c>
      <c r="AE225" s="134" t="s">
        <v>49</v>
      </c>
      <c r="AF225" s="136" t="s">
        <v>60</v>
      </c>
      <c r="AG225" s="134" t="s">
        <v>507</v>
      </c>
      <c r="AH225" s="134" t="s">
        <v>507</v>
      </c>
      <c r="AI225" s="136" t="s">
        <v>905</v>
      </c>
      <c r="AJ225" s="140">
        <v>0.82</v>
      </c>
      <c r="AK225" s="136" t="s">
        <v>49</v>
      </c>
      <c r="AL225" s="189" t="s">
        <v>50</v>
      </c>
      <c r="AM225" s="134" t="s">
        <v>507</v>
      </c>
      <c r="AN225" s="134" t="s">
        <v>507</v>
      </c>
      <c r="AO225" s="136" t="s">
        <v>906</v>
      </c>
      <c r="AP225" s="140">
        <v>0.78</v>
      </c>
      <c r="AQ225" s="136" t="s">
        <v>49</v>
      </c>
      <c r="AR225" s="189" t="s">
        <v>50</v>
      </c>
      <c r="AS225" s="136" t="s">
        <v>507</v>
      </c>
      <c r="AT225" s="134" t="s">
        <v>507</v>
      </c>
      <c r="AU225" s="150" t="s">
        <v>53</v>
      </c>
      <c r="AV225" s="134" t="s">
        <v>507</v>
      </c>
      <c r="AW225" s="134" t="s">
        <v>507</v>
      </c>
      <c r="AX225" s="134" t="s">
        <v>507</v>
      </c>
      <c r="AY225" s="134" t="s">
        <v>507</v>
      </c>
      <c r="AZ225" s="136" t="s">
        <v>507</v>
      </c>
      <c r="BA225" s="136" t="s">
        <v>507</v>
      </c>
    </row>
    <row r="226" spans="1:53" s="203" customFormat="1" ht="14.25" hidden="1" customHeight="1" x14ac:dyDescent="0.3">
      <c r="A226" s="197" t="s">
        <v>505</v>
      </c>
      <c r="B226" s="179" t="s">
        <v>763</v>
      </c>
      <c r="C226" s="179">
        <v>70</v>
      </c>
      <c r="D226" s="179">
        <v>230</v>
      </c>
      <c r="E226" s="179"/>
      <c r="F226" s="179" t="s">
        <v>326</v>
      </c>
      <c r="G226" s="198" t="str">
        <f t="shared" si="5"/>
        <v>7023092070453-7</v>
      </c>
      <c r="H226" s="179" t="s">
        <v>907</v>
      </c>
      <c r="I226" s="179" t="s">
        <v>908</v>
      </c>
      <c r="J226" s="179" t="s">
        <v>909</v>
      </c>
      <c r="K226" s="189" t="s">
        <v>4092</v>
      </c>
      <c r="L226" s="179">
        <v>3015109209</v>
      </c>
      <c r="M226" s="199" t="s">
        <v>910</v>
      </c>
      <c r="N226" s="200" t="s">
        <v>780</v>
      </c>
      <c r="O226" s="88" t="s">
        <v>260</v>
      </c>
      <c r="P226" s="179" t="s">
        <v>261</v>
      </c>
      <c r="Q226" s="179" t="s">
        <v>911</v>
      </c>
      <c r="R226" s="201">
        <v>0.66249999999999998</v>
      </c>
      <c r="S226" s="179" t="s">
        <v>49</v>
      </c>
      <c r="T226" s="184" t="s">
        <v>808</v>
      </c>
      <c r="U226" s="179" t="s">
        <v>60</v>
      </c>
      <c r="V226" s="179" t="s">
        <v>781</v>
      </c>
      <c r="W226" s="196">
        <v>0.92</v>
      </c>
      <c r="X226" s="184" t="s">
        <v>319</v>
      </c>
      <c r="Y226" s="179" t="s">
        <v>507</v>
      </c>
      <c r="Z226" s="189" t="s">
        <v>60</v>
      </c>
      <c r="AA226" s="184" t="s">
        <v>507</v>
      </c>
      <c r="AB226" s="184" t="s">
        <v>507</v>
      </c>
      <c r="AC226" s="195">
        <v>45235</v>
      </c>
      <c r="AD226" s="196">
        <v>0.85</v>
      </c>
      <c r="AE226" s="184" t="s">
        <v>49</v>
      </c>
      <c r="AF226" s="179" t="s">
        <v>60</v>
      </c>
      <c r="AG226" s="184" t="s">
        <v>507</v>
      </c>
      <c r="AH226" s="184" t="s">
        <v>507</v>
      </c>
      <c r="AI226" s="179" t="s">
        <v>912</v>
      </c>
      <c r="AJ226" s="196">
        <v>0.88</v>
      </c>
      <c r="AK226" s="179" t="s">
        <v>49</v>
      </c>
      <c r="AL226" s="202" t="s">
        <v>50</v>
      </c>
      <c r="AM226" s="184" t="s">
        <v>507</v>
      </c>
      <c r="AN226" s="184" t="s">
        <v>507</v>
      </c>
      <c r="AO226" s="179" t="s">
        <v>913</v>
      </c>
      <c r="AP226" s="179" t="s">
        <v>914</v>
      </c>
      <c r="AQ226" s="179" t="s">
        <v>49</v>
      </c>
      <c r="AR226" s="202" t="s">
        <v>50</v>
      </c>
      <c r="AS226" s="179" t="s">
        <v>507</v>
      </c>
      <c r="AT226" s="184" t="s">
        <v>507</v>
      </c>
      <c r="AU226" s="204" t="s">
        <v>53</v>
      </c>
      <c r="AV226" s="184" t="s">
        <v>507</v>
      </c>
      <c r="AW226" s="184" t="s">
        <v>507</v>
      </c>
      <c r="AX226" s="184" t="s">
        <v>507</v>
      </c>
      <c r="AY226" s="184" t="s">
        <v>507</v>
      </c>
      <c r="AZ226" s="179" t="s">
        <v>507</v>
      </c>
      <c r="BA226" s="179" t="s">
        <v>507</v>
      </c>
    </row>
    <row r="227" spans="1:53" s="36" customFormat="1" ht="14.25" hidden="1" customHeight="1" x14ac:dyDescent="0.3">
      <c r="A227" s="135" t="s">
        <v>505</v>
      </c>
      <c r="B227" s="136" t="s">
        <v>763</v>
      </c>
      <c r="C227" s="136">
        <v>70</v>
      </c>
      <c r="D227" s="136">
        <v>230</v>
      </c>
      <c r="E227" s="136" t="s">
        <v>915</v>
      </c>
      <c r="F227" s="136" t="s">
        <v>916</v>
      </c>
      <c r="G227" s="29" t="str">
        <f t="shared" si="5"/>
        <v>7023064450376</v>
      </c>
      <c r="H227" s="136" t="s">
        <v>915</v>
      </c>
      <c r="I227" s="136">
        <v>64450376</v>
      </c>
      <c r="J227" s="136" t="s">
        <v>917</v>
      </c>
      <c r="K227" s="189" t="s">
        <v>4092</v>
      </c>
      <c r="L227" s="136" t="s">
        <v>45</v>
      </c>
      <c r="M227" s="162" t="s">
        <v>507</v>
      </c>
      <c r="N227" s="158" t="s">
        <v>780</v>
      </c>
      <c r="O227" s="12" t="s">
        <v>260</v>
      </c>
      <c r="P227" s="179" t="s">
        <v>261</v>
      </c>
      <c r="Q227" s="136" t="s">
        <v>382</v>
      </c>
      <c r="R227" s="140">
        <v>0.88</v>
      </c>
      <c r="S227" s="136" t="s">
        <v>49</v>
      </c>
      <c r="T227" s="134" t="s">
        <v>507</v>
      </c>
      <c r="U227" s="189" t="s">
        <v>50</v>
      </c>
      <c r="V227" s="136" t="s">
        <v>919</v>
      </c>
      <c r="W227" s="136" t="s">
        <v>920</v>
      </c>
      <c r="X227" s="134" t="s">
        <v>49</v>
      </c>
      <c r="Y227" s="136"/>
      <c r="Z227" s="189" t="s">
        <v>60</v>
      </c>
      <c r="AA227" s="134" t="s">
        <v>507</v>
      </c>
      <c r="AB227" s="134" t="s">
        <v>507</v>
      </c>
      <c r="AC227" s="139">
        <v>44418</v>
      </c>
      <c r="AD227" s="140">
        <v>0.84</v>
      </c>
      <c r="AE227" s="134" t="s">
        <v>49</v>
      </c>
      <c r="AF227" s="189" t="s">
        <v>60</v>
      </c>
      <c r="AG227" s="134" t="s">
        <v>507</v>
      </c>
      <c r="AH227" s="134" t="s">
        <v>507</v>
      </c>
      <c r="AI227" s="165">
        <v>44115</v>
      </c>
      <c r="AJ227" s="134" t="s">
        <v>918</v>
      </c>
      <c r="AK227" s="136" t="s">
        <v>49</v>
      </c>
      <c r="AL227" s="134" t="s">
        <v>195</v>
      </c>
      <c r="AM227" s="134" t="s">
        <v>507</v>
      </c>
      <c r="AN227" s="134" t="s">
        <v>507</v>
      </c>
      <c r="AO227" s="136"/>
      <c r="AP227" s="136"/>
      <c r="AQ227" s="136"/>
      <c r="AR227" s="136"/>
      <c r="AS227" s="134" t="s">
        <v>507</v>
      </c>
      <c r="AT227" s="134" t="s">
        <v>507</v>
      </c>
      <c r="AU227" s="150" t="s">
        <v>53</v>
      </c>
      <c r="AV227" s="134" t="s">
        <v>507</v>
      </c>
      <c r="AW227" s="134" t="s">
        <v>507</v>
      </c>
      <c r="AX227" s="134" t="s">
        <v>507</v>
      </c>
      <c r="AY227" s="134" t="s">
        <v>507</v>
      </c>
      <c r="AZ227" s="136" t="s">
        <v>507</v>
      </c>
      <c r="BA227" s="136" t="s">
        <v>507</v>
      </c>
    </row>
    <row r="228" spans="1:53" s="36" customFormat="1" ht="14.25" hidden="1" customHeight="1" x14ac:dyDescent="0.3">
      <c r="A228" s="135" t="s">
        <v>505</v>
      </c>
      <c r="B228" s="136" t="s">
        <v>763</v>
      </c>
      <c r="C228" s="136">
        <v>70</v>
      </c>
      <c r="D228" s="136">
        <v>230</v>
      </c>
      <c r="E228" s="162"/>
      <c r="F228" s="162" t="s">
        <v>302</v>
      </c>
      <c r="G228" s="29" t="str">
        <f t="shared" si="5"/>
        <v>7023064450763</v>
      </c>
      <c r="H228" s="162" t="s">
        <v>921</v>
      </c>
      <c r="I228" s="162">
        <v>64450763</v>
      </c>
      <c r="J228" s="162" t="s">
        <v>898</v>
      </c>
      <c r="K228" s="189" t="s">
        <v>4092</v>
      </c>
      <c r="L228" s="162">
        <v>3013316131</v>
      </c>
      <c r="M228" s="149" t="s">
        <v>507</v>
      </c>
      <c r="N228" s="158" t="s">
        <v>780</v>
      </c>
      <c r="O228" s="12" t="s">
        <v>260</v>
      </c>
      <c r="P228" s="179" t="s">
        <v>261</v>
      </c>
      <c r="Q228" s="136" t="s">
        <v>603</v>
      </c>
      <c r="R228" s="140">
        <v>0.86</v>
      </c>
      <c r="S228" s="136" t="s">
        <v>49</v>
      </c>
      <c r="T228" s="134" t="s">
        <v>507</v>
      </c>
      <c r="U228" s="189" t="s">
        <v>50</v>
      </c>
      <c r="V228" s="136" t="s">
        <v>924</v>
      </c>
      <c r="W228" s="140">
        <v>0.82</v>
      </c>
      <c r="X228" s="134" t="s">
        <v>49</v>
      </c>
      <c r="Y228" s="136"/>
      <c r="Z228" s="189" t="s">
        <v>60</v>
      </c>
      <c r="AA228" s="134" t="s">
        <v>507</v>
      </c>
      <c r="AB228" s="134" t="s">
        <v>507</v>
      </c>
      <c r="AC228" s="139">
        <v>44722</v>
      </c>
      <c r="AD228" s="140">
        <v>0.81</v>
      </c>
      <c r="AE228" s="134" t="s">
        <v>49</v>
      </c>
      <c r="AF228" s="189" t="s">
        <v>60</v>
      </c>
      <c r="AG228" s="134" t="s">
        <v>507</v>
      </c>
      <c r="AH228" s="134" t="s">
        <v>507</v>
      </c>
      <c r="AI228" s="136" t="s">
        <v>922</v>
      </c>
      <c r="AJ228" s="140">
        <v>0.8</v>
      </c>
      <c r="AK228" s="136" t="s">
        <v>49</v>
      </c>
      <c r="AL228" s="136" t="s">
        <v>50</v>
      </c>
      <c r="AM228" s="134" t="s">
        <v>507</v>
      </c>
      <c r="AN228" s="134" t="s">
        <v>507</v>
      </c>
      <c r="AO228" s="136" t="s">
        <v>923</v>
      </c>
      <c r="AP228" s="140">
        <v>0.84</v>
      </c>
      <c r="AQ228" s="136" t="s">
        <v>49</v>
      </c>
      <c r="AR228" s="189" t="s">
        <v>50</v>
      </c>
      <c r="AS228" s="134" t="s">
        <v>507</v>
      </c>
      <c r="AT228" s="134" t="s">
        <v>507</v>
      </c>
      <c r="AU228" s="150" t="s">
        <v>53</v>
      </c>
      <c r="AV228" s="134" t="s">
        <v>507</v>
      </c>
      <c r="AW228" s="134" t="s">
        <v>507</v>
      </c>
      <c r="AX228" s="134" t="s">
        <v>507</v>
      </c>
      <c r="AY228" s="134" t="s">
        <v>507</v>
      </c>
      <c r="AZ228" s="136" t="s">
        <v>507</v>
      </c>
      <c r="BA228" s="136" t="s">
        <v>507</v>
      </c>
    </row>
    <row r="229" spans="1:53" s="36" customFormat="1" ht="14.25" hidden="1" customHeight="1" x14ac:dyDescent="0.3">
      <c r="A229" s="135" t="s">
        <v>505</v>
      </c>
      <c r="B229" s="136" t="s">
        <v>763</v>
      </c>
      <c r="C229" s="136">
        <v>70</v>
      </c>
      <c r="D229" s="136">
        <v>230</v>
      </c>
      <c r="E229" s="149" t="s">
        <v>925</v>
      </c>
      <c r="F229" s="149" t="s">
        <v>926</v>
      </c>
      <c r="G229" s="29" t="str">
        <f t="shared" si="5"/>
        <v>7023018882457</v>
      </c>
      <c r="H229" s="149" t="s">
        <v>925</v>
      </c>
      <c r="I229" s="149">
        <v>18882457</v>
      </c>
      <c r="J229" s="149" t="s">
        <v>927</v>
      </c>
      <c r="K229" s="189" t="s">
        <v>4092</v>
      </c>
      <c r="L229" s="149" t="s">
        <v>507</v>
      </c>
      <c r="M229" s="136" t="s">
        <v>507</v>
      </c>
      <c r="N229" s="158" t="s">
        <v>780</v>
      </c>
      <c r="O229" s="12" t="s">
        <v>260</v>
      </c>
      <c r="P229" s="179" t="s">
        <v>261</v>
      </c>
      <c r="Q229" s="136" t="s">
        <v>334</v>
      </c>
      <c r="R229" s="140">
        <v>0.88</v>
      </c>
      <c r="S229" s="136" t="s">
        <v>49</v>
      </c>
      <c r="T229" s="134" t="s">
        <v>507</v>
      </c>
      <c r="U229" s="189" t="s">
        <v>50</v>
      </c>
      <c r="V229" s="134" t="s">
        <v>507</v>
      </c>
      <c r="W229" s="134" t="s">
        <v>507</v>
      </c>
      <c r="X229" s="134" t="s">
        <v>507</v>
      </c>
      <c r="Y229" s="134" t="s">
        <v>507</v>
      </c>
      <c r="Z229" s="134" t="s">
        <v>507</v>
      </c>
      <c r="AA229" s="134" t="s">
        <v>507</v>
      </c>
      <c r="AB229" s="134" t="s">
        <v>507</v>
      </c>
      <c r="AC229" s="134" t="s">
        <v>507</v>
      </c>
      <c r="AD229" s="134" t="s">
        <v>507</v>
      </c>
      <c r="AE229" s="134" t="s">
        <v>507</v>
      </c>
      <c r="AF229" s="134" t="s">
        <v>507</v>
      </c>
      <c r="AG229" s="134" t="s">
        <v>507</v>
      </c>
      <c r="AH229" s="134" t="s">
        <v>507</v>
      </c>
      <c r="AI229" s="134" t="s">
        <v>507</v>
      </c>
      <c r="AJ229" s="134" t="s">
        <v>507</v>
      </c>
      <c r="AK229" s="136" t="s">
        <v>507</v>
      </c>
      <c r="AL229" s="134" t="s">
        <v>507</v>
      </c>
      <c r="AM229" s="134" t="s">
        <v>507</v>
      </c>
      <c r="AN229" s="134" t="s">
        <v>507</v>
      </c>
      <c r="AO229" s="134" t="s">
        <v>507</v>
      </c>
      <c r="AP229" s="134" t="s">
        <v>507</v>
      </c>
      <c r="AQ229" s="136" t="s">
        <v>507</v>
      </c>
      <c r="AR229" s="134" t="s">
        <v>507</v>
      </c>
      <c r="AS229" s="134" t="s">
        <v>507</v>
      </c>
      <c r="AT229" s="134" t="s">
        <v>507</v>
      </c>
      <c r="AU229" s="150" t="s">
        <v>53</v>
      </c>
      <c r="AV229" s="134" t="s">
        <v>507</v>
      </c>
      <c r="AW229" s="134" t="s">
        <v>507</v>
      </c>
      <c r="AX229" s="134" t="s">
        <v>507</v>
      </c>
      <c r="AY229" s="134" t="s">
        <v>507</v>
      </c>
      <c r="AZ229" s="136" t="s">
        <v>507</v>
      </c>
      <c r="BA229" s="136" t="s">
        <v>507</v>
      </c>
    </row>
    <row r="230" spans="1:53" s="36" customFormat="1" ht="14.25" hidden="1" customHeight="1" x14ac:dyDescent="0.3">
      <c r="A230" s="135" t="s">
        <v>505</v>
      </c>
      <c r="B230" s="136" t="s">
        <v>763</v>
      </c>
      <c r="C230" s="136">
        <v>70</v>
      </c>
      <c r="D230" s="136">
        <v>230</v>
      </c>
      <c r="E230" s="136" t="s">
        <v>925</v>
      </c>
      <c r="F230" s="136" t="s">
        <v>928</v>
      </c>
      <c r="G230" s="29" t="str">
        <f t="shared" si="5"/>
        <v>7023018882457</v>
      </c>
      <c r="H230" s="136" t="s">
        <v>925</v>
      </c>
      <c r="I230" s="136">
        <v>18882457</v>
      </c>
      <c r="J230" s="136" t="s">
        <v>817</v>
      </c>
      <c r="K230" s="189" t="s">
        <v>4092</v>
      </c>
      <c r="L230" s="136">
        <v>3205663953</v>
      </c>
      <c r="M230" s="136" t="s">
        <v>507</v>
      </c>
      <c r="N230" s="158" t="s">
        <v>780</v>
      </c>
      <c r="O230" s="12" t="s">
        <v>260</v>
      </c>
      <c r="P230" s="179" t="s">
        <v>261</v>
      </c>
      <c r="Q230" s="136" t="s">
        <v>603</v>
      </c>
      <c r="R230" s="140">
        <v>0.82</v>
      </c>
      <c r="S230" s="136" t="s">
        <v>49</v>
      </c>
      <c r="T230" s="134" t="s">
        <v>507</v>
      </c>
      <c r="U230" s="189" t="s">
        <v>50</v>
      </c>
      <c r="V230" s="136" t="s">
        <v>930</v>
      </c>
      <c r="W230" s="140">
        <v>0.81</v>
      </c>
      <c r="X230" s="134" t="s">
        <v>49</v>
      </c>
      <c r="Y230" s="136"/>
      <c r="Z230" s="189" t="s">
        <v>50</v>
      </c>
      <c r="AA230" s="134" t="s">
        <v>507</v>
      </c>
      <c r="AB230" s="134" t="s">
        <v>507</v>
      </c>
      <c r="AC230" s="134" t="s">
        <v>929</v>
      </c>
      <c r="AD230" s="166">
        <v>0.79500000000000004</v>
      </c>
      <c r="AE230" s="134" t="s">
        <v>210</v>
      </c>
      <c r="AF230" s="134" t="s">
        <v>507</v>
      </c>
      <c r="AG230" s="134" t="s">
        <v>507</v>
      </c>
      <c r="AH230" s="134" t="s">
        <v>507</v>
      </c>
      <c r="AI230" s="134" t="s">
        <v>507</v>
      </c>
      <c r="AJ230" s="134" t="s">
        <v>507</v>
      </c>
      <c r="AK230" s="136" t="s">
        <v>507</v>
      </c>
      <c r="AL230" s="134" t="s">
        <v>507</v>
      </c>
      <c r="AM230" s="134" t="s">
        <v>507</v>
      </c>
      <c r="AN230" s="134" t="s">
        <v>507</v>
      </c>
      <c r="AO230" s="136"/>
      <c r="AP230" s="140"/>
      <c r="AQ230" s="136"/>
      <c r="AR230" s="136"/>
      <c r="AS230" s="134" t="s">
        <v>507</v>
      </c>
      <c r="AT230" s="134" t="s">
        <v>507</v>
      </c>
      <c r="AU230" s="150" t="s">
        <v>53</v>
      </c>
      <c r="AV230" s="134" t="s">
        <v>507</v>
      </c>
      <c r="AW230" s="134" t="s">
        <v>507</v>
      </c>
      <c r="AX230" s="134" t="s">
        <v>507</v>
      </c>
      <c r="AY230" s="134" t="s">
        <v>507</v>
      </c>
      <c r="AZ230" s="136" t="s">
        <v>507</v>
      </c>
      <c r="BA230" s="136" t="s">
        <v>507</v>
      </c>
    </row>
    <row r="231" spans="1:53" s="36" customFormat="1" ht="14.25" hidden="1" customHeight="1" x14ac:dyDescent="0.3">
      <c r="A231" s="135" t="s">
        <v>505</v>
      </c>
      <c r="B231" s="136" t="s">
        <v>763</v>
      </c>
      <c r="C231" s="136">
        <v>70</v>
      </c>
      <c r="D231" s="136">
        <v>230</v>
      </c>
      <c r="E231" s="136" t="s">
        <v>931</v>
      </c>
      <c r="F231" s="136" t="s">
        <v>932</v>
      </c>
      <c r="G231" s="29" t="str">
        <f t="shared" si="5"/>
        <v>702302298929</v>
      </c>
      <c r="H231" s="136" t="s">
        <v>931</v>
      </c>
      <c r="I231" s="136">
        <v>2298929</v>
      </c>
      <c r="J231" s="134" t="s">
        <v>933</v>
      </c>
      <c r="K231" s="189" t="s">
        <v>4092</v>
      </c>
      <c r="L231" s="136">
        <v>3126452469</v>
      </c>
      <c r="M231" s="136" t="s">
        <v>507</v>
      </c>
      <c r="N231" s="158" t="s">
        <v>780</v>
      </c>
      <c r="O231" s="12" t="s">
        <v>260</v>
      </c>
      <c r="P231" s="179" t="s">
        <v>261</v>
      </c>
      <c r="Q231" s="136" t="s">
        <v>781</v>
      </c>
      <c r="R231" s="140">
        <v>0.86</v>
      </c>
      <c r="S231" s="136" t="s">
        <v>49</v>
      </c>
      <c r="T231" s="134" t="s">
        <v>507</v>
      </c>
      <c r="U231" s="189" t="s">
        <v>50</v>
      </c>
      <c r="V231" s="136" t="s">
        <v>557</v>
      </c>
      <c r="W231" s="140">
        <v>0.84</v>
      </c>
      <c r="X231" s="134" t="s">
        <v>49</v>
      </c>
      <c r="Y231" s="136"/>
      <c r="Z231" s="189" t="s">
        <v>50</v>
      </c>
      <c r="AA231" s="134" t="s">
        <v>507</v>
      </c>
      <c r="AB231" s="134" t="s">
        <v>507</v>
      </c>
      <c r="AC231" s="165">
        <v>44907</v>
      </c>
      <c r="AD231" s="164">
        <v>0.74</v>
      </c>
      <c r="AE231" s="134" t="s">
        <v>49</v>
      </c>
      <c r="AF231" s="134" t="s">
        <v>507</v>
      </c>
      <c r="AG231" s="134" t="s">
        <v>507</v>
      </c>
      <c r="AH231" s="134" t="s">
        <v>507</v>
      </c>
      <c r="AI231" s="134" t="s">
        <v>507</v>
      </c>
      <c r="AJ231" s="134" t="s">
        <v>507</v>
      </c>
      <c r="AK231" s="136" t="s">
        <v>507</v>
      </c>
      <c r="AL231" s="134" t="s">
        <v>507</v>
      </c>
      <c r="AM231" s="134" t="s">
        <v>507</v>
      </c>
      <c r="AN231" s="134" t="s">
        <v>507</v>
      </c>
      <c r="AO231" s="136"/>
      <c r="AP231" s="140"/>
      <c r="AQ231" s="136"/>
      <c r="AR231" s="136"/>
      <c r="AS231" s="134" t="s">
        <v>507</v>
      </c>
      <c r="AT231" s="134" t="s">
        <v>507</v>
      </c>
      <c r="AU231" s="150" t="s">
        <v>53</v>
      </c>
      <c r="AV231" s="134" t="s">
        <v>507</v>
      </c>
      <c r="AW231" s="134" t="s">
        <v>507</v>
      </c>
      <c r="AX231" s="134" t="s">
        <v>507</v>
      </c>
      <c r="AY231" s="134" t="s">
        <v>507</v>
      </c>
      <c r="AZ231" s="136" t="s">
        <v>507</v>
      </c>
      <c r="BA231" s="136" t="s">
        <v>507</v>
      </c>
    </row>
    <row r="232" spans="1:53" s="36" customFormat="1" ht="14.25" hidden="1" customHeight="1" x14ac:dyDescent="0.3">
      <c r="A232" s="135" t="s">
        <v>505</v>
      </c>
      <c r="B232" s="136" t="s">
        <v>763</v>
      </c>
      <c r="C232" s="136">
        <v>70</v>
      </c>
      <c r="D232" s="136">
        <v>230</v>
      </c>
      <c r="E232" s="136" t="s">
        <v>934</v>
      </c>
      <c r="F232" s="136" t="s">
        <v>935</v>
      </c>
      <c r="G232" s="29" t="str">
        <f t="shared" si="5"/>
        <v>702301101814203</v>
      </c>
      <c r="H232" s="136" t="s">
        <v>934</v>
      </c>
      <c r="I232" s="136">
        <v>1101814203</v>
      </c>
      <c r="J232" s="136" t="s">
        <v>936</v>
      </c>
      <c r="K232" s="189" t="s">
        <v>4092</v>
      </c>
      <c r="L232" s="136">
        <v>3107305042</v>
      </c>
      <c r="M232" s="136" t="s">
        <v>507</v>
      </c>
      <c r="N232" s="158" t="s">
        <v>780</v>
      </c>
      <c r="O232" s="12" t="s">
        <v>260</v>
      </c>
      <c r="P232" s="179" t="s">
        <v>261</v>
      </c>
      <c r="Q232" s="136" t="s">
        <v>603</v>
      </c>
      <c r="R232" s="140">
        <v>0.85</v>
      </c>
      <c r="S232" s="136" t="s">
        <v>49</v>
      </c>
      <c r="T232" s="134" t="s">
        <v>507</v>
      </c>
      <c r="U232" s="189" t="s">
        <v>50</v>
      </c>
      <c r="V232" s="165">
        <v>44415</v>
      </c>
      <c r="W232" s="134" t="s">
        <v>335</v>
      </c>
      <c r="X232" s="134" t="s">
        <v>49</v>
      </c>
      <c r="Y232" s="134"/>
      <c r="Z232" s="192" t="s">
        <v>60</v>
      </c>
      <c r="AA232" s="134" t="s">
        <v>507</v>
      </c>
      <c r="AB232" s="134" t="s">
        <v>507</v>
      </c>
      <c r="AC232" s="134" t="s">
        <v>507</v>
      </c>
      <c r="AD232" s="134" t="s">
        <v>507</v>
      </c>
      <c r="AE232" s="134" t="s">
        <v>507</v>
      </c>
      <c r="AF232" s="134" t="s">
        <v>507</v>
      </c>
      <c r="AG232" s="134" t="s">
        <v>507</v>
      </c>
      <c r="AH232" s="134" t="s">
        <v>507</v>
      </c>
      <c r="AI232" s="134" t="s">
        <v>507</v>
      </c>
      <c r="AJ232" s="134" t="s">
        <v>507</v>
      </c>
      <c r="AK232" s="136" t="s">
        <v>507</v>
      </c>
      <c r="AL232" s="134" t="s">
        <v>507</v>
      </c>
      <c r="AM232" s="134" t="s">
        <v>507</v>
      </c>
      <c r="AN232" s="134" t="s">
        <v>507</v>
      </c>
      <c r="AO232" s="139"/>
      <c r="AP232" s="136"/>
      <c r="AQ232" s="136"/>
      <c r="AR232" s="136"/>
      <c r="AS232" s="134" t="s">
        <v>507</v>
      </c>
      <c r="AT232" s="134" t="s">
        <v>507</v>
      </c>
      <c r="AU232" s="151" t="s">
        <v>164</v>
      </c>
      <c r="AV232" s="134" t="s">
        <v>507</v>
      </c>
      <c r="AW232" s="134" t="s">
        <v>507</v>
      </c>
      <c r="AX232" s="134" t="s">
        <v>507</v>
      </c>
      <c r="AY232" s="134" t="s">
        <v>507</v>
      </c>
      <c r="AZ232" s="136" t="s">
        <v>507</v>
      </c>
      <c r="BA232" s="136" t="s">
        <v>507</v>
      </c>
    </row>
    <row r="233" spans="1:53" s="36" customFormat="1" ht="14.25" hidden="1" customHeight="1" x14ac:dyDescent="0.3">
      <c r="A233" s="135" t="s">
        <v>505</v>
      </c>
      <c r="B233" s="136" t="s">
        <v>763</v>
      </c>
      <c r="C233" s="136">
        <v>70</v>
      </c>
      <c r="D233" s="136">
        <v>230</v>
      </c>
      <c r="E233" s="136" t="s">
        <v>937</v>
      </c>
      <c r="F233" s="136" t="s">
        <v>938</v>
      </c>
      <c r="G233" s="29" t="str">
        <f t="shared" si="5"/>
        <v>702301102833413</v>
      </c>
      <c r="H233" s="136" t="s">
        <v>937</v>
      </c>
      <c r="I233" s="136">
        <v>1102833413</v>
      </c>
      <c r="J233" s="136" t="s">
        <v>939</v>
      </c>
      <c r="K233" s="189" t="s">
        <v>4092</v>
      </c>
      <c r="L233" s="136" t="s">
        <v>507</v>
      </c>
      <c r="M233" s="136" t="s">
        <v>507</v>
      </c>
      <c r="N233" s="158" t="s">
        <v>780</v>
      </c>
      <c r="O233" s="12" t="s">
        <v>260</v>
      </c>
      <c r="P233" s="179" t="s">
        <v>261</v>
      </c>
      <c r="Q233" s="136" t="s">
        <v>334</v>
      </c>
      <c r="R233" s="140">
        <v>0.85</v>
      </c>
      <c r="S233" s="136" t="s">
        <v>49</v>
      </c>
      <c r="T233" s="134" t="s">
        <v>507</v>
      </c>
      <c r="U233" s="189" t="s">
        <v>50</v>
      </c>
      <c r="V233" s="134" t="s">
        <v>507</v>
      </c>
      <c r="W233" s="134" t="s">
        <v>507</v>
      </c>
      <c r="X233" s="134" t="s">
        <v>507</v>
      </c>
      <c r="Y233" s="134" t="s">
        <v>507</v>
      </c>
      <c r="Z233" s="134" t="s">
        <v>507</v>
      </c>
      <c r="AA233" s="134" t="s">
        <v>507</v>
      </c>
      <c r="AB233" s="134" t="s">
        <v>507</v>
      </c>
      <c r="AC233" s="134" t="s">
        <v>507</v>
      </c>
      <c r="AD233" s="134" t="s">
        <v>507</v>
      </c>
      <c r="AE233" s="134" t="s">
        <v>507</v>
      </c>
      <c r="AF233" s="134" t="s">
        <v>507</v>
      </c>
      <c r="AG233" s="134" t="s">
        <v>507</v>
      </c>
      <c r="AH233" s="134" t="s">
        <v>507</v>
      </c>
      <c r="AI233" s="134" t="s">
        <v>507</v>
      </c>
      <c r="AJ233" s="134" t="s">
        <v>507</v>
      </c>
      <c r="AK233" s="136" t="s">
        <v>507</v>
      </c>
      <c r="AL233" s="134" t="s">
        <v>507</v>
      </c>
      <c r="AM233" s="134" t="s">
        <v>507</v>
      </c>
      <c r="AN233" s="134" t="s">
        <v>507</v>
      </c>
      <c r="AO233" s="134" t="s">
        <v>507</v>
      </c>
      <c r="AP233" s="134" t="s">
        <v>507</v>
      </c>
      <c r="AQ233" s="136" t="s">
        <v>507</v>
      </c>
      <c r="AR233" s="134" t="s">
        <v>507</v>
      </c>
      <c r="AS233" s="134" t="s">
        <v>507</v>
      </c>
      <c r="AT233" s="134" t="s">
        <v>507</v>
      </c>
      <c r="AU233" s="150" t="s">
        <v>53</v>
      </c>
      <c r="AV233" s="134" t="s">
        <v>507</v>
      </c>
      <c r="AW233" s="134" t="s">
        <v>507</v>
      </c>
      <c r="AX233" s="134" t="s">
        <v>507</v>
      </c>
      <c r="AY233" s="134" t="s">
        <v>507</v>
      </c>
      <c r="AZ233" s="136" t="s">
        <v>507</v>
      </c>
      <c r="BA233" s="136" t="s">
        <v>507</v>
      </c>
    </row>
    <row r="234" spans="1:53" s="36" customFormat="1" ht="14.25" hidden="1" customHeight="1" x14ac:dyDescent="0.3">
      <c r="A234" s="135" t="s">
        <v>505</v>
      </c>
      <c r="B234" s="136" t="s">
        <v>763</v>
      </c>
      <c r="C234" s="136">
        <v>70</v>
      </c>
      <c r="D234" s="136">
        <v>230</v>
      </c>
      <c r="E234" s="136" t="s">
        <v>940</v>
      </c>
      <c r="F234" s="136" t="s">
        <v>941</v>
      </c>
      <c r="G234" s="29" t="str">
        <f t="shared" si="5"/>
        <v>7023023183621</v>
      </c>
      <c r="H234" s="136" t="s">
        <v>940</v>
      </c>
      <c r="I234" s="136">
        <v>23183621</v>
      </c>
      <c r="J234" s="136" t="s">
        <v>942</v>
      </c>
      <c r="K234" s="189" t="s">
        <v>4092</v>
      </c>
      <c r="L234" s="136">
        <v>3135200927</v>
      </c>
      <c r="M234" s="136" t="s">
        <v>507</v>
      </c>
      <c r="N234" s="158" t="s">
        <v>780</v>
      </c>
      <c r="O234" s="12" t="s">
        <v>260</v>
      </c>
      <c r="P234" s="179" t="s">
        <v>261</v>
      </c>
      <c r="Q234" s="136" t="s">
        <v>603</v>
      </c>
      <c r="R234" s="136" t="s">
        <v>943</v>
      </c>
      <c r="S234" s="136" t="s">
        <v>210</v>
      </c>
      <c r="T234" s="134" t="s">
        <v>507</v>
      </c>
      <c r="U234" s="189" t="s">
        <v>50</v>
      </c>
      <c r="V234" s="139">
        <v>44868</v>
      </c>
      <c r="W234" s="140">
        <v>0.91</v>
      </c>
      <c r="X234" s="134" t="s">
        <v>210</v>
      </c>
      <c r="Y234" s="136"/>
      <c r="Z234" s="189" t="s">
        <v>60</v>
      </c>
      <c r="AA234" s="134" t="s">
        <v>507</v>
      </c>
      <c r="AB234" s="134" t="s">
        <v>507</v>
      </c>
      <c r="AC234" s="134" t="s">
        <v>944</v>
      </c>
      <c r="AD234" s="134" t="s">
        <v>945</v>
      </c>
      <c r="AE234" s="134" t="s">
        <v>49</v>
      </c>
      <c r="AF234" s="134" t="s">
        <v>507</v>
      </c>
      <c r="AG234" s="134" t="s">
        <v>507</v>
      </c>
      <c r="AH234" s="134" t="s">
        <v>507</v>
      </c>
      <c r="AI234" s="134" t="s">
        <v>507</v>
      </c>
      <c r="AJ234" s="134" t="s">
        <v>507</v>
      </c>
      <c r="AK234" s="136" t="s">
        <v>507</v>
      </c>
      <c r="AL234" s="134" t="s">
        <v>507</v>
      </c>
      <c r="AM234" s="134" t="s">
        <v>507</v>
      </c>
      <c r="AN234" s="134" t="s">
        <v>507</v>
      </c>
      <c r="AO234" s="139"/>
      <c r="AP234" s="140"/>
      <c r="AQ234" s="136"/>
      <c r="AR234" s="136"/>
      <c r="AS234" s="134" t="s">
        <v>507</v>
      </c>
      <c r="AT234" s="134" t="s">
        <v>507</v>
      </c>
      <c r="AU234" s="150" t="s">
        <v>53</v>
      </c>
      <c r="AV234" s="134" t="s">
        <v>507</v>
      </c>
      <c r="AW234" s="134" t="s">
        <v>507</v>
      </c>
      <c r="AX234" s="134" t="s">
        <v>507</v>
      </c>
      <c r="AY234" s="134" t="s">
        <v>507</v>
      </c>
      <c r="AZ234" s="136" t="s">
        <v>507</v>
      </c>
      <c r="BA234" s="136" t="s">
        <v>507</v>
      </c>
    </row>
    <row r="235" spans="1:53" s="36" customFormat="1" ht="14.25" hidden="1" customHeight="1" x14ac:dyDescent="0.3">
      <c r="A235" s="135" t="s">
        <v>505</v>
      </c>
      <c r="B235" s="136" t="s">
        <v>763</v>
      </c>
      <c r="C235" s="136">
        <v>70</v>
      </c>
      <c r="D235" s="136">
        <v>230</v>
      </c>
      <c r="E235" s="136" t="s">
        <v>946</v>
      </c>
      <c r="F235" s="163" t="s">
        <v>947</v>
      </c>
      <c r="G235" s="29" t="str">
        <f t="shared" si="5"/>
        <v>7023064450221</v>
      </c>
      <c r="H235" s="136" t="s">
        <v>946</v>
      </c>
      <c r="I235" s="136">
        <v>64450221</v>
      </c>
      <c r="J235" s="136" t="s">
        <v>948</v>
      </c>
      <c r="K235" s="189" t="s">
        <v>4092</v>
      </c>
      <c r="L235" s="136">
        <v>3116053102</v>
      </c>
      <c r="M235" s="136" t="s">
        <v>507</v>
      </c>
      <c r="N235" s="158" t="s">
        <v>780</v>
      </c>
      <c r="O235" s="12" t="s">
        <v>260</v>
      </c>
      <c r="P235" s="179" t="s">
        <v>261</v>
      </c>
      <c r="Q235" s="136" t="s">
        <v>603</v>
      </c>
      <c r="R235" s="140">
        <v>0.83</v>
      </c>
      <c r="S235" s="136" t="s">
        <v>49</v>
      </c>
      <c r="T235" s="134" t="s">
        <v>507</v>
      </c>
      <c r="U235" s="189" t="s">
        <v>50</v>
      </c>
      <c r="V235" s="136" t="s">
        <v>952</v>
      </c>
      <c r="W235" s="136" t="s">
        <v>953</v>
      </c>
      <c r="X235" s="136" t="s">
        <v>49</v>
      </c>
      <c r="Y235" s="136"/>
      <c r="Z235" s="189" t="s">
        <v>60</v>
      </c>
      <c r="AA235" s="134" t="s">
        <v>507</v>
      </c>
      <c r="AB235" s="134" t="s">
        <v>507</v>
      </c>
      <c r="AC235" s="136" t="s">
        <v>949</v>
      </c>
      <c r="AD235" s="140">
        <v>0.71</v>
      </c>
      <c r="AE235" s="134" t="s">
        <v>49</v>
      </c>
      <c r="AG235" s="134" t="s">
        <v>507</v>
      </c>
      <c r="AH235" s="134" t="s">
        <v>507</v>
      </c>
      <c r="AI235" s="136" t="s">
        <v>950</v>
      </c>
      <c r="AJ235" s="136" t="s">
        <v>951</v>
      </c>
      <c r="AK235" s="134" t="s">
        <v>49</v>
      </c>
      <c r="AL235" s="189" t="s">
        <v>60</v>
      </c>
      <c r="AM235" s="134" t="s">
        <v>507</v>
      </c>
      <c r="AN235" s="134" t="s">
        <v>507</v>
      </c>
      <c r="AS235" s="134" t="s">
        <v>507</v>
      </c>
      <c r="AT235" s="134" t="s">
        <v>507</v>
      </c>
      <c r="AU235" s="150" t="s">
        <v>53</v>
      </c>
      <c r="AV235" s="134" t="s">
        <v>507</v>
      </c>
      <c r="AW235" s="134" t="s">
        <v>507</v>
      </c>
      <c r="AX235" s="134" t="s">
        <v>507</v>
      </c>
      <c r="AY235" s="134" t="s">
        <v>507</v>
      </c>
      <c r="AZ235" s="136" t="s">
        <v>507</v>
      </c>
      <c r="BA235" s="136" t="s">
        <v>507</v>
      </c>
    </row>
    <row r="236" spans="1:53" s="36" customFormat="1" ht="14.25" hidden="1" customHeight="1" x14ac:dyDescent="0.3">
      <c r="A236" s="135" t="s">
        <v>505</v>
      </c>
      <c r="B236" s="136" t="s">
        <v>763</v>
      </c>
      <c r="C236" s="136">
        <v>70</v>
      </c>
      <c r="D236" s="136">
        <v>230</v>
      </c>
      <c r="E236" s="136" t="s">
        <v>954</v>
      </c>
      <c r="F236" s="136" t="s">
        <v>955</v>
      </c>
      <c r="G236" s="29" t="str">
        <f t="shared" si="5"/>
        <v>7023073211678-4</v>
      </c>
      <c r="H236" s="136" t="s">
        <v>954</v>
      </c>
      <c r="I236" s="136" t="s">
        <v>956</v>
      </c>
      <c r="J236" s="134" t="s">
        <v>957</v>
      </c>
      <c r="K236" s="189" t="s">
        <v>4092</v>
      </c>
      <c r="L236" s="136">
        <v>3006658354</v>
      </c>
      <c r="M236" s="136" t="s">
        <v>507</v>
      </c>
      <c r="N236" s="158" t="s">
        <v>780</v>
      </c>
      <c r="O236" s="12" t="s">
        <v>260</v>
      </c>
      <c r="P236" s="179" t="s">
        <v>261</v>
      </c>
      <c r="Q236" s="136" t="s">
        <v>781</v>
      </c>
      <c r="R236" s="140">
        <v>0.92</v>
      </c>
      <c r="S236" s="136" t="s">
        <v>210</v>
      </c>
      <c r="T236" s="134" t="s">
        <v>507</v>
      </c>
      <c r="U236" s="189" t="s">
        <v>50</v>
      </c>
      <c r="V236" s="136" t="s">
        <v>649</v>
      </c>
      <c r="W236" s="140">
        <v>0.88</v>
      </c>
      <c r="X236" s="136" t="s">
        <v>49</v>
      </c>
      <c r="Y236" s="136"/>
      <c r="Z236" s="192" t="s">
        <v>60</v>
      </c>
      <c r="AA236" s="134" t="s">
        <v>507</v>
      </c>
      <c r="AB236" s="134" t="s">
        <v>507</v>
      </c>
      <c r="AC236" s="134" t="s">
        <v>507</v>
      </c>
      <c r="AD236" s="134" t="s">
        <v>507</v>
      </c>
      <c r="AE236" s="134" t="s">
        <v>507</v>
      </c>
      <c r="AF236" s="134" t="s">
        <v>507</v>
      </c>
      <c r="AG236" s="134" t="s">
        <v>507</v>
      </c>
      <c r="AH236" s="134" t="s">
        <v>507</v>
      </c>
      <c r="AI236" s="134" t="s">
        <v>507</v>
      </c>
      <c r="AJ236" s="134" t="s">
        <v>507</v>
      </c>
      <c r="AK236" s="136" t="s">
        <v>507</v>
      </c>
      <c r="AL236" s="134" t="s">
        <v>507</v>
      </c>
      <c r="AM236" s="134" t="s">
        <v>507</v>
      </c>
      <c r="AN236" s="134" t="s">
        <v>507</v>
      </c>
      <c r="AS236" s="134" t="s">
        <v>507</v>
      </c>
      <c r="AT236" s="134" t="s">
        <v>507</v>
      </c>
      <c r="AU236" s="150" t="s">
        <v>53</v>
      </c>
      <c r="AV236" s="134" t="s">
        <v>507</v>
      </c>
      <c r="AW236" s="134" t="s">
        <v>507</v>
      </c>
      <c r="AX236" s="134" t="s">
        <v>507</v>
      </c>
      <c r="AY236" s="134" t="s">
        <v>507</v>
      </c>
      <c r="AZ236" s="136" t="s">
        <v>507</v>
      </c>
      <c r="BA236" s="136" t="s">
        <v>507</v>
      </c>
    </row>
    <row r="237" spans="1:53" s="36" customFormat="1" ht="14.25" hidden="1" customHeight="1" x14ac:dyDescent="0.3">
      <c r="A237" s="135" t="s">
        <v>505</v>
      </c>
      <c r="B237" s="136" t="s">
        <v>763</v>
      </c>
      <c r="C237" s="136">
        <v>70</v>
      </c>
      <c r="D237" s="136">
        <v>230</v>
      </c>
      <c r="E237" s="136" t="s">
        <v>958</v>
      </c>
      <c r="F237" s="136" t="s">
        <v>959</v>
      </c>
      <c r="G237" s="29" t="str">
        <f t="shared" si="5"/>
        <v>7023092070763</v>
      </c>
      <c r="H237" s="136" t="s">
        <v>958</v>
      </c>
      <c r="I237" s="136">
        <v>92070763</v>
      </c>
      <c r="J237" s="136" t="s">
        <v>960</v>
      </c>
      <c r="K237" s="189" t="s">
        <v>4092</v>
      </c>
      <c r="L237" s="136" t="s">
        <v>507</v>
      </c>
      <c r="M237" s="136" t="s">
        <v>45</v>
      </c>
      <c r="N237" s="158" t="s">
        <v>780</v>
      </c>
      <c r="O237" s="12" t="s">
        <v>260</v>
      </c>
      <c r="P237" s="179" t="s">
        <v>261</v>
      </c>
      <c r="Q237" s="136" t="s">
        <v>382</v>
      </c>
      <c r="R237" s="140">
        <v>0.82</v>
      </c>
      <c r="S237" s="136" t="s">
        <v>49</v>
      </c>
      <c r="T237" s="134" t="s">
        <v>507</v>
      </c>
      <c r="U237" s="189" t="s">
        <v>50</v>
      </c>
      <c r="V237" s="136" t="s">
        <v>507</v>
      </c>
      <c r="W237" s="136" t="s">
        <v>507</v>
      </c>
      <c r="X237" s="134" t="s">
        <v>507</v>
      </c>
      <c r="Y237" s="136" t="s">
        <v>507</v>
      </c>
      <c r="Z237" s="136" t="s">
        <v>507</v>
      </c>
      <c r="AA237" s="136" t="s">
        <v>507</v>
      </c>
      <c r="AB237" s="136" t="s">
        <v>507</v>
      </c>
      <c r="AC237" s="136" t="s">
        <v>507</v>
      </c>
      <c r="AD237" s="136" t="s">
        <v>507</v>
      </c>
      <c r="AE237" s="134" t="s">
        <v>507</v>
      </c>
      <c r="AF237" s="136" t="s">
        <v>507</v>
      </c>
      <c r="AG237" s="136" t="s">
        <v>507</v>
      </c>
      <c r="AH237" s="136" t="s">
        <v>507</v>
      </c>
      <c r="AI237" s="136" t="s">
        <v>507</v>
      </c>
      <c r="AJ237" s="136" t="s">
        <v>507</v>
      </c>
      <c r="AK237" s="136" t="s">
        <v>507</v>
      </c>
      <c r="AL237" s="136" t="s">
        <v>507</v>
      </c>
      <c r="AM237" s="136" t="s">
        <v>507</v>
      </c>
      <c r="AN237" s="136" t="s">
        <v>507</v>
      </c>
      <c r="AO237" s="136" t="s">
        <v>507</v>
      </c>
      <c r="AP237" s="136" t="s">
        <v>507</v>
      </c>
      <c r="AQ237" s="136" t="s">
        <v>507</v>
      </c>
      <c r="AR237" s="136" t="s">
        <v>507</v>
      </c>
      <c r="AS237" s="136" t="s">
        <v>507</v>
      </c>
      <c r="AT237" s="136" t="s">
        <v>507</v>
      </c>
      <c r="AU237" s="161" t="s">
        <v>164</v>
      </c>
      <c r="AV237" s="136" t="s">
        <v>507</v>
      </c>
      <c r="AW237" s="136" t="s">
        <v>507</v>
      </c>
      <c r="AX237" s="136" t="s">
        <v>507</v>
      </c>
      <c r="AY237" s="136" t="s">
        <v>507</v>
      </c>
      <c r="AZ237" s="136" t="s">
        <v>507</v>
      </c>
      <c r="BA237" s="136" t="s">
        <v>507</v>
      </c>
    </row>
    <row r="238" spans="1:53" s="12" customFormat="1" ht="18" hidden="1" customHeight="1" x14ac:dyDescent="0.3">
      <c r="A238" s="42" t="s">
        <v>505</v>
      </c>
      <c r="B238" s="12" t="s">
        <v>961</v>
      </c>
      <c r="C238" s="12">
        <v>70</v>
      </c>
      <c r="D238" s="12">
        <v>204</v>
      </c>
      <c r="F238" s="12" t="s">
        <v>962</v>
      </c>
      <c r="G238" s="29" t="str">
        <f t="shared" si="5"/>
        <v>70204</v>
      </c>
      <c r="H238" s="12" t="s">
        <v>963</v>
      </c>
      <c r="I238" s="15"/>
      <c r="J238" s="12" t="s">
        <v>45</v>
      </c>
      <c r="K238" s="12" t="s">
        <v>230</v>
      </c>
      <c r="L238" s="12" t="s">
        <v>45</v>
      </c>
      <c r="M238" s="12" t="s">
        <v>45</v>
      </c>
      <c r="N238" s="12" t="s">
        <v>7648</v>
      </c>
      <c r="O238" s="12" t="s">
        <v>7653</v>
      </c>
      <c r="P238" s="88" t="s">
        <v>48</v>
      </c>
      <c r="AU238" s="12" t="s">
        <v>164</v>
      </c>
    </row>
    <row r="239" spans="1:53" s="12" customFormat="1" ht="14.25" hidden="1" customHeight="1" x14ac:dyDescent="0.3">
      <c r="A239" s="42" t="s">
        <v>505</v>
      </c>
      <c r="B239" s="12" t="s">
        <v>961</v>
      </c>
      <c r="C239" s="12">
        <v>70</v>
      </c>
      <c r="D239" s="12">
        <v>204</v>
      </c>
      <c r="F239" s="1" t="s">
        <v>964</v>
      </c>
      <c r="G239" s="12" t="str">
        <f t="shared" si="5"/>
        <v>7020492671036</v>
      </c>
      <c r="H239" s="42" t="s">
        <v>965</v>
      </c>
      <c r="I239" s="15">
        <v>92671036</v>
      </c>
      <c r="J239" s="12" t="s">
        <v>966</v>
      </c>
      <c r="K239" s="12" t="s">
        <v>4092</v>
      </c>
      <c r="L239" s="12" t="s">
        <v>45</v>
      </c>
      <c r="M239" s="12" t="s">
        <v>45</v>
      </c>
      <c r="N239" s="12" t="s">
        <v>46</v>
      </c>
      <c r="O239" s="12" t="s">
        <v>521</v>
      </c>
      <c r="P239" s="88" t="s">
        <v>48</v>
      </c>
      <c r="Q239" s="13">
        <v>45545</v>
      </c>
      <c r="R239" s="16">
        <v>0.98</v>
      </c>
      <c r="S239" s="13" t="s">
        <v>210</v>
      </c>
      <c r="U239" s="12" t="s">
        <v>60</v>
      </c>
      <c r="V239" s="13">
        <v>44567</v>
      </c>
      <c r="W239" s="16">
        <v>0.73499999999999999</v>
      </c>
      <c r="X239" s="13" t="s">
        <v>49</v>
      </c>
      <c r="Z239" s="12" t="s">
        <v>60</v>
      </c>
      <c r="AA239" s="12" t="s">
        <v>51</v>
      </c>
      <c r="AB239" s="12" t="s">
        <v>51</v>
      </c>
      <c r="AU239" s="12" t="s">
        <v>53</v>
      </c>
    </row>
    <row r="240" spans="1:53" s="12" customFormat="1" ht="14.25" hidden="1" customHeight="1" x14ac:dyDescent="0.3">
      <c r="A240" s="42" t="s">
        <v>505</v>
      </c>
      <c r="B240" s="12" t="s">
        <v>961</v>
      </c>
      <c r="C240" s="12">
        <v>70</v>
      </c>
      <c r="D240" s="12">
        <v>204</v>
      </c>
      <c r="F240" s="12" t="s">
        <v>967</v>
      </c>
      <c r="G240" s="12" t="str">
        <f t="shared" si="5"/>
        <v>7020422897529</v>
      </c>
      <c r="H240" s="12" t="s">
        <v>968</v>
      </c>
      <c r="I240" s="15">
        <v>22897529</v>
      </c>
      <c r="J240" s="12" t="s">
        <v>969</v>
      </c>
      <c r="K240" s="12" t="s">
        <v>4092</v>
      </c>
      <c r="L240" s="12" t="s">
        <v>45</v>
      </c>
      <c r="M240" s="12" t="s">
        <v>45</v>
      </c>
      <c r="N240" s="12" t="s">
        <v>780</v>
      </c>
      <c r="O240" s="12" t="s">
        <v>260</v>
      </c>
      <c r="P240" s="88" t="s">
        <v>261</v>
      </c>
      <c r="Q240" s="13">
        <v>45422</v>
      </c>
      <c r="R240" s="16">
        <v>0.81</v>
      </c>
      <c r="S240" s="13" t="s">
        <v>49</v>
      </c>
      <c r="U240" s="12" t="s">
        <v>60</v>
      </c>
      <c r="V240" s="13"/>
      <c r="W240" s="13"/>
      <c r="X240" s="13"/>
      <c r="AU240" s="12" t="s">
        <v>53</v>
      </c>
    </row>
    <row r="241" spans="1:47" s="12" customFormat="1" ht="14.25" hidden="1" customHeight="1" x14ac:dyDescent="0.3">
      <c r="A241" s="42" t="s">
        <v>505</v>
      </c>
      <c r="B241" s="12" t="s">
        <v>961</v>
      </c>
      <c r="C241" s="12">
        <v>70</v>
      </c>
      <c r="D241" s="12">
        <v>204</v>
      </c>
      <c r="F241" s="12" t="s">
        <v>970</v>
      </c>
      <c r="G241" s="12" t="str">
        <f t="shared" si="5"/>
        <v>702041101782519</v>
      </c>
      <c r="H241" s="12" t="s">
        <v>971</v>
      </c>
      <c r="I241" s="12">
        <v>1101782519</v>
      </c>
      <c r="J241" s="12" t="s">
        <v>972</v>
      </c>
      <c r="K241" s="12" t="s">
        <v>4092</v>
      </c>
      <c r="L241" s="12">
        <v>3007385089</v>
      </c>
      <c r="M241" s="12" t="s">
        <v>45</v>
      </c>
      <c r="N241" s="12" t="s">
        <v>780</v>
      </c>
      <c r="O241" s="12" t="s">
        <v>260</v>
      </c>
      <c r="P241" s="88" t="s">
        <v>261</v>
      </c>
      <c r="Q241" s="13">
        <v>45365</v>
      </c>
      <c r="R241" s="16">
        <v>0.83499999999999996</v>
      </c>
      <c r="S241" s="13" t="s">
        <v>49</v>
      </c>
      <c r="U241" s="12" t="s">
        <v>60</v>
      </c>
      <c r="V241" s="13"/>
      <c r="W241" s="13"/>
      <c r="X241" s="13"/>
      <c r="AU241" s="12" t="s">
        <v>53</v>
      </c>
    </row>
    <row r="242" spans="1:47" s="12" customFormat="1" ht="14.4" hidden="1" x14ac:dyDescent="0.3">
      <c r="A242" s="12" t="s">
        <v>505</v>
      </c>
      <c r="B242" s="12" t="s">
        <v>961</v>
      </c>
      <c r="C242" s="12">
        <v>70</v>
      </c>
      <c r="D242" s="12">
        <v>204</v>
      </c>
      <c r="F242" s="12" t="s">
        <v>973</v>
      </c>
      <c r="G242" s="12" t="str">
        <f t="shared" si="5"/>
        <v>7020422896913</v>
      </c>
      <c r="H242" s="12" t="s">
        <v>974</v>
      </c>
      <c r="I242" s="15">
        <v>22896913</v>
      </c>
      <c r="J242" s="12" t="s">
        <v>975</v>
      </c>
      <c r="K242" s="12" t="s">
        <v>4092</v>
      </c>
      <c r="L242" s="12" t="s">
        <v>45</v>
      </c>
      <c r="M242" s="12" t="s">
        <v>45</v>
      </c>
      <c r="N242" s="12" t="s">
        <v>780</v>
      </c>
      <c r="O242" s="12" t="s">
        <v>260</v>
      </c>
      <c r="P242" s="88" t="s">
        <v>261</v>
      </c>
      <c r="Q242" s="13">
        <v>45509</v>
      </c>
      <c r="R242" s="16">
        <v>0.97</v>
      </c>
      <c r="S242" s="13" t="s">
        <v>210</v>
      </c>
      <c r="U242" s="12" t="s">
        <v>60</v>
      </c>
      <c r="V242" s="13">
        <v>44364</v>
      </c>
      <c r="W242" s="16">
        <v>0.79249999999999998</v>
      </c>
      <c r="X242" s="13" t="s">
        <v>49</v>
      </c>
      <c r="Z242" s="12" t="s">
        <v>50</v>
      </c>
      <c r="AA242" s="12" t="s">
        <v>51</v>
      </c>
      <c r="AB242" s="12" t="s">
        <v>51</v>
      </c>
      <c r="AC242" s="13">
        <v>44364</v>
      </c>
      <c r="AD242" s="16">
        <v>0.79249999999999998</v>
      </c>
      <c r="AE242" s="13" t="s">
        <v>49</v>
      </c>
      <c r="AF242" s="12" t="s">
        <v>50</v>
      </c>
      <c r="AG242" s="12" t="s">
        <v>51</v>
      </c>
      <c r="AH242" s="12" t="s">
        <v>51</v>
      </c>
      <c r="AU242" s="12" t="s">
        <v>53</v>
      </c>
    </row>
    <row r="243" spans="1:47" s="12" customFormat="1" ht="14.4" hidden="1" x14ac:dyDescent="0.3">
      <c r="A243" s="12" t="s">
        <v>505</v>
      </c>
      <c r="B243" s="12" t="s">
        <v>961</v>
      </c>
      <c r="C243" s="12">
        <v>70</v>
      </c>
      <c r="D243" s="12">
        <v>204</v>
      </c>
      <c r="F243" s="12" t="s">
        <v>976</v>
      </c>
      <c r="G243" s="12" t="str">
        <f t="shared" si="5"/>
        <v>7020492601424</v>
      </c>
      <c r="H243" s="12" t="s">
        <v>977</v>
      </c>
      <c r="I243" s="15">
        <v>92601424</v>
      </c>
      <c r="J243" s="12" t="s">
        <v>978</v>
      </c>
      <c r="K243" s="12" t="s">
        <v>4092</v>
      </c>
      <c r="L243" s="12" t="s">
        <v>45</v>
      </c>
      <c r="M243" s="12" t="s">
        <v>45</v>
      </c>
      <c r="N243" s="12" t="s">
        <v>780</v>
      </c>
      <c r="O243" s="12" t="s">
        <v>260</v>
      </c>
      <c r="P243" s="88" t="s">
        <v>261</v>
      </c>
      <c r="Q243" s="13">
        <v>45503</v>
      </c>
      <c r="R243" s="16">
        <v>0.91500000000000004</v>
      </c>
      <c r="S243" s="13" t="s">
        <v>210</v>
      </c>
      <c r="U243" s="12" t="s">
        <v>60</v>
      </c>
      <c r="V243" s="13"/>
      <c r="W243" s="13"/>
      <c r="X243" s="13"/>
      <c r="AU243" s="12" t="s">
        <v>53</v>
      </c>
    </row>
    <row r="244" spans="1:47" s="12" customFormat="1" ht="14.4" hidden="1" x14ac:dyDescent="0.3">
      <c r="A244" s="12" t="s">
        <v>505</v>
      </c>
      <c r="B244" s="12" t="s">
        <v>961</v>
      </c>
      <c r="C244" s="12">
        <v>70</v>
      </c>
      <c r="D244" s="12">
        <v>204</v>
      </c>
      <c r="F244" s="12" t="s">
        <v>979</v>
      </c>
      <c r="G244" s="12" t="str">
        <f t="shared" si="5"/>
        <v>7020492601615</v>
      </c>
      <c r="H244" s="12" t="s">
        <v>980</v>
      </c>
      <c r="I244" s="15">
        <v>92601615</v>
      </c>
      <c r="J244" s="12" t="s">
        <v>981</v>
      </c>
      <c r="K244" s="12" t="s">
        <v>4092</v>
      </c>
      <c r="L244" s="12" t="s">
        <v>45</v>
      </c>
      <c r="M244" s="12" t="s">
        <v>45</v>
      </c>
      <c r="N244" s="12" t="s">
        <v>780</v>
      </c>
      <c r="O244" s="12" t="s">
        <v>260</v>
      </c>
      <c r="P244" s="88" t="s">
        <v>261</v>
      </c>
      <c r="Q244" s="13">
        <v>45548</v>
      </c>
      <c r="R244" s="16">
        <v>0.81499999999999995</v>
      </c>
      <c r="S244" s="13" t="s">
        <v>49</v>
      </c>
      <c r="U244" s="12" t="s">
        <v>60</v>
      </c>
      <c r="V244" s="13"/>
      <c r="W244" s="13"/>
      <c r="X244" s="13"/>
      <c r="AU244" s="12" t="s">
        <v>53</v>
      </c>
    </row>
    <row r="245" spans="1:47" s="12" customFormat="1" ht="14.4" hidden="1" x14ac:dyDescent="0.3">
      <c r="A245" s="12" t="s">
        <v>505</v>
      </c>
      <c r="B245" s="12" t="s">
        <v>961</v>
      </c>
      <c r="C245" s="12">
        <v>70</v>
      </c>
      <c r="D245" s="12">
        <v>204</v>
      </c>
      <c r="F245" s="12" t="s">
        <v>982</v>
      </c>
      <c r="G245" s="12" t="str">
        <f t="shared" si="5"/>
        <v>702041010000098-9</v>
      </c>
      <c r="H245" s="12" t="s">
        <v>983</v>
      </c>
      <c r="I245" s="15" t="s">
        <v>984</v>
      </c>
      <c r="J245" s="12" t="s">
        <v>985</v>
      </c>
      <c r="K245" s="12" t="s">
        <v>4092</v>
      </c>
      <c r="L245" s="12" t="s">
        <v>45</v>
      </c>
      <c r="M245" s="12" t="s">
        <v>45</v>
      </c>
      <c r="N245" s="12" t="s">
        <v>780</v>
      </c>
      <c r="O245" s="12" t="s">
        <v>260</v>
      </c>
      <c r="P245" s="88" t="s">
        <v>261</v>
      </c>
      <c r="Q245" s="13">
        <v>45535</v>
      </c>
      <c r="R245" s="16">
        <v>0.79500000000000004</v>
      </c>
      <c r="S245" s="13" t="s">
        <v>49</v>
      </c>
      <c r="U245" s="12" t="s">
        <v>60</v>
      </c>
      <c r="V245" s="13" t="s">
        <v>986</v>
      </c>
      <c r="W245" s="16">
        <v>0.83</v>
      </c>
      <c r="X245" s="13" t="s">
        <v>49</v>
      </c>
      <c r="Z245" s="12" t="s">
        <v>50</v>
      </c>
      <c r="AA245" s="12" t="s">
        <v>51</v>
      </c>
      <c r="AB245" s="12" t="s">
        <v>51</v>
      </c>
      <c r="AU245" s="12" t="s">
        <v>53</v>
      </c>
    </row>
    <row r="246" spans="1:47" s="12" customFormat="1" ht="14.4" hidden="1" x14ac:dyDescent="0.3">
      <c r="A246" s="12" t="s">
        <v>505</v>
      </c>
      <c r="B246" s="12" t="s">
        <v>961</v>
      </c>
      <c r="C246" s="12">
        <v>70</v>
      </c>
      <c r="D246" s="12">
        <v>204</v>
      </c>
      <c r="F246" s="12" t="s">
        <v>987</v>
      </c>
      <c r="G246" s="12" t="str">
        <f t="shared" si="5"/>
        <v>702041006758404</v>
      </c>
      <c r="H246" s="12" t="s">
        <v>988</v>
      </c>
      <c r="I246" s="15">
        <v>1006758404</v>
      </c>
      <c r="J246" s="12" t="s">
        <v>989</v>
      </c>
      <c r="K246" s="12" t="s">
        <v>4092</v>
      </c>
      <c r="L246" s="12" t="s">
        <v>45</v>
      </c>
      <c r="M246" s="12" t="s">
        <v>45</v>
      </c>
      <c r="N246" s="12" t="s">
        <v>780</v>
      </c>
      <c r="O246" s="12" t="s">
        <v>260</v>
      </c>
      <c r="P246" s="88" t="s">
        <v>261</v>
      </c>
      <c r="Q246" s="13">
        <v>45540</v>
      </c>
      <c r="R246" s="16">
        <v>0.8</v>
      </c>
      <c r="S246" s="13" t="s">
        <v>49</v>
      </c>
      <c r="U246" s="12" t="s">
        <v>60</v>
      </c>
      <c r="V246" s="12" t="s">
        <v>990</v>
      </c>
      <c r="W246" s="12">
        <v>0.82</v>
      </c>
      <c r="X246" s="12" t="s">
        <v>49</v>
      </c>
      <c r="Z246" s="12" t="s">
        <v>50</v>
      </c>
      <c r="AA246" s="12" t="s">
        <v>51</v>
      </c>
      <c r="AB246" s="12" t="s">
        <v>51</v>
      </c>
      <c r="AU246" s="12" t="s">
        <v>53</v>
      </c>
    </row>
    <row r="247" spans="1:47" s="12" customFormat="1" ht="14.4" hidden="1" x14ac:dyDescent="0.3">
      <c r="A247" s="12" t="s">
        <v>505</v>
      </c>
      <c r="B247" s="12" t="s">
        <v>961</v>
      </c>
      <c r="C247" s="12">
        <v>70</v>
      </c>
      <c r="D247" s="12">
        <v>204</v>
      </c>
      <c r="F247" s="12" t="s">
        <v>991</v>
      </c>
      <c r="G247" s="12" t="str">
        <f t="shared" si="5"/>
        <v>70204822896870</v>
      </c>
      <c r="H247" s="12" t="s">
        <v>992</v>
      </c>
      <c r="I247" s="15">
        <v>822896870</v>
      </c>
      <c r="J247" s="12" t="s">
        <v>993</v>
      </c>
      <c r="K247" s="12" t="s">
        <v>4092</v>
      </c>
      <c r="L247" s="12" t="s">
        <v>45</v>
      </c>
      <c r="M247" s="12" t="s">
        <v>45</v>
      </c>
      <c r="N247" s="12" t="s">
        <v>780</v>
      </c>
      <c r="O247" s="12" t="s">
        <v>260</v>
      </c>
      <c r="P247" s="88" t="s">
        <v>261</v>
      </c>
      <c r="Q247" s="13">
        <v>45526</v>
      </c>
      <c r="R247" s="16">
        <v>0.81</v>
      </c>
      <c r="S247" s="13" t="s">
        <v>49</v>
      </c>
      <c r="U247" s="12" t="s">
        <v>60</v>
      </c>
      <c r="V247" s="13">
        <v>44652</v>
      </c>
      <c r="W247" s="16">
        <v>0.84</v>
      </c>
      <c r="X247" s="13" t="s">
        <v>49</v>
      </c>
      <c r="Z247" s="12" t="s">
        <v>50</v>
      </c>
      <c r="AA247" s="12" t="s">
        <v>51</v>
      </c>
      <c r="AB247" s="12" t="s">
        <v>51</v>
      </c>
      <c r="AU247" s="12" t="s">
        <v>53</v>
      </c>
    </row>
    <row r="248" spans="1:47" s="12" customFormat="1" ht="14.4" hidden="1" x14ac:dyDescent="0.3">
      <c r="A248" s="12" t="s">
        <v>505</v>
      </c>
      <c r="B248" s="12" t="s">
        <v>961</v>
      </c>
      <c r="C248" s="12">
        <v>70</v>
      </c>
      <c r="D248" s="12">
        <v>204</v>
      </c>
      <c r="F248" s="12" t="s">
        <v>994</v>
      </c>
      <c r="G248" s="12" t="str">
        <f t="shared" si="5"/>
        <v>7020411017824490</v>
      </c>
      <c r="H248" s="12" t="s">
        <v>995</v>
      </c>
      <c r="I248" s="15">
        <v>11017824490</v>
      </c>
      <c r="J248" s="12" t="s">
        <v>989</v>
      </c>
      <c r="K248" s="12" t="s">
        <v>4092</v>
      </c>
      <c r="L248" s="12" t="s">
        <v>45</v>
      </c>
      <c r="M248" s="12" t="s">
        <v>45</v>
      </c>
      <c r="N248" s="12" t="s">
        <v>780</v>
      </c>
      <c r="O248" s="12" t="s">
        <v>260</v>
      </c>
      <c r="P248" s="88" t="s">
        <v>261</v>
      </c>
      <c r="Q248" s="13">
        <v>45544</v>
      </c>
      <c r="R248" s="16">
        <v>0.76</v>
      </c>
      <c r="S248" s="13" t="s">
        <v>210</v>
      </c>
      <c r="U248" s="12" t="s">
        <v>60</v>
      </c>
      <c r="AU248" s="12" t="s">
        <v>53</v>
      </c>
    </row>
    <row r="249" spans="1:47" s="12" customFormat="1" ht="14.4" hidden="1" x14ac:dyDescent="0.3">
      <c r="A249" s="12" t="s">
        <v>505</v>
      </c>
      <c r="B249" s="12" t="s">
        <v>961</v>
      </c>
      <c r="C249" s="12">
        <v>70</v>
      </c>
      <c r="D249" s="12">
        <v>204</v>
      </c>
      <c r="F249" s="12" t="s">
        <v>996</v>
      </c>
      <c r="G249" s="12" t="str">
        <f t="shared" si="5"/>
        <v>70204101098-9</v>
      </c>
      <c r="H249" s="12" t="s">
        <v>983</v>
      </c>
      <c r="I249" s="12" t="s">
        <v>997</v>
      </c>
      <c r="J249" s="12" t="s">
        <v>998</v>
      </c>
      <c r="K249" s="12" t="s">
        <v>4092</v>
      </c>
      <c r="L249" s="12" t="s">
        <v>45</v>
      </c>
      <c r="M249" s="12" t="s">
        <v>45</v>
      </c>
      <c r="N249" s="12" t="s">
        <v>780</v>
      </c>
      <c r="O249" s="12" t="s">
        <v>260</v>
      </c>
      <c r="P249" s="88" t="s">
        <v>261</v>
      </c>
      <c r="Q249" s="13">
        <v>45563</v>
      </c>
      <c r="R249" s="16">
        <v>0.73</v>
      </c>
      <c r="S249" s="13" t="s">
        <v>210</v>
      </c>
      <c r="U249" s="12" t="s">
        <v>60</v>
      </c>
      <c r="V249" s="13">
        <v>44675</v>
      </c>
      <c r="W249" s="16">
        <v>0.75249999999999995</v>
      </c>
      <c r="X249" s="13" t="s">
        <v>49</v>
      </c>
      <c r="Z249" s="12" t="s">
        <v>50</v>
      </c>
      <c r="AA249" s="12" t="s">
        <v>51</v>
      </c>
      <c r="AB249" s="12" t="s">
        <v>51</v>
      </c>
      <c r="AU249" s="12" t="s">
        <v>53</v>
      </c>
    </row>
    <row r="250" spans="1:47" s="12" customFormat="1" ht="14.4" hidden="1" x14ac:dyDescent="0.3">
      <c r="A250" s="12" t="s">
        <v>505</v>
      </c>
      <c r="B250" s="12" t="s">
        <v>961</v>
      </c>
      <c r="C250" s="12">
        <v>70</v>
      </c>
      <c r="D250" s="12">
        <v>204</v>
      </c>
      <c r="F250" s="12" t="s">
        <v>999</v>
      </c>
      <c r="G250" s="12" t="str">
        <f t="shared" si="5"/>
        <v>7020470382435</v>
      </c>
      <c r="H250" s="12" t="s">
        <v>1000</v>
      </c>
      <c r="I250" s="15">
        <v>70382435</v>
      </c>
      <c r="J250" s="12" t="s">
        <v>1001</v>
      </c>
      <c r="K250" s="12" t="s">
        <v>4092</v>
      </c>
      <c r="L250" s="12" t="s">
        <v>45</v>
      </c>
      <c r="M250" s="12" t="s">
        <v>45</v>
      </c>
      <c r="N250" s="12" t="s">
        <v>780</v>
      </c>
      <c r="O250" s="12" t="s">
        <v>260</v>
      </c>
      <c r="P250" s="88" t="s">
        <v>261</v>
      </c>
      <c r="Q250" s="13">
        <v>45573</v>
      </c>
      <c r="R250" s="16">
        <v>0.89500000000000002</v>
      </c>
      <c r="S250" s="13" t="s">
        <v>210</v>
      </c>
      <c r="U250" s="12" t="s">
        <v>60</v>
      </c>
      <c r="AU250" s="12" t="s">
        <v>53</v>
      </c>
    </row>
    <row r="251" spans="1:47" s="12" customFormat="1" ht="14.4" hidden="1" x14ac:dyDescent="0.3">
      <c r="A251" s="12" t="s">
        <v>505</v>
      </c>
      <c r="B251" s="12" t="s">
        <v>961</v>
      </c>
      <c r="C251" s="12">
        <v>70</v>
      </c>
      <c r="D251" s="12">
        <v>204</v>
      </c>
      <c r="F251" s="12" t="s">
        <v>1002</v>
      </c>
      <c r="G251" s="12" t="str">
        <f t="shared" si="5"/>
        <v>7020492278017</v>
      </c>
      <c r="H251" s="12" t="s">
        <v>1003</v>
      </c>
      <c r="I251" s="15">
        <v>92278017</v>
      </c>
      <c r="J251" s="12" t="s">
        <v>1004</v>
      </c>
      <c r="K251" s="12" t="s">
        <v>4092</v>
      </c>
      <c r="L251" s="12" t="s">
        <v>45</v>
      </c>
      <c r="M251" s="12" t="s">
        <v>45</v>
      </c>
      <c r="N251" s="12" t="s">
        <v>780</v>
      </c>
      <c r="O251" s="12" t="s">
        <v>260</v>
      </c>
      <c r="P251" s="88" t="s">
        <v>261</v>
      </c>
      <c r="Q251" s="13">
        <v>45573</v>
      </c>
      <c r="R251" s="16">
        <v>0.94</v>
      </c>
      <c r="S251" s="13" t="s">
        <v>49</v>
      </c>
      <c r="U251" s="12" t="s">
        <v>60</v>
      </c>
      <c r="AU251" s="12" t="s">
        <v>53</v>
      </c>
    </row>
    <row r="252" spans="1:47" s="12" customFormat="1" ht="14.4" hidden="1" x14ac:dyDescent="0.3">
      <c r="A252" s="12" t="s">
        <v>505</v>
      </c>
      <c r="B252" s="12" t="s">
        <v>961</v>
      </c>
      <c r="C252" s="12">
        <v>70</v>
      </c>
      <c r="D252" s="12">
        <v>204</v>
      </c>
      <c r="F252" s="12" t="s">
        <v>1005</v>
      </c>
      <c r="G252" s="12" t="str">
        <f t="shared" si="5"/>
        <v>7020422895668</v>
      </c>
      <c r="H252" s="12" t="s">
        <v>1006</v>
      </c>
      <c r="I252" s="15">
        <v>22895668</v>
      </c>
      <c r="J252" s="12" t="s">
        <v>1007</v>
      </c>
      <c r="K252" s="12" t="s">
        <v>4092</v>
      </c>
      <c r="L252" s="12" t="s">
        <v>45</v>
      </c>
      <c r="M252" s="12" t="s">
        <v>45</v>
      </c>
      <c r="N252" s="12" t="s">
        <v>780</v>
      </c>
      <c r="O252" s="12" t="s">
        <v>260</v>
      </c>
      <c r="P252" s="88" t="s">
        <v>261</v>
      </c>
      <c r="Q252" s="13">
        <v>45552</v>
      </c>
      <c r="R252" s="16">
        <v>0.92</v>
      </c>
      <c r="S252" s="13" t="s">
        <v>49</v>
      </c>
      <c r="U252" s="12" t="s">
        <v>60</v>
      </c>
      <c r="AC252" s="13"/>
      <c r="AD252" s="13"/>
      <c r="AE252" s="13"/>
      <c r="AU252" s="12" t="s">
        <v>53</v>
      </c>
    </row>
    <row r="253" spans="1:47" s="12" customFormat="1" ht="14.4" hidden="1" x14ac:dyDescent="0.3">
      <c r="A253" s="12" t="s">
        <v>505</v>
      </c>
      <c r="B253" s="12" t="s">
        <v>961</v>
      </c>
      <c r="C253" s="12">
        <v>70</v>
      </c>
      <c r="D253" s="12">
        <v>204</v>
      </c>
      <c r="F253" s="12" t="s">
        <v>1008</v>
      </c>
      <c r="G253" s="12" t="str">
        <f t="shared" si="5"/>
        <v>7020422896820</v>
      </c>
      <c r="H253" s="12" t="s">
        <v>1009</v>
      </c>
      <c r="I253" s="15">
        <v>22896820</v>
      </c>
      <c r="J253" s="12" t="s">
        <v>1010</v>
      </c>
      <c r="K253" s="12" t="s">
        <v>4092</v>
      </c>
      <c r="L253" s="12" t="s">
        <v>45</v>
      </c>
      <c r="M253" s="12" t="s">
        <v>45</v>
      </c>
      <c r="N253" s="12" t="s">
        <v>780</v>
      </c>
      <c r="O253" s="12" t="s">
        <v>260</v>
      </c>
      <c r="P253" s="88" t="s">
        <v>261</v>
      </c>
      <c r="Q253" s="13">
        <v>45547</v>
      </c>
      <c r="R253" s="16">
        <v>0.90500000000000003</v>
      </c>
      <c r="S253" s="13" t="s">
        <v>210</v>
      </c>
      <c r="U253" s="12" t="s">
        <v>60</v>
      </c>
      <c r="V253" s="13">
        <v>44585</v>
      </c>
      <c r="W253" s="16">
        <v>0.86499999999999999</v>
      </c>
      <c r="X253" s="13" t="s">
        <v>49</v>
      </c>
      <c r="Z253" s="12" t="s">
        <v>50</v>
      </c>
      <c r="AA253" s="12" t="s">
        <v>51</v>
      </c>
      <c r="AB253" s="12" t="s">
        <v>51</v>
      </c>
      <c r="AU253" s="12" t="s">
        <v>53</v>
      </c>
    </row>
    <row r="254" spans="1:47" s="12" customFormat="1" ht="14.4" hidden="1" x14ac:dyDescent="0.3">
      <c r="A254" s="12" t="s">
        <v>505</v>
      </c>
      <c r="B254" s="12" t="s">
        <v>961</v>
      </c>
      <c r="C254" s="12">
        <v>70</v>
      </c>
      <c r="D254" s="12">
        <v>204</v>
      </c>
      <c r="F254" s="12" t="s">
        <v>1011</v>
      </c>
      <c r="G254" s="12" t="str">
        <f t="shared" si="5"/>
        <v>7020492600700</v>
      </c>
      <c r="H254" s="12" t="s">
        <v>1012</v>
      </c>
      <c r="I254" s="15">
        <v>92600700</v>
      </c>
      <c r="J254" s="12" t="s">
        <v>1007</v>
      </c>
      <c r="K254" s="12" t="s">
        <v>4092</v>
      </c>
      <c r="L254" s="12" t="s">
        <v>45</v>
      </c>
      <c r="M254" s="12" t="s">
        <v>45</v>
      </c>
      <c r="N254" s="12" t="s">
        <v>780</v>
      </c>
      <c r="O254" s="12" t="s">
        <v>260</v>
      </c>
      <c r="P254" s="88" t="s">
        <v>261</v>
      </c>
      <c r="Q254" s="13">
        <v>45569</v>
      </c>
      <c r="R254" s="16">
        <v>0.84</v>
      </c>
      <c r="S254" s="13" t="s">
        <v>210</v>
      </c>
      <c r="U254" s="12" t="s">
        <v>60</v>
      </c>
      <c r="AC254" s="13"/>
      <c r="AD254" s="13"/>
      <c r="AE254" s="13"/>
      <c r="AU254" s="12" t="s">
        <v>53</v>
      </c>
    </row>
    <row r="255" spans="1:47" s="12" customFormat="1" ht="14.4" hidden="1" x14ac:dyDescent="0.3">
      <c r="A255" s="12" t="s">
        <v>505</v>
      </c>
      <c r="B255" s="12" t="s">
        <v>961</v>
      </c>
      <c r="C255" s="12">
        <v>70</v>
      </c>
      <c r="D255" s="12">
        <v>204</v>
      </c>
      <c r="F255" s="12" t="s">
        <v>1013</v>
      </c>
      <c r="G255" s="12" t="str">
        <f t="shared" si="5"/>
        <v>70204901470748</v>
      </c>
      <c r="H255" s="12" t="s">
        <v>1014</v>
      </c>
      <c r="I255" s="15">
        <v>901470748</v>
      </c>
      <c r="J255" s="12" t="s">
        <v>1015</v>
      </c>
      <c r="K255" s="12" t="s">
        <v>4092</v>
      </c>
      <c r="L255" s="12" t="s">
        <v>45</v>
      </c>
      <c r="M255" s="12" t="s">
        <v>45</v>
      </c>
      <c r="N255" s="12" t="s">
        <v>780</v>
      </c>
      <c r="O255" s="12" t="s">
        <v>260</v>
      </c>
      <c r="P255" s="88" t="s">
        <v>261</v>
      </c>
      <c r="Q255" s="13">
        <v>45618</v>
      </c>
      <c r="R255" s="16">
        <v>0.89</v>
      </c>
      <c r="S255" s="13" t="s">
        <v>49</v>
      </c>
      <c r="U255" s="12" t="s">
        <v>60</v>
      </c>
      <c r="AC255" s="13"/>
      <c r="AD255" s="13"/>
      <c r="AE255" s="13"/>
      <c r="AU255" s="12" t="s">
        <v>53</v>
      </c>
    </row>
    <row r="256" spans="1:47" s="12" customFormat="1" ht="14.4" hidden="1" x14ac:dyDescent="0.3">
      <c r="A256" s="12" t="s">
        <v>505</v>
      </c>
      <c r="B256" s="12" t="s">
        <v>961</v>
      </c>
      <c r="C256" s="12">
        <v>70</v>
      </c>
      <c r="D256" s="12">
        <v>204</v>
      </c>
      <c r="F256" s="12" t="s">
        <v>1016</v>
      </c>
      <c r="G256" s="12" t="str">
        <f t="shared" si="5"/>
        <v>702041005989833</v>
      </c>
      <c r="H256" s="12" t="s">
        <v>1017</v>
      </c>
      <c r="I256" s="15">
        <v>1005989833</v>
      </c>
      <c r="J256" s="12" t="s">
        <v>1018</v>
      </c>
      <c r="K256" s="12" t="s">
        <v>4092</v>
      </c>
      <c r="L256" s="12" t="s">
        <v>45</v>
      </c>
      <c r="M256" s="12" t="s">
        <v>45</v>
      </c>
      <c r="N256" s="12" t="s">
        <v>780</v>
      </c>
      <c r="O256" s="12" t="s">
        <v>260</v>
      </c>
      <c r="P256" s="88" t="s">
        <v>261</v>
      </c>
      <c r="Q256" s="13">
        <v>45419</v>
      </c>
      <c r="R256" s="16">
        <v>0.82</v>
      </c>
      <c r="S256" s="13" t="s">
        <v>49</v>
      </c>
      <c r="U256" s="12" t="s">
        <v>60</v>
      </c>
      <c r="AC256" s="91"/>
      <c r="AD256" s="91"/>
      <c r="AE256" s="91"/>
      <c r="AU256" s="12" t="s">
        <v>53</v>
      </c>
    </row>
    <row r="257" spans="1:47" s="12" customFormat="1" ht="14.4" hidden="1" x14ac:dyDescent="0.3">
      <c r="A257" s="12" t="s">
        <v>505</v>
      </c>
      <c r="B257" s="12" t="s">
        <v>961</v>
      </c>
      <c r="C257" s="12">
        <v>70</v>
      </c>
      <c r="D257" s="12">
        <v>204</v>
      </c>
      <c r="F257" s="12" t="s">
        <v>1019</v>
      </c>
      <c r="G257" s="12" t="str">
        <f t="shared" si="5"/>
        <v>702041101783375</v>
      </c>
      <c r="H257" s="12" t="s">
        <v>1020</v>
      </c>
      <c r="I257" s="15">
        <v>1101783375</v>
      </c>
      <c r="J257" s="12" t="s">
        <v>1021</v>
      </c>
      <c r="K257" s="12" t="s">
        <v>4092</v>
      </c>
      <c r="L257" s="12" t="s">
        <v>45</v>
      </c>
      <c r="M257" s="12" t="s">
        <v>45</v>
      </c>
      <c r="N257" s="12" t="s">
        <v>780</v>
      </c>
      <c r="O257" s="12" t="s">
        <v>260</v>
      </c>
      <c r="P257" s="88" t="s">
        <v>261</v>
      </c>
      <c r="Q257" s="13">
        <v>45588</v>
      </c>
      <c r="R257" s="16">
        <v>0.94499999999999995</v>
      </c>
      <c r="S257" s="13" t="s">
        <v>49</v>
      </c>
      <c r="U257" s="12" t="s">
        <v>60</v>
      </c>
      <c r="AU257" s="12" t="s">
        <v>53</v>
      </c>
    </row>
    <row r="258" spans="1:47" s="12" customFormat="1" ht="14.4" hidden="1" x14ac:dyDescent="0.3">
      <c r="A258" s="12" t="s">
        <v>505</v>
      </c>
      <c r="B258" s="12" t="s">
        <v>961</v>
      </c>
      <c r="C258" s="12">
        <v>70</v>
      </c>
      <c r="D258" s="12">
        <v>204</v>
      </c>
      <c r="F258" s="12" t="s">
        <v>1022</v>
      </c>
      <c r="G258" s="12" t="str">
        <f t="shared" si="5"/>
        <v>7020422897732</v>
      </c>
      <c r="H258" s="12" t="s">
        <v>1023</v>
      </c>
      <c r="I258" s="12">
        <v>22897732</v>
      </c>
      <c r="J258" s="12" t="s">
        <v>1007</v>
      </c>
      <c r="K258" s="12" t="s">
        <v>4092</v>
      </c>
      <c r="L258" s="12" t="s">
        <v>45</v>
      </c>
      <c r="M258" s="12" t="s">
        <v>45</v>
      </c>
      <c r="N258" s="12" t="s">
        <v>432</v>
      </c>
      <c r="O258" s="12" t="s">
        <v>432</v>
      </c>
      <c r="P258" s="88" t="s">
        <v>261</v>
      </c>
      <c r="Q258" s="13">
        <v>45503</v>
      </c>
      <c r="R258" s="16">
        <v>0.94</v>
      </c>
      <c r="S258" s="13" t="s">
        <v>210</v>
      </c>
      <c r="U258" s="12" t="s">
        <v>60</v>
      </c>
      <c r="AU258" s="12" t="s">
        <v>53</v>
      </c>
    </row>
    <row r="259" spans="1:47" s="12" customFormat="1" ht="14.4" hidden="1" x14ac:dyDescent="0.3">
      <c r="A259" s="12" t="s">
        <v>505</v>
      </c>
      <c r="B259" s="12" t="s">
        <v>961</v>
      </c>
      <c r="C259" s="12">
        <v>70</v>
      </c>
      <c r="D259" s="12">
        <v>204</v>
      </c>
      <c r="F259" s="12" t="s">
        <v>1024</v>
      </c>
      <c r="G259" s="12" t="str">
        <f t="shared" si="5"/>
        <v>7020492600706</v>
      </c>
      <c r="H259" s="12" t="s">
        <v>1025</v>
      </c>
      <c r="I259" s="12">
        <v>92600706</v>
      </c>
      <c r="J259" s="12" t="s">
        <v>1026</v>
      </c>
      <c r="K259" s="12" t="s">
        <v>4092</v>
      </c>
      <c r="L259" s="12" t="s">
        <v>45</v>
      </c>
      <c r="M259" s="12" t="s">
        <v>45</v>
      </c>
      <c r="N259" s="12" t="s">
        <v>432</v>
      </c>
      <c r="O259" s="12" t="s">
        <v>432</v>
      </c>
      <c r="P259" s="88" t="s">
        <v>261</v>
      </c>
      <c r="Q259" s="13">
        <v>45544</v>
      </c>
      <c r="R259" s="16">
        <v>0.91</v>
      </c>
      <c r="S259" s="13" t="s">
        <v>210</v>
      </c>
      <c r="U259" s="12" t="s">
        <v>60</v>
      </c>
      <c r="AU259" s="12" t="s">
        <v>53</v>
      </c>
    </row>
    <row r="260" spans="1:47" s="12" customFormat="1" ht="14.4" hidden="1" x14ac:dyDescent="0.3">
      <c r="A260" s="12" t="s">
        <v>505</v>
      </c>
      <c r="B260" s="12" t="s">
        <v>961</v>
      </c>
      <c r="C260" s="12">
        <v>70</v>
      </c>
      <c r="D260" s="12">
        <v>204</v>
      </c>
      <c r="F260" s="12" t="s">
        <v>1027</v>
      </c>
      <c r="G260" s="12" t="str">
        <f t="shared" si="5"/>
        <v>7020492601135</v>
      </c>
      <c r="H260" s="12" t="s">
        <v>1028</v>
      </c>
      <c r="I260" s="12">
        <v>92601135</v>
      </c>
      <c r="J260" s="12" t="s">
        <v>1029</v>
      </c>
      <c r="K260" s="12" t="s">
        <v>4092</v>
      </c>
      <c r="L260" s="12" t="s">
        <v>45</v>
      </c>
      <c r="M260" s="12" t="s">
        <v>45</v>
      </c>
      <c r="N260" s="12" t="s">
        <v>432</v>
      </c>
      <c r="O260" s="12" t="s">
        <v>432</v>
      </c>
      <c r="P260" s="88" t="s">
        <v>261</v>
      </c>
      <c r="Q260" s="13">
        <v>45551</v>
      </c>
      <c r="R260" s="16">
        <v>0.94</v>
      </c>
      <c r="S260" s="13" t="s">
        <v>210</v>
      </c>
      <c r="U260" s="12" t="s">
        <v>60</v>
      </c>
      <c r="AU260" s="12" t="s">
        <v>53</v>
      </c>
    </row>
    <row r="261" spans="1:47" s="12" customFormat="1" ht="14.4" hidden="1" x14ac:dyDescent="0.3">
      <c r="A261" s="12" t="s">
        <v>505</v>
      </c>
      <c r="B261" s="12" t="s">
        <v>961</v>
      </c>
      <c r="C261" s="12">
        <v>70</v>
      </c>
      <c r="D261" s="12">
        <v>204</v>
      </c>
      <c r="F261" s="12" t="s">
        <v>1030</v>
      </c>
      <c r="G261" s="12" t="str">
        <f t="shared" si="5"/>
        <v>702043856285</v>
      </c>
      <c r="H261" s="12" t="s">
        <v>1031</v>
      </c>
      <c r="I261" s="12">
        <v>3856285</v>
      </c>
      <c r="J261" s="12" t="s">
        <v>989</v>
      </c>
      <c r="K261" s="12" t="s">
        <v>4092</v>
      </c>
      <c r="L261" s="12" t="s">
        <v>45</v>
      </c>
      <c r="M261" s="12" t="s">
        <v>45</v>
      </c>
      <c r="N261" s="12" t="s">
        <v>432</v>
      </c>
      <c r="O261" s="12" t="s">
        <v>432</v>
      </c>
      <c r="P261" s="88" t="s">
        <v>261</v>
      </c>
      <c r="Q261" s="13">
        <v>45532</v>
      </c>
      <c r="R261" s="16">
        <v>0.76500000000000001</v>
      </c>
      <c r="S261" s="13" t="s">
        <v>49</v>
      </c>
      <c r="U261" s="12" t="s">
        <v>60</v>
      </c>
      <c r="AU261" s="12" t="s">
        <v>53</v>
      </c>
    </row>
    <row r="262" spans="1:47" s="12" customFormat="1" ht="14.4" hidden="1" x14ac:dyDescent="0.3">
      <c r="A262" s="12" t="s">
        <v>505</v>
      </c>
      <c r="B262" s="12" t="s">
        <v>961</v>
      </c>
      <c r="C262" s="12">
        <v>70</v>
      </c>
      <c r="D262" s="12">
        <v>204</v>
      </c>
      <c r="F262" s="12" t="s">
        <v>1032</v>
      </c>
      <c r="G262" s="12" t="str">
        <f t="shared" si="5"/>
        <v>702041101783558</v>
      </c>
      <c r="H262" s="12" t="s">
        <v>1033</v>
      </c>
      <c r="I262" s="12">
        <v>1101783558</v>
      </c>
      <c r="J262" s="12" t="s">
        <v>1034</v>
      </c>
      <c r="K262" s="12" t="s">
        <v>4092</v>
      </c>
      <c r="L262" s="12" t="s">
        <v>45</v>
      </c>
      <c r="M262" s="12" t="s">
        <v>45</v>
      </c>
      <c r="N262" s="12" t="s">
        <v>432</v>
      </c>
      <c r="O262" s="12" t="s">
        <v>432</v>
      </c>
      <c r="P262" s="88" t="s">
        <v>261</v>
      </c>
      <c r="Q262" s="13">
        <v>45596</v>
      </c>
      <c r="R262" s="16">
        <v>0.65500000000000003</v>
      </c>
      <c r="S262" s="13" t="s">
        <v>49</v>
      </c>
      <c r="U262" s="12" t="s">
        <v>60</v>
      </c>
      <c r="AU262" s="12" t="s">
        <v>53</v>
      </c>
    </row>
    <row r="263" spans="1:47" s="12" customFormat="1" ht="14.4" hidden="1" x14ac:dyDescent="0.3">
      <c r="A263" s="12" t="s">
        <v>505</v>
      </c>
      <c r="B263" s="12" t="s">
        <v>961</v>
      </c>
      <c r="C263" s="12">
        <v>70</v>
      </c>
      <c r="D263" s="12">
        <v>204</v>
      </c>
      <c r="F263" s="12" t="s">
        <v>1035</v>
      </c>
      <c r="G263" s="12" t="str">
        <f t="shared" si="5"/>
        <v>7020423019993</v>
      </c>
      <c r="H263" s="12" t="s">
        <v>1036</v>
      </c>
      <c r="I263" s="12">
        <v>23019993</v>
      </c>
      <c r="J263" s="12" t="s">
        <v>1007</v>
      </c>
      <c r="K263" s="12" t="s">
        <v>4092</v>
      </c>
      <c r="L263" s="12" t="s">
        <v>45</v>
      </c>
      <c r="M263" s="12" t="s">
        <v>45</v>
      </c>
      <c r="N263" s="12" t="s">
        <v>432</v>
      </c>
      <c r="O263" s="12" t="s">
        <v>432</v>
      </c>
      <c r="P263" s="88" t="s">
        <v>261</v>
      </c>
      <c r="Q263" s="13">
        <v>45598</v>
      </c>
      <c r="R263" s="16">
        <v>0.78</v>
      </c>
      <c r="S263" s="13" t="s">
        <v>49</v>
      </c>
      <c r="U263" s="12" t="s">
        <v>60</v>
      </c>
      <c r="AU263" s="12" t="s">
        <v>53</v>
      </c>
    </row>
    <row r="264" spans="1:47" s="12" customFormat="1" ht="14.4" hidden="1" x14ac:dyDescent="0.3">
      <c r="A264" s="12" t="s">
        <v>505</v>
      </c>
      <c r="B264" s="12" t="s">
        <v>961</v>
      </c>
      <c r="C264" s="12">
        <v>70</v>
      </c>
      <c r="D264" s="12">
        <v>204</v>
      </c>
      <c r="F264" s="12" t="s">
        <v>1037</v>
      </c>
      <c r="G264" s="12" t="str">
        <f t="shared" ref="G264:G340" si="6">C264&amp;D264&amp;I264</f>
        <v>702041101783541</v>
      </c>
      <c r="H264" s="12" t="s">
        <v>1038</v>
      </c>
      <c r="I264" s="12">
        <v>1101783541</v>
      </c>
      <c r="J264" s="12" t="s">
        <v>1039</v>
      </c>
      <c r="K264" s="12" t="s">
        <v>4092</v>
      </c>
      <c r="L264" s="12" t="s">
        <v>45</v>
      </c>
      <c r="M264" s="12" t="s">
        <v>45</v>
      </c>
      <c r="N264" s="12" t="s">
        <v>432</v>
      </c>
      <c r="O264" s="12" t="s">
        <v>432</v>
      </c>
      <c r="P264" s="88" t="s">
        <v>261</v>
      </c>
      <c r="Q264" s="13">
        <v>45468</v>
      </c>
      <c r="R264" s="16">
        <v>0.99</v>
      </c>
      <c r="S264" s="13" t="s">
        <v>210</v>
      </c>
      <c r="U264" s="12" t="s">
        <v>60</v>
      </c>
      <c r="AU264" s="12" t="s">
        <v>53</v>
      </c>
    </row>
    <row r="265" spans="1:47" s="12" customFormat="1" ht="14.4" hidden="1" x14ac:dyDescent="0.3">
      <c r="A265" s="12" t="s">
        <v>505</v>
      </c>
      <c r="B265" s="12" t="s">
        <v>961</v>
      </c>
      <c r="C265" s="12">
        <v>70</v>
      </c>
      <c r="D265" s="12">
        <v>204</v>
      </c>
      <c r="F265" s="12" t="s">
        <v>1040</v>
      </c>
      <c r="G265" s="12" t="str">
        <f t="shared" si="6"/>
        <v>7020422896166</v>
      </c>
      <c r="H265" s="12" t="s">
        <v>1041</v>
      </c>
      <c r="I265" s="12">
        <v>22896166</v>
      </c>
      <c r="J265" s="12" t="s">
        <v>1029</v>
      </c>
      <c r="K265" s="12" t="s">
        <v>4092</v>
      </c>
      <c r="L265" s="12" t="s">
        <v>45</v>
      </c>
      <c r="M265" s="12" t="s">
        <v>45</v>
      </c>
      <c r="N265" s="12" t="s">
        <v>432</v>
      </c>
      <c r="O265" s="12" t="s">
        <v>432</v>
      </c>
      <c r="P265" s="88" t="s">
        <v>261</v>
      </c>
      <c r="Q265" s="13">
        <v>45585</v>
      </c>
      <c r="R265" s="16">
        <v>0.93</v>
      </c>
      <c r="S265" s="13" t="s">
        <v>210</v>
      </c>
      <c r="U265" s="12" t="s">
        <v>60</v>
      </c>
      <c r="AU265" s="12" t="s">
        <v>53</v>
      </c>
    </row>
    <row r="266" spans="1:47" s="12" customFormat="1" ht="14.4" hidden="1" x14ac:dyDescent="0.3">
      <c r="A266" s="12" t="s">
        <v>505</v>
      </c>
      <c r="B266" s="12" t="s">
        <v>961</v>
      </c>
      <c r="C266" s="12">
        <v>70</v>
      </c>
      <c r="D266" s="12">
        <v>204</v>
      </c>
      <c r="F266" s="12" t="s">
        <v>1042</v>
      </c>
      <c r="G266" s="12" t="str">
        <f t="shared" si="6"/>
        <v>702041101783537</v>
      </c>
      <c r="H266" s="12" t="s">
        <v>1043</v>
      </c>
      <c r="I266" s="12">
        <v>1101783537</v>
      </c>
      <c r="J266" s="12" t="s">
        <v>1044</v>
      </c>
      <c r="K266" s="12" t="s">
        <v>4092</v>
      </c>
      <c r="L266" s="12" t="s">
        <v>45</v>
      </c>
      <c r="M266" s="12" t="s">
        <v>45</v>
      </c>
      <c r="N266" s="12" t="s">
        <v>432</v>
      </c>
      <c r="O266" s="12" t="s">
        <v>432</v>
      </c>
      <c r="P266" s="88" t="s">
        <v>261</v>
      </c>
      <c r="Q266" s="13">
        <v>45561</v>
      </c>
      <c r="R266" s="16">
        <v>0.89500000000000002</v>
      </c>
      <c r="S266" s="13" t="s">
        <v>210</v>
      </c>
      <c r="U266" s="12" t="s">
        <v>60</v>
      </c>
      <c r="AU266" s="12" t="s">
        <v>53</v>
      </c>
    </row>
    <row r="267" spans="1:47" s="12" customFormat="1" ht="14.4" hidden="1" x14ac:dyDescent="0.3">
      <c r="A267" s="12" t="s">
        <v>505</v>
      </c>
      <c r="B267" s="12" t="s">
        <v>961</v>
      </c>
      <c r="C267" s="12">
        <v>70</v>
      </c>
      <c r="D267" s="12">
        <v>204</v>
      </c>
      <c r="F267" s="275" t="s">
        <v>1045</v>
      </c>
      <c r="G267" s="12" t="str">
        <f t="shared" si="6"/>
        <v>7020470382435</v>
      </c>
      <c r="H267" s="12" t="s">
        <v>1046</v>
      </c>
      <c r="I267" s="12">
        <v>70382435</v>
      </c>
      <c r="J267" s="12" t="s">
        <v>1007</v>
      </c>
      <c r="K267" s="12" t="s">
        <v>4092</v>
      </c>
      <c r="L267" s="12">
        <v>3103910128</v>
      </c>
      <c r="M267" s="12" t="s">
        <v>8960</v>
      </c>
      <c r="N267" s="12" t="s">
        <v>46</v>
      </c>
      <c r="O267" s="12" t="s">
        <v>2797</v>
      </c>
      <c r="P267" s="88" t="s">
        <v>80</v>
      </c>
      <c r="Q267" s="13">
        <v>46182</v>
      </c>
      <c r="R267" s="12">
        <v>87</v>
      </c>
      <c r="S267" s="12" t="s">
        <v>49</v>
      </c>
      <c r="U267" s="12" t="s">
        <v>60</v>
      </c>
      <c r="V267" s="13">
        <v>45861</v>
      </c>
      <c r="W267" s="16">
        <v>0.83</v>
      </c>
      <c r="X267" s="12" t="s">
        <v>87</v>
      </c>
      <c r="Y267" s="12" t="s">
        <v>1047</v>
      </c>
      <c r="Z267" s="12" t="s">
        <v>50</v>
      </c>
      <c r="AA267" s="12" t="s">
        <v>51</v>
      </c>
      <c r="AB267" s="12" t="s">
        <v>51</v>
      </c>
      <c r="AC267" s="13">
        <v>45420</v>
      </c>
      <c r="AD267" s="16">
        <v>0.85</v>
      </c>
      <c r="AE267" s="13" t="s">
        <v>49</v>
      </c>
      <c r="AF267" s="12" t="s">
        <v>60</v>
      </c>
      <c r="AG267" s="12" t="s">
        <v>51</v>
      </c>
      <c r="AH267" s="12" t="s">
        <v>51</v>
      </c>
      <c r="AI267" s="13" t="s">
        <v>1048</v>
      </c>
      <c r="AJ267" s="16">
        <v>0.88</v>
      </c>
      <c r="AK267" s="13" t="s">
        <v>49</v>
      </c>
      <c r="AL267" s="12" t="s">
        <v>50</v>
      </c>
      <c r="AM267" s="12" t="s">
        <v>51</v>
      </c>
      <c r="AN267" s="12" t="s">
        <v>51</v>
      </c>
      <c r="AO267" s="13" t="s">
        <v>1048</v>
      </c>
      <c r="AP267" s="16">
        <v>0.8</v>
      </c>
      <c r="AQ267" s="13" t="s">
        <v>49</v>
      </c>
      <c r="AR267" s="12" t="s">
        <v>60</v>
      </c>
      <c r="AU267" s="12" t="s">
        <v>53</v>
      </c>
    </row>
    <row r="268" spans="1:47" s="12" customFormat="1" ht="14.4" hidden="1" x14ac:dyDescent="0.3">
      <c r="A268" s="12" t="s">
        <v>505</v>
      </c>
      <c r="B268" s="12" t="s">
        <v>961</v>
      </c>
      <c r="C268" s="12">
        <v>70</v>
      </c>
      <c r="D268" s="12">
        <v>204</v>
      </c>
      <c r="E268" s="12" t="s">
        <v>764</v>
      </c>
      <c r="F268" s="275" t="s">
        <v>1049</v>
      </c>
      <c r="G268" s="12" t="str">
        <f t="shared" si="6"/>
        <v>702048230019842</v>
      </c>
      <c r="H268" s="12" t="s">
        <v>8684</v>
      </c>
      <c r="I268" s="15">
        <v>8230019842</v>
      </c>
      <c r="J268" s="15" t="s">
        <v>1051</v>
      </c>
      <c r="K268" s="12" t="s">
        <v>4092</v>
      </c>
      <c r="L268" s="12">
        <v>3103635896</v>
      </c>
      <c r="M268" s="12" t="s">
        <v>8519</v>
      </c>
      <c r="N268" s="15" t="s">
        <v>127</v>
      </c>
      <c r="O268" s="12" t="s">
        <v>2822</v>
      </c>
      <c r="P268" s="88" t="s">
        <v>48</v>
      </c>
      <c r="Q268" s="13">
        <v>46094</v>
      </c>
      <c r="R268" s="12" t="s">
        <v>1969</v>
      </c>
      <c r="S268" s="12" t="s">
        <v>139</v>
      </c>
      <c r="U268" s="12" t="s">
        <v>50</v>
      </c>
      <c r="V268" s="13">
        <v>45776</v>
      </c>
      <c r="W268" s="12" t="s">
        <v>186</v>
      </c>
      <c r="X268" s="12" t="s">
        <v>49</v>
      </c>
      <c r="Y268" s="12" t="s">
        <v>1052</v>
      </c>
      <c r="Z268" s="12" t="s">
        <v>50</v>
      </c>
      <c r="AA268" s="12" t="s">
        <v>51</v>
      </c>
      <c r="AB268" s="12" t="s">
        <v>51</v>
      </c>
      <c r="AC268" s="13">
        <v>45540</v>
      </c>
      <c r="AD268" s="16">
        <v>0.72</v>
      </c>
      <c r="AE268" s="13" t="s">
        <v>49</v>
      </c>
      <c r="AU268" s="12" t="s">
        <v>53</v>
      </c>
    </row>
    <row r="269" spans="1:47" s="12" customFormat="1" ht="14.4" hidden="1" x14ac:dyDescent="0.3">
      <c r="A269" s="12" t="s">
        <v>505</v>
      </c>
      <c r="B269" s="12" t="s">
        <v>961</v>
      </c>
      <c r="C269" s="12">
        <v>70</v>
      </c>
      <c r="D269" s="12">
        <v>204</v>
      </c>
      <c r="E269" s="12" t="s">
        <v>764</v>
      </c>
      <c r="F269" s="275" t="s">
        <v>8736</v>
      </c>
      <c r="G269" s="12" t="str">
        <f t="shared" si="6"/>
        <v>702048230019842</v>
      </c>
      <c r="H269" s="12" t="s">
        <v>8684</v>
      </c>
      <c r="I269" s="15">
        <v>8230019842</v>
      </c>
      <c r="J269" s="15" t="s">
        <v>8737</v>
      </c>
      <c r="K269" s="12" t="s">
        <v>4092</v>
      </c>
      <c r="L269" s="12">
        <v>3014412126</v>
      </c>
      <c r="M269" s="17" t="s">
        <v>8518</v>
      </c>
      <c r="N269" s="15" t="s">
        <v>127</v>
      </c>
      <c r="O269" s="12" t="s">
        <v>2822</v>
      </c>
      <c r="P269" s="88" t="s">
        <v>48</v>
      </c>
      <c r="Q269" s="13">
        <v>46091</v>
      </c>
      <c r="R269" s="12">
        <v>92</v>
      </c>
      <c r="S269" s="12" t="s">
        <v>210</v>
      </c>
      <c r="U269" s="12" t="s">
        <v>60</v>
      </c>
      <c r="V269" s="13">
        <v>45775</v>
      </c>
      <c r="W269" s="12">
        <v>92</v>
      </c>
      <c r="X269" s="12" t="s">
        <v>210</v>
      </c>
      <c r="Z269" s="12" t="s">
        <v>60</v>
      </c>
      <c r="AC269" s="13">
        <v>45526</v>
      </c>
      <c r="AD269" s="12">
        <v>92</v>
      </c>
      <c r="AE269" s="12" t="s">
        <v>210</v>
      </c>
      <c r="AF269" s="12" t="s">
        <v>60</v>
      </c>
      <c r="AU269" s="12" t="s">
        <v>53</v>
      </c>
    </row>
    <row r="270" spans="1:47" s="12" customFormat="1" ht="14.4" hidden="1" x14ac:dyDescent="0.3">
      <c r="A270" s="12" t="s">
        <v>505</v>
      </c>
      <c r="B270" s="12" t="s">
        <v>961</v>
      </c>
      <c r="C270" s="12">
        <v>70</v>
      </c>
      <c r="D270" s="12">
        <v>204</v>
      </c>
      <c r="F270" s="275" t="s">
        <v>1053</v>
      </c>
      <c r="G270" s="12" t="str">
        <f t="shared" si="6"/>
        <v>7020490072094-5</v>
      </c>
      <c r="H270" s="12" t="s">
        <v>1054</v>
      </c>
      <c r="I270" s="15" t="s">
        <v>1055</v>
      </c>
      <c r="J270" s="15" t="s">
        <v>1056</v>
      </c>
      <c r="K270" s="12" t="s">
        <v>4092</v>
      </c>
      <c r="L270" s="15" t="s">
        <v>45</v>
      </c>
      <c r="M270" s="15" t="s">
        <v>45</v>
      </c>
      <c r="N270" s="15" t="s">
        <v>127</v>
      </c>
      <c r="O270" s="12" t="s">
        <v>2822</v>
      </c>
      <c r="P270" s="88" t="s">
        <v>48</v>
      </c>
      <c r="Q270" s="13">
        <v>45422</v>
      </c>
      <c r="R270" s="16">
        <v>0.68500000000000005</v>
      </c>
      <c r="S270" s="13" t="s">
        <v>49</v>
      </c>
      <c r="U270" s="12" t="s">
        <v>60</v>
      </c>
      <c r="AU270" s="12" t="s">
        <v>53</v>
      </c>
    </row>
    <row r="271" spans="1:47" s="12" customFormat="1" ht="14.4" hidden="1" x14ac:dyDescent="0.3">
      <c r="A271" s="12" t="s">
        <v>505</v>
      </c>
      <c r="B271" s="12" t="s">
        <v>961</v>
      </c>
      <c r="C271" s="12">
        <v>70</v>
      </c>
      <c r="D271" s="12">
        <v>204</v>
      </c>
      <c r="F271" s="12" t="s">
        <v>1057</v>
      </c>
      <c r="G271" s="12" t="str">
        <f t="shared" si="6"/>
        <v>70204823005238</v>
      </c>
      <c r="H271" s="12" t="s">
        <v>1058</v>
      </c>
      <c r="I271" s="12">
        <v>823005238</v>
      </c>
      <c r="J271" s="12" t="s">
        <v>1059</v>
      </c>
      <c r="K271" s="12" t="s">
        <v>4092</v>
      </c>
      <c r="L271" s="12" t="s">
        <v>45</v>
      </c>
      <c r="M271" s="12" t="s">
        <v>45</v>
      </c>
      <c r="N271" s="12" t="s">
        <v>127</v>
      </c>
      <c r="O271" s="12" t="s">
        <v>2822</v>
      </c>
      <c r="P271" s="88" t="s">
        <v>48</v>
      </c>
      <c r="Q271" s="13">
        <v>45537</v>
      </c>
      <c r="R271" s="16">
        <v>0.83499999999999996</v>
      </c>
      <c r="S271" s="13" t="s">
        <v>49</v>
      </c>
      <c r="U271" s="12" t="s">
        <v>60</v>
      </c>
      <c r="AU271" s="12" t="s">
        <v>53</v>
      </c>
    </row>
    <row r="272" spans="1:47" s="12" customFormat="1" ht="14.4" hidden="1" x14ac:dyDescent="0.3">
      <c r="A272" s="12" t="s">
        <v>505</v>
      </c>
      <c r="B272" s="12" t="s">
        <v>961</v>
      </c>
      <c r="C272" s="12">
        <v>70</v>
      </c>
      <c r="D272" s="12">
        <v>204</v>
      </c>
      <c r="E272" s="12" t="s">
        <v>764</v>
      </c>
      <c r="F272" s="275" t="s">
        <v>1060</v>
      </c>
      <c r="G272" s="12" t="str">
        <f t="shared" si="6"/>
        <v>70204823001984-2</v>
      </c>
      <c r="H272" s="12" t="s">
        <v>8684</v>
      </c>
      <c r="I272" s="15" t="s">
        <v>807</v>
      </c>
      <c r="J272" s="12" t="s">
        <v>1061</v>
      </c>
      <c r="K272" s="12" t="s">
        <v>133</v>
      </c>
      <c r="L272" s="12">
        <v>3005410273</v>
      </c>
      <c r="M272" s="17" t="s">
        <v>1062</v>
      </c>
      <c r="N272" s="12" t="s">
        <v>127</v>
      </c>
      <c r="O272" s="12" t="s">
        <v>2822</v>
      </c>
      <c r="P272" s="88" t="s">
        <v>48</v>
      </c>
      <c r="Q272" s="13">
        <v>45721</v>
      </c>
      <c r="R272" s="16">
        <v>0.85</v>
      </c>
      <c r="S272" s="12" t="s">
        <v>49</v>
      </c>
      <c r="T272" s="12" t="s">
        <v>1063</v>
      </c>
      <c r="U272" s="12" t="s">
        <v>50</v>
      </c>
      <c r="V272" s="13">
        <v>45540</v>
      </c>
      <c r="W272" s="16">
        <v>0.84499999999999997</v>
      </c>
      <c r="X272" s="13" t="s">
        <v>49</v>
      </c>
      <c r="Z272" s="12" t="s">
        <v>60</v>
      </c>
      <c r="AA272" s="12" t="s">
        <v>51</v>
      </c>
      <c r="AB272" s="12" t="s">
        <v>51</v>
      </c>
      <c r="AU272" s="12" t="s">
        <v>53</v>
      </c>
    </row>
    <row r="273" spans="1:47" s="12" customFormat="1" ht="14.4" hidden="1" x14ac:dyDescent="0.3">
      <c r="A273" s="12" t="s">
        <v>505</v>
      </c>
      <c r="B273" s="12" t="s">
        <v>961</v>
      </c>
      <c r="C273" s="12">
        <v>70</v>
      </c>
      <c r="D273" s="12">
        <v>204</v>
      </c>
      <c r="E273" s="12" t="s">
        <v>196</v>
      </c>
      <c r="F273" s="12" t="s">
        <v>1064</v>
      </c>
      <c r="G273" s="12" t="str">
        <f t="shared" si="6"/>
        <v>70204900511056-1</v>
      </c>
      <c r="H273" s="12" t="s">
        <v>1065</v>
      </c>
      <c r="I273" s="15" t="s">
        <v>1066</v>
      </c>
      <c r="J273" s="15" t="s">
        <v>1007</v>
      </c>
      <c r="K273" s="15" t="s">
        <v>230</v>
      </c>
      <c r="L273" s="15" t="s">
        <v>45</v>
      </c>
      <c r="M273" s="15" t="s">
        <v>45</v>
      </c>
      <c r="N273" s="15" t="s">
        <v>127</v>
      </c>
      <c r="O273" s="12" t="s">
        <v>2822</v>
      </c>
      <c r="P273" s="88" t="s">
        <v>48</v>
      </c>
      <c r="V273" s="13">
        <v>45547</v>
      </c>
      <c r="W273" s="16">
        <v>0.98</v>
      </c>
      <c r="X273" s="13" t="s">
        <v>210</v>
      </c>
      <c r="Z273" s="12" t="s">
        <v>60</v>
      </c>
      <c r="AA273" s="12" t="s">
        <v>51</v>
      </c>
      <c r="AB273" s="12" t="s">
        <v>51</v>
      </c>
      <c r="AC273" s="13">
        <v>44608</v>
      </c>
      <c r="AD273" s="16">
        <v>0.92</v>
      </c>
      <c r="AE273" s="13" t="s">
        <v>210</v>
      </c>
      <c r="AF273" s="12" t="s">
        <v>50</v>
      </c>
      <c r="AG273" s="12" t="s">
        <v>52</v>
      </c>
      <c r="AH273" s="12" t="s">
        <v>52</v>
      </c>
      <c r="AU273" s="12" t="s">
        <v>53</v>
      </c>
    </row>
    <row r="274" spans="1:47" s="12" customFormat="1" ht="14.4" hidden="1" x14ac:dyDescent="0.3">
      <c r="A274" s="12" t="s">
        <v>505</v>
      </c>
      <c r="B274" s="12" t="s">
        <v>961</v>
      </c>
      <c r="C274" s="12">
        <v>70</v>
      </c>
      <c r="D274" s="12">
        <v>204</v>
      </c>
      <c r="E274" s="12" t="s">
        <v>8337</v>
      </c>
      <c r="F274" s="275" t="s">
        <v>8294</v>
      </c>
      <c r="G274" s="12" t="str">
        <f t="shared" si="6"/>
        <v>70204902024779</v>
      </c>
      <c r="H274" s="12" t="s">
        <v>1067</v>
      </c>
      <c r="I274" s="15">
        <v>902024779</v>
      </c>
      <c r="J274" s="12" t="s">
        <v>8512</v>
      </c>
      <c r="K274" s="12" t="s">
        <v>44</v>
      </c>
      <c r="L274" s="12">
        <v>3015114741</v>
      </c>
      <c r="M274" s="17" t="s">
        <v>8513</v>
      </c>
      <c r="N274" s="15" t="s">
        <v>127</v>
      </c>
      <c r="O274" s="12" t="s">
        <v>2822</v>
      </c>
      <c r="P274" s="88" t="s">
        <v>48</v>
      </c>
      <c r="Q274" s="13">
        <v>46086</v>
      </c>
      <c r="R274" s="12" t="s">
        <v>1071</v>
      </c>
      <c r="S274" s="12" t="s">
        <v>139</v>
      </c>
      <c r="U274" s="12" t="s">
        <v>50</v>
      </c>
      <c r="V274" s="13">
        <v>45730</v>
      </c>
      <c r="W274" s="16">
        <v>0.88</v>
      </c>
      <c r="X274" s="12" t="s">
        <v>49</v>
      </c>
      <c r="Y274" s="12" t="s">
        <v>1063</v>
      </c>
      <c r="Z274" s="12" t="s">
        <v>50</v>
      </c>
      <c r="AA274" s="12" t="s">
        <v>51</v>
      </c>
      <c r="AB274" s="12" t="s">
        <v>51</v>
      </c>
      <c r="AC274" s="13">
        <v>45541</v>
      </c>
      <c r="AD274" s="16">
        <v>0.9</v>
      </c>
      <c r="AE274" s="13" t="s">
        <v>210</v>
      </c>
      <c r="AF274" s="12" t="s">
        <v>50</v>
      </c>
      <c r="AH274" s="12" t="s">
        <v>51</v>
      </c>
      <c r="AI274" s="13">
        <v>44608</v>
      </c>
      <c r="AJ274" s="16">
        <v>0.92</v>
      </c>
      <c r="AK274" s="13" t="s">
        <v>210</v>
      </c>
      <c r="AL274" s="12" t="s">
        <v>60</v>
      </c>
      <c r="AU274" s="12" t="s">
        <v>53</v>
      </c>
    </row>
    <row r="275" spans="1:47" s="12" customFormat="1" ht="14.4" hidden="1" x14ac:dyDescent="0.3">
      <c r="A275" s="12" t="s">
        <v>505</v>
      </c>
      <c r="B275" s="12" t="s">
        <v>961</v>
      </c>
      <c r="C275" s="12">
        <v>70</v>
      </c>
      <c r="D275" s="88">
        <v>204</v>
      </c>
      <c r="E275" s="12" t="s">
        <v>8337</v>
      </c>
      <c r="F275" s="275" t="s">
        <v>8295</v>
      </c>
      <c r="G275" s="12" t="str">
        <f t="shared" si="6"/>
        <v>70204902024779</v>
      </c>
      <c r="H275" s="12" t="s">
        <v>1067</v>
      </c>
      <c r="I275" s="15">
        <v>902024779</v>
      </c>
      <c r="J275" s="15" t="s">
        <v>8296</v>
      </c>
      <c r="K275" s="12" t="s">
        <v>44</v>
      </c>
      <c r="L275" s="15">
        <v>3216989806</v>
      </c>
      <c r="M275" s="17" t="s">
        <v>8335</v>
      </c>
      <c r="N275" s="15" t="s">
        <v>127</v>
      </c>
      <c r="O275" s="12" t="s">
        <v>2822</v>
      </c>
      <c r="P275" s="88" t="s">
        <v>48</v>
      </c>
      <c r="Q275" s="13">
        <v>46079</v>
      </c>
      <c r="R275" s="12">
        <v>91</v>
      </c>
      <c r="S275" s="12" t="s">
        <v>210</v>
      </c>
      <c r="T275" s="12" t="s">
        <v>1063</v>
      </c>
      <c r="U275" s="12" t="s">
        <v>2881</v>
      </c>
      <c r="V275" s="13">
        <v>45730</v>
      </c>
      <c r="W275" s="16">
        <v>0.88</v>
      </c>
      <c r="X275" s="12" t="s">
        <v>49</v>
      </c>
      <c r="Z275" s="12" t="s">
        <v>2881</v>
      </c>
      <c r="AC275" s="13"/>
      <c r="AD275" s="16"/>
      <c r="AE275" s="13"/>
    </row>
    <row r="276" spans="1:47" s="12" customFormat="1" ht="14.4" hidden="1" x14ac:dyDescent="0.3">
      <c r="A276" s="12" t="s">
        <v>505</v>
      </c>
      <c r="B276" s="12" t="s">
        <v>961</v>
      </c>
      <c r="C276" s="12">
        <v>70</v>
      </c>
      <c r="D276" s="12">
        <v>204</v>
      </c>
      <c r="E276" s="12" t="s">
        <v>8337</v>
      </c>
      <c r="F276" s="275" t="s">
        <v>8298</v>
      </c>
      <c r="G276" s="12" t="str">
        <f t="shared" si="6"/>
        <v>70204902024779</v>
      </c>
      <c r="H276" s="12" t="s">
        <v>1067</v>
      </c>
      <c r="I276" s="15">
        <v>902024779</v>
      </c>
      <c r="J276" s="15" t="s">
        <v>8297</v>
      </c>
      <c r="K276" s="12" t="s">
        <v>44</v>
      </c>
      <c r="L276" s="15">
        <v>3216989806</v>
      </c>
      <c r="M276" s="17" t="s">
        <v>8335</v>
      </c>
      <c r="N276" s="15" t="s">
        <v>127</v>
      </c>
      <c r="O276" s="12" t="s">
        <v>2822</v>
      </c>
      <c r="P276" s="88" t="s">
        <v>48</v>
      </c>
      <c r="Q276" s="13">
        <v>46070</v>
      </c>
      <c r="R276" s="12" t="s">
        <v>8421</v>
      </c>
      <c r="S276" s="12" t="s">
        <v>49</v>
      </c>
      <c r="T276" s="12" t="s">
        <v>1063</v>
      </c>
      <c r="U276" s="12" t="s">
        <v>2881</v>
      </c>
      <c r="V276" s="13">
        <v>45733</v>
      </c>
      <c r="W276" s="16" t="s">
        <v>1090</v>
      </c>
      <c r="X276" s="12" t="s">
        <v>49</v>
      </c>
      <c r="Z276" s="12" t="s">
        <v>2881</v>
      </c>
      <c r="AC276" s="13"/>
      <c r="AD276" s="16"/>
      <c r="AE276" s="13"/>
    </row>
    <row r="277" spans="1:47" s="12" customFormat="1" ht="14.4" hidden="1" x14ac:dyDescent="0.3">
      <c r="A277" s="12" t="s">
        <v>505</v>
      </c>
      <c r="B277" s="12" t="s">
        <v>961</v>
      </c>
      <c r="C277" s="12">
        <v>70</v>
      </c>
      <c r="D277" s="12">
        <v>204</v>
      </c>
      <c r="E277" s="12" t="s">
        <v>764</v>
      </c>
      <c r="F277" s="275" t="s">
        <v>8735</v>
      </c>
      <c r="G277" s="12" t="str">
        <f t="shared" si="6"/>
        <v>70204823001984-2</v>
      </c>
      <c r="H277" s="12" t="s">
        <v>1068</v>
      </c>
      <c r="I277" s="15" t="s">
        <v>807</v>
      </c>
      <c r="J277" s="15" t="s">
        <v>1069</v>
      </c>
      <c r="K277" s="15" t="s">
        <v>192</v>
      </c>
      <c r="L277" s="15">
        <v>3042387527</v>
      </c>
      <c r="M277" s="92" t="s">
        <v>1070</v>
      </c>
      <c r="N277" s="15" t="s">
        <v>127</v>
      </c>
      <c r="O277" s="12" t="s">
        <v>2822</v>
      </c>
      <c r="P277" s="88" t="s">
        <v>48</v>
      </c>
      <c r="Q277" s="13">
        <v>45814</v>
      </c>
      <c r="R277" s="12" t="s">
        <v>1071</v>
      </c>
      <c r="S277" s="12" t="s">
        <v>49</v>
      </c>
      <c r="T277" s="12" t="s">
        <v>1072</v>
      </c>
      <c r="U277" s="12" t="s">
        <v>50</v>
      </c>
      <c r="V277" s="13"/>
      <c r="W277" s="16"/>
      <c r="X277" s="13"/>
      <c r="AC277" s="13"/>
      <c r="AD277" s="16"/>
      <c r="AE277" s="13"/>
      <c r="AU277" s="12" t="s">
        <v>53</v>
      </c>
    </row>
    <row r="278" spans="1:47" s="12" customFormat="1" ht="14.4" hidden="1" x14ac:dyDescent="0.3">
      <c r="A278" s="12" t="s">
        <v>505</v>
      </c>
      <c r="B278" s="12" t="s">
        <v>961</v>
      </c>
      <c r="C278" s="12">
        <v>70</v>
      </c>
      <c r="D278" s="12">
        <v>204</v>
      </c>
      <c r="E278" s="12" t="s">
        <v>1073</v>
      </c>
      <c r="F278" s="12" t="s">
        <v>1074</v>
      </c>
      <c r="G278" s="12" t="str">
        <f t="shared" si="6"/>
        <v>70204900072094-1</v>
      </c>
      <c r="H278" s="12" t="s">
        <v>1054</v>
      </c>
      <c r="I278" s="15" t="s">
        <v>1050</v>
      </c>
      <c r="J278" s="15" t="s">
        <v>1075</v>
      </c>
      <c r="K278" s="15" t="s">
        <v>133</v>
      </c>
      <c r="L278" s="15">
        <v>3016528534</v>
      </c>
      <c r="M278" s="92" t="s">
        <v>1076</v>
      </c>
      <c r="N278" s="15" t="s">
        <v>127</v>
      </c>
      <c r="O278" s="12" t="s">
        <v>2822</v>
      </c>
      <c r="P278" s="88" t="s">
        <v>48</v>
      </c>
      <c r="Q278" s="13">
        <v>45811</v>
      </c>
      <c r="R278" s="16">
        <v>0.82</v>
      </c>
      <c r="S278" s="12" t="s">
        <v>49</v>
      </c>
      <c r="T278" s="12" t="s">
        <v>1047</v>
      </c>
      <c r="U278" s="12" t="s">
        <v>50</v>
      </c>
      <c r="V278" s="13"/>
      <c r="W278" s="16"/>
      <c r="X278" s="13"/>
      <c r="AC278" s="13"/>
      <c r="AD278" s="16"/>
      <c r="AE278" s="13"/>
      <c r="AU278" s="12" t="s">
        <v>53</v>
      </c>
    </row>
    <row r="279" spans="1:47" s="12" customFormat="1" ht="14.4" hidden="1" x14ac:dyDescent="0.3">
      <c r="A279" s="12" t="s">
        <v>505</v>
      </c>
      <c r="B279" s="12" t="s">
        <v>961</v>
      </c>
      <c r="C279" s="12">
        <v>70</v>
      </c>
      <c r="D279" s="12">
        <v>204</v>
      </c>
      <c r="E279" s="12" t="s">
        <v>1073</v>
      </c>
      <c r="F279" s="12" t="s">
        <v>193</v>
      </c>
      <c r="G279" s="12" t="str">
        <f t="shared" si="6"/>
        <v>70204900072094-1</v>
      </c>
      <c r="H279" s="12" t="s">
        <v>1054</v>
      </c>
      <c r="I279" s="15" t="s">
        <v>1050</v>
      </c>
      <c r="J279" s="15" t="s">
        <v>1077</v>
      </c>
      <c r="K279" s="15" t="s">
        <v>192</v>
      </c>
      <c r="L279" s="15">
        <v>3016528534</v>
      </c>
      <c r="M279" s="15" t="s">
        <v>45</v>
      </c>
      <c r="N279" s="15" t="s">
        <v>127</v>
      </c>
      <c r="O279" s="12" t="s">
        <v>2822</v>
      </c>
      <c r="P279" s="88" t="s">
        <v>102</v>
      </c>
      <c r="Q279" s="13">
        <v>45865</v>
      </c>
      <c r="R279" s="16">
        <v>0.76</v>
      </c>
      <c r="S279" s="12" t="s">
        <v>49</v>
      </c>
      <c r="T279" s="12" t="s">
        <v>1047</v>
      </c>
      <c r="U279" s="12" t="s">
        <v>50</v>
      </c>
      <c r="V279" s="13"/>
      <c r="W279" s="16"/>
      <c r="X279" s="13"/>
      <c r="AC279" s="13"/>
      <c r="AD279" s="16"/>
      <c r="AE279" s="13"/>
      <c r="AU279" s="12" t="s">
        <v>53</v>
      </c>
    </row>
    <row r="280" spans="1:47" s="12" customFormat="1" ht="14.4" hidden="1" x14ac:dyDescent="0.3">
      <c r="A280" s="12" t="s">
        <v>505</v>
      </c>
      <c r="B280" s="12" t="s">
        <v>961</v>
      </c>
      <c r="C280" s="12">
        <v>70</v>
      </c>
      <c r="D280" s="12">
        <v>204</v>
      </c>
      <c r="E280" s="12" t="s">
        <v>1078</v>
      </c>
      <c r="F280" s="12" t="s">
        <v>193</v>
      </c>
      <c r="G280" s="12" t="str">
        <f t="shared" si="6"/>
        <v>70204900072094-1</v>
      </c>
      <c r="H280" s="12" t="s">
        <v>1054</v>
      </c>
      <c r="I280" s="15" t="s">
        <v>1050</v>
      </c>
      <c r="J280" s="15" t="s">
        <v>1079</v>
      </c>
      <c r="K280" s="15" t="s">
        <v>192</v>
      </c>
      <c r="L280" s="15">
        <v>3016528534</v>
      </c>
      <c r="M280" s="15" t="s">
        <v>45</v>
      </c>
      <c r="N280" s="15" t="s">
        <v>127</v>
      </c>
      <c r="O280" s="12" t="s">
        <v>2822</v>
      </c>
      <c r="P280" s="88" t="s">
        <v>48</v>
      </c>
      <c r="Q280" s="13">
        <v>45852</v>
      </c>
      <c r="R280" s="16">
        <v>0.85</v>
      </c>
      <c r="S280" s="12" t="s">
        <v>49</v>
      </c>
      <c r="T280" s="12" t="s">
        <v>1047</v>
      </c>
      <c r="U280" s="12" t="s">
        <v>50</v>
      </c>
      <c r="V280" s="13"/>
      <c r="W280" s="16"/>
      <c r="X280" s="13"/>
      <c r="AC280" s="13"/>
      <c r="AD280" s="16"/>
      <c r="AE280" s="13"/>
      <c r="AU280" s="12" t="s">
        <v>53</v>
      </c>
    </row>
    <row r="281" spans="1:47" s="12" customFormat="1" ht="14.4" hidden="1" x14ac:dyDescent="0.3">
      <c r="A281" s="12" t="s">
        <v>505</v>
      </c>
      <c r="B281" s="12" t="s">
        <v>961</v>
      </c>
      <c r="C281" s="12">
        <v>70</v>
      </c>
      <c r="D281" s="12">
        <v>204</v>
      </c>
      <c r="E281" s="12" t="s">
        <v>1078</v>
      </c>
      <c r="F281" s="12" t="s">
        <v>193</v>
      </c>
      <c r="G281" s="12" t="str">
        <f t="shared" si="6"/>
        <v>70204900072094-1</v>
      </c>
      <c r="H281" s="12" t="s">
        <v>1054</v>
      </c>
      <c r="I281" s="15" t="s">
        <v>1050</v>
      </c>
      <c r="J281" s="15" t="s">
        <v>1080</v>
      </c>
      <c r="K281" s="15" t="s">
        <v>133</v>
      </c>
      <c r="L281" s="15">
        <v>3016528534</v>
      </c>
      <c r="M281" s="15" t="s">
        <v>45</v>
      </c>
      <c r="N281" s="15" t="s">
        <v>127</v>
      </c>
      <c r="O281" s="12" t="s">
        <v>2822</v>
      </c>
      <c r="P281" s="88" t="s">
        <v>102</v>
      </c>
      <c r="Q281" s="13">
        <v>45875</v>
      </c>
      <c r="R281" s="12" t="s">
        <v>201</v>
      </c>
      <c r="S281" s="12" t="s">
        <v>49</v>
      </c>
      <c r="T281" s="12" t="s">
        <v>1047</v>
      </c>
      <c r="U281" s="12" t="s">
        <v>50</v>
      </c>
      <c r="V281" s="13"/>
      <c r="W281" s="16"/>
      <c r="X281" s="13"/>
      <c r="AC281" s="13"/>
      <c r="AD281" s="16"/>
      <c r="AE281" s="13"/>
      <c r="AU281" s="12" t="s">
        <v>53</v>
      </c>
    </row>
    <row r="282" spans="1:47" s="12" customFormat="1" ht="14.4" hidden="1" x14ac:dyDescent="0.3">
      <c r="A282" s="12" t="s">
        <v>505</v>
      </c>
      <c r="B282" s="12" t="s">
        <v>961</v>
      </c>
      <c r="C282" s="12">
        <v>70</v>
      </c>
      <c r="D282" s="12">
        <v>204</v>
      </c>
      <c r="E282" s="12" t="s">
        <v>1081</v>
      </c>
      <c r="F282" s="12" t="s">
        <v>1082</v>
      </c>
      <c r="G282" s="12" t="str">
        <f t="shared" si="6"/>
        <v>70204823001984</v>
      </c>
      <c r="H282" s="12" t="s">
        <v>8684</v>
      </c>
      <c r="I282" s="15">
        <v>823001984</v>
      </c>
      <c r="J282" s="15" t="s">
        <v>1083</v>
      </c>
      <c r="K282" s="15" t="s">
        <v>4092</v>
      </c>
      <c r="L282" s="15">
        <v>3010977935</v>
      </c>
      <c r="M282" s="92" t="s">
        <v>1084</v>
      </c>
      <c r="N282" s="15" t="s">
        <v>127</v>
      </c>
      <c r="O282" s="12" t="s">
        <v>2822</v>
      </c>
      <c r="P282" s="88" t="s">
        <v>48</v>
      </c>
      <c r="Q282" s="13">
        <v>45821</v>
      </c>
      <c r="R282" s="12" t="s">
        <v>1085</v>
      </c>
      <c r="S282" s="12" t="s">
        <v>173</v>
      </c>
      <c r="T282" s="12" t="s">
        <v>1086</v>
      </c>
      <c r="U282" s="12" t="s">
        <v>50</v>
      </c>
      <c r="V282" s="13">
        <v>45540</v>
      </c>
      <c r="W282" s="16">
        <v>0.81</v>
      </c>
      <c r="X282" s="13" t="s">
        <v>49</v>
      </c>
      <c r="Z282" s="12" t="s">
        <v>60</v>
      </c>
      <c r="AA282" s="12" t="s">
        <v>51</v>
      </c>
      <c r="AB282" s="12" t="s">
        <v>51</v>
      </c>
      <c r="AC282" s="13" t="s">
        <v>1087</v>
      </c>
      <c r="AD282" s="16">
        <v>0.93</v>
      </c>
      <c r="AE282" s="13" t="s">
        <v>210</v>
      </c>
      <c r="AF282" s="12" t="s">
        <v>60</v>
      </c>
      <c r="AG282" s="12" t="s">
        <v>51</v>
      </c>
      <c r="AH282" s="12" t="s">
        <v>51</v>
      </c>
      <c r="AU282" s="12" t="s">
        <v>53</v>
      </c>
    </row>
    <row r="283" spans="1:47" s="12" customFormat="1" ht="14.4" hidden="1" x14ac:dyDescent="0.3">
      <c r="A283" s="12" t="s">
        <v>505</v>
      </c>
      <c r="B283" s="12" t="s">
        <v>961</v>
      </c>
      <c r="C283" s="12">
        <v>70</v>
      </c>
      <c r="D283" s="12">
        <v>204</v>
      </c>
      <c r="E283" s="12" t="s">
        <v>764</v>
      </c>
      <c r="F283" s="275" t="s">
        <v>1088</v>
      </c>
      <c r="G283" s="12" t="str">
        <f t="shared" si="6"/>
        <v>70204823001984-2</v>
      </c>
      <c r="H283" s="12" t="s">
        <v>8684</v>
      </c>
      <c r="I283" s="15" t="s">
        <v>807</v>
      </c>
      <c r="J283" s="15" t="s">
        <v>1089</v>
      </c>
      <c r="K283" s="15" t="s">
        <v>4092</v>
      </c>
      <c r="L283" s="15">
        <v>3107105911</v>
      </c>
      <c r="M283" s="15" t="s">
        <v>45</v>
      </c>
      <c r="N283" s="15" t="s">
        <v>127</v>
      </c>
      <c r="O283" s="12" t="s">
        <v>2822</v>
      </c>
      <c r="P283" s="88" t="s">
        <v>48</v>
      </c>
      <c r="Q283" s="13">
        <v>45750</v>
      </c>
      <c r="R283" s="12" t="s">
        <v>1090</v>
      </c>
      <c r="S283" s="12" t="s">
        <v>49</v>
      </c>
      <c r="T283" s="12" t="s">
        <v>1063</v>
      </c>
      <c r="U283" s="12" t="s">
        <v>50</v>
      </c>
      <c r="V283" s="13">
        <v>45525</v>
      </c>
      <c r="W283" s="16">
        <v>0.74</v>
      </c>
      <c r="X283" s="13" t="s">
        <v>49</v>
      </c>
      <c r="Z283" s="12" t="s">
        <v>60</v>
      </c>
      <c r="AA283" s="12" t="s">
        <v>51</v>
      </c>
      <c r="AB283" s="12" t="s">
        <v>51</v>
      </c>
      <c r="AC283" s="13">
        <v>44659</v>
      </c>
      <c r="AD283" s="16">
        <v>0.88</v>
      </c>
      <c r="AE283" s="13" t="s">
        <v>49</v>
      </c>
      <c r="AF283" s="12" t="s">
        <v>50</v>
      </c>
      <c r="AG283" s="12" t="s">
        <v>51</v>
      </c>
      <c r="AH283" s="12" t="s">
        <v>51</v>
      </c>
      <c r="AU283" s="12" t="s">
        <v>53</v>
      </c>
    </row>
    <row r="284" spans="1:47" s="12" customFormat="1" ht="14.4" hidden="1" x14ac:dyDescent="0.3">
      <c r="A284" s="12" t="s">
        <v>505</v>
      </c>
      <c r="B284" s="12" t="s">
        <v>961</v>
      </c>
      <c r="C284" s="12">
        <v>70</v>
      </c>
      <c r="D284" s="12">
        <v>204</v>
      </c>
      <c r="E284" s="12" t="s">
        <v>764</v>
      </c>
      <c r="F284" s="275" t="s">
        <v>8284</v>
      </c>
      <c r="G284" s="12" t="str">
        <f t="shared" si="6"/>
        <v>70204823001984</v>
      </c>
      <c r="H284" s="12" t="s">
        <v>8517</v>
      </c>
      <c r="I284" s="15">
        <v>823001984</v>
      </c>
      <c r="J284" s="15" t="s">
        <v>1092</v>
      </c>
      <c r="K284" s="15" t="s">
        <v>4092</v>
      </c>
      <c r="L284" s="12">
        <v>3014412126</v>
      </c>
      <c r="M284" s="12" t="s">
        <v>8518</v>
      </c>
      <c r="N284" s="15" t="s">
        <v>127</v>
      </c>
      <c r="O284" s="12" t="s">
        <v>2822</v>
      </c>
      <c r="P284" s="88" t="s">
        <v>48</v>
      </c>
      <c r="Q284" s="13">
        <v>46091</v>
      </c>
      <c r="R284" s="16">
        <v>0.92</v>
      </c>
      <c r="S284" s="12" t="s">
        <v>319</v>
      </c>
      <c r="U284" s="12" t="s">
        <v>50</v>
      </c>
      <c r="V284" s="13">
        <v>45775</v>
      </c>
      <c r="W284" s="16">
        <v>0.92</v>
      </c>
      <c r="X284" s="12" t="s">
        <v>49</v>
      </c>
      <c r="Y284" s="12" t="s">
        <v>1063</v>
      </c>
      <c r="Z284" s="12" t="s">
        <v>50</v>
      </c>
      <c r="AA284" s="12" t="s">
        <v>51</v>
      </c>
      <c r="AB284" s="12" t="s">
        <v>51</v>
      </c>
      <c r="AC284" s="13">
        <v>45461</v>
      </c>
      <c r="AD284" s="16">
        <v>0.92</v>
      </c>
      <c r="AE284" s="13" t="s">
        <v>210</v>
      </c>
      <c r="AF284" s="12" t="s">
        <v>50</v>
      </c>
      <c r="AU284" s="12" t="s">
        <v>53</v>
      </c>
    </row>
    <row r="285" spans="1:47" s="12" customFormat="1" ht="14.4" hidden="1" x14ac:dyDescent="0.3">
      <c r="A285" s="12" t="s">
        <v>505</v>
      </c>
      <c r="B285" s="12" t="s">
        <v>961</v>
      </c>
      <c r="C285" s="12">
        <v>70</v>
      </c>
      <c r="D285" s="12">
        <v>204</v>
      </c>
      <c r="E285" s="12" t="s">
        <v>7903</v>
      </c>
      <c r="F285" s="12" t="s">
        <v>7904</v>
      </c>
      <c r="G285" s="12" t="str">
        <f t="shared" si="6"/>
        <v>702049002339141</v>
      </c>
      <c r="H285" s="12" t="s">
        <v>7905</v>
      </c>
      <c r="I285" s="15">
        <v>9002339141</v>
      </c>
      <c r="J285" s="15" t="s">
        <v>7906</v>
      </c>
      <c r="K285" s="15" t="s">
        <v>4092</v>
      </c>
      <c r="L285" s="15">
        <v>3017613978</v>
      </c>
      <c r="M285" s="15" t="s">
        <v>7907</v>
      </c>
      <c r="N285" s="15" t="s">
        <v>127</v>
      </c>
      <c r="O285" s="12" t="s">
        <v>2822</v>
      </c>
      <c r="P285" s="88" t="s">
        <v>48</v>
      </c>
      <c r="Q285" s="13">
        <v>46009</v>
      </c>
      <c r="R285" s="16" t="s">
        <v>203</v>
      </c>
      <c r="S285" s="12" t="s">
        <v>49</v>
      </c>
      <c r="U285" s="12" t="s">
        <v>50</v>
      </c>
      <c r="V285" s="13"/>
      <c r="W285" s="16"/>
      <c r="X285" s="13"/>
      <c r="AU285" s="12" t="s">
        <v>53</v>
      </c>
    </row>
    <row r="286" spans="1:47" s="12" customFormat="1" ht="14.4" hidden="1" x14ac:dyDescent="0.3">
      <c r="A286" s="12" t="s">
        <v>505</v>
      </c>
      <c r="B286" s="12" t="s">
        <v>961</v>
      </c>
      <c r="C286" s="12">
        <v>70</v>
      </c>
      <c r="D286" s="12">
        <v>204</v>
      </c>
      <c r="E286" s="12" t="s">
        <v>764</v>
      </c>
      <c r="F286" s="275" t="s">
        <v>9037</v>
      </c>
      <c r="G286" s="12" t="str">
        <f t="shared" si="6"/>
        <v>702048230019842</v>
      </c>
      <c r="H286" s="12" t="s">
        <v>8684</v>
      </c>
      <c r="I286" s="15">
        <v>8230019842</v>
      </c>
      <c r="J286" s="15" t="s">
        <v>9038</v>
      </c>
      <c r="K286" s="15" t="s">
        <v>133</v>
      </c>
      <c r="L286" s="15">
        <v>3203982959</v>
      </c>
      <c r="M286" s="92" t="s">
        <v>9039</v>
      </c>
      <c r="N286" s="15" t="s">
        <v>127</v>
      </c>
      <c r="O286" s="12" t="s">
        <v>2822</v>
      </c>
      <c r="P286" s="88" t="s">
        <v>48</v>
      </c>
      <c r="Q286" s="13">
        <v>46142</v>
      </c>
      <c r="R286" s="16">
        <v>0.87</v>
      </c>
      <c r="S286" s="12" t="s">
        <v>49</v>
      </c>
      <c r="T286" s="12" t="s">
        <v>1047</v>
      </c>
      <c r="U286" s="12" t="s">
        <v>50</v>
      </c>
      <c r="V286" s="13"/>
      <c r="W286" s="16"/>
      <c r="X286" s="13"/>
      <c r="AU286" s="12" t="s">
        <v>53</v>
      </c>
    </row>
    <row r="287" spans="1:47" s="12" customFormat="1" ht="14.4" hidden="1" x14ac:dyDescent="0.3">
      <c r="A287" s="12" t="s">
        <v>505</v>
      </c>
      <c r="B287" s="12" t="s">
        <v>961</v>
      </c>
      <c r="C287" s="12">
        <v>70</v>
      </c>
      <c r="D287" s="12">
        <v>204</v>
      </c>
      <c r="E287" s="12" t="s">
        <v>8747</v>
      </c>
      <c r="F287" s="275" t="s">
        <v>8748</v>
      </c>
      <c r="G287" s="12" t="str">
        <f t="shared" si="6"/>
        <v>70204823001984</v>
      </c>
      <c r="H287" s="12" t="s">
        <v>8684</v>
      </c>
      <c r="I287" s="15">
        <v>823001984</v>
      </c>
      <c r="J287" s="12" t="s">
        <v>8749</v>
      </c>
      <c r="K287" s="15" t="s">
        <v>4092</v>
      </c>
      <c r="L287" s="15">
        <v>3107105911</v>
      </c>
      <c r="M287" s="15"/>
      <c r="N287" s="15" t="s">
        <v>127</v>
      </c>
      <c r="O287" s="12" t="s">
        <v>2822</v>
      </c>
      <c r="P287" s="88" t="s">
        <v>48</v>
      </c>
      <c r="Q287" s="13">
        <v>46133</v>
      </c>
      <c r="R287" s="12">
        <v>93</v>
      </c>
      <c r="S287" s="12" t="s">
        <v>210</v>
      </c>
      <c r="U287" s="12" t="s">
        <v>60</v>
      </c>
      <c r="V287" s="13"/>
      <c r="W287" s="16"/>
      <c r="X287" s="13"/>
      <c r="AU287" s="12" t="s">
        <v>53</v>
      </c>
    </row>
    <row r="288" spans="1:47" s="12" customFormat="1" ht="14.4" hidden="1" x14ac:dyDescent="0.3">
      <c r="A288" s="12" t="s">
        <v>505</v>
      </c>
      <c r="B288" s="12" t="s">
        <v>961</v>
      </c>
      <c r="C288" s="12">
        <v>70</v>
      </c>
      <c r="D288" s="12">
        <v>204</v>
      </c>
      <c r="E288" s="12" t="s">
        <v>8747</v>
      </c>
      <c r="F288" s="275" t="s">
        <v>8912</v>
      </c>
      <c r="G288" s="12" t="str">
        <f t="shared" si="6"/>
        <v>70204823001984</v>
      </c>
      <c r="H288" s="12" t="s">
        <v>8684</v>
      </c>
      <c r="I288" s="15">
        <v>823001984</v>
      </c>
      <c r="J288" s="12" t="s">
        <v>8913</v>
      </c>
      <c r="K288" s="15" t="s">
        <v>133</v>
      </c>
      <c r="L288" s="12">
        <v>3042387527</v>
      </c>
      <c r="M288" s="12" t="s">
        <v>8914</v>
      </c>
      <c r="N288" s="15" t="s">
        <v>127</v>
      </c>
      <c r="O288" s="12" t="s">
        <v>2822</v>
      </c>
      <c r="P288" s="88" t="s">
        <v>48</v>
      </c>
      <c r="Q288" s="13">
        <v>46162</v>
      </c>
      <c r="R288" s="16">
        <v>0.88</v>
      </c>
      <c r="S288" s="12" t="s">
        <v>49</v>
      </c>
      <c r="T288" s="12" t="s">
        <v>1047</v>
      </c>
      <c r="U288" s="12" t="s">
        <v>60</v>
      </c>
      <c r="V288" s="13"/>
      <c r="W288" s="16"/>
      <c r="X288" s="13"/>
      <c r="AU288" s="12" t="s">
        <v>53</v>
      </c>
    </row>
    <row r="289" spans="1:47" s="12" customFormat="1" ht="14.4" hidden="1" x14ac:dyDescent="0.3">
      <c r="A289" s="12" t="s">
        <v>505</v>
      </c>
      <c r="B289" s="12" t="s">
        <v>961</v>
      </c>
      <c r="C289" s="12">
        <v>70</v>
      </c>
      <c r="D289" s="12">
        <v>204</v>
      </c>
      <c r="E289" s="12" t="s">
        <v>8747</v>
      </c>
      <c r="F289" s="275" t="s">
        <v>8961</v>
      </c>
      <c r="G289" s="12" t="str">
        <f t="shared" si="6"/>
        <v>70204823001984</v>
      </c>
      <c r="H289" s="12" t="s">
        <v>8684</v>
      </c>
      <c r="I289" s="15">
        <v>823001984</v>
      </c>
      <c r="J289" s="12" t="s">
        <v>8962</v>
      </c>
      <c r="K289" s="15" t="s">
        <v>133</v>
      </c>
      <c r="L289" s="12">
        <v>3205571482</v>
      </c>
      <c r="M289" s="12" t="s">
        <v>8963</v>
      </c>
      <c r="N289" s="15" t="s">
        <v>127</v>
      </c>
      <c r="O289" s="12" t="s">
        <v>2822</v>
      </c>
      <c r="P289" s="88" t="s">
        <v>48</v>
      </c>
      <c r="Q289" s="13">
        <v>46190</v>
      </c>
      <c r="R289" s="12">
        <v>88</v>
      </c>
      <c r="S289" s="12" t="s">
        <v>49</v>
      </c>
      <c r="T289" s="12" t="s">
        <v>1047</v>
      </c>
      <c r="U289" s="12" t="s">
        <v>60</v>
      </c>
      <c r="V289" s="13"/>
      <c r="W289" s="16"/>
      <c r="X289" s="13"/>
      <c r="AU289" s="12" t="s">
        <v>53</v>
      </c>
    </row>
    <row r="290" spans="1:47" s="12" customFormat="1" ht="14.4" x14ac:dyDescent="0.3">
      <c r="A290" s="12" t="s">
        <v>505</v>
      </c>
      <c r="B290" s="12" t="s">
        <v>961</v>
      </c>
      <c r="C290" s="12">
        <v>70</v>
      </c>
      <c r="D290" s="12">
        <v>204</v>
      </c>
      <c r="F290" s="275" t="s">
        <v>1093</v>
      </c>
      <c r="G290" s="12" t="str">
        <f t="shared" si="6"/>
        <v>7020422896081</v>
      </c>
      <c r="H290" s="12" t="s">
        <v>1094</v>
      </c>
      <c r="I290" s="12">
        <v>22896081</v>
      </c>
      <c r="J290" s="12" t="s">
        <v>8910</v>
      </c>
      <c r="K290" s="15" t="s">
        <v>4092</v>
      </c>
      <c r="L290" s="12">
        <v>3135123141</v>
      </c>
      <c r="M290" s="12" t="s">
        <v>8911</v>
      </c>
      <c r="N290" s="12" t="s">
        <v>46</v>
      </c>
      <c r="O290" s="12" t="s">
        <v>47</v>
      </c>
      <c r="P290" s="88" t="s">
        <v>48</v>
      </c>
      <c r="Q290" s="13">
        <v>46147</v>
      </c>
      <c r="R290" s="16">
        <v>0.88</v>
      </c>
      <c r="S290" s="12" t="s">
        <v>49</v>
      </c>
      <c r="T290" s="12" t="s">
        <v>1047</v>
      </c>
      <c r="U290" s="12" t="s">
        <v>60</v>
      </c>
      <c r="V290" s="13">
        <v>45790</v>
      </c>
      <c r="W290" s="12" t="s">
        <v>1071</v>
      </c>
      <c r="X290" s="12" t="s">
        <v>49</v>
      </c>
      <c r="Y290" s="12" t="s">
        <v>1072</v>
      </c>
      <c r="Z290" s="12" t="s">
        <v>50</v>
      </c>
      <c r="AA290" s="12" t="s">
        <v>51</v>
      </c>
      <c r="AB290" s="12" t="s">
        <v>51</v>
      </c>
      <c r="AC290" s="13">
        <v>45472</v>
      </c>
      <c r="AD290" s="16">
        <v>0.86499999999999999</v>
      </c>
      <c r="AE290" s="13" t="s">
        <v>49</v>
      </c>
      <c r="AF290" s="12" t="s">
        <v>50</v>
      </c>
      <c r="AG290" s="12" t="s">
        <v>52</v>
      </c>
      <c r="AH290" s="12" t="s">
        <v>51</v>
      </c>
      <c r="AI290" s="13">
        <v>45197</v>
      </c>
      <c r="AJ290" s="16">
        <v>0.79</v>
      </c>
      <c r="AK290" s="13" t="s">
        <v>49</v>
      </c>
      <c r="AL290" s="12" t="s">
        <v>50</v>
      </c>
      <c r="AU290" s="12" t="s">
        <v>53</v>
      </c>
    </row>
    <row r="291" spans="1:47" s="12" customFormat="1" ht="14.4" x14ac:dyDescent="0.3">
      <c r="A291" s="12" t="s">
        <v>505</v>
      </c>
      <c r="B291" s="12" t="s">
        <v>961</v>
      </c>
      <c r="C291" s="12">
        <v>70</v>
      </c>
      <c r="D291" s="12">
        <v>204</v>
      </c>
      <c r="F291" s="275" t="s">
        <v>1095</v>
      </c>
      <c r="G291" s="12" t="str">
        <f t="shared" si="6"/>
        <v>7020422897889</v>
      </c>
      <c r="H291" s="12" t="s">
        <v>9040</v>
      </c>
      <c r="I291" s="12">
        <v>22897889</v>
      </c>
      <c r="J291" s="12" t="s">
        <v>1056</v>
      </c>
      <c r="K291" s="15" t="s">
        <v>4092</v>
      </c>
      <c r="L291" s="12">
        <v>3244191960</v>
      </c>
      <c r="M291" s="12" t="s">
        <v>45</v>
      </c>
      <c r="N291" s="12" t="s">
        <v>46</v>
      </c>
      <c r="O291" s="12" t="s">
        <v>47</v>
      </c>
      <c r="P291" s="88" t="s">
        <v>48</v>
      </c>
      <c r="Q291" s="13">
        <v>46213</v>
      </c>
      <c r="R291" s="12" t="s">
        <v>1906</v>
      </c>
      <c r="S291" s="12" t="s">
        <v>49</v>
      </c>
      <c r="T291" s="12" t="s">
        <v>1047</v>
      </c>
      <c r="U291" s="12" t="s">
        <v>9041</v>
      </c>
      <c r="V291" s="13">
        <v>45863</v>
      </c>
      <c r="W291" s="16">
        <v>0.77</v>
      </c>
      <c r="X291" s="12" t="s">
        <v>49</v>
      </c>
      <c r="Y291" s="12" t="s">
        <v>1063</v>
      </c>
      <c r="Z291" s="12" t="s">
        <v>60</v>
      </c>
      <c r="AA291" s="12" t="s">
        <v>51</v>
      </c>
      <c r="AB291" s="12" t="s">
        <v>51</v>
      </c>
      <c r="AC291" s="13">
        <v>45545</v>
      </c>
      <c r="AD291" s="16">
        <v>0.96</v>
      </c>
      <c r="AE291" s="13" t="s">
        <v>210</v>
      </c>
      <c r="AF291" s="12" t="s">
        <v>50</v>
      </c>
      <c r="AG291" s="12" t="s">
        <v>51</v>
      </c>
      <c r="AH291" s="12" t="s">
        <v>52</v>
      </c>
      <c r="AI291" s="13">
        <v>44390</v>
      </c>
      <c r="AJ291" s="16">
        <v>0.85499999999999998</v>
      </c>
      <c r="AK291" s="13" t="s">
        <v>49</v>
      </c>
      <c r="AL291" s="12" t="s">
        <v>50</v>
      </c>
      <c r="AM291" s="12" t="s">
        <v>51</v>
      </c>
      <c r="AN291" s="12" t="s">
        <v>51</v>
      </c>
      <c r="AU291" s="12" t="s">
        <v>53</v>
      </c>
    </row>
    <row r="292" spans="1:47" s="12" customFormat="1" ht="14.4" x14ac:dyDescent="0.3">
      <c r="A292" s="12" t="s">
        <v>505</v>
      </c>
      <c r="B292" s="12" t="s">
        <v>961</v>
      </c>
      <c r="C292" s="12">
        <v>70</v>
      </c>
      <c r="D292" s="12">
        <v>204</v>
      </c>
      <c r="F292" s="275" t="s">
        <v>1096</v>
      </c>
      <c r="G292" s="12" t="str">
        <f t="shared" si="6"/>
        <v>7020464695763</v>
      </c>
      <c r="H292" s="12" t="s">
        <v>1097</v>
      </c>
      <c r="I292" s="12">
        <v>64695763</v>
      </c>
      <c r="J292" s="12" t="s">
        <v>1039</v>
      </c>
      <c r="K292" s="15" t="s">
        <v>4092</v>
      </c>
      <c r="L292" s="12" t="s">
        <v>45</v>
      </c>
      <c r="M292" s="12" t="s">
        <v>45</v>
      </c>
      <c r="N292" s="12" t="s">
        <v>46</v>
      </c>
      <c r="O292" s="12" t="s">
        <v>47</v>
      </c>
      <c r="P292" s="88" t="s">
        <v>48</v>
      </c>
      <c r="Q292" s="13">
        <v>45553</v>
      </c>
      <c r="R292" s="16">
        <v>0.92</v>
      </c>
      <c r="S292" s="13" t="s">
        <v>210</v>
      </c>
      <c r="U292" s="12" t="s">
        <v>60</v>
      </c>
      <c r="AU292" s="12" t="s">
        <v>53</v>
      </c>
    </row>
    <row r="293" spans="1:47" s="12" customFormat="1" ht="14.4" x14ac:dyDescent="0.3">
      <c r="A293" s="12" t="s">
        <v>505</v>
      </c>
      <c r="B293" s="12" t="s">
        <v>961</v>
      </c>
      <c r="C293" s="12">
        <v>70</v>
      </c>
      <c r="D293" s="12">
        <v>204</v>
      </c>
      <c r="F293" s="275" t="s">
        <v>1098</v>
      </c>
      <c r="G293" s="12" t="str">
        <f t="shared" si="6"/>
        <v>7020492531336</v>
      </c>
      <c r="H293" s="12" t="s">
        <v>1099</v>
      </c>
      <c r="I293" s="12">
        <v>92531336</v>
      </c>
      <c r="J293" s="12" t="s">
        <v>1007</v>
      </c>
      <c r="K293" s="15" t="s">
        <v>4092</v>
      </c>
      <c r="L293" s="12">
        <v>3116586222</v>
      </c>
      <c r="M293" s="12" t="s">
        <v>8915</v>
      </c>
      <c r="N293" s="12" t="s">
        <v>46</v>
      </c>
      <c r="O293" s="12" t="s">
        <v>47</v>
      </c>
      <c r="P293" s="88" t="s">
        <v>48</v>
      </c>
      <c r="Q293" s="13">
        <v>46177</v>
      </c>
      <c r="R293" s="12">
        <v>87</v>
      </c>
      <c r="S293" s="12" t="s">
        <v>49</v>
      </c>
      <c r="T293" s="12" t="s">
        <v>1072</v>
      </c>
      <c r="U293" s="12" t="s">
        <v>60</v>
      </c>
      <c r="V293" s="13">
        <v>45826</v>
      </c>
      <c r="W293" s="16">
        <v>0.85</v>
      </c>
      <c r="X293" s="12" t="s">
        <v>7696</v>
      </c>
      <c r="Y293" s="12" t="s">
        <v>1047</v>
      </c>
      <c r="Z293" s="12" t="s">
        <v>50</v>
      </c>
      <c r="AC293" s="13">
        <v>45541</v>
      </c>
      <c r="AD293" s="16">
        <v>0.89</v>
      </c>
      <c r="AE293" s="13" t="s">
        <v>49</v>
      </c>
      <c r="AG293" s="12" t="s">
        <v>60</v>
      </c>
      <c r="AH293" s="12" t="s">
        <v>51</v>
      </c>
      <c r="AI293" s="12" t="s">
        <v>51</v>
      </c>
      <c r="AU293" s="12" t="s">
        <v>53</v>
      </c>
    </row>
    <row r="294" spans="1:47" s="12" customFormat="1" ht="14.4" x14ac:dyDescent="0.3">
      <c r="A294" s="12" t="s">
        <v>505</v>
      </c>
      <c r="B294" s="12" t="s">
        <v>961</v>
      </c>
      <c r="C294" s="12">
        <v>70</v>
      </c>
      <c r="D294" s="12">
        <v>204</v>
      </c>
      <c r="E294" s="214"/>
      <c r="F294" s="275" t="s">
        <v>1100</v>
      </c>
      <c r="G294" s="12" t="str">
        <f t="shared" si="6"/>
        <v>7020492256804</v>
      </c>
      <c r="H294" s="214" t="s">
        <v>1101</v>
      </c>
      <c r="I294" s="12">
        <v>92256804</v>
      </c>
      <c r="J294" s="12" t="s">
        <v>989</v>
      </c>
      <c r="K294" s="15" t="s">
        <v>4092</v>
      </c>
      <c r="L294" s="12" t="s">
        <v>45</v>
      </c>
      <c r="M294" s="12" t="s">
        <v>45</v>
      </c>
      <c r="N294" s="12" t="s">
        <v>46</v>
      </c>
      <c r="O294" s="12" t="s">
        <v>47</v>
      </c>
      <c r="P294" s="88" t="s">
        <v>48</v>
      </c>
      <c r="Q294" s="13">
        <v>45555</v>
      </c>
      <c r="R294" s="16">
        <v>0.97</v>
      </c>
      <c r="S294" s="13" t="s">
        <v>210</v>
      </c>
      <c r="U294" s="12" t="s">
        <v>60</v>
      </c>
      <c r="AU294" s="12" t="s">
        <v>53</v>
      </c>
    </row>
    <row r="295" spans="1:47" s="12" customFormat="1" ht="14.4" hidden="1" x14ac:dyDescent="0.3">
      <c r="A295" s="12" t="s">
        <v>505</v>
      </c>
      <c r="B295" s="12" t="s">
        <v>1102</v>
      </c>
      <c r="C295" s="12">
        <v>70</v>
      </c>
      <c r="D295" s="213">
        <v>215</v>
      </c>
      <c r="E295" s="282" t="s">
        <v>8920</v>
      </c>
      <c r="F295" s="356" t="s">
        <v>8921</v>
      </c>
      <c r="G295" s="213" t="str">
        <f t="shared" si="6"/>
        <v>702158002208699</v>
      </c>
      <c r="H295" s="282" t="s">
        <v>8922</v>
      </c>
      <c r="I295" s="220">
        <v>8002208699</v>
      </c>
      <c r="J295" s="12" t="s">
        <v>8923</v>
      </c>
      <c r="K295" s="15" t="s">
        <v>44</v>
      </c>
      <c r="L295" s="12">
        <v>3027757360</v>
      </c>
      <c r="M295" s="12" t="s">
        <v>8692</v>
      </c>
      <c r="N295" s="12" t="s">
        <v>127</v>
      </c>
      <c r="O295" s="12" t="s">
        <v>2822</v>
      </c>
      <c r="P295" s="88" t="s">
        <v>48</v>
      </c>
      <c r="Q295" s="13">
        <v>46154</v>
      </c>
      <c r="R295" s="12" t="s">
        <v>8587</v>
      </c>
      <c r="S295" s="12" t="s">
        <v>49</v>
      </c>
      <c r="T295" s="12" t="s">
        <v>1125</v>
      </c>
      <c r="U295" s="12" t="s">
        <v>60</v>
      </c>
      <c r="AU295" s="12" t="s">
        <v>53</v>
      </c>
    </row>
    <row r="296" spans="1:47" s="12" customFormat="1" ht="14.4" hidden="1" x14ac:dyDescent="0.3">
      <c r="A296" s="12" t="s">
        <v>505</v>
      </c>
      <c r="B296" s="12" t="s">
        <v>1102</v>
      </c>
      <c r="C296" s="12">
        <v>70</v>
      </c>
      <c r="D296" s="213">
        <v>215</v>
      </c>
      <c r="E296" s="282" t="s">
        <v>8920</v>
      </c>
      <c r="F296" s="356" t="s">
        <v>8929</v>
      </c>
      <c r="G296" s="213" t="str">
        <f t="shared" si="6"/>
        <v>702158002208699</v>
      </c>
      <c r="H296" s="282" t="s">
        <v>8922</v>
      </c>
      <c r="I296" s="220">
        <v>8002208699</v>
      </c>
      <c r="J296" s="12" t="s">
        <v>8930</v>
      </c>
      <c r="K296" s="15" t="s">
        <v>44</v>
      </c>
      <c r="L296" s="12">
        <v>3022254028</v>
      </c>
      <c r="M296" s="12" t="s">
        <v>8692</v>
      </c>
      <c r="N296" s="12" t="s">
        <v>127</v>
      </c>
      <c r="O296" s="12" t="s">
        <v>2822</v>
      </c>
      <c r="P296" s="88" t="s">
        <v>48</v>
      </c>
      <c r="Q296" s="13">
        <v>46252</v>
      </c>
      <c r="R296" s="12" t="s">
        <v>81</v>
      </c>
      <c r="S296" s="12" t="s">
        <v>9781</v>
      </c>
      <c r="T296" s="12" t="s">
        <v>1111</v>
      </c>
      <c r="U296" s="12" t="s">
        <v>60</v>
      </c>
      <c r="V296" s="13">
        <v>46149</v>
      </c>
      <c r="W296" s="12">
        <v>74</v>
      </c>
      <c r="X296" s="12" t="s">
        <v>49</v>
      </c>
      <c r="Y296" s="12" t="s">
        <v>1111</v>
      </c>
      <c r="Z296" s="12" t="s">
        <v>60</v>
      </c>
      <c r="AA296" s="12" t="s">
        <v>51</v>
      </c>
      <c r="AB296" s="12" t="s">
        <v>51</v>
      </c>
      <c r="AU296" s="12" t="s">
        <v>53</v>
      </c>
    </row>
    <row r="297" spans="1:47" s="12" customFormat="1" ht="14.4" hidden="1" x14ac:dyDescent="0.3">
      <c r="A297" s="12" t="s">
        <v>505</v>
      </c>
      <c r="B297" s="12" t="s">
        <v>1102</v>
      </c>
      <c r="C297" s="12">
        <v>70</v>
      </c>
      <c r="D297" s="213">
        <v>215</v>
      </c>
      <c r="E297" s="282" t="s">
        <v>8276</v>
      </c>
      <c r="F297" s="356" t="s">
        <v>8935</v>
      </c>
      <c r="G297" s="357" t="str">
        <f t="shared" si="6"/>
        <v>70215800169896</v>
      </c>
      <c r="H297" s="282" t="s">
        <v>8273</v>
      </c>
      <c r="I297" s="358">
        <v>800169896</v>
      </c>
      <c r="J297" s="12" t="s">
        <v>8936</v>
      </c>
      <c r="K297" s="12" t="s">
        <v>44</v>
      </c>
      <c r="L297" s="12">
        <v>3126209005</v>
      </c>
      <c r="M297" s="12" t="s">
        <v>8937</v>
      </c>
      <c r="N297" s="12" t="s">
        <v>127</v>
      </c>
      <c r="O297" s="12" t="s">
        <v>2822</v>
      </c>
      <c r="P297" s="88" t="s">
        <v>48</v>
      </c>
      <c r="Q297" s="13">
        <v>46155</v>
      </c>
      <c r="R297" s="12">
        <v>93</v>
      </c>
      <c r="S297" s="12" t="s">
        <v>210</v>
      </c>
      <c r="T297" s="12" t="s">
        <v>1120</v>
      </c>
      <c r="U297" s="12" t="s">
        <v>60</v>
      </c>
      <c r="AU297" s="12" t="s">
        <v>53</v>
      </c>
    </row>
    <row r="298" spans="1:47" s="12" customFormat="1" ht="14.4" hidden="1" x14ac:dyDescent="0.3">
      <c r="A298" s="12" t="s">
        <v>505</v>
      </c>
      <c r="B298" s="12" t="s">
        <v>1102</v>
      </c>
      <c r="C298" s="12">
        <v>70</v>
      </c>
      <c r="D298" s="213">
        <v>215</v>
      </c>
      <c r="E298" s="282" t="s">
        <v>1136</v>
      </c>
      <c r="F298" s="359" t="s">
        <v>9045</v>
      </c>
      <c r="G298" s="216" t="str">
        <f t="shared" si="6"/>
        <v>702158002208699</v>
      </c>
      <c r="H298" s="216" t="s">
        <v>8690</v>
      </c>
      <c r="I298" s="216">
        <v>8002208699</v>
      </c>
      <c r="J298" s="220" t="s">
        <v>8752</v>
      </c>
      <c r="K298" s="12" t="s">
        <v>44</v>
      </c>
      <c r="L298" s="12">
        <v>3046644391</v>
      </c>
      <c r="M298" s="12" t="s">
        <v>8692</v>
      </c>
      <c r="N298" s="12" t="s">
        <v>127</v>
      </c>
      <c r="O298" s="12" t="s">
        <v>2822</v>
      </c>
      <c r="P298" s="88" t="s">
        <v>102</v>
      </c>
      <c r="Q298" s="13">
        <v>46127</v>
      </c>
      <c r="R298" s="12">
        <v>85</v>
      </c>
      <c r="S298" s="12" t="s">
        <v>49</v>
      </c>
      <c r="T298" s="12" t="s">
        <v>1125</v>
      </c>
      <c r="U298" s="12" t="s">
        <v>60</v>
      </c>
      <c r="AU298" s="12" t="s">
        <v>53</v>
      </c>
    </row>
    <row r="299" spans="1:47" s="12" customFormat="1" ht="14.4" hidden="1" x14ac:dyDescent="0.3">
      <c r="A299" s="12" t="s">
        <v>505</v>
      </c>
      <c r="B299" s="12" t="s">
        <v>1102</v>
      </c>
      <c r="C299" s="12">
        <v>70</v>
      </c>
      <c r="D299" s="213">
        <v>215</v>
      </c>
      <c r="E299" s="216" t="s">
        <v>8689</v>
      </c>
      <c r="F299" s="356" t="s">
        <v>1103</v>
      </c>
      <c r="G299" s="215" t="str">
        <f t="shared" si="6"/>
        <v>702158002208699</v>
      </c>
      <c r="H299" s="215" t="s">
        <v>8690</v>
      </c>
      <c r="I299" s="215">
        <v>8002208699</v>
      </c>
      <c r="J299" s="12" t="s">
        <v>9043</v>
      </c>
      <c r="K299" s="15" t="s">
        <v>44</v>
      </c>
      <c r="L299" s="12">
        <v>3126825877</v>
      </c>
      <c r="M299" s="12" t="s">
        <v>8692</v>
      </c>
      <c r="N299" s="12" t="s">
        <v>127</v>
      </c>
      <c r="O299" s="12" t="s">
        <v>2822</v>
      </c>
      <c r="P299" s="88" t="s">
        <v>48</v>
      </c>
      <c r="Q299" s="13">
        <v>46093</v>
      </c>
      <c r="R299" s="12">
        <v>78</v>
      </c>
      <c r="S299" s="12" t="s">
        <v>49</v>
      </c>
      <c r="T299" s="12" t="s">
        <v>1107</v>
      </c>
      <c r="U299" s="12" t="s">
        <v>50</v>
      </c>
      <c r="V299" s="12" t="s">
        <v>1106</v>
      </c>
      <c r="W299" s="18">
        <v>0.82499999999999996</v>
      </c>
      <c r="X299" s="12" t="s">
        <v>69</v>
      </c>
      <c r="Z299" s="12" t="s">
        <v>50</v>
      </c>
      <c r="AA299" s="12" t="s">
        <v>52</v>
      </c>
      <c r="AB299" s="12" t="s">
        <v>52</v>
      </c>
      <c r="AC299" s="13">
        <v>45484</v>
      </c>
      <c r="AD299" s="18">
        <v>0.81499999999999995</v>
      </c>
      <c r="AE299" s="12" t="s">
        <v>74</v>
      </c>
      <c r="AF299" s="12" t="s">
        <v>50</v>
      </c>
      <c r="AG299" s="12" t="s">
        <v>51</v>
      </c>
      <c r="AH299" s="12" t="s">
        <v>51</v>
      </c>
      <c r="AI299" s="13">
        <v>45177</v>
      </c>
      <c r="AJ299" s="16">
        <v>0.84499999999999997</v>
      </c>
      <c r="AK299" s="13" t="s">
        <v>49</v>
      </c>
      <c r="AL299" s="12" t="s">
        <v>9044</v>
      </c>
      <c r="AU299" s="12" t="s">
        <v>53</v>
      </c>
    </row>
    <row r="300" spans="1:47" s="12" customFormat="1" ht="14.4" hidden="1" x14ac:dyDescent="0.3">
      <c r="A300" s="12" t="s">
        <v>505</v>
      </c>
      <c r="B300" s="12" t="s">
        <v>1102</v>
      </c>
      <c r="C300" s="12">
        <v>70</v>
      </c>
      <c r="D300" s="12">
        <v>215</v>
      </c>
      <c r="E300" s="215"/>
      <c r="F300" s="275" t="s">
        <v>8266</v>
      </c>
      <c r="G300" s="12" t="str">
        <f t="shared" si="6"/>
        <v>702151102846427</v>
      </c>
      <c r="H300" s="12" t="s">
        <v>8267</v>
      </c>
      <c r="I300" s="12">
        <v>1102846427</v>
      </c>
      <c r="J300" s="12" t="s">
        <v>8268</v>
      </c>
      <c r="K300" s="15" t="s">
        <v>44</v>
      </c>
      <c r="L300" s="12">
        <v>3205328867</v>
      </c>
      <c r="M300" s="12" t="s">
        <v>8269</v>
      </c>
      <c r="N300" s="12" t="s">
        <v>127</v>
      </c>
      <c r="O300" s="12" t="s">
        <v>2822</v>
      </c>
      <c r="P300" s="88" t="s">
        <v>48</v>
      </c>
      <c r="Q300" s="13">
        <v>45758</v>
      </c>
      <c r="R300" s="12" t="s">
        <v>8270</v>
      </c>
      <c r="S300" s="12" t="s">
        <v>49</v>
      </c>
      <c r="U300" s="12" t="s">
        <v>50</v>
      </c>
      <c r="V300" s="13"/>
      <c r="W300" s="18"/>
      <c r="AC300" s="13"/>
      <c r="AD300" s="16"/>
      <c r="AE300" s="13"/>
      <c r="AU300" s="12" t="s">
        <v>53</v>
      </c>
    </row>
    <row r="301" spans="1:47" s="12" customFormat="1" ht="14.4" hidden="1" x14ac:dyDescent="0.3">
      <c r="A301" s="12" t="s">
        <v>505</v>
      </c>
      <c r="B301" s="12" t="s">
        <v>1102</v>
      </c>
      <c r="C301" s="12">
        <v>70</v>
      </c>
      <c r="D301" s="12">
        <v>215</v>
      </c>
      <c r="E301" s="12" t="s">
        <v>8271</v>
      </c>
      <c r="F301" s="275" t="s">
        <v>8272</v>
      </c>
      <c r="G301" s="12" t="str">
        <f t="shared" si="6"/>
        <v>70215800169896</v>
      </c>
      <c r="H301" s="12" t="s">
        <v>8273</v>
      </c>
      <c r="I301" s="12">
        <v>800169896</v>
      </c>
      <c r="J301" s="12" t="s">
        <v>8274</v>
      </c>
      <c r="K301" s="15" t="s">
        <v>44</v>
      </c>
      <c r="L301" s="12">
        <v>3205701673</v>
      </c>
      <c r="M301" s="12" t="s">
        <v>8275</v>
      </c>
      <c r="N301" s="12" t="s">
        <v>127</v>
      </c>
      <c r="O301" s="12" t="s">
        <v>2822</v>
      </c>
      <c r="P301" s="88" t="s">
        <v>48</v>
      </c>
      <c r="Q301" s="13">
        <v>46091</v>
      </c>
      <c r="R301" s="12" t="s">
        <v>4658</v>
      </c>
      <c r="S301" s="12" t="s">
        <v>49</v>
      </c>
      <c r="U301" s="12" t="s">
        <v>50</v>
      </c>
      <c r="V301" s="13">
        <v>45723</v>
      </c>
      <c r="W301" s="16">
        <v>0.76</v>
      </c>
      <c r="X301" s="12" t="s">
        <v>74</v>
      </c>
      <c r="AC301" s="13"/>
      <c r="AD301" s="16"/>
      <c r="AE301" s="13"/>
      <c r="AU301" s="12" t="s">
        <v>53</v>
      </c>
    </row>
    <row r="302" spans="1:47" s="12" customFormat="1" ht="14.4" hidden="1" x14ac:dyDescent="0.3">
      <c r="A302" s="12" t="s">
        <v>505</v>
      </c>
      <c r="B302" s="12" t="s">
        <v>1102</v>
      </c>
      <c r="C302" s="12">
        <v>70</v>
      </c>
      <c r="D302" s="12">
        <v>215</v>
      </c>
      <c r="E302" s="12" t="s">
        <v>8279</v>
      </c>
      <c r="F302" s="275" t="s">
        <v>8280</v>
      </c>
      <c r="G302" s="12" t="str">
        <f t="shared" si="6"/>
        <v>702158002208699</v>
      </c>
      <c r="H302" s="12" t="s">
        <v>8281</v>
      </c>
      <c r="I302" s="12">
        <v>8002208699</v>
      </c>
      <c r="J302" s="12" t="s">
        <v>8282</v>
      </c>
      <c r="K302" s="15" t="s">
        <v>44</v>
      </c>
      <c r="L302" s="12">
        <v>3157037836</v>
      </c>
      <c r="M302" s="12" t="s">
        <v>1131</v>
      </c>
      <c r="N302" s="12" t="s">
        <v>127</v>
      </c>
      <c r="O302" s="12" t="s">
        <v>2822</v>
      </c>
      <c r="P302" s="88" t="s">
        <v>48</v>
      </c>
      <c r="Q302" s="13">
        <v>45728</v>
      </c>
      <c r="R302" s="16">
        <v>0.69</v>
      </c>
      <c r="S302" s="12" t="s">
        <v>139</v>
      </c>
      <c r="U302" s="12" t="s">
        <v>60</v>
      </c>
      <c r="V302" s="13">
        <v>45491</v>
      </c>
      <c r="W302" s="18" t="s">
        <v>1969</v>
      </c>
      <c r="X302" s="12" t="s">
        <v>8283</v>
      </c>
      <c r="AC302" s="13"/>
      <c r="AD302" s="16"/>
      <c r="AE302" s="13"/>
      <c r="AU302" s="12" t="s">
        <v>1208</v>
      </c>
    </row>
    <row r="303" spans="1:47" s="12" customFormat="1" ht="14.4" hidden="1" x14ac:dyDescent="0.3">
      <c r="A303" s="12" t="s">
        <v>505</v>
      </c>
      <c r="B303" s="12" t="s">
        <v>1102</v>
      </c>
      <c r="C303" s="12">
        <v>70</v>
      </c>
      <c r="D303" s="12">
        <v>215</v>
      </c>
      <c r="E303" s="12" t="s">
        <v>8279</v>
      </c>
      <c r="F303" s="275" t="s">
        <v>1108</v>
      </c>
      <c r="G303" s="12" t="str">
        <f t="shared" si="6"/>
        <v>702158002208699</v>
      </c>
      <c r="H303" s="12" t="s">
        <v>8281</v>
      </c>
      <c r="I303" s="12">
        <v>8002208699</v>
      </c>
      <c r="J303" s="12" t="s">
        <v>8750</v>
      </c>
      <c r="K303" s="15" t="s">
        <v>44</v>
      </c>
      <c r="L303" s="12">
        <v>3014808088</v>
      </c>
      <c r="M303" s="12" t="s">
        <v>1110</v>
      </c>
      <c r="N303" s="12" t="s">
        <v>127</v>
      </c>
      <c r="O303" s="12" t="s">
        <v>2822</v>
      </c>
      <c r="P303" s="88" t="s">
        <v>48</v>
      </c>
      <c r="Q303" s="13">
        <v>46133</v>
      </c>
      <c r="R303" s="12" t="s">
        <v>8587</v>
      </c>
      <c r="S303" s="12" t="s">
        <v>49</v>
      </c>
      <c r="T303" s="12" t="s">
        <v>1111</v>
      </c>
      <c r="U303" s="12" t="s">
        <v>50</v>
      </c>
      <c r="V303" s="13">
        <v>45874</v>
      </c>
      <c r="W303" s="16">
        <v>0.73</v>
      </c>
      <c r="X303" s="12" t="s">
        <v>139</v>
      </c>
      <c r="Z303" s="12" t="s">
        <v>50</v>
      </c>
      <c r="AA303" s="12" t="s">
        <v>51</v>
      </c>
      <c r="AB303" s="12" t="s">
        <v>51</v>
      </c>
      <c r="AC303" s="12" t="s">
        <v>1112</v>
      </c>
      <c r="AD303" s="12">
        <v>93.5</v>
      </c>
      <c r="AE303" s="13" t="s">
        <v>210</v>
      </c>
      <c r="AF303" s="12" t="s">
        <v>50</v>
      </c>
      <c r="AG303" s="12" t="s">
        <v>51</v>
      </c>
      <c r="AH303" s="12" t="s">
        <v>51</v>
      </c>
      <c r="AI303" s="13" t="s">
        <v>1113</v>
      </c>
      <c r="AJ303" s="16" t="s">
        <v>1114</v>
      </c>
      <c r="AK303" s="13" t="s">
        <v>139</v>
      </c>
      <c r="AL303" s="12" t="s">
        <v>60</v>
      </c>
      <c r="AU303" s="12" t="s">
        <v>53</v>
      </c>
    </row>
    <row r="304" spans="1:47" s="12" customFormat="1" ht="14.4" hidden="1" x14ac:dyDescent="0.3">
      <c r="A304" s="12" t="s">
        <v>505</v>
      </c>
      <c r="B304" s="12" t="s">
        <v>1102</v>
      </c>
      <c r="C304" s="12">
        <v>70</v>
      </c>
      <c r="D304" s="12">
        <v>215</v>
      </c>
      <c r="E304" s="12" t="s">
        <v>8279</v>
      </c>
      <c r="F304" s="275" t="s">
        <v>8751</v>
      </c>
      <c r="G304" s="12" t="str">
        <f t="shared" si="6"/>
        <v>702158002208699</v>
      </c>
      <c r="H304" s="12" t="s">
        <v>8281</v>
      </c>
      <c r="I304" s="12">
        <v>8002208699</v>
      </c>
      <c r="J304" s="12" t="s">
        <v>8752</v>
      </c>
      <c r="K304" s="15" t="s">
        <v>44</v>
      </c>
      <c r="L304" s="12">
        <v>3046644391</v>
      </c>
      <c r="M304" s="12" t="s">
        <v>8692</v>
      </c>
      <c r="N304" s="12" t="s">
        <v>127</v>
      </c>
      <c r="O304" s="12" t="s">
        <v>2822</v>
      </c>
      <c r="P304" s="88" t="s">
        <v>48</v>
      </c>
      <c r="Q304" s="13">
        <v>46127</v>
      </c>
      <c r="R304" s="12">
        <v>85</v>
      </c>
      <c r="S304" s="12" t="s">
        <v>49</v>
      </c>
      <c r="U304" s="12" t="s">
        <v>60</v>
      </c>
      <c r="V304" s="13"/>
      <c r="W304" s="16"/>
      <c r="AE304" s="13"/>
      <c r="AI304" s="13"/>
      <c r="AJ304" s="16"/>
      <c r="AK304" s="13"/>
      <c r="AU304" s="12" t="s">
        <v>53</v>
      </c>
    </row>
    <row r="305" spans="1:47" s="12" customFormat="1" ht="14.4" hidden="1" x14ac:dyDescent="0.3">
      <c r="A305" s="12" t="s">
        <v>505</v>
      </c>
      <c r="B305" s="12" t="s">
        <v>1102</v>
      </c>
      <c r="C305" s="12">
        <v>70</v>
      </c>
      <c r="D305" s="12">
        <v>215</v>
      </c>
      <c r="E305" s="12" t="s">
        <v>8276</v>
      </c>
      <c r="F305" s="275" t="s">
        <v>1115</v>
      </c>
      <c r="G305" s="12" t="str">
        <f t="shared" si="6"/>
        <v>70215800169896</v>
      </c>
      <c r="H305" s="12" t="s">
        <v>8273</v>
      </c>
      <c r="I305" s="12">
        <v>800169896</v>
      </c>
      <c r="J305" s="12" t="s">
        <v>8277</v>
      </c>
      <c r="K305" s="15" t="s">
        <v>44</v>
      </c>
      <c r="L305" s="12">
        <v>3007739464</v>
      </c>
      <c r="M305" s="12" t="s">
        <v>8278</v>
      </c>
      <c r="N305" s="12" t="s">
        <v>127</v>
      </c>
      <c r="O305" s="12" t="s">
        <v>2822</v>
      </c>
      <c r="P305" s="88" t="s">
        <v>48</v>
      </c>
      <c r="Q305" s="13">
        <v>46099</v>
      </c>
      <c r="R305" s="12" t="s">
        <v>8405</v>
      </c>
      <c r="S305" s="12" t="s">
        <v>8539</v>
      </c>
      <c r="U305" s="12" t="s">
        <v>60</v>
      </c>
      <c r="V305" s="13">
        <v>45729</v>
      </c>
      <c r="W305" s="12">
        <v>79</v>
      </c>
      <c r="X305" s="12" t="s">
        <v>74</v>
      </c>
      <c r="Z305" s="12" t="s">
        <v>60</v>
      </c>
      <c r="AA305" s="12" t="s">
        <v>52</v>
      </c>
      <c r="AB305" s="12" t="s">
        <v>52</v>
      </c>
      <c r="AC305" s="13" t="s">
        <v>1116</v>
      </c>
      <c r="AD305" s="16">
        <v>0.86</v>
      </c>
      <c r="AE305" s="13" t="s">
        <v>49</v>
      </c>
      <c r="AI305" s="13">
        <v>45098</v>
      </c>
      <c r="AJ305" s="16">
        <v>0.755</v>
      </c>
      <c r="AK305" s="13" t="s">
        <v>49</v>
      </c>
      <c r="AU305" s="12" t="s">
        <v>53</v>
      </c>
    </row>
    <row r="306" spans="1:47" s="12" customFormat="1" ht="14.4" hidden="1" x14ac:dyDescent="0.3">
      <c r="A306" s="12" t="s">
        <v>505</v>
      </c>
      <c r="B306" s="12" t="s">
        <v>1102</v>
      </c>
      <c r="C306" s="12">
        <v>70</v>
      </c>
      <c r="D306" s="12">
        <v>215</v>
      </c>
      <c r="E306" s="12" t="s">
        <v>8279</v>
      </c>
      <c r="F306" s="275" t="s">
        <v>8758</v>
      </c>
      <c r="G306" s="12" t="str">
        <f t="shared" si="6"/>
        <v>70215800220869</v>
      </c>
      <c r="H306" s="12" t="s">
        <v>8281</v>
      </c>
      <c r="I306" s="12">
        <v>800220869</v>
      </c>
      <c r="J306" s="12" t="s">
        <v>8759</v>
      </c>
      <c r="K306" s="15" t="s">
        <v>44</v>
      </c>
      <c r="L306" s="12">
        <v>3146513846</v>
      </c>
      <c r="M306" s="12" t="s">
        <v>1131</v>
      </c>
      <c r="N306" s="12" t="s">
        <v>127</v>
      </c>
      <c r="O306" s="12" t="s">
        <v>2822</v>
      </c>
      <c r="P306" s="88" t="s">
        <v>48</v>
      </c>
      <c r="Q306" s="13">
        <v>46140</v>
      </c>
      <c r="R306" s="12">
        <v>89</v>
      </c>
      <c r="S306" s="12" t="s">
        <v>49</v>
      </c>
      <c r="U306" s="12" t="s">
        <v>60</v>
      </c>
      <c r="V306" s="13"/>
      <c r="AC306" s="13"/>
      <c r="AD306" s="16"/>
      <c r="AE306" s="13"/>
      <c r="AI306" s="13"/>
      <c r="AJ306" s="16"/>
      <c r="AK306" s="13"/>
      <c r="AU306" s="12" t="s">
        <v>53</v>
      </c>
    </row>
    <row r="307" spans="1:47" s="12" customFormat="1" ht="14.4" hidden="1" x14ac:dyDescent="0.3">
      <c r="A307" s="12" t="s">
        <v>505</v>
      </c>
      <c r="B307" s="12" t="s">
        <v>1102</v>
      </c>
      <c r="C307" s="12">
        <v>70</v>
      </c>
      <c r="D307" s="12">
        <v>215</v>
      </c>
      <c r="F307" s="275" t="s">
        <v>1117</v>
      </c>
      <c r="G307" s="12" t="str">
        <f t="shared" si="6"/>
        <v>70215823000353-0</v>
      </c>
      <c r="H307" s="12" t="s">
        <v>1104</v>
      </c>
      <c r="I307" s="12" t="s">
        <v>1105</v>
      </c>
      <c r="J307" s="12" t="s">
        <v>1118</v>
      </c>
      <c r="K307" s="15" t="s">
        <v>44</v>
      </c>
      <c r="L307" s="12">
        <v>3058527325</v>
      </c>
      <c r="M307" s="12" t="s">
        <v>1119</v>
      </c>
      <c r="N307" s="12" t="s">
        <v>127</v>
      </c>
      <c r="O307" s="12" t="s">
        <v>2822</v>
      </c>
      <c r="P307" s="88" t="s">
        <v>48</v>
      </c>
      <c r="Q307" s="13">
        <v>45907</v>
      </c>
      <c r="R307" s="16">
        <v>0.87</v>
      </c>
      <c r="S307" s="12" t="s">
        <v>139</v>
      </c>
      <c r="T307" s="12" t="s">
        <v>1120</v>
      </c>
      <c r="U307" s="12" t="s">
        <v>50</v>
      </c>
      <c r="V307" s="13">
        <v>45238</v>
      </c>
      <c r="W307" s="16">
        <v>0.89</v>
      </c>
      <c r="X307" s="13" t="s">
        <v>49</v>
      </c>
      <c r="Z307" s="12" t="s">
        <v>50</v>
      </c>
      <c r="AA307" s="12" t="s">
        <v>51</v>
      </c>
      <c r="AB307" s="12" t="s">
        <v>51</v>
      </c>
      <c r="AU307" s="12" t="s">
        <v>53</v>
      </c>
    </row>
    <row r="308" spans="1:47" s="12" customFormat="1" ht="14.4" hidden="1" x14ac:dyDescent="0.3">
      <c r="A308" s="12" t="s">
        <v>505</v>
      </c>
      <c r="B308" s="12" t="s">
        <v>1102</v>
      </c>
      <c r="C308" s="12">
        <v>70</v>
      </c>
      <c r="D308" s="12">
        <v>215</v>
      </c>
      <c r="E308" s="12" t="s">
        <v>8689</v>
      </c>
      <c r="F308" s="275" t="s">
        <v>1121</v>
      </c>
      <c r="G308" s="12" t="str">
        <f t="shared" si="6"/>
        <v>702158002208699</v>
      </c>
      <c r="H308" s="12" t="s">
        <v>8690</v>
      </c>
      <c r="I308" s="12">
        <v>8002208699</v>
      </c>
      <c r="J308" s="12" t="s">
        <v>8691</v>
      </c>
      <c r="K308" s="15" t="s">
        <v>44</v>
      </c>
      <c r="L308" s="12">
        <v>3024181565</v>
      </c>
      <c r="M308" s="12" t="s">
        <v>8692</v>
      </c>
      <c r="N308" s="12" t="s">
        <v>127</v>
      </c>
      <c r="O308" s="12" t="s">
        <v>2822</v>
      </c>
      <c r="P308" s="88" t="s">
        <v>48</v>
      </c>
      <c r="Q308" s="13">
        <v>46253</v>
      </c>
      <c r="R308" s="12" t="s">
        <v>138</v>
      </c>
      <c r="S308" s="12" t="s">
        <v>139</v>
      </c>
      <c r="T308" s="12" t="s">
        <v>1111</v>
      </c>
      <c r="U308" s="12" t="s">
        <v>50</v>
      </c>
      <c r="V308" s="13">
        <v>46127</v>
      </c>
      <c r="W308" s="12" t="s">
        <v>8683</v>
      </c>
      <c r="X308" s="12" t="s">
        <v>49</v>
      </c>
      <c r="Z308" s="12" t="s">
        <v>60</v>
      </c>
      <c r="AA308" s="12" t="s">
        <v>52</v>
      </c>
      <c r="AB308" s="12" t="s">
        <v>52</v>
      </c>
      <c r="AC308" s="13">
        <v>45965</v>
      </c>
      <c r="AD308" s="16">
        <v>0.68</v>
      </c>
      <c r="AE308" s="12" t="s">
        <v>49</v>
      </c>
      <c r="AF308" s="12" t="s">
        <v>60</v>
      </c>
      <c r="AG308" s="12" t="s">
        <v>51</v>
      </c>
      <c r="AH308" s="12" t="s">
        <v>51</v>
      </c>
      <c r="AI308" s="12" t="s">
        <v>1112</v>
      </c>
      <c r="AJ308" s="18">
        <v>0.89500000000000002</v>
      </c>
      <c r="AK308" s="12" t="s">
        <v>69</v>
      </c>
      <c r="AL308" s="12" t="s">
        <v>50</v>
      </c>
      <c r="AM308" s="12" t="s">
        <v>51</v>
      </c>
      <c r="AN308" s="12" t="s">
        <v>51</v>
      </c>
      <c r="AO308" s="13">
        <v>45202</v>
      </c>
      <c r="AP308" s="16">
        <v>0.77</v>
      </c>
      <c r="AQ308" s="13" t="s">
        <v>49</v>
      </c>
      <c r="AR308" s="12" t="s">
        <v>50</v>
      </c>
      <c r="AS308" s="12" t="s">
        <v>51</v>
      </c>
      <c r="AT308" s="12" t="s">
        <v>51</v>
      </c>
      <c r="AU308" s="12" t="s">
        <v>53</v>
      </c>
    </row>
    <row r="309" spans="1:47" s="12" customFormat="1" ht="14.4" hidden="1" x14ac:dyDescent="0.3">
      <c r="A309" s="12" t="s">
        <v>505</v>
      </c>
      <c r="B309" s="12" t="s">
        <v>1102</v>
      </c>
      <c r="C309" s="12">
        <v>70</v>
      </c>
      <c r="D309" s="12">
        <v>215</v>
      </c>
      <c r="F309" s="12" t="s">
        <v>1123</v>
      </c>
      <c r="G309" s="12" t="str">
        <f t="shared" si="6"/>
        <v>70215823000353-0</v>
      </c>
      <c r="H309" s="12" t="s">
        <v>1109</v>
      </c>
      <c r="I309" s="12" t="s">
        <v>1105</v>
      </c>
      <c r="J309" s="12" t="s">
        <v>1124</v>
      </c>
      <c r="K309" s="15" t="s">
        <v>44</v>
      </c>
      <c r="L309" s="12">
        <v>3157336853</v>
      </c>
      <c r="M309" s="12" t="s">
        <v>45</v>
      </c>
      <c r="N309" s="12" t="s">
        <v>127</v>
      </c>
      <c r="O309" s="12" t="s">
        <v>2822</v>
      </c>
      <c r="P309" s="88" t="s">
        <v>48</v>
      </c>
      <c r="Q309" s="13">
        <v>45603</v>
      </c>
      <c r="R309" s="16">
        <v>0.97</v>
      </c>
      <c r="S309" s="12" t="s">
        <v>210</v>
      </c>
      <c r="T309" s="12" t="s">
        <v>1125</v>
      </c>
      <c r="U309" s="12" t="s">
        <v>60</v>
      </c>
      <c r="V309" s="13" t="s">
        <v>1126</v>
      </c>
      <c r="W309" s="16">
        <v>0.9</v>
      </c>
      <c r="X309" s="13" t="s">
        <v>210</v>
      </c>
      <c r="Z309" s="12" t="s">
        <v>50</v>
      </c>
      <c r="AA309" s="12" t="s">
        <v>51</v>
      </c>
      <c r="AB309" s="12" t="s">
        <v>51</v>
      </c>
      <c r="AU309" s="12" t="s">
        <v>53</v>
      </c>
    </row>
    <row r="310" spans="1:47" s="12" customFormat="1" ht="14.4" hidden="1" x14ac:dyDescent="0.3">
      <c r="A310" s="12" t="s">
        <v>505</v>
      </c>
      <c r="B310" s="12" t="s">
        <v>1102</v>
      </c>
      <c r="C310" s="12">
        <v>70</v>
      </c>
      <c r="D310" s="12">
        <v>215</v>
      </c>
      <c r="F310" s="275" t="s">
        <v>1127</v>
      </c>
      <c r="G310" s="12" t="str">
        <f t="shared" si="6"/>
        <v>70215800220869-9</v>
      </c>
      <c r="H310" s="12" t="s">
        <v>1128</v>
      </c>
      <c r="I310" s="12" t="s">
        <v>1129</v>
      </c>
      <c r="J310" s="12" t="s">
        <v>1130</v>
      </c>
      <c r="K310" s="15" t="s">
        <v>44</v>
      </c>
      <c r="L310" s="12">
        <v>3222215946</v>
      </c>
      <c r="M310" s="93" t="s">
        <v>1131</v>
      </c>
      <c r="N310" s="12" t="s">
        <v>127</v>
      </c>
      <c r="O310" s="12" t="s">
        <v>2822</v>
      </c>
      <c r="P310" s="88" t="s">
        <v>48</v>
      </c>
      <c r="Q310" s="13">
        <v>45994</v>
      </c>
      <c r="R310" s="16">
        <v>0.84</v>
      </c>
      <c r="S310" s="13" t="s">
        <v>49</v>
      </c>
      <c r="T310" s="12" t="s">
        <v>1125</v>
      </c>
      <c r="U310" s="12" t="s">
        <v>50</v>
      </c>
      <c r="V310" s="13" t="s">
        <v>1132</v>
      </c>
      <c r="W310" s="16">
        <v>0.87</v>
      </c>
      <c r="X310" s="12" t="s">
        <v>49</v>
      </c>
      <c r="AU310" s="12" t="s">
        <v>53</v>
      </c>
    </row>
    <row r="311" spans="1:47" s="12" customFormat="1" ht="14.4" hidden="1" x14ac:dyDescent="0.3">
      <c r="A311" s="12" t="s">
        <v>505</v>
      </c>
      <c r="B311" s="12" t="s">
        <v>1102</v>
      </c>
      <c r="C311" s="12">
        <v>70</v>
      </c>
      <c r="D311" s="12">
        <v>215</v>
      </c>
      <c r="F311" s="12" t="s">
        <v>1133</v>
      </c>
      <c r="G311" s="12" t="str">
        <f t="shared" si="6"/>
        <v>70215823000353-0</v>
      </c>
      <c r="H311" s="12" t="s">
        <v>1104</v>
      </c>
      <c r="I311" s="12" t="s">
        <v>1105</v>
      </c>
      <c r="J311" s="12" t="s">
        <v>1134</v>
      </c>
      <c r="K311" s="15" t="s">
        <v>44</v>
      </c>
      <c r="L311" s="12">
        <v>3175401572</v>
      </c>
      <c r="M311" s="12" t="s">
        <v>1110</v>
      </c>
      <c r="N311" s="12" t="s">
        <v>127</v>
      </c>
      <c r="O311" s="12" t="s">
        <v>2822</v>
      </c>
      <c r="P311" s="88" t="s">
        <v>48</v>
      </c>
      <c r="Q311" s="12" t="s">
        <v>1135</v>
      </c>
      <c r="R311" s="18">
        <v>0.875</v>
      </c>
      <c r="S311" s="13" t="s">
        <v>49</v>
      </c>
      <c r="T311" s="12" t="s">
        <v>1125</v>
      </c>
      <c r="U311" s="12" t="s">
        <v>60</v>
      </c>
      <c r="V311" s="13" t="s">
        <v>1126</v>
      </c>
      <c r="W311" s="16">
        <v>0.9</v>
      </c>
      <c r="X311" s="12" t="s">
        <v>210</v>
      </c>
      <c r="Z311" s="12" t="s">
        <v>50</v>
      </c>
      <c r="AA311" s="12" t="s">
        <v>51</v>
      </c>
      <c r="AB311" s="12" t="s">
        <v>51</v>
      </c>
      <c r="AU311" s="12" t="s">
        <v>53</v>
      </c>
    </row>
    <row r="312" spans="1:47" s="12" customFormat="1" ht="14.4" hidden="1" x14ac:dyDescent="0.3">
      <c r="A312" s="12" t="s">
        <v>505</v>
      </c>
      <c r="B312" s="12" t="s">
        <v>1102</v>
      </c>
      <c r="C312" s="12">
        <v>70</v>
      </c>
      <c r="D312" s="12">
        <v>215</v>
      </c>
      <c r="E312" s="12" t="s">
        <v>1136</v>
      </c>
      <c r="F312" s="275" t="s">
        <v>1137</v>
      </c>
      <c r="G312" s="12" t="str">
        <f t="shared" si="6"/>
        <v>70215800220869</v>
      </c>
      <c r="H312" s="12" t="s">
        <v>8756</v>
      </c>
      <c r="I312" s="12">
        <v>800220869</v>
      </c>
      <c r="J312" s="12" t="s">
        <v>8757</v>
      </c>
      <c r="K312" s="15" t="s">
        <v>44</v>
      </c>
      <c r="L312" s="12">
        <v>3213328472</v>
      </c>
      <c r="M312" s="94" t="s">
        <v>1131</v>
      </c>
      <c r="N312" s="12" t="s">
        <v>127</v>
      </c>
      <c r="O312" s="12" t="s">
        <v>2822</v>
      </c>
      <c r="P312" s="88" t="s">
        <v>48</v>
      </c>
      <c r="Q312" s="13">
        <v>46133</v>
      </c>
      <c r="R312" s="12">
        <v>90</v>
      </c>
      <c r="S312" s="12" t="s">
        <v>210</v>
      </c>
      <c r="T312" s="12" t="s">
        <v>1107</v>
      </c>
      <c r="U312" s="12" t="s">
        <v>50</v>
      </c>
      <c r="V312" s="13" t="s">
        <v>744</v>
      </c>
      <c r="W312" s="16">
        <v>0.93</v>
      </c>
      <c r="X312" s="13" t="s">
        <v>210</v>
      </c>
      <c r="Z312" s="12" t="s">
        <v>50</v>
      </c>
      <c r="AC312" s="13">
        <v>45635</v>
      </c>
      <c r="AD312" s="18">
        <v>0.92500000000000004</v>
      </c>
      <c r="AE312" s="12" t="s">
        <v>319</v>
      </c>
      <c r="AF312" s="12" t="s">
        <v>60</v>
      </c>
      <c r="AU312" s="12" t="s">
        <v>53</v>
      </c>
    </row>
    <row r="313" spans="1:47" s="12" customFormat="1" ht="14.4" hidden="1" x14ac:dyDescent="0.3">
      <c r="A313" s="12" t="s">
        <v>505</v>
      </c>
      <c r="B313" s="12" t="s">
        <v>1102</v>
      </c>
      <c r="C313" s="12">
        <v>70</v>
      </c>
      <c r="D313" s="12">
        <v>215</v>
      </c>
      <c r="F313" s="12" t="s">
        <v>1140</v>
      </c>
      <c r="G313" s="12" t="str">
        <f t="shared" si="6"/>
        <v>70215901155895</v>
      </c>
      <c r="H313" s="12" t="s">
        <v>1141</v>
      </c>
      <c r="I313" s="12">
        <v>901155895</v>
      </c>
      <c r="J313" s="12" t="s">
        <v>1142</v>
      </c>
      <c r="K313" s="15" t="s">
        <v>44</v>
      </c>
      <c r="L313" s="12" t="s">
        <v>45</v>
      </c>
      <c r="M313" s="12" t="s">
        <v>45</v>
      </c>
      <c r="N313" s="12" t="s">
        <v>127</v>
      </c>
      <c r="O313" s="12" t="s">
        <v>7649</v>
      </c>
      <c r="P313" s="88" t="s">
        <v>48</v>
      </c>
      <c r="Q313" s="13">
        <v>45058</v>
      </c>
      <c r="R313" s="16">
        <v>0.76</v>
      </c>
      <c r="S313" s="13" t="s">
        <v>49</v>
      </c>
      <c r="U313" s="12" t="s">
        <v>50</v>
      </c>
      <c r="AU313" s="12" t="s">
        <v>53</v>
      </c>
    </row>
    <row r="314" spans="1:47" s="12" customFormat="1" ht="14.4" hidden="1" x14ac:dyDescent="0.3">
      <c r="A314" s="12" t="s">
        <v>505</v>
      </c>
      <c r="B314" s="12" t="s">
        <v>1102</v>
      </c>
      <c r="C314" s="12">
        <v>70</v>
      </c>
      <c r="D314" s="12">
        <v>215</v>
      </c>
      <c r="F314" s="12" t="s">
        <v>1143</v>
      </c>
      <c r="G314" s="12" t="str">
        <f t="shared" si="6"/>
        <v>70215NO REGISTRA</v>
      </c>
      <c r="H314" s="12" t="s">
        <v>1144</v>
      </c>
      <c r="I314" s="12" t="s">
        <v>45</v>
      </c>
      <c r="J314" s="12" t="s">
        <v>1145</v>
      </c>
      <c r="K314" s="15" t="s">
        <v>44</v>
      </c>
      <c r="L314" s="12" t="s">
        <v>45</v>
      </c>
      <c r="M314" s="12" t="s">
        <v>45</v>
      </c>
      <c r="N314" s="12" t="s">
        <v>127</v>
      </c>
      <c r="O314" s="12" t="s">
        <v>2822</v>
      </c>
      <c r="P314" s="88" t="s">
        <v>48</v>
      </c>
      <c r="Q314" s="13">
        <v>45210</v>
      </c>
      <c r="R314" s="16">
        <v>0.755</v>
      </c>
      <c r="S314" s="13" t="s">
        <v>49</v>
      </c>
      <c r="U314" s="12" t="s">
        <v>50</v>
      </c>
      <c r="AU314" s="12" t="s">
        <v>53</v>
      </c>
    </row>
    <row r="315" spans="1:47" s="12" customFormat="1" ht="14.4" hidden="1" x14ac:dyDescent="0.3">
      <c r="A315" s="12" t="s">
        <v>505</v>
      </c>
      <c r="B315" s="12" t="s">
        <v>1102</v>
      </c>
      <c r="C315" s="12">
        <v>70</v>
      </c>
      <c r="D315" s="12">
        <v>215</v>
      </c>
      <c r="E315" s="12" t="s">
        <v>8689</v>
      </c>
      <c r="F315" s="275" t="s">
        <v>1146</v>
      </c>
      <c r="G315" s="12" t="str">
        <f t="shared" si="6"/>
        <v>702158002208699</v>
      </c>
      <c r="H315" s="12" t="s">
        <v>8690</v>
      </c>
      <c r="I315" s="12">
        <v>8002208699</v>
      </c>
      <c r="J315" s="12" t="s">
        <v>8693</v>
      </c>
      <c r="K315" s="15" t="s">
        <v>44</v>
      </c>
      <c r="L315" s="12">
        <v>3116574118</v>
      </c>
      <c r="M315" s="93" t="s">
        <v>8692</v>
      </c>
      <c r="N315" s="12" t="s">
        <v>127</v>
      </c>
      <c r="O315" s="12" t="s">
        <v>2822</v>
      </c>
      <c r="P315" s="88" t="s">
        <v>48</v>
      </c>
      <c r="Q315" s="13">
        <v>46128</v>
      </c>
      <c r="R315" s="12">
        <v>85</v>
      </c>
      <c r="S315" s="12" t="s">
        <v>49</v>
      </c>
      <c r="U315" s="12" t="s">
        <v>50</v>
      </c>
      <c r="V315" s="12" t="s">
        <v>666</v>
      </c>
      <c r="W315" s="18">
        <v>0.86</v>
      </c>
      <c r="X315" s="12" t="s">
        <v>69</v>
      </c>
      <c r="Y315" s="12" t="s">
        <v>1125</v>
      </c>
      <c r="Z315" s="12" t="s">
        <v>50</v>
      </c>
      <c r="AC315" s="13">
        <v>45359</v>
      </c>
      <c r="AD315" s="16">
        <v>0.87</v>
      </c>
      <c r="AE315" s="13" t="s">
        <v>49</v>
      </c>
      <c r="AF315" s="12" t="s">
        <v>50</v>
      </c>
      <c r="AG315" s="12" t="s">
        <v>51</v>
      </c>
      <c r="AH315" s="12" t="s">
        <v>51</v>
      </c>
      <c r="AI315" s="12" t="s">
        <v>51</v>
      </c>
      <c r="AU315" s="12" t="s">
        <v>53</v>
      </c>
    </row>
    <row r="316" spans="1:47" s="12" customFormat="1" ht="14.4" hidden="1" x14ac:dyDescent="0.3">
      <c r="A316" s="12" t="s">
        <v>505</v>
      </c>
      <c r="B316" s="12" t="s">
        <v>1102</v>
      </c>
      <c r="C316" s="12">
        <v>70</v>
      </c>
      <c r="D316" s="12">
        <v>215</v>
      </c>
      <c r="F316" s="12" t="s">
        <v>1147</v>
      </c>
      <c r="G316" s="12" t="str">
        <f t="shared" si="6"/>
        <v>70215NO REGISTRA</v>
      </c>
      <c r="H316" s="12" t="s">
        <v>1148</v>
      </c>
      <c r="I316" s="12" t="s">
        <v>45</v>
      </c>
      <c r="J316" s="12" t="s">
        <v>1149</v>
      </c>
      <c r="K316" s="15" t="s">
        <v>44</v>
      </c>
      <c r="L316" s="12" t="s">
        <v>45</v>
      </c>
      <c r="M316" s="12" t="s">
        <v>45</v>
      </c>
      <c r="N316" s="12" t="s">
        <v>127</v>
      </c>
      <c r="O316" s="12" t="s">
        <v>2822</v>
      </c>
      <c r="P316" s="88" t="s">
        <v>48</v>
      </c>
      <c r="Q316" s="13">
        <v>45250</v>
      </c>
      <c r="R316" s="16">
        <v>0.77</v>
      </c>
      <c r="S316" s="13" t="s">
        <v>49</v>
      </c>
      <c r="U316" s="12" t="s">
        <v>50</v>
      </c>
      <c r="AU316" s="12" t="s">
        <v>53</v>
      </c>
    </row>
    <row r="317" spans="1:47" s="12" customFormat="1" ht="14.4" hidden="1" x14ac:dyDescent="0.3">
      <c r="A317" s="12" t="s">
        <v>505</v>
      </c>
      <c r="B317" s="12" t="s">
        <v>1102</v>
      </c>
      <c r="C317" s="12">
        <v>70</v>
      </c>
      <c r="D317" s="12">
        <v>215</v>
      </c>
      <c r="E317" s="12" t="s">
        <v>1150</v>
      </c>
      <c r="F317" s="275" t="s">
        <v>1151</v>
      </c>
      <c r="G317" s="12" t="str">
        <f t="shared" si="6"/>
        <v>70215800220869-9</v>
      </c>
      <c r="H317" s="12" t="s">
        <v>1152</v>
      </c>
      <c r="I317" s="12" t="s">
        <v>1129</v>
      </c>
      <c r="J317" s="12" t="s">
        <v>1153</v>
      </c>
      <c r="K317" s="15" t="s">
        <v>44</v>
      </c>
      <c r="L317" s="12" t="s">
        <v>45</v>
      </c>
      <c r="M317" s="12" t="s">
        <v>45</v>
      </c>
      <c r="N317" s="12" t="s">
        <v>127</v>
      </c>
      <c r="O317" s="12" t="s">
        <v>2822</v>
      </c>
      <c r="P317" s="88" t="s">
        <v>48</v>
      </c>
      <c r="Q317" s="13">
        <v>45121</v>
      </c>
      <c r="R317" s="16">
        <v>0.83</v>
      </c>
      <c r="S317" s="13" t="s">
        <v>49</v>
      </c>
      <c r="U317" s="12" t="s">
        <v>50</v>
      </c>
      <c r="AU317" s="12" t="s">
        <v>53</v>
      </c>
    </row>
    <row r="318" spans="1:47" s="12" customFormat="1" ht="14.4" hidden="1" x14ac:dyDescent="0.3">
      <c r="A318" s="12" t="s">
        <v>505</v>
      </c>
      <c r="B318" s="12" t="s">
        <v>1102</v>
      </c>
      <c r="C318" s="12">
        <v>70</v>
      </c>
      <c r="D318" s="12">
        <v>215</v>
      </c>
      <c r="E318" s="12" t="s">
        <v>1136</v>
      </c>
      <c r="F318" s="12" t="s">
        <v>1154</v>
      </c>
      <c r="G318" s="12" t="str">
        <f t="shared" si="6"/>
        <v>70215800220869-9</v>
      </c>
      <c r="H318" s="12" t="s">
        <v>1155</v>
      </c>
      <c r="I318" s="12" t="s">
        <v>1129</v>
      </c>
      <c r="J318" s="12" t="s">
        <v>1156</v>
      </c>
      <c r="K318" s="15" t="s">
        <v>44</v>
      </c>
      <c r="L318" s="12">
        <v>3205328867</v>
      </c>
      <c r="M318" s="95" t="s">
        <v>1157</v>
      </c>
      <c r="N318" s="12" t="s">
        <v>127</v>
      </c>
      <c r="O318" s="12" t="s">
        <v>2822</v>
      </c>
      <c r="P318" s="88" t="s">
        <v>48</v>
      </c>
      <c r="Q318" s="13">
        <v>45965</v>
      </c>
      <c r="R318" s="16">
        <v>0.85499999999999998</v>
      </c>
      <c r="S318" s="13" t="s">
        <v>139</v>
      </c>
      <c r="T318" s="12" t="s">
        <v>1158</v>
      </c>
      <c r="U318" s="12" t="s">
        <v>50</v>
      </c>
      <c r="V318" s="12" t="s">
        <v>1159</v>
      </c>
      <c r="W318" s="18">
        <v>0.92500000000000004</v>
      </c>
      <c r="X318" s="12" t="s">
        <v>319</v>
      </c>
      <c r="AU318" s="12" t="s">
        <v>53</v>
      </c>
    </row>
    <row r="319" spans="1:47" s="12" customFormat="1" ht="14.4" hidden="1" x14ac:dyDescent="0.3">
      <c r="A319" s="12" t="s">
        <v>505</v>
      </c>
      <c r="B319" s="12" t="s">
        <v>1102</v>
      </c>
      <c r="C319" s="12">
        <v>70</v>
      </c>
      <c r="D319" s="12">
        <v>215</v>
      </c>
      <c r="F319" s="12" t="s">
        <v>1160</v>
      </c>
      <c r="G319" s="12" t="str">
        <f t="shared" si="6"/>
        <v>70215823000732-9</v>
      </c>
      <c r="H319" s="12" t="s">
        <v>1161</v>
      </c>
      <c r="I319" s="12" t="s">
        <v>180</v>
      </c>
      <c r="J319" s="12" t="s">
        <v>1162</v>
      </c>
      <c r="K319" s="15" t="s">
        <v>44</v>
      </c>
      <c r="L319" s="12">
        <v>30585273325</v>
      </c>
      <c r="M319" s="12" t="s">
        <v>45</v>
      </c>
      <c r="N319" s="12" t="s">
        <v>127</v>
      </c>
      <c r="O319" s="12" t="s">
        <v>2822</v>
      </c>
      <c r="P319" s="88" t="s">
        <v>48</v>
      </c>
      <c r="Q319" s="12" t="s">
        <v>1163</v>
      </c>
      <c r="R319" s="18">
        <v>0.93500000000000005</v>
      </c>
      <c r="S319" s="12" t="s">
        <v>49</v>
      </c>
      <c r="T319" s="12" t="s">
        <v>1164</v>
      </c>
      <c r="U319" s="12" t="s">
        <v>50</v>
      </c>
      <c r="V319" s="13"/>
      <c r="W319" s="16"/>
      <c r="X319" s="13"/>
      <c r="AU319" s="12" t="s">
        <v>53</v>
      </c>
    </row>
    <row r="320" spans="1:47" s="12" customFormat="1" ht="14.4" hidden="1" x14ac:dyDescent="0.3">
      <c r="A320" s="12" t="s">
        <v>505</v>
      </c>
      <c r="B320" s="12" t="s">
        <v>1102</v>
      </c>
      <c r="C320" s="12">
        <v>70</v>
      </c>
      <c r="D320" s="12">
        <v>215</v>
      </c>
      <c r="E320" s="12" t="s">
        <v>1136</v>
      </c>
      <c r="F320" s="12" t="s">
        <v>1165</v>
      </c>
      <c r="G320" s="12" t="str">
        <f t="shared" si="6"/>
        <v>70215800220869-9</v>
      </c>
      <c r="H320" s="12" t="s">
        <v>1155</v>
      </c>
      <c r="I320" s="12" t="s">
        <v>1129</v>
      </c>
      <c r="J320" s="12" t="s">
        <v>1166</v>
      </c>
      <c r="K320" s="15" t="s">
        <v>44</v>
      </c>
      <c r="L320" s="12">
        <v>3217622994</v>
      </c>
      <c r="M320" s="93" t="s">
        <v>1157</v>
      </c>
      <c r="N320" s="12" t="s">
        <v>127</v>
      </c>
      <c r="O320" s="12" t="s">
        <v>2822</v>
      </c>
      <c r="P320" s="88" t="s">
        <v>48</v>
      </c>
      <c r="Q320" s="12" t="s">
        <v>1106</v>
      </c>
      <c r="R320" s="18">
        <v>0.89500000000000002</v>
      </c>
      <c r="S320" s="12" t="s">
        <v>69</v>
      </c>
      <c r="T320" s="12" t="s">
        <v>1125</v>
      </c>
      <c r="U320" s="12" t="s">
        <v>50</v>
      </c>
      <c r="V320" s="13"/>
      <c r="W320" s="16"/>
      <c r="X320" s="13"/>
    </row>
    <row r="321" spans="1:47" s="12" customFormat="1" ht="14.4" hidden="1" x14ac:dyDescent="0.3">
      <c r="A321" s="12" t="s">
        <v>505</v>
      </c>
      <c r="B321" s="12" t="s">
        <v>1102</v>
      </c>
      <c r="C321" s="12">
        <v>70</v>
      </c>
      <c r="D321" s="12">
        <v>215</v>
      </c>
      <c r="E321" s="12" t="s">
        <v>8363</v>
      </c>
      <c r="F321" s="12" t="s">
        <v>8394</v>
      </c>
      <c r="G321" s="12" t="str">
        <f t="shared" si="6"/>
        <v>702158230027650</v>
      </c>
      <c r="H321" s="12" t="s">
        <v>8364</v>
      </c>
      <c r="I321" s="12">
        <v>8230027650</v>
      </c>
      <c r="J321" s="12" t="s">
        <v>8395</v>
      </c>
      <c r="K321" s="15" t="s">
        <v>44</v>
      </c>
      <c r="L321" s="12">
        <v>3105114741</v>
      </c>
      <c r="M321" s="17" t="s">
        <v>1177</v>
      </c>
      <c r="N321" s="12" t="s">
        <v>127</v>
      </c>
      <c r="O321" s="12" t="s">
        <v>2822</v>
      </c>
      <c r="P321" s="88" t="s">
        <v>48</v>
      </c>
      <c r="Q321" s="13">
        <v>45924</v>
      </c>
      <c r="R321" s="18" t="s">
        <v>1085</v>
      </c>
      <c r="S321" s="12" t="s">
        <v>210</v>
      </c>
      <c r="U321" s="12" t="s">
        <v>2456</v>
      </c>
      <c r="V321" s="13"/>
      <c r="W321" s="16"/>
      <c r="X321" s="13"/>
      <c r="AU321" s="12" t="s">
        <v>53</v>
      </c>
    </row>
    <row r="322" spans="1:47" s="12" customFormat="1" ht="14.4" hidden="1" x14ac:dyDescent="0.3">
      <c r="A322" s="12" t="s">
        <v>505</v>
      </c>
      <c r="B322" s="12" t="s">
        <v>1102</v>
      </c>
      <c r="C322" s="12">
        <v>70</v>
      </c>
      <c r="D322" s="12">
        <v>215</v>
      </c>
      <c r="E322" s="12" t="s">
        <v>8363</v>
      </c>
      <c r="F322" s="275" t="s">
        <v>8389</v>
      </c>
      <c r="G322" s="12" t="str">
        <f t="shared" si="6"/>
        <v>702158230027650</v>
      </c>
      <c r="H322" s="12" t="s">
        <v>8364</v>
      </c>
      <c r="I322" s="12">
        <v>8230027650</v>
      </c>
      <c r="J322" s="12" t="s">
        <v>8390</v>
      </c>
      <c r="K322" s="15" t="s">
        <v>44</v>
      </c>
      <c r="L322" s="12">
        <v>3105114741</v>
      </c>
      <c r="M322" s="17" t="s">
        <v>1177</v>
      </c>
      <c r="N322" s="12" t="s">
        <v>127</v>
      </c>
      <c r="O322" s="12" t="s">
        <v>2822</v>
      </c>
      <c r="P322" s="88" t="s">
        <v>48</v>
      </c>
      <c r="Q322" s="13">
        <v>46183</v>
      </c>
      <c r="R322" s="12" t="s">
        <v>9051</v>
      </c>
      <c r="S322" s="12" t="s">
        <v>210</v>
      </c>
      <c r="V322" s="13">
        <v>45923</v>
      </c>
      <c r="W322" s="16">
        <v>0.93</v>
      </c>
      <c r="X322" s="12" t="s">
        <v>210</v>
      </c>
      <c r="Z322" s="12" t="s">
        <v>2456</v>
      </c>
      <c r="AU322" s="12" t="s">
        <v>53</v>
      </c>
    </row>
    <row r="323" spans="1:47" s="12" customFormat="1" ht="14.4" hidden="1" x14ac:dyDescent="0.3">
      <c r="A323" s="12" t="s">
        <v>505</v>
      </c>
      <c r="B323" s="12" t="s">
        <v>1102</v>
      </c>
      <c r="C323" s="12">
        <v>70</v>
      </c>
      <c r="D323" s="12">
        <v>215</v>
      </c>
      <c r="E323" s="12" t="s">
        <v>1136</v>
      </c>
      <c r="F323" s="12" t="s">
        <v>1167</v>
      </c>
      <c r="G323" s="12" t="str">
        <f t="shared" si="6"/>
        <v>70215800220869-9</v>
      </c>
      <c r="H323" s="12" t="s">
        <v>1155</v>
      </c>
      <c r="I323" s="12" t="s">
        <v>1129</v>
      </c>
      <c r="J323" s="12" t="s">
        <v>1168</v>
      </c>
      <c r="K323" s="15" t="s">
        <v>44</v>
      </c>
      <c r="L323" s="12">
        <v>3205714943</v>
      </c>
      <c r="M323" s="93" t="s">
        <v>1157</v>
      </c>
      <c r="N323" s="12" t="s">
        <v>127</v>
      </c>
      <c r="O323" s="12" t="s">
        <v>2822</v>
      </c>
      <c r="P323" s="88" t="s">
        <v>48</v>
      </c>
      <c r="Q323" s="12" t="s">
        <v>1106</v>
      </c>
      <c r="R323" s="18">
        <v>0.86</v>
      </c>
      <c r="S323" s="12" t="s">
        <v>139</v>
      </c>
      <c r="T323" s="12" t="s">
        <v>1139</v>
      </c>
      <c r="U323" s="12" t="s">
        <v>50</v>
      </c>
      <c r="V323" s="13"/>
      <c r="W323" s="16"/>
      <c r="X323" s="13"/>
    </row>
    <row r="324" spans="1:47" s="12" customFormat="1" ht="14.4" x14ac:dyDescent="0.3">
      <c r="A324" s="12" t="s">
        <v>505</v>
      </c>
      <c r="B324" s="12" t="s">
        <v>1102</v>
      </c>
      <c r="C324" s="12">
        <v>70</v>
      </c>
      <c r="D324" s="12">
        <v>215</v>
      </c>
      <c r="E324" s="12" t="s">
        <v>7674</v>
      </c>
      <c r="F324" s="12" t="s">
        <v>1169</v>
      </c>
      <c r="G324" s="12" t="str">
        <f t="shared" si="6"/>
        <v>702158230018821</v>
      </c>
      <c r="H324" s="12" t="s">
        <v>7675</v>
      </c>
      <c r="I324" s="12">
        <v>8230018821</v>
      </c>
      <c r="J324" s="12" t="s">
        <v>1170</v>
      </c>
      <c r="K324" s="15" t="s">
        <v>44</v>
      </c>
      <c r="L324" s="12">
        <v>3204629396</v>
      </c>
      <c r="M324" s="17" t="s">
        <v>7676</v>
      </c>
      <c r="N324" s="12" t="s">
        <v>46</v>
      </c>
      <c r="O324" s="12" t="s">
        <v>47</v>
      </c>
      <c r="P324" s="88" t="s">
        <v>48</v>
      </c>
      <c r="Q324" s="13">
        <v>45996</v>
      </c>
      <c r="R324" s="16">
        <v>1</v>
      </c>
      <c r="S324" s="13" t="s">
        <v>210</v>
      </c>
      <c r="T324" s="12" t="s">
        <v>1198</v>
      </c>
      <c r="U324" s="12" t="s">
        <v>2456</v>
      </c>
      <c r="V324" s="13">
        <v>45569</v>
      </c>
      <c r="W324" s="12" t="s">
        <v>2106</v>
      </c>
      <c r="X324" s="12" t="s">
        <v>210</v>
      </c>
      <c r="AC324" s="13">
        <v>45161</v>
      </c>
      <c r="AD324" s="16">
        <v>0.72499999999999998</v>
      </c>
      <c r="AE324" s="13" t="s">
        <v>49</v>
      </c>
      <c r="AU324" s="12" t="s">
        <v>53</v>
      </c>
    </row>
    <row r="325" spans="1:47" s="12" customFormat="1" ht="14.4" hidden="1" x14ac:dyDescent="0.3">
      <c r="A325" s="12" t="s">
        <v>505</v>
      </c>
      <c r="B325" s="12" t="s">
        <v>1102</v>
      </c>
      <c r="C325" s="12">
        <v>70</v>
      </c>
      <c r="D325" s="12">
        <v>215</v>
      </c>
      <c r="E325" s="12" t="s">
        <v>8363</v>
      </c>
      <c r="F325" s="275" t="s">
        <v>8376</v>
      </c>
      <c r="G325" s="12" t="str">
        <f t="shared" si="6"/>
        <v>70215823002765-0</v>
      </c>
      <c r="H325" s="12" t="s">
        <v>8364</v>
      </c>
      <c r="I325" s="12" t="s">
        <v>1172</v>
      </c>
      <c r="J325" s="12" t="s">
        <v>8377</v>
      </c>
      <c r="K325" s="15" t="s">
        <v>44</v>
      </c>
      <c r="L325" s="12">
        <v>3006334134</v>
      </c>
      <c r="M325" s="17" t="s">
        <v>1177</v>
      </c>
      <c r="N325" s="12" t="s">
        <v>127</v>
      </c>
      <c r="O325" s="12" t="s">
        <v>2822</v>
      </c>
      <c r="P325" s="88" t="s">
        <v>48</v>
      </c>
      <c r="Q325" s="13">
        <v>46178</v>
      </c>
      <c r="R325" s="12">
        <v>70</v>
      </c>
      <c r="S325" s="12" t="s">
        <v>8539</v>
      </c>
      <c r="U325" s="12" t="s">
        <v>60</v>
      </c>
      <c r="V325" s="13">
        <v>45959</v>
      </c>
      <c r="W325" s="16">
        <v>1</v>
      </c>
      <c r="X325" s="12" t="s">
        <v>210</v>
      </c>
      <c r="Z325" s="12" t="s">
        <v>2456</v>
      </c>
      <c r="AU325" s="12" t="s">
        <v>53</v>
      </c>
    </row>
    <row r="326" spans="1:47" s="12" customFormat="1" ht="14.4" hidden="1" x14ac:dyDescent="0.3">
      <c r="A326" s="12" t="s">
        <v>505</v>
      </c>
      <c r="B326" s="12" t="s">
        <v>1102</v>
      </c>
      <c r="C326" s="12">
        <v>70</v>
      </c>
      <c r="D326" s="12">
        <v>215</v>
      </c>
      <c r="E326" s="12" t="s">
        <v>8337</v>
      </c>
      <c r="F326" s="275" t="s">
        <v>8406</v>
      </c>
      <c r="G326" s="12" t="str">
        <f t="shared" si="6"/>
        <v>702159020247794</v>
      </c>
      <c r="H326" s="36" t="s">
        <v>710</v>
      </c>
      <c r="I326" s="96">
        <v>9020247794</v>
      </c>
      <c r="J326" s="96" t="s">
        <v>8408</v>
      </c>
      <c r="K326" s="96" t="s">
        <v>133</v>
      </c>
      <c r="L326" s="96">
        <v>3115769700</v>
      </c>
      <c r="M326" s="97" t="s">
        <v>8407</v>
      </c>
      <c r="N326" s="96" t="s">
        <v>127</v>
      </c>
      <c r="O326" s="12" t="s">
        <v>2822</v>
      </c>
      <c r="P326" s="180" t="s">
        <v>48</v>
      </c>
      <c r="Q326" s="13">
        <v>46074</v>
      </c>
      <c r="R326" s="16">
        <v>0.88</v>
      </c>
      <c r="S326" s="12" t="s">
        <v>69</v>
      </c>
      <c r="U326" s="12" t="s">
        <v>50</v>
      </c>
      <c r="V326" s="96" t="s">
        <v>1174</v>
      </c>
      <c r="W326" s="96" t="s">
        <v>1175</v>
      </c>
      <c r="X326" s="96" t="s">
        <v>49</v>
      </c>
      <c r="Y326" s="12" t="s">
        <v>1125</v>
      </c>
      <c r="Z326" s="12" t="s">
        <v>60</v>
      </c>
      <c r="AA326" s="12" t="s">
        <v>52</v>
      </c>
      <c r="AB326" s="12" t="s">
        <v>52</v>
      </c>
      <c r="AC326" s="12" t="s">
        <v>1176</v>
      </c>
      <c r="AD326" s="18">
        <v>0.86499999999999999</v>
      </c>
      <c r="AE326" s="12" t="s">
        <v>139</v>
      </c>
      <c r="AU326" s="12" t="s">
        <v>53</v>
      </c>
    </row>
    <row r="327" spans="1:47" s="12" customFormat="1" ht="14.4" hidden="1" x14ac:dyDescent="0.3">
      <c r="A327" s="12" t="s">
        <v>505</v>
      </c>
      <c r="B327" s="12" t="s">
        <v>1102</v>
      </c>
      <c r="C327" s="12">
        <v>70</v>
      </c>
      <c r="D327" s="12">
        <v>215</v>
      </c>
      <c r="E327" s="12" t="s">
        <v>8363</v>
      </c>
      <c r="F327" s="275" t="s">
        <v>8370</v>
      </c>
      <c r="G327" s="12" t="str">
        <f t="shared" si="6"/>
        <v>702158230027650</v>
      </c>
      <c r="H327" s="12" t="s">
        <v>8364</v>
      </c>
      <c r="I327" s="12">
        <v>8230027650</v>
      </c>
      <c r="J327" s="12" t="s">
        <v>8371</v>
      </c>
      <c r="K327" s="12" t="s">
        <v>4092</v>
      </c>
      <c r="L327" s="12">
        <v>3006334134</v>
      </c>
      <c r="M327" s="17" t="s">
        <v>1177</v>
      </c>
      <c r="N327" s="12" t="s">
        <v>127</v>
      </c>
      <c r="O327" s="12" t="s">
        <v>2822</v>
      </c>
      <c r="P327" s="88" t="s">
        <v>48</v>
      </c>
      <c r="Q327" s="13">
        <v>45938</v>
      </c>
      <c r="R327" s="16">
        <v>1</v>
      </c>
      <c r="S327" s="12" t="s">
        <v>210</v>
      </c>
      <c r="U327" s="12" t="s">
        <v>2456</v>
      </c>
      <c r="AU327" s="12" t="s">
        <v>53</v>
      </c>
    </row>
    <row r="328" spans="1:47" s="12" customFormat="1" ht="14.4" hidden="1" x14ac:dyDescent="0.3">
      <c r="A328" s="12" t="s">
        <v>505</v>
      </c>
      <c r="B328" s="12" t="s">
        <v>1102</v>
      </c>
      <c r="C328" s="12">
        <v>70</v>
      </c>
      <c r="D328" s="12">
        <v>215</v>
      </c>
      <c r="E328" s="12" t="s">
        <v>8363</v>
      </c>
      <c r="F328" s="275" t="s">
        <v>8368</v>
      </c>
      <c r="G328" s="12" t="str">
        <f t="shared" si="6"/>
        <v>702158230027650</v>
      </c>
      <c r="H328" s="12" t="s">
        <v>8364</v>
      </c>
      <c r="I328" s="12">
        <v>8230027650</v>
      </c>
      <c r="J328" s="12" t="s">
        <v>8369</v>
      </c>
      <c r="K328" s="12" t="s">
        <v>4092</v>
      </c>
      <c r="L328" s="12">
        <v>3006334134</v>
      </c>
      <c r="M328" s="17" t="s">
        <v>1177</v>
      </c>
      <c r="N328" s="12" t="s">
        <v>127</v>
      </c>
      <c r="O328" s="12" t="s">
        <v>2822</v>
      </c>
      <c r="P328" s="88" t="s">
        <v>48</v>
      </c>
      <c r="Q328" s="13">
        <v>46182</v>
      </c>
      <c r="R328" s="12">
        <v>77</v>
      </c>
      <c r="S328" s="12" t="s">
        <v>49</v>
      </c>
      <c r="U328" s="12" t="s">
        <v>50</v>
      </c>
      <c r="V328" s="13">
        <v>45938</v>
      </c>
      <c r="W328" s="16">
        <v>0.99</v>
      </c>
      <c r="X328" s="12" t="s">
        <v>210</v>
      </c>
      <c r="Z328" s="12" t="s">
        <v>2456</v>
      </c>
      <c r="AU328" s="12" t="s">
        <v>53</v>
      </c>
    </row>
    <row r="329" spans="1:47" s="12" customFormat="1" ht="14.4" hidden="1" x14ac:dyDescent="0.3">
      <c r="A329" s="12" t="s">
        <v>505</v>
      </c>
      <c r="B329" s="12" t="s">
        <v>1102</v>
      </c>
      <c r="C329" s="12">
        <v>70</v>
      </c>
      <c r="D329" s="12">
        <v>215</v>
      </c>
      <c r="E329" s="12" t="s">
        <v>8363</v>
      </c>
      <c r="F329" s="275" t="s">
        <v>1178</v>
      </c>
      <c r="G329" s="12" t="str">
        <f t="shared" si="6"/>
        <v>702158230027650</v>
      </c>
      <c r="H329" s="12" t="s">
        <v>8364</v>
      </c>
      <c r="I329" s="12">
        <v>8230027650</v>
      </c>
      <c r="J329" s="12" t="s">
        <v>8365</v>
      </c>
      <c r="K329" s="12" t="s">
        <v>4092</v>
      </c>
      <c r="L329" s="12">
        <v>3105114741</v>
      </c>
      <c r="M329" s="17" t="s">
        <v>1177</v>
      </c>
      <c r="N329" s="12" t="s">
        <v>127</v>
      </c>
      <c r="O329" s="12" t="s">
        <v>2822</v>
      </c>
      <c r="P329" s="88" t="s">
        <v>48</v>
      </c>
      <c r="Q329" s="13">
        <v>45924</v>
      </c>
      <c r="R329" s="12" t="s">
        <v>8366</v>
      </c>
      <c r="S329" s="12" t="s">
        <v>210</v>
      </c>
      <c r="U329" s="12" t="s">
        <v>2456</v>
      </c>
      <c r="AU329" s="12" t="s">
        <v>53</v>
      </c>
    </row>
    <row r="330" spans="1:47" s="12" customFormat="1" ht="14.4" hidden="1" x14ac:dyDescent="0.3">
      <c r="A330" s="12" t="s">
        <v>505</v>
      </c>
      <c r="B330" s="12" t="s">
        <v>1102</v>
      </c>
      <c r="C330" s="12">
        <v>70</v>
      </c>
      <c r="D330" s="12">
        <v>215</v>
      </c>
      <c r="E330" s="12" t="s">
        <v>8337</v>
      </c>
      <c r="F330" s="275" t="s">
        <v>1179</v>
      </c>
      <c r="G330" s="12" t="str">
        <f t="shared" si="6"/>
        <v>702159020247794</v>
      </c>
      <c r="H330" s="36" t="s">
        <v>710</v>
      </c>
      <c r="I330" s="96">
        <v>9020247794</v>
      </c>
      <c r="J330" s="96" t="s">
        <v>1180</v>
      </c>
      <c r="K330" s="96" t="s">
        <v>133</v>
      </c>
      <c r="L330" s="96">
        <v>3103155698</v>
      </c>
      <c r="M330" s="97" t="s">
        <v>8335</v>
      </c>
      <c r="N330" s="96" t="s">
        <v>127</v>
      </c>
      <c r="O330" s="12" t="s">
        <v>2822</v>
      </c>
      <c r="P330" s="180" t="s">
        <v>48</v>
      </c>
      <c r="Q330" s="13">
        <v>46077</v>
      </c>
      <c r="R330" s="12" t="s">
        <v>8270</v>
      </c>
      <c r="S330" s="12" t="s">
        <v>49</v>
      </c>
      <c r="U330" s="12" t="s">
        <v>50</v>
      </c>
      <c r="V330" s="96" t="s">
        <v>1181</v>
      </c>
      <c r="W330" s="98">
        <v>0.84</v>
      </c>
      <c r="X330" s="96" t="s">
        <v>49</v>
      </c>
      <c r="AU330" s="12" t="s">
        <v>53</v>
      </c>
    </row>
    <row r="331" spans="1:47" s="12" customFormat="1" ht="14.4" hidden="1" x14ac:dyDescent="0.3">
      <c r="A331" s="12" t="s">
        <v>505</v>
      </c>
      <c r="B331" s="12" t="s">
        <v>1102</v>
      </c>
      <c r="C331" s="12">
        <v>70</v>
      </c>
      <c r="D331" s="12">
        <v>215</v>
      </c>
      <c r="E331" s="12" t="s">
        <v>8363</v>
      </c>
      <c r="F331" s="352" t="s">
        <v>9011</v>
      </c>
      <c r="G331" s="12" t="str">
        <f t="shared" si="6"/>
        <v>70215823002765-0</v>
      </c>
      <c r="H331" s="12" t="s">
        <v>8364</v>
      </c>
      <c r="I331" s="12" t="s">
        <v>1172</v>
      </c>
      <c r="J331" s="12" t="s">
        <v>8397</v>
      </c>
      <c r="K331" s="12" t="s">
        <v>44</v>
      </c>
      <c r="L331" s="12">
        <v>3006334134</v>
      </c>
      <c r="M331" s="17" t="s">
        <v>1177</v>
      </c>
      <c r="N331" s="12" t="s">
        <v>127</v>
      </c>
      <c r="O331" s="12" t="s">
        <v>2822</v>
      </c>
      <c r="P331" s="88" t="s">
        <v>48</v>
      </c>
      <c r="Q331" s="13">
        <v>45938</v>
      </c>
      <c r="R331" s="16">
        <v>0.99</v>
      </c>
      <c r="S331" s="12" t="s">
        <v>210</v>
      </c>
      <c r="U331" s="12" t="s">
        <v>2456</v>
      </c>
      <c r="AU331" s="12" t="s">
        <v>53</v>
      </c>
    </row>
    <row r="332" spans="1:47" s="12" customFormat="1" ht="14.4" hidden="1" x14ac:dyDescent="0.3">
      <c r="A332" s="12" t="s">
        <v>505</v>
      </c>
      <c r="B332" s="12" t="s">
        <v>1102</v>
      </c>
      <c r="C332" s="12">
        <v>70</v>
      </c>
      <c r="D332" s="12">
        <v>215</v>
      </c>
      <c r="E332" s="12" t="s">
        <v>8404</v>
      </c>
      <c r="F332" s="275" t="s">
        <v>1183</v>
      </c>
      <c r="G332" s="12" t="str">
        <f t="shared" si="6"/>
        <v>702159020247794</v>
      </c>
      <c r="H332" s="12" t="s">
        <v>1184</v>
      </c>
      <c r="I332" s="12">
        <v>9020247794</v>
      </c>
      <c r="J332" s="12" t="s">
        <v>1185</v>
      </c>
      <c r="K332" s="12" t="s">
        <v>133</v>
      </c>
      <c r="L332" s="12">
        <v>3148289996</v>
      </c>
      <c r="M332" s="93" t="s">
        <v>8335</v>
      </c>
      <c r="N332" s="12" t="s">
        <v>127</v>
      </c>
      <c r="O332" s="12" t="s">
        <v>2822</v>
      </c>
      <c r="P332" s="88" t="s">
        <v>48</v>
      </c>
      <c r="Q332" s="13">
        <v>46071</v>
      </c>
      <c r="R332" s="12" t="s">
        <v>8405</v>
      </c>
      <c r="S332" s="12" t="s">
        <v>139</v>
      </c>
      <c r="T332" s="12" t="s">
        <v>1125</v>
      </c>
      <c r="U332" s="12" t="s">
        <v>50</v>
      </c>
      <c r="V332" s="12" t="s">
        <v>1186</v>
      </c>
      <c r="W332" s="16">
        <v>0.8</v>
      </c>
      <c r="X332" s="12" t="s">
        <v>49</v>
      </c>
      <c r="AC332" s="12" t="s">
        <v>157</v>
      </c>
      <c r="AD332" s="16">
        <v>0.87</v>
      </c>
      <c r="AE332" s="12" t="s">
        <v>69</v>
      </c>
      <c r="AU332" s="12" t="s">
        <v>53</v>
      </c>
    </row>
    <row r="333" spans="1:47" s="12" customFormat="1" ht="14.4" hidden="1" x14ac:dyDescent="0.3">
      <c r="A333" s="12" t="s">
        <v>505</v>
      </c>
      <c r="B333" s="12" t="s">
        <v>1102</v>
      </c>
      <c r="C333" s="12">
        <v>70</v>
      </c>
      <c r="D333" s="12">
        <v>215</v>
      </c>
      <c r="E333" s="12" t="s">
        <v>8337</v>
      </c>
      <c r="F333" s="275" t="s">
        <v>8536</v>
      </c>
      <c r="G333" s="12" t="str">
        <f t="shared" si="6"/>
        <v>702159020247794</v>
      </c>
      <c r="H333" s="12" t="s">
        <v>1184</v>
      </c>
      <c r="I333" s="12">
        <v>9020247794</v>
      </c>
      <c r="J333" s="12" t="s">
        <v>8537</v>
      </c>
      <c r="K333" s="12" t="s">
        <v>133</v>
      </c>
      <c r="L333" s="12">
        <v>3103155698</v>
      </c>
      <c r="M333" s="93" t="s">
        <v>8335</v>
      </c>
      <c r="N333" s="12" t="s">
        <v>127</v>
      </c>
      <c r="O333" s="12" t="s">
        <v>2822</v>
      </c>
      <c r="P333" s="88" t="s">
        <v>48</v>
      </c>
      <c r="Q333" s="13">
        <v>46080</v>
      </c>
      <c r="R333" s="12" t="s">
        <v>8538</v>
      </c>
      <c r="S333" s="12" t="s">
        <v>49</v>
      </c>
      <c r="U333" s="12" t="s">
        <v>60</v>
      </c>
      <c r="W333" s="16"/>
      <c r="AD333" s="16"/>
      <c r="AU333" s="12" t="s">
        <v>53</v>
      </c>
    </row>
    <row r="334" spans="1:47" s="12" customFormat="1" ht="14.4" hidden="1" x14ac:dyDescent="0.3">
      <c r="A334" s="12" t="s">
        <v>505</v>
      </c>
      <c r="B334" s="12" t="s">
        <v>1102</v>
      </c>
      <c r="C334" s="12">
        <v>70</v>
      </c>
      <c r="D334" s="12">
        <v>215</v>
      </c>
      <c r="E334" s="12" t="s">
        <v>8337</v>
      </c>
      <c r="F334" s="275" t="s">
        <v>8506</v>
      </c>
      <c r="G334" s="12" t="str">
        <f t="shared" si="6"/>
        <v>702159020247794</v>
      </c>
      <c r="H334" s="12" t="s">
        <v>1184</v>
      </c>
      <c r="I334" s="12">
        <v>9020247794</v>
      </c>
      <c r="J334" s="12" t="s">
        <v>8507</v>
      </c>
      <c r="K334" s="12" t="s">
        <v>133</v>
      </c>
      <c r="L334" s="12">
        <v>3103155698</v>
      </c>
      <c r="M334" s="93" t="s">
        <v>8335</v>
      </c>
      <c r="N334" s="12" t="s">
        <v>127</v>
      </c>
      <c r="O334" s="12" t="s">
        <v>2822</v>
      </c>
      <c r="P334" s="88" t="s">
        <v>48</v>
      </c>
      <c r="Q334" s="13">
        <v>46085</v>
      </c>
      <c r="R334" s="12">
        <v>83</v>
      </c>
      <c r="S334" s="12" t="s">
        <v>139</v>
      </c>
      <c r="T334" s="12" t="s">
        <v>1125</v>
      </c>
      <c r="U334" s="12" t="s">
        <v>60</v>
      </c>
      <c r="W334" s="16"/>
      <c r="AD334" s="16"/>
      <c r="AU334" s="12" t="s">
        <v>53</v>
      </c>
    </row>
    <row r="335" spans="1:47" s="12" customFormat="1" ht="14.4" hidden="1" x14ac:dyDescent="0.3">
      <c r="A335" s="12" t="s">
        <v>505</v>
      </c>
      <c r="B335" s="12" t="s">
        <v>1102</v>
      </c>
      <c r="C335" s="12">
        <v>70</v>
      </c>
      <c r="D335" s="12">
        <v>215</v>
      </c>
      <c r="E335" s="12" t="s">
        <v>8363</v>
      </c>
      <c r="F335" s="12" t="s">
        <v>8392</v>
      </c>
      <c r="G335" s="12" t="str">
        <f t="shared" si="6"/>
        <v>702158230027650</v>
      </c>
      <c r="H335" s="12" t="s">
        <v>8364</v>
      </c>
      <c r="I335" s="12">
        <v>8230027650</v>
      </c>
      <c r="J335" s="12" t="s">
        <v>8393</v>
      </c>
      <c r="K335" s="12" t="s">
        <v>44</v>
      </c>
      <c r="L335" s="12">
        <v>3105114741</v>
      </c>
      <c r="M335" s="17" t="s">
        <v>1177</v>
      </c>
      <c r="N335" s="12" t="s">
        <v>127</v>
      </c>
      <c r="O335" s="12" t="s">
        <v>2822</v>
      </c>
      <c r="P335" s="88" t="s">
        <v>48</v>
      </c>
      <c r="Q335" s="13">
        <v>45923</v>
      </c>
      <c r="R335" s="16" t="s">
        <v>1085</v>
      </c>
      <c r="S335" s="12" t="s">
        <v>210</v>
      </c>
      <c r="U335" s="12" t="s">
        <v>2456</v>
      </c>
      <c r="W335" s="16"/>
      <c r="AU335" s="12" t="s">
        <v>53</v>
      </c>
    </row>
    <row r="336" spans="1:47" s="12" customFormat="1" ht="14.4" hidden="1" x14ac:dyDescent="0.3">
      <c r="A336" s="12" t="s">
        <v>505</v>
      </c>
      <c r="B336" s="12" t="s">
        <v>1102</v>
      </c>
      <c r="C336" s="12">
        <v>70</v>
      </c>
      <c r="D336" s="12">
        <v>215</v>
      </c>
      <c r="E336" s="12" t="s">
        <v>8363</v>
      </c>
      <c r="F336" s="12" t="s">
        <v>8391</v>
      </c>
      <c r="G336" s="12" t="str">
        <f t="shared" si="6"/>
        <v>702158230027650</v>
      </c>
      <c r="H336" s="12" t="s">
        <v>8364</v>
      </c>
      <c r="I336" s="12">
        <v>8230027650</v>
      </c>
      <c r="J336" s="12" t="s">
        <v>8384</v>
      </c>
      <c r="K336" s="12" t="s">
        <v>44</v>
      </c>
      <c r="L336" s="12">
        <v>3105114741</v>
      </c>
      <c r="M336" s="17" t="s">
        <v>1177</v>
      </c>
      <c r="N336" s="12" t="s">
        <v>127</v>
      </c>
      <c r="O336" s="12" t="s">
        <v>2822</v>
      </c>
      <c r="P336" s="88" t="s">
        <v>48</v>
      </c>
      <c r="Q336" s="13">
        <v>45922</v>
      </c>
      <c r="R336" s="13" t="s">
        <v>1085</v>
      </c>
      <c r="S336" s="12" t="s">
        <v>210</v>
      </c>
      <c r="U336" s="12" t="s">
        <v>2456</v>
      </c>
      <c r="W336" s="16"/>
      <c r="AU336" s="12" t="s">
        <v>53</v>
      </c>
    </row>
    <row r="337" spans="1:52" s="12" customFormat="1" ht="14.4" hidden="1" x14ac:dyDescent="0.3">
      <c r="A337" s="12" t="s">
        <v>505</v>
      </c>
      <c r="B337" s="12" t="s">
        <v>1102</v>
      </c>
      <c r="C337" s="12">
        <v>70</v>
      </c>
      <c r="D337" s="12">
        <v>215</v>
      </c>
      <c r="E337" s="12" t="s">
        <v>8363</v>
      </c>
      <c r="F337" s="275" t="s">
        <v>8387</v>
      </c>
      <c r="G337" s="12" t="str">
        <f t="shared" si="6"/>
        <v>70215823002765-0</v>
      </c>
      <c r="H337" s="12" t="s">
        <v>8364</v>
      </c>
      <c r="I337" s="12" t="s">
        <v>1172</v>
      </c>
      <c r="J337" s="12" t="s">
        <v>8388</v>
      </c>
      <c r="K337" s="12" t="s">
        <v>44</v>
      </c>
      <c r="L337" s="12" t="s">
        <v>45</v>
      </c>
      <c r="M337" s="17" t="s">
        <v>1177</v>
      </c>
      <c r="N337" s="12" t="s">
        <v>127</v>
      </c>
      <c r="O337" s="12" t="s">
        <v>2822</v>
      </c>
      <c r="P337" s="88" t="s">
        <v>48</v>
      </c>
      <c r="Q337" s="13">
        <v>45922</v>
      </c>
      <c r="R337" s="12" t="s">
        <v>2106</v>
      </c>
      <c r="S337" s="12" t="s">
        <v>210</v>
      </c>
      <c r="U337" s="12" t="s">
        <v>2456</v>
      </c>
      <c r="AU337" s="12" t="s">
        <v>53</v>
      </c>
    </row>
    <row r="338" spans="1:52" s="12" customFormat="1" ht="14.4" hidden="1" x14ac:dyDescent="0.3">
      <c r="A338" s="12" t="s">
        <v>505</v>
      </c>
      <c r="B338" s="12" t="s">
        <v>1102</v>
      </c>
      <c r="C338" s="12">
        <v>70</v>
      </c>
      <c r="D338" s="12">
        <v>215</v>
      </c>
      <c r="E338" s="12" t="s">
        <v>8363</v>
      </c>
      <c r="F338" s="275" t="s">
        <v>8385</v>
      </c>
      <c r="G338" s="12" t="str">
        <f t="shared" si="6"/>
        <v>70215823002765-0</v>
      </c>
      <c r="H338" s="12" t="s">
        <v>8364</v>
      </c>
      <c r="I338" s="12" t="s">
        <v>1172</v>
      </c>
      <c r="J338" s="12" t="s">
        <v>8386</v>
      </c>
      <c r="K338" s="12" t="s">
        <v>44</v>
      </c>
      <c r="L338" s="12">
        <v>3105114741</v>
      </c>
      <c r="M338" s="17" t="s">
        <v>1177</v>
      </c>
      <c r="N338" s="12" t="s">
        <v>127</v>
      </c>
      <c r="O338" s="12" t="s">
        <v>2822</v>
      </c>
      <c r="P338" s="88" t="s">
        <v>48</v>
      </c>
      <c r="Q338" s="13">
        <v>45924</v>
      </c>
      <c r="R338" s="12" t="s">
        <v>1085</v>
      </c>
      <c r="S338" s="12" t="s">
        <v>210</v>
      </c>
      <c r="U338" s="12" t="s">
        <v>2456</v>
      </c>
      <c r="AU338" s="12" t="s">
        <v>53</v>
      </c>
    </row>
    <row r="339" spans="1:52" s="12" customFormat="1" ht="14.4" hidden="1" x14ac:dyDescent="0.3">
      <c r="A339" s="12" t="s">
        <v>505</v>
      </c>
      <c r="B339" s="12" t="s">
        <v>1102</v>
      </c>
      <c r="C339" s="12">
        <v>70</v>
      </c>
      <c r="D339" s="12">
        <v>215</v>
      </c>
      <c r="E339" s="12" t="s">
        <v>8363</v>
      </c>
      <c r="F339" s="275" t="s">
        <v>1188</v>
      </c>
      <c r="G339" s="12" t="str">
        <f t="shared" si="6"/>
        <v>702158230027650</v>
      </c>
      <c r="H339" s="12" t="s">
        <v>8364</v>
      </c>
      <c r="I339" s="12">
        <v>8230027650</v>
      </c>
      <c r="J339" s="12" t="s">
        <v>8367</v>
      </c>
      <c r="K339" s="12" t="s">
        <v>44</v>
      </c>
      <c r="L339" s="12">
        <v>3105114741</v>
      </c>
      <c r="M339" s="17" t="s">
        <v>1177</v>
      </c>
      <c r="N339" s="12" t="s">
        <v>127</v>
      </c>
      <c r="O339" s="12" t="s">
        <v>2822</v>
      </c>
      <c r="P339" s="88" t="s">
        <v>48</v>
      </c>
      <c r="Q339" s="13">
        <v>45922</v>
      </c>
      <c r="R339" s="12" t="s">
        <v>5043</v>
      </c>
      <c r="S339" s="12" t="s">
        <v>210</v>
      </c>
      <c r="U339" s="12" t="s">
        <v>2456</v>
      </c>
      <c r="AU339" s="12" t="s">
        <v>53</v>
      </c>
    </row>
    <row r="340" spans="1:52" s="12" customFormat="1" ht="14.4" hidden="1" x14ac:dyDescent="0.3">
      <c r="A340" s="12" t="s">
        <v>505</v>
      </c>
      <c r="B340" s="12" t="s">
        <v>1102</v>
      </c>
      <c r="C340" s="12">
        <v>70</v>
      </c>
      <c r="D340" s="12">
        <v>215</v>
      </c>
      <c r="E340" s="12" t="s">
        <v>8410</v>
      </c>
      <c r="F340" s="275" t="s">
        <v>8409</v>
      </c>
      <c r="G340" s="12" t="str">
        <f t="shared" si="6"/>
        <v>702159020211365</v>
      </c>
      <c r="H340" s="36" t="s">
        <v>8411</v>
      </c>
      <c r="I340" s="96">
        <v>9020211365</v>
      </c>
      <c r="J340" s="12" t="s">
        <v>8412</v>
      </c>
      <c r="K340" s="12" t="s">
        <v>44</v>
      </c>
      <c r="L340" s="12">
        <v>3103155698</v>
      </c>
      <c r="M340" s="12" t="s">
        <v>8413</v>
      </c>
      <c r="N340" s="12" t="s">
        <v>127</v>
      </c>
      <c r="O340" s="12" t="s">
        <v>2822</v>
      </c>
      <c r="P340" s="88" t="s">
        <v>48</v>
      </c>
      <c r="Q340" s="13">
        <v>46079</v>
      </c>
      <c r="R340" s="16">
        <v>0.8</v>
      </c>
      <c r="S340" s="12" t="s">
        <v>69</v>
      </c>
      <c r="T340" s="12" t="s">
        <v>1111</v>
      </c>
      <c r="U340" s="12" t="s">
        <v>50</v>
      </c>
      <c r="V340" s="12" t="s">
        <v>1181</v>
      </c>
      <c r="W340" s="16">
        <v>0.76</v>
      </c>
      <c r="X340" s="12" t="s">
        <v>49</v>
      </c>
      <c r="Z340" s="12" t="s">
        <v>50</v>
      </c>
      <c r="AA340" s="12" t="s">
        <v>52</v>
      </c>
      <c r="AB340" s="12" t="s">
        <v>52</v>
      </c>
      <c r="AC340" s="13">
        <v>45110</v>
      </c>
      <c r="AD340" s="16">
        <v>0.83</v>
      </c>
      <c r="AE340" s="12" t="s">
        <v>49</v>
      </c>
      <c r="AU340" s="12" t="s">
        <v>53</v>
      </c>
    </row>
    <row r="341" spans="1:52" s="12" customFormat="1" ht="14.4" hidden="1" x14ac:dyDescent="0.3">
      <c r="A341" s="12" t="s">
        <v>505</v>
      </c>
      <c r="B341" s="12" t="s">
        <v>1102</v>
      </c>
      <c r="C341" s="12">
        <v>70</v>
      </c>
      <c r="D341" s="12">
        <v>215</v>
      </c>
      <c r="E341" s="12" t="s">
        <v>8363</v>
      </c>
      <c r="F341" s="275" t="s">
        <v>8380</v>
      </c>
      <c r="G341" s="12" t="str">
        <f t="shared" ref="G341:G406" si="7">C341&amp;D341&amp;I341</f>
        <v>70215823002765-0</v>
      </c>
      <c r="H341" s="12" t="s">
        <v>8364</v>
      </c>
      <c r="I341" s="12" t="s">
        <v>1172</v>
      </c>
      <c r="J341" s="12" t="s">
        <v>8381</v>
      </c>
      <c r="K341" s="12" t="s">
        <v>44</v>
      </c>
      <c r="L341" s="12">
        <v>3006334134</v>
      </c>
      <c r="M341" s="17" t="s">
        <v>1177</v>
      </c>
      <c r="N341" s="12" t="s">
        <v>127</v>
      </c>
      <c r="O341" s="12" t="s">
        <v>2822</v>
      </c>
      <c r="P341" s="88" t="s">
        <v>48</v>
      </c>
      <c r="Q341" s="13">
        <v>45944</v>
      </c>
      <c r="R341" s="16">
        <v>0.98</v>
      </c>
      <c r="S341" s="12" t="s">
        <v>210</v>
      </c>
      <c r="U341" s="12" t="s">
        <v>2456</v>
      </c>
      <c r="AU341" s="12" t="s">
        <v>53</v>
      </c>
    </row>
    <row r="342" spans="1:52" s="12" customFormat="1" ht="14.4" hidden="1" x14ac:dyDescent="0.3">
      <c r="A342" s="12" t="s">
        <v>505</v>
      </c>
      <c r="B342" s="12" t="s">
        <v>1102</v>
      </c>
      <c r="C342" s="12">
        <v>70</v>
      </c>
      <c r="D342" s="12">
        <v>215</v>
      </c>
      <c r="E342" s="12" t="s">
        <v>8363</v>
      </c>
      <c r="F342" s="275" t="s">
        <v>8374</v>
      </c>
      <c r="G342" s="12" t="str">
        <f t="shared" si="7"/>
        <v>702158230027650</v>
      </c>
      <c r="H342" s="12" t="s">
        <v>8364</v>
      </c>
      <c r="I342" s="12">
        <v>8230027650</v>
      </c>
      <c r="J342" s="12" t="s">
        <v>8375</v>
      </c>
      <c r="K342" s="12" t="s">
        <v>44</v>
      </c>
      <c r="L342" s="12">
        <v>3006334134</v>
      </c>
      <c r="M342" s="17" t="s">
        <v>1177</v>
      </c>
      <c r="N342" s="12" t="s">
        <v>127</v>
      </c>
      <c r="O342" s="12" t="s">
        <v>2822</v>
      </c>
      <c r="P342" s="88" t="s">
        <v>48</v>
      </c>
      <c r="Q342" s="13">
        <v>45929</v>
      </c>
      <c r="R342" s="12" t="s">
        <v>2106</v>
      </c>
      <c r="S342" s="12" t="s">
        <v>210</v>
      </c>
      <c r="U342" s="12" t="s">
        <v>2456</v>
      </c>
      <c r="AU342" s="12" t="s">
        <v>53</v>
      </c>
    </row>
    <row r="343" spans="1:52" s="12" customFormat="1" ht="14.4" hidden="1" x14ac:dyDescent="0.3">
      <c r="A343" s="12" t="s">
        <v>505</v>
      </c>
      <c r="B343" s="12" t="s">
        <v>1102</v>
      </c>
      <c r="C343" s="12">
        <v>70</v>
      </c>
      <c r="D343" s="12">
        <v>215</v>
      </c>
      <c r="F343" s="12" t="s">
        <v>1189</v>
      </c>
      <c r="G343" s="12" t="str">
        <f t="shared" si="7"/>
        <v>70215823002765-0</v>
      </c>
      <c r="H343" s="12" t="s">
        <v>1171</v>
      </c>
      <c r="I343" s="12" t="s">
        <v>1172</v>
      </c>
      <c r="J343" s="12" t="s">
        <v>1182</v>
      </c>
      <c r="K343" s="12" t="s">
        <v>44</v>
      </c>
      <c r="L343" s="12" t="s">
        <v>45</v>
      </c>
      <c r="M343" s="12" t="s">
        <v>45</v>
      </c>
      <c r="N343" s="12" t="s">
        <v>127</v>
      </c>
      <c r="O343" s="12" t="s">
        <v>2822</v>
      </c>
      <c r="P343" s="88" t="s">
        <v>48</v>
      </c>
      <c r="AU343" s="12" t="s">
        <v>164</v>
      </c>
    </row>
    <row r="344" spans="1:52" s="12" customFormat="1" ht="14.4" hidden="1" x14ac:dyDescent="0.3">
      <c r="A344" s="12" t="s">
        <v>505</v>
      </c>
      <c r="B344" s="12" t="s">
        <v>1102</v>
      </c>
      <c r="C344" s="12">
        <v>70</v>
      </c>
      <c r="D344" s="12">
        <v>215</v>
      </c>
      <c r="E344" s="12" t="s">
        <v>8404</v>
      </c>
      <c r="F344" s="275" t="s">
        <v>1190</v>
      </c>
      <c r="G344" s="12" t="str">
        <f t="shared" si="7"/>
        <v>702159020247794</v>
      </c>
      <c r="H344" s="12" t="s">
        <v>710</v>
      </c>
      <c r="I344" s="12">
        <v>9020247794</v>
      </c>
      <c r="J344" s="12" t="s">
        <v>1180</v>
      </c>
      <c r="K344" s="12" t="s">
        <v>133</v>
      </c>
      <c r="L344" s="12">
        <v>3105114741</v>
      </c>
      <c r="M344" s="93" t="s">
        <v>8335</v>
      </c>
      <c r="N344" s="12" t="s">
        <v>127</v>
      </c>
      <c r="O344" s="12" t="s">
        <v>2822</v>
      </c>
      <c r="P344" s="88" t="s">
        <v>48</v>
      </c>
      <c r="Q344" s="13">
        <v>46077</v>
      </c>
      <c r="R344" s="12" t="s">
        <v>8270</v>
      </c>
      <c r="S344" s="12" t="s">
        <v>139</v>
      </c>
      <c r="T344" s="12" t="s">
        <v>1125</v>
      </c>
      <c r="U344" s="12" t="s">
        <v>50</v>
      </c>
      <c r="V344" s="12" t="s">
        <v>1181</v>
      </c>
      <c r="W344" s="18">
        <v>0.83499999999999996</v>
      </c>
      <c r="X344" s="12" t="s">
        <v>49</v>
      </c>
      <c r="AC344" s="12" t="s">
        <v>1191</v>
      </c>
      <c r="AD344" s="18">
        <v>0.875</v>
      </c>
      <c r="AE344" s="12" t="s">
        <v>1192</v>
      </c>
    </row>
    <row r="345" spans="1:52" s="12" customFormat="1" ht="14.4" hidden="1" x14ac:dyDescent="0.3">
      <c r="A345" s="12" t="s">
        <v>505</v>
      </c>
      <c r="B345" s="12" t="s">
        <v>1102</v>
      </c>
      <c r="C345" s="12">
        <v>70</v>
      </c>
      <c r="D345" s="12">
        <v>215</v>
      </c>
      <c r="E345" s="12" t="s">
        <v>8363</v>
      </c>
      <c r="F345" s="275" t="s">
        <v>8396</v>
      </c>
      <c r="G345" s="12" t="str">
        <f t="shared" si="7"/>
        <v>702158230027650</v>
      </c>
      <c r="H345" s="12" t="s">
        <v>8364</v>
      </c>
      <c r="I345" s="12">
        <v>8230027650</v>
      </c>
      <c r="J345" s="12" t="s">
        <v>1193</v>
      </c>
      <c r="K345" s="12" t="s">
        <v>44</v>
      </c>
      <c r="L345" s="12">
        <v>3105114741</v>
      </c>
      <c r="M345" s="17" t="s">
        <v>8941</v>
      </c>
      <c r="N345" s="12" t="s">
        <v>127</v>
      </c>
      <c r="O345" s="12" t="s">
        <v>2822</v>
      </c>
      <c r="P345" s="88" t="s">
        <v>48</v>
      </c>
      <c r="Q345" s="13">
        <v>46176</v>
      </c>
      <c r="R345" s="12">
        <v>78</v>
      </c>
      <c r="S345" s="12" t="s">
        <v>49</v>
      </c>
      <c r="T345" s="12" t="s">
        <v>1125</v>
      </c>
      <c r="U345" s="12" t="s">
        <v>2456</v>
      </c>
      <c r="V345" s="13">
        <v>45923</v>
      </c>
      <c r="W345" s="16">
        <v>0.92</v>
      </c>
      <c r="X345" s="12" t="s">
        <v>210</v>
      </c>
      <c r="Z345" s="12" t="s">
        <v>2456</v>
      </c>
      <c r="AC345" s="13" t="s">
        <v>1194</v>
      </c>
      <c r="AD345" s="16">
        <v>0.82499999999999996</v>
      </c>
      <c r="AE345" s="13" t="s">
        <v>49</v>
      </c>
      <c r="AF345" s="12" t="s">
        <v>60</v>
      </c>
      <c r="AU345" s="12" t="s">
        <v>53</v>
      </c>
    </row>
    <row r="346" spans="1:52" s="12" customFormat="1" ht="14.4" hidden="1" x14ac:dyDescent="0.3">
      <c r="A346" s="12" t="s">
        <v>505</v>
      </c>
      <c r="B346" s="12" t="s">
        <v>1102</v>
      </c>
      <c r="C346" s="12">
        <v>70</v>
      </c>
      <c r="D346" s="12">
        <v>215</v>
      </c>
      <c r="E346" s="12" t="s">
        <v>8337</v>
      </c>
      <c r="F346" s="275" t="s">
        <v>9042</v>
      </c>
      <c r="G346" s="12" t="str">
        <f t="shared" si="7"/>
        <v>702159020247794</v>
      </c>
      <c r="H346" s="12" t="s">
        <v>1184</v>
      </c>
      <c r="I346" s="12">
        <v>9020247794</v>
      </c>
      <c r="J346" s="12" t="s">
        <v>8338</v>
      </c>
      <c r="K346" s="12" t="s">
        <v>192</v>
      </c>
      <c r="L346" s="12">
        <v>3115769700</v>
      </c>
      <c r="M346" s="12" t="s">
        <v>8339</v>
      </c>
      <c r="N346" s="12" t="s">
        <v>127</v>
      </c>
      <c r="O346" s="12" t="s">
        <v>2822</v>
      </c>
      <c r="P346" s="88" t="s">
        <v>48</v>
      </c>
      <c r="Q346" s="257">
        <v>46072</v>
      </c>
      <c r="R346" s="273" t="s">
        <v>4108</v>
      </c>
      <c r="S346" s="13" t="s">
        <v>49</v>
      </c>
      <c r="U346" s="12" t="s">
        <v>50</v>
      </c>
      <c r="AU346" s="12" t="s">
        <v>53</v>
      </c>
    </row>
    <row r="347" spans="1:52" s="12" customFormat="1" ht="14.4" hidden="1" x14ac:dyDescent="0.3">
      <c r="A347" s="12" t="s">
        <v>505</v>
      </c>
      <c r="B347" s="12" t="s">
        <v>1102</v>
      </c>
      <c r="C347" s="12">
        <v>70</v>
      </c>
      <c r="D347" s="12">
        <v>215</v>
      </c>
      <c r="E347" s="12" t="s">
        <v>8363</v>
      </c>
      <c r="F347" s="275" t="s">
        <v>8372</v>
      </c>
      <c r="G347" s="12" t="str">
        <f t="shared" si="7"/>
        <v>702158230027650</v>
      </c>
      <c r="H347" s="12" t="s">
        <v>8364</v>
      </c>
      <c r="I347" s="12">
        <v>8230027650</v>
      </c>
      <c r="J347" s="12" t="s">
        <v>8373</v>
      </c>
      <c r="K347" s="12" t="s">
        <v>44</v>
      </c>
      <c r="L347" s="12">
        <v>3105114741</v>
      </c>
      <c r="M347" s="12" t="s">
        <v>1177</v>
      </c>
      <c r="N347" s="12" t="s">
        <v>127</v>
      </c>
      <c r="O347" s="12" t="s">
        <v>2822</v>
      </c>
      <c r="P347" s="337" t="s">
        <v>48</v>
      </c>
      <c r="Q347" s="340">
        <v>46177</v>
      </c>
      <c r="R347" s="341" t="s">
        <v>8964</v>
      </c>
      <c r="S347" s="342" t="s">
        <v>49</v>
      </c>
      <c r="V347" s="13">
        <v>45944</v>
      </c>
      <c r="W347" s="16">
        <v>0.97</v>
      </c>
      <c r="X347" s="12" t="s">
        <v>210</v>
      </c>
      <c r="Z347" s="12" t="s">
        <v>2456</v>
      </c>
      <c r="AC347" s="13">
        <v>44626</v>
      </c>
      <c r="AD347" s="16">
        <v>0.76500000000000001</v>
      </c>
      <c r="AE347" s="13" t="s">
        <v>49</v>
      </c>
      <c r="AF347" s="12" t="s">
        <v>60</v>
      </c>
      <c r="AU347" s="12" t="s">
        <v>53</v>
      </c>
    </row>
    <row r="348" spans="1:52" s="12" customFormat="1" ht="14.4" hidden="1" x14ac:dyDescent="0.3">
      <c r="A348" s="12" t="s">
        <v>505</v>
      </c>
      <c r="B348" s="12" t="s">
        <v>1102</v>
      </c>
      <c r="C348" s="12">
        <v>70</v>
      </c>
      <c r="D348" s="12">
        <v>215</v>
      </c>
      <c r="E348" s="12" t="s">
        <v>8965</v>
      </c>
      <c r="F348" s="275" t="s">
        <v>8966</v>
      </c>
      <c r="G348" s="12" t="str">
        <f t="shared" si="7"/>
        <v>702158230027650</v>
      </c>
      <c r="H348" s="12" t="s">
        <v>8364</v>
      </c>
      <c r="I348" s="12">
        <v>8230027650</v>
      </c>
      <c r="J348" s="12" t="s">
        <v>8967</v>
      </c>
      <c r="K348" s="12" t="s">
        <v>44</v>
      </c>
      <c r="L348" s="12">
        <v>3105114741</v>
      </c>
      <c r="M348" s="12" t="s">
        <v>8941</v>
      </c>
      <c r="N348" s="12" t="s">
        <v>127</v>
      </c>
      <c r="O348" s="12" t="s">
        <v>2822</v>
      </c>
      <c r="P348" s="337" t="s">
        <v>48</v>
      </c>
      <c r="Q348" s="338">
        <v>46176</v>
      </c>
      <c r="R348" s="339">
        <v>67</v>
      </c>
      <c r="S348" s="216" t="s">
        <v>49</v>
      </c>
      <c r="T348" s="220"/>
      <c r="U348" s="12" t="s">
        <v>60</v>
      </c>
      <c r="V348" s="13"/>
      <c r="W348" s="16"/>
      <c r="AC348" s="13"/>
      <c r="AD348" s="16"/>
      <c r="AE348" s="13"/>
      <c r="AU348" s="12" t="s">
        <v>53</v>
      </c>
    </row>
    <row r="349" spans="1:52" s="12" customFormat="1" ht="14.4" hidden="1" x14ac:dyDescent="0.3">
      <c r="A349" s="12" t="s">
        <v>505</v>
      </c>
      <c r="B349" s="12" t="s">
        <v>1102</v>
      </c>
      <c r="C349" s="12">
        <v>70</v>
      </c>
      <c r="D349" s="12">
        <v>215</v>
      </c>
      <c r="F349" s="12" t="s">
        <v>1195</v>
      </c>
      <c r="G349" s="12" t="str">
        <f t="shared" si="7"/>
        <v>702159000720945</v>
      </c>
      <c r="H349" s="12" t="s">
        <v>1054</v>
      </c>
      <c r="I349" s="12">
        <v>9000720945</v>
      </c>
      <c r="J349" s="12" t="s">
        <v>1196</v>
      </c>
      <c r="K349" s="12" t="s">
        <v>44</v>
      </c>
      <c r="L349" s="12" t="s">
        <v>45</v>
      </c>
      <c r="M349" s="12" t="s">
        <v>45</v>
      </c>
      <c r="N349" s="12" t="s">
        <v>127</v>
      </c>
      <c r="O349" s="12" t="s">
        <v>2822</v>
      </c>
      <c r="P349" s="337" t="s">
        <v>48</v>
      </c>
      <c r="Q349" s="216"/>
      <c r="R349" s="216"/>
      <c r="S349" s="216"/>
      <c r="T349" s="220"/>
      <c r="AU349" s="12" t="s">
        <v>164</v>
      </c>
    </row>
    <row r="350" spans="1:52" s="12" customFormat="1" ht="14.4" hidden="1" x14ac:dyDescent="0.3">
      <c r="A350" s="12" t="s">
        <v>505</v>
      </c>
      <c r="B350" s="12" t="s">
        <v>1102</v>
      </c>
      <c r="C350" s="12">
        <v>70</v>
      </c>
      <c r="D350" s="12">
        <v>215</v>
      </c>
      <c r="E350" s="12" t="s">
        <v>7678</v>
      </c>
      <c r="F350" s="275" t="s">
        <v>1199</v>
      </c>
      <c r="G350" s="12" t="str">
        <f t="shared" si="7"/>
        <v>702159005918456</v>
      </c>
      <c r="H350" s="12" t="s">
        <v>9076</v>
      </c>
      <c r="I350" s="12">
        <v>9005918456</v>
      </c>
      <c r="J350" s="12" t="s">
        <v>1200</v>
      </c>
      <c r="K350" s="12" t="s">
        <v>44</v>
      </c>
      <c r="L350" s="12">
        <v>3223096898</v>
      </c>
      <c r="M350" s="17" t="s">
        <v>1197</v>
      </c>
      <c r="N350" s="12" t="s">
        <v>127</v>
      </c>
      <c r="O350" s="12" t="s">
        <v>2822</v>
      </c>
      <c r="P350" s="88" t="s">
        <v>48</v>
      </c>
      <c r="Q350" s="362">
        <v>46219</v>
      </c>
      <c r="R350" s="363">
        <v>0.95</v>
      </c>
      <c r="S350" s="215" t="s">
        <v>210</v>
      </c>
      <c r="T350" s="12" t="s">
        <v>4334</v>
      </c>
      <c r="U350" s="12" t="s">
        <v>2456</v>
      </c>
      <c r="V350" s="13">
        <v>46213</v>
      </c>
      <c r="W350" s="12" t="s">
        <v>186</v>
      </c>
      <c r="X350" s="12" t="s">
        <v>74</v>
      </c>
      <c r="Y350" s="12" t="s">
        <v>9078</v>
      </c>
      <c r="Z350" s="12" t="s">
        <v>2456</v>
      </c>
      <c r="AA350" s="12" t="s">
        <v>51</v>
      </c>
      <c r="AB350" s="12" t="s">
        <v>51</v>
      </c>
      <c r="AC350" s="13">
        <v>45868</v>
      </c>
      <c r="AD350" s="12" t="s">
        <v>186</v>
      </c>
      <c r="AE350" s="12" t="s">
        <v>49</v>
      </c>
      <c r="AF350" s="12" t="s">
        <v>2456</v>
      </c>
      <c r="AG350" s="12" t="s">
        <v>51</v>
      </c>
      <c r="AH350" s="12" t="s">
        <v>51</v>
      </c>
      <c r="AU350" s="12" t="s">
        <v>53</v>
      </c>
      <c r="AX350" s="12" t="s">
        <v>1920</v>
      </c>
      <c r="AZ350" s="12" t="s">
        <v>8129</v>
      </c>
    </row>
    <row r="351" spans="1:52" s="12" customFormat="1" ht="14.4" hidden="1" x14ac:dyDescent="0.3">
      <c r="A351" s="12" t="s">
        <v>505</v>
      </c>
      <c r="B351" s="12" t="s">
        <v>1102</v>
      </c>
      <c r="C351" s="12">
        <v>70</v>
      </c>
      <c r="D351" s="12">
        <v>215</v>
      </c>
      <c r="E351" s="12" t="s">
        <v>7678</v>
      </c>
      <c r="F351" s="275" t="s">
        <v>1201</v>
      </c>
      <c r="G351" s="12" t="str">
        <f t="shared" si="7"/>
        <v>702159005918456</v>
      </c>
      <c r="H351" s="12" t="s">
        <v>9076</v>
      </c>
      <c r="I351" s="12">
        <v>9005918456</v>
      </c>
      <c r="J351" s="12" t="s">
        <v>9079</v>
      </c>
      <c r="K351" s="12" t="s">
        <v>44</v>
      </c>
      <c r="L351" s="12">
        <v>3223096848</v>
      </c>
      <c r="M351" s="17" t="s">
        <v>1197</v>
      </c>
      <c r="N351" s="12" t="s">
        <v>127</v>
      </c>
      <c r="O351" s="12" t="s">
        <v>2822</v>
      </c>
      <c r="P351" s="88" t="s">
        <v>48</v>
      </c>
      <c r="Q351" s="13">
        <v>46213</v>
      </c>
      <c r="R351" s="16">
        <v>0.97</v>
      </c>
      <c r="S351" s="12" t="s">
        <v>210</v>
      </c>
      <c r="T351" s="12" t="s">
        <v>9080</v>
      </c>
      <c r="U351" s="12" t="s">
        <v>2456</v>
      </c>
      <c r="V351" s="13">
        <v>45862</v>
      </c>
      <c r="W351" s="16">
        <v>0.91</v>
      </c>
      <c r="X351" s="12" t="s">
        <v>210</v>
      </c>
      <c r="Z351" s="12" t="s">
        <v>2456</v>
      </c>
      <c r="AU351" s="12" t="s">
        <v>53</v>
      </c>
    </row>
    <row r="352" spans="1:52" s="12" customFormat="1" ht="14.4" hidden="1" x14ac:dyDescent="0.3">
      <c r="A352" s="12" t="s">
        <v>505</v>
      </c>
      <c r="B352" s="12" t="s">
        <v>1102</v>
      </c>
      <c r="C352" s="12">
        <v>70</v>
      </c>
      <c r="D352" s="12">
        <v>215</v>
      </c>
      <c r="E352" s="12" t="s">
        <v>7678</v>
      </c>
      <c r="F352" s="275" t="s">
        <v>1202</v>
      </c>
      <c r="G352" s="12" t="str">
        <f t="shared" si="7"/>
        <v>702159005918456</v>
      </c>
      <c r="H352" s="12" t="s">
        <v>9076</v>
      </c>
      <c r="I352" s="12">
        <v>9005918456</v>
      </c>
      <c r="J352" s="12" t="s">
        <v>1203</v>
      </c>
      <c r="K352" s="12" t="s">
        <v>133</v>
      </c>
      <c r="L352" s="12">
        <v>3215592992</v>
      </c>
      <c r="M352" s="17" t="s">
        <v>1197</v>
      </c>
      <c r="N352" s="12" t="s">
        <v>127</v>
      </c>
      <c r="O352" s="12" t="s">
        <v>2822</v>
      </c>
      <c r="P352" s="88" t="s">
        <v>48</v>
      </c>
      <c r="Q352" s="13">
        <v>46219</v>
      </c>
      <c r="R352" s="16">
        <v>0.97</v>
      </c>
      <c r="S352" s="12" t="s">
        <v>210</v>
      </c>
      <c r="T352" s="12" t="s">
        <v>7672</v>
      </c>
      <c r="U352" s="12" t="s">
        <v>2456</v>
      </c>
      <c r="V352" s="13">
        <v>45937</v>
      </c>
      <c r="W352" s="59">
        <v>0.94499999999999995</v>
      </c>
      <c r="X352" s="12" t="s">
        <v>210</v>
      </c>
      <c r="Y352" s="12" t="s">
        <v>1204</v>
      </c>
      <c r="Z352" s="12" t="s">
        <v>50</v>
      </c>
      <c r="AA352" s="12" t="s">
        <v>52</v>
      </c>
      <c r="AB352" s="12" t="s">
        <v>52</v>
      </c>
      <c r="AC352" s="13">
        <v>45436</v>
      </c>
      <c r="AD352" s="16">
        <v>0.86</v>
      </c>
      <c r="AE352" s="12" t="s">
        <v>49</v>
      </c>
      <c r="AU352" s="12" t="s">
        <v>53</v>
      </c>
    </row>
    <row r="353" spans="1:47" s="12" customFormat="1" ht="14.4" hidden="1" x14ac:dyDescent="0.3">
      <c r="A353" s="12" t="s">
        <v>505</v>
      </c>
      <c r="B353" s="12" t="s">
        <v>1102</v>
      </c>
      <c r="C353" s="12">
        <v>70</v>
      </c>
      <c r="D353" s="12">
        <v>215</v>
      </c>
      <c r="E353" s="12" t="s">
        <v>7678</v>
      </c>
      <c r="F353" s="275" t="s">
        <v>9075</v>
      </c>
      <c r="G353" s="12" t="str">
        <f t="shared" si="7"/>
        <v>702159005918456</v>
      </c>
      <c r="H353" s="12" t="s">
        <v>9076</v>
      </c>
      <c r="I353" s="12">
        <v>9005918456</v>
      </c>
      <c r="J353" s="12" t="s">
        <v>9077</v>
      </c>
      <c r="K353" s="12" t="s">
        <v>44</v>
      </c>
      <c r="L353" s="12">
        <v>3215592992</v>
      </c>
      <c r="M353" s="17" t="s">
        <v>1197</v>
      </c>
      <c r="N353" s="12" t="s">
        <v>127</v>
      </c>
      <c r="O353" s="12" t="s">
        <v>2822</v>
      </c>
      <c r="P353" s="88" t="s">
        <v>48</v>
      </c>
      <c r="Q353" s="13">
        <v>46219</v>
      </c>
      <c r="R353" s="16">
        <v>0.98</v>
      </c>
      <c r="S353" s="12" t="s">
        <v>319</v>
      </c>
      <c r="T353" s="12" t="s">
        <v>7672</v>
      </c>
      <c r="U353" s="12" t="s">
        <v>2456</v>
      </c>
      <c r="V353" s="13">
        <v>45967</v>
      </c>
      <c r="W353" s="16" t="s">
        <v>5075</v>
      </c>
      <c r="X353" s="12" t="s">
        <v>210</v>
      </c>
      <c r="AC353" s="13">
        <v>45147</v>
      </c>
      <c r="AD353" s="16">
        <v>0.98</v>
      </c>
      <c r="AE353" s="12" t="s">
        <v>210</v>
      </c>
      <c r="AF353" s="12" t="s">
        <v>60</v>
      </c>
      <c r="AU353" s="12" t="s">
        <v>53</v>
      </c>
    </row>
    <row r="354" spans="1:47" s="12" customFormat="1" ht="14.4" hidden="1" x14ac:dyDescent="0.3">
      <c r="A354" s="12" t="s">
        <v>505</v>
      </c>
      <c r="B354" s="12" t="s">
        <v>1102</v>
      </c>
      <c r="C354" s="12">
        <v>70</v>
      </c>
      <c r="D354" s="12">
        <v>215</v>
      </c>
      <c r="F354" s="12" t="s">
        <v>1205</v>
      </c>
      <c r="G354" s="12" t="str">
        <f t="shared" si="7"/>
        <v>70215NO REGISTRA</v>
      </c>
      <c r="H354" s="12" t="s">
        <v>1206</v>
      </c>
      <c r="I354" s="12" t="s">
        <v>45</v>
      </c>
      <c r="J354" s="12" t="s">
        <v>1207</v>
      </c>
      <c r="K354" s="12" t="s">
        <v>44</v>
      </c>
      <c r="L354" s="12" t="s">
        <v>45</v>
      </c>
      <c r="M354" s="12" t="s">
        <v>45</v>
      </c>
      <c r="N354" s="12" t="s">
        <v>127</v>
      </c>
      <c r="O354" s="12" t="s">
        <v>2822</v>
      </c>
      <c r="P354" s="88" t="s">
        <v>48</v>
      </c>
      <c r="Q354" s="13">
        <v>45996</v>
      </c>
      <c r="R354" s="16">
        <v>0.86</v>
      </c>
      <c r="S354" s="12" t="s">
        <v>69</v>
      </c>
      <c r="T354" s="12" t="s">
        <v>1107</v>
      </c>
      <c r="U354" s="12" t="s">
        <v>50</v>
      </c>
      <c r="V354" s="12" t="s">
        <v>607</v>
      </c>
      <c r="W354" s="16">
        <v>0.83</v>
      </c>
      <c r="X354" s="12" t="s">
        <v>49</v>
      </c>
      <c r="Z354" s="12" t="s">
        <v>60</v>
      </c>
      <c r="AA354" s="12" t="s">
        <v>52</v>
      </c>
      <c r="AB354" s="12" t="s">
        <v>52</v>
      </c>
      <c r="AU354" s="12" t="s">
        <v>53</v>
      </c>
    </row>
    <row r="355" spans="1:47" s="12" customFormat="1" ht="14.4" hidden="1" x14ac:dyDescent="0.3">
      <c r="A355" s="12" t="s">
        <v>505</v>
      </c>
      <c r="B355" s="12" t="s">
        <v>1102</v>
      </c>
      <c r="C355" s="12">
        <v>70</v>
      </c>
      <c r="D355" s="12">
        <v>215</v>
      </c>
      <c r="E355" s="12" t="s">
        <v>1136</v>
      </c>
      <c r="F355" s="12" t="s">
        <v>1209</v>
      </c>
      <c r="G355" s="12" t="str">
        <f t="shared" si="7"/>
        <v>70215800220869-9</v>
      </c>
      <c r="H355" s="12" t="s">
        <v>1210</v>
      </c>
      <c r="I355" s="12" t="s">
        <v>1129</v>
      </c>
      <c r="J355" s="12" t="s">
        <v>1211</v>
      </c>
      <c r="K355" s="12" t="s">
        <v>44</v>
      </c>
      <c r="L355" s="12">
        <v>3146392538</v>
      </c>
      <c r="M355" s="93" t="s">
        <v>1157</v>
      </c>
      <c r="N355" s="12" t="s">
        <v>127</v>
      </c>
      <c r="O355" s="12" t="s">
        <v>2822</v>
      </c>
      <c r="P355" s="88" t="s">
        <v>48</v>
      </c>
      <c r="Q355" s="13">
        <v>45994</v>
      </c>
      <c r="R355" s="16">
        <v>0.84</v>
      </c>
      <c r="S355" s="13" t="s">
        <v>49</v>
      </c>
      <c r="T355" s="12" t="s">
        <v>1125</v>
      </c>
      <c r="U355" s="12" t="s">
        <v>50</v>
      </c>
      <c r="V355" s="13">
        <v>45326</v>
      </c>
      <c r="W355" s="16">
        <v>0.74</v>
      </c>
      <c r="X355" s="12" t="s">
        <v>49</v>
      </c>
      <c r="AU355" s="12" t="s">
        <v>164</v>
      </c>
    </row>
    <row r="356" spans="1:47" s="12" customFormat="1" ht="14.4" hidden="1" x14ac:dyDescent="0.3">
      <c r="A356" s="12" t="s">
        <v>505</v>
      </c>
      <c r="B356" s="12" t="s">
        <v>1102</v>
      </c>
      <c r="C356" s="12">
        <v>70</v>
      </c>
      <c r="D356" s="12">
        <v>215</v>
      </c>
      <c r="E356" s="12" t="s">
        <v>8694</v>
      </c>
      <c r="F356" s="275" t="s">
        <v>8382</v>
      </c>
      <c r="G356" s="12" t="str">
        <f t="shared" si="7"/>
        <v>702158001698960</v>
      </c>
      <c r="H356" s="12" t="s">
        <v>8273</v>
      </c>
      <c r="I356" s="12">
        <v>8001698960</v>
      </c>
      <c r="J356" s="12" t="s">
        <v>8695</v>
      </c>
      <c r="K356" s="12" t="s">
        <v>44</v>
      </c>
      <c r="L356" s="12">
        <v>3126307459</v>
      </c>
      <c r="M356" s="12" t="s">
        <v>8696</v>
      </c>
      <c r="N356" s="12" t="s">
        <v>127</v>
      </c>
      <c r="O356" s="12" t="s">
        <v>2822</v>
      </c>
      <c r="P356" s="88" t="s">
        <v>48</v>
      </c>
      <c r="Q356" s="13">
        <v>46129</v>
      </c>
      <c r="R356" s="12" t="s">
        <v>8595</v>
      </c>
      <c r="S356" s="12" t="s">
        <v>49</v>
      </c>
      <c r="U356" s="12" t="s">
        <v>60</v>
      </c>
      <c r="V356" s="13">
        <v>45987</v>
      </c>
      <c r="W356" s="12" t="s">
        <v>7868</v>
      </c>
      <c r="X356" s="12" t="s">
        <v>49</v>
      </c>
      <c r="Z356" s="12" t="s">
        <v>60</v>
      </c>
      <c r="AC356" s="13">
        <v>45034</v>
      </c>
      <c r="AD356" s="16">
        <v>0.78500000000000003</v>
      </c>
      <c r="AE356" s="13" t="s">
        <v>49</v>
      </c>
      <c r="AF356" s="12" t="s">
        <v>60</v>
      </c>
      <c r="AG356" s="12" t="s">
        <v>51</v>
      </c>
      <c r="AH356" s="12" t="s">
        <v>51</v>
      </c>
      <c r="AU356" s="12" t="s">
        <v>53</v>
      </c>
    </row>
    <row r="357" spans="1:47" s="12" customFormat="1" ht="14.4" hidden="1" x14ac:dyDescent="0.3">
      <c r="A357" s="12" t="s">
        <v>505</v>
      </c>
      <c r="B357" s="12" t="s">
        <v>1102</v>
      </c>
      <c r="C357" s="12">
        <v>70</v>
      </c>
      <c r="D357" s="12">
        <v>215</v>
      </c>
      <c r="E357" s="12" t="s">
        <v>1150</v>
      </c>
      <c r="F357" s="275" t="s">
        <v>1213</v>
      </c>
      <c r="G357" s="12" t="str">
        <f t="shared" si="7"/>
        <v>702158002208699</v>
      </c>
      <c r="H357" s="12" t="s">
        <v>1138</v>
      </c>
      <c r="I357" s="12">
        <v>8002208699</v>
      </c>
      <c r="J357" s="12" t="s">
        <v>1153</v>
      </c>
      <c r="K357" s="12" t="s">
        <v>44</v>
      </c>
      <c r="L357" s="12">
        <v>3107244965</v>
      </c>
      <c r="M357" s="94" t="s">
        <v>1214</v>
      </c>
      <c r="N357" s="12" t="s">
        <v>127</v>
      </c>
      <c r="O357" s="12" t="s">
        <v>2822</v>
      </c>
      <c r="P357" s="88" t="s">
        <v>48</v>
      </c>
      <c r="Q357" s="13">
        <v>46135</v>
      </c>
      <c r="R357" s="12">
        <v>86</v>
      </c>
      <c r="S357" s="12" t="s">
        <v>49</v>
      </c>
      <c r="U357" s="12" t="s">
        <v>50</v>
      </c>
      <c r="V357" s="13" t="s">
        <v>741</v>
      </c>
      <c r="W357" s="16">
        <v>0.83</v>
      </c>
      <c r="X357" s="13" t="s">
        <v>49</v>
      </c>
      <c r="Z357" s="12" t="s">
        <v>60</v>
      </c>
      <c r="AC357" s="12" t="s">
        <v>539</v>
      </c>
      <c r="AD357" s="16">
        <v>0.77</v>
      </c>
      <c r="AE357" s="12" t="s">
        <v>49</v>
      </c>
      <c r="AF357" s="12" t="s">
        <v>60</v>
      </c>
      <c r="AU357" s="12" t="s">
        <v>53</v>
      </c>
    </row>
    <row r="358" spans="1:47" s="12" customFormat="1" ht="14.4" hidden="1" x14ac:dyDescent="0.3">
      <c r="A358" s="12" t="s">
        <v>505</v>
      </c>
      <c r="B358" s="12" t="s">
        <v>1102</v>
      </c>
      <c r="C358" s="12">
        <v>70</v>
      </c>
      <c r="D358" s="12">
        <v>215</v>
      </c>
      <c r="F358" s="12" t="s">
        <v>1215</v>
      </c>
      <c r="G358" s="12" t="str">
        <f t="shared" si="7"/>
        <v>70215823000353-0</v>
      </c>
      <c r="H358" s="12" t="s">
        <v>1212</v>
      </c>
      <c r="I358" s="12" t="s">
        <v>1105</v>
      </c>
      <c r="J358" s="12" t="s">
        <v>1216</v>
      </c>
      <c r="K358" s="12" t="s">
        <v>44</v>
      </c>
      <c r="L358" s="12">
        <v>3046758601</v>
      </c>
      <c r="M358" s="12" t="s">
        <v>1217</v>
      </c>
      <c r="N358" s="12" t="s">
        <v>127</v>
      </c>
      <c r="O358" s="12" t="s">
        <v>2822</v>
      </c>
      <c r="P358" s="88" t="s">
        <v>48</v>
      </c>
      <c r="Q358" s="13">
        <v>45259</v>
      </c>
      <c r="R358" s="16">
        <v>0.95250000000000001</v>
      </c>
      <c r="S358" s="13" t="s">
        <v>210</v>
      </c>
      <c r="U358" s="12" t="s">
        <v>50</v>
      </c>
      <c r="AU358" s="12" t="s">
        <v>53</v>
      </c>
    </row>
    <row r="359" spans="1:47" s="12" customFormat="1" ht="14.4" hidden="1" x14ac:dyDescent="0.3">
      <c r="A359" s="12" t="s">
        <v>505</v>
      </c>
      <c r="B359" s="12" t="s">
        <v>1102</v>
      </c>
      <c r="C359" s="12">
        <v>70</v>
      </c>
      <c r="D359" s="12">
        <v>215</v>
      </c>
      <c r="F359" s="12" t="s">
        <v>5574</v>
      </c>
      <c r="G359" s="12" t="str">
        <f t="shared" si="7"/>
        <v>70215800220869-9</v>
      </c>
      <c r="H359" s="12" t="s">
        <v>1155</v>
      </c>
      <c r="I359" s="96" t="s">
        <v>1129</v>
      </c>
      <c r="J359" s="12" t="s">
        <v>1218</v>
      </c>
      <c r="K359" s="12" t="s">
        <v>133</v>
      </c>
      <c r="L359" s="12">
        <v>3145630682</v>
      </c>
      <c r="M359" s="12" t="s">
        <v>45</v>
      </c>
      <c r="N359" s="12" t="s">
        <v>127</v>
      </c>
      <c r="O359" s="12" t="s">
        <v>2822</v>
      </c>
      <c r="P359" s="88" t="s">
        <v>48</v>
      </c>
      <c r="Q359" s="13">
        <v>45906</v>
      </c>
      <c r="R359" s="18">
        <v>0.86499999999999999</v>
      </c>
      <c r="S359" s="12" t="s">
        <v>139</v>
      </c>
      <c r="T359" s="12" t="s">
        <v>1120</v>
      </c>
      <c r="U359" s="12" t="s">
        <v>50</v>
      </c>
      <c r="V359" s="13"/>
      <c r="W359" s="16"/>
      <c r="X359" s="13"/>
      <c r="AU359" s="12" t="s">
        <v>53</v>
      </c>
    </row>
    <row r="360" spans="1:47" s="12" customFormat="1" ht="14.4" hidden="1" x14ac:dyDescent="0.3">
      <c r="A360" s="12" t="s">
        <v>505</v>
      </c>
      <c r="B360" s="12" t="s">
        <v>1102</v>
      </c>
      <c r="C360" s="12">
        <v>70</v>
      </c>
      <c r="D360" s="12">
        <v>215</v>
      </c>
      <c r="E360" s="12" t="s">
        <v>1223</v>
      </c>
      <c r="F360" s="275" t="s">
        <v>8383</v>
      </c>
      <c r="G360" s="12" t="str">
        <f t="shared" si="7"/>
        <v>70215800228669-9</v>
      </c>
      <c r="H360" s="12" t="s">
        <v>1104</v>
      </c>
      <c r="I360" s="12" t="s">
        <v>1122</v>
      </c>
      <c r="J360" s="12" t="s">
        <v>1219</v>
      </c>
      <c r="K360" s="12" t="s">
        <v>44</v>
      </c>
      <c r="L360" s="12">
        <v>3003259728</v>
      </c>
      <c r="M360" s="12" t="s">
        <v>45</v>
      </c>
      <c r="N360" s="12" t="s">
        <v>127</v>
      </c>
      <c r="O360" s="12" t="s">
        <v>2822</v>
      </c>
      <c r="P360" s="88" t="s">
        <v>48</v>
      </c>
      <c r="Q360" s="13">
        <v>45694</v>
      </c>
      <c r="R360" s="16">
        <v>0.71</v>
      </c>
      <c r="S360" s="12" t="s">
        <v>69</v>
      </c>
      <c r="T360" s="12" t="s">
        <v>1111</v>
      </c>
      <c r="U360" s="12" t="s">
        <v>50</v>
      </c>
      <c r="V360" s="12" t="s">
        <v>1220</v>
      </c>
      <c r="W360" s="18">
        <v>0.86499999999999999</v>
      </c>
      <c r="X360" s="12" t="s">
        <v>69</v>
      </c>
      <c r="Z360" s="12" t="s">
        <v>50</v>
      </c>
      <c r="AA360" s="12" t="s">
        <v>52</v>
      </c>
      <c r="AB360" s="12" t="s">
        <v>52</v>
      </c>
      <c r="AC360" s="13">
        <v>45009</v>
      </c>
      <c r="AD360" s="16">
        <v>0.99</v>
      </c>
      <c r="AE360" s="13" t="s">
        <v>210</v>
      </c>
      <c r="AF360" s="12" t="s">
        <v>50</v>
      </c>
      <c r="AG360" s="12" t="s">
        <v>52</v>
      </c>
      <c r="AH360" s="12" t="s">
        <v>52</v>
      </c>
      <c r="AU360" s="12" t="s">
        <v>53</v>
      </c>
    </row>
    <row r="361" spans="1:47" s="12" customFormat="1" ht="14.4" hidden="1" x14ac:dyDescent="0.3">
      <c r="A361" s="12" t="s">
        <v>505</v>
      </c>
      <c r="B361" s="12" t="s">
        <v>1102</v>
      </c>
      <c r="C361" s="12">
        <v>70</v>
      </c>
      <c r="D361" s="12">
        <v>215</v>
      </c>
      <c r="E361" s="12" t="s">
        <v>1223</v>
      </c>
      <c r="F361" s="12" t="s">
        <v>8754</v>
      </c>
      <c r="G361" s="12" t="str">
        <f t="shared" si="7"/>
        <v>70215823000323-0</v>
      </c>
      <c r="H361" s="12" t="s">
        <v>1212</v>
      </c>
      <c r="I361" s="12" t="s">
        <v>1221</v>
      </c>
      <c r="J361" s="12" t="s">
        <v>1222</v>
      </c>
      <c r="K361" s="12" t="s">
        <v>44</v>
      </c>
      <c r="L361" s="12">
        <v>3116791155</v>
      </c>
      <c r="M361" s="12" t="s">
        <v>1217</v>
      </c>
      <c r="N361" s="12" t="s">
        <v>127</v>
      </c>
      <c r="O361" s="12" t="s">
        <v>2822</v>
      </c>
      <c r="P361" s="88" t="s">
        <v>48</v>
      </c>
      <c r="Q361" s="13">
        <v>44963</v>
      </c>
      <c r="R361" s="16">
        <v>0.77</v>
      </c>
      <c r="S361" s="13" t="s">
        <v>49</v>
      </c>
      <c r="U361" s="12" t="s">
        <v>50</v>
      </c>
      <c r="V361" s="13">
        <v>45036</v>
      </c>
      <c r="W361" s="16">
        <v>0.8</v>
      </c>
      <c r="X361" s="12" t="s">
        <v>49</v>
      </c>
      <c r="Z361" s="12" t="s">
        <v>50</v>
      </c>
      <c r="AA361" s="12" t="s">
        <v>52</v>
      </c>
      <c r="AB361" s="12" t="s">
        <v>52</v>
      </c>
      <c r="AU361" s="12" t="s">
        <v>53</v>
      </c>
    </row>
    <row r="362" spans="1:47" s="12" customFormat="1" ht="14.4" hidden="1" x14ac:dyDescent="0.3">
      <c r="A362" s="12" t="s">
        <v>505</v>
      </c>
      <c r="B362" s="12" t="s">
        <v>1102</v>
      </c>
      <c r="C362" s="12">
        <v>70</v>
      </c>
      <c r="D362" s="12">
        <v>215</v>
      </c>
      <c r="E362" s="12" t="s">
        <v>8279</v>
      </c>
      <c r="F362" s="275" t="s">
        <v>8753</v>
      </c>
      <c r="G362" s="12" t="str">
        <f t="shared" si="7"/>
        <v>70215800220869</v>
      </c>
      <c r="H362" s="12" t="s">
        <v>8690</v>
      </c>
      <c r="I362" s="12">
        <v>800220869</v>
      </c>
      <c r="J362" s="12" t="s">
        <v>8755</v>
      </c>
      <c r="K362" s="12" t="s">
        <v>44</v>
      </c>
      <c r="L362" s="12">
        <v>3216718814</v>
      </c>
      <c r="M362" s="12" t="s">
        <v>1131</v>
      </c>
      <c r="N362" s="12" t="s">
        <v>127</v>
      </c>
      <c r="O362" s="12" t="s">
        <v>2822</v>
      </c>
      <c r="P362" s="88" t="s">
        <v>48</v>
      </c>
      <c r="Q362" s="13">
        <v>46126</v>
      </c>
      <c r="R362" s="12">
        <v>89</v>
      </c>
      <c r="S362" s="12" t="s">
        <v>49</v>
      </c>
      <c r="U362" s="12" t="s">
        <v>50</v>
      </c>
      <c r="V362" s="13">
        <v>45154</v>
      </c>
      <c r="W362" s="16">
        <v>0.86</v>
      </c>
      <c r="X362" s="13" t="s">
        <v>49</v>
      </c>
      <c r="Z362" s="12" t="s">
        <v>50</v>
      </c>
      <c r="AU362" s="12" t="s">
        <v>53</v>
      </c>
    </row>
    <row r="363" spans="1:47" s="12" customFormat="1" ht="14.4" hidden="1" x14ac:dyDescent="0.3">
      <c r="A363" s="12" t="s">
        <v>505</v>
      </c>
      <c r="B363" s="12" t="s">
        <v>1102</v>
      </c>
      <c r="C363" s="12">
        <v>70</v>
      </c>
      <c r="D363" s="12">
        <v>215</v>
      </c>
      <c r="F363" s="12" t="s">
        <v>1223</v>
      </c>
      <c r="G363" s="12" t="str">
        <f t="shared" si="7"/>
        <v>70215823000353-0</v>
      </c>
      <c r="H363" s="12" t="s">
        <v>1224</v>
      </c>
      <c r="I363" s="12" t="s">
        <v>1105</v>
      </c>
      <c r="J363" s="12" t="s">
        <v>1225</v>
      </c>
      <c r="K363" s="12" t="s">
        <v>44</v>
      </c>
      <c r="L363" s="12" t="s">
        <v>45</v>
      </c>
      <c r="M363" s="12" t="s">
        <v>45</v>
      </c>
      <c r="N363" s="12" t="s">
        <v>127</v>
      </c>
      <c r="O363" s="12" t="s">
        <v>2822</v>
      </c>
      <c r="P363" s="88" t="s">
        <v>48</v>
      </c>
      <c r="Q363" s="13">
        <v>45254</v>
      </c>
      <c r="R363" s="16">
        <v>0.79500000000000004</v>
      </c>
      <c r="S363" s="13" t="s">
        <v>49</v>
      </c>
      <c r="U363" s="12" t="s">
        <v>50</v>
      </c>
      <c r="AU363" s="12" t="s">
        <v>53</v>
      </c>
    </row>
    <row r="364" spans="1:47" s="12" customFormat="1" ht="14.4" hidden="1" x14ac:dyDescent="0.3">
      <c r="A364" s="12" t="s">
        <v>505</v>
      </c>
      <c r="B364" s="12" t="s">
        <v>1102</v>
      </c>
      <c r="C364" s="12">
        <v>70</v>
      </c>
      <c r="D364" s="12">
        <v>215</v>
      </c>
      <c r="F364" s="12" t="s">
        <v>1226</v>
      </c>
      <c r="G364" s="12" t="str">
        <f t="shared" si="7"/>
        <v>702159000720945</v>
      </c>
      <c r="H364" s="12" t="s">
        <v>1227</v>
      </c>
      <c r="I364" s="12">
        <v>9000720945</v>
      </c>
      <c r="J364" s="12" t="s">
        <v>1228</v>
      </c>
      <c r="K364" s="12" t="s">
        <v>44</v>
      </c>
      <c r="L364" s="12">
        <v>3008970243</v>
      </c>
      <c r="M364" s="12" t="s">
        <v>1110</v>
      </c>
      <c r="N364" s="12" t="s">
        <v>127</v>
      </c>
      <c r="O364" s="12" t="s">
        <v>2822</v>
      </c>
      <c r="P364" s="88" t="s">
        <v>48</v>
      </c>
      <c r="AU364" s="12" t="s">
        <v>164</v>
      </c>
    </row>
    <row r="365" spans="1:47" s="12" customFormat="1" ht="14.4" hidden="1" x14ac:dyDescent="0.3">
      <c r="A365" s="12" t="s">
        <v>505</v>
      </c>
      <c r="B365" s="12" t="s">
        <v>1102</v>
      </c>
      <c r="C365" s="12">
        <v>70</v>
      </c>
      <c r="D365" s="12">
        <v>215</v>
      </c>
      <c r="E365" s="12" t="s">
        <v>1136</v>
      </c>
      <c r="F365" s="12" t="s">
        <v>1229</v>
      </c>
      <c r="G365" s="12" t="str">
        <f t="shared" si="7"/>
        <v>70215800220869-9</v>
      </c>
      <c r="H365" s="12" t="s">
        <v>1155</v>
      </c>
      <c r="I365" s="12" t="s">
        <v>1129</v>
      </c>
      <c r="J365" s="12" t="s">
        <v>1230</v>
      </c>
      <c r="K365" s="12" t="s">
        <v>44</v>
      </c>
      <c r="L365" s="12">
        <v>3116791155</v>
      </c>
      <c r="M365" s="93" t="s">
        <v>1157</v>
      </c>
      <c r="N365" s="12" t="s">
        <v>127</v>
      </c>
      <c r="O365" s="12" t="s">
        <v>2822</v>
      </c>
      <c r="P365" s="88" t="s">
        <v>48</v>
      </c>
      <c r="Q365" s="13">
        <v>45841</v>
      </c>
      <c r="R365" s="18">
        <v>0.875</v>
      </c>
      <c r="S365" s="12" t="s">
        <v>139</v>
      </c>
      <c r="T365" s="12" t="s">
        <v>1125</v>
      </c>
      <c r="U365" s="12" t="s">
        <v>50</v>
      </c>
      <c r="V365" s="12" t="s">
        <v>1231</v>
      </c>
      <c r="W365" s="18">
        <v>0.85499999999999998</v>
      </c>
      <c r="X365" s="12" t="s">
        <v>69</v>
      </c>
    </row>
    <row r="366" spans="1:47" s="12" customFormat="1" ht="14.4" hidden="1" x14ac:dyDescent="0.3">
      <c r="A366" s="12" t="s">
        <v>505</v>
      </c>
      <c r="B366" s="12" t="s">
        <v>1102</v>
      </c>
      <c r="C366" s="12">
        <v>70</v>
      </c>
      <c r="D366" s="12">
        <v>215</v>
      </c>
      <c r="F366" s="12" t="s">
        <v>1232</v>
      </c>
      <c r="G366" s="12" t="str">
        <f t="shared" si="7"/>
        <v>702159016134969</v>
      </c>
      <c r="H366" s="12" t="s">
        <v>1233</v>
      </c>
      <c r="I366" s="12">
        <v>9016134969</v>
      </c>
      <c r="J366" s="12" t="s">
        <v>1234</v>
      </c>
      <c r="K366" s="12" t="s">
        <v>44</v>
      </c>
      <c r="L366" s="12" t="s">
        <v>45</v>
      </c>
      <c r="M366" s="12" t="s">
        <v>45</v>
      </c>
      <c r="N366" s="12" t="s">
        <v>780</v>
      </c>
      <c r="O366" s="12" t="s">
        <v>260</v>
      </c>
      <c r="P366" s="88" t="s">
        <v>261</v>
      </c>
      <c r="Q366" s="13">
        <v>45597</v>
      </c>
      <c r="R366" s="16">
        <v>0.88500000000000001</v>
      </c>
      <c r="S366" s="13" t="s">
        <v>49</v>
      </c>
      <c r="U366" s="12" t="s">
        <v>60</v>
      </c>
      <c r="AU366" s="12" t="s">
        <v>53</v>
      </c>
    </row>
    <row r="367" spans="1:47" s="12" customFormat="1" ht="14.4" hidden="1" x14ac:dyDescent="0.3">
      <c r="A367" s="12" t="s">
        <v>505</v>
      </c>
      <c r="B367" s="12" t="s">
        <v>1102</v>
      </c>
      <c r="C367" s="12">
        <v>70</v>
      </c>
      <c r="D367" s="12">
        <v>215</v>
      </c>
      <c r="F367" s="12" t="s">
        <v>1235</v>
      </c>
      <c r="G367" s="12" t="str">
        <f t="shared" si="7"/>
        <v>702151100628382-9</v>
      </c>
      <c r="H367" s="12" t="s">
        <v>1236</v>
      </c>
      <c r="I367" s="12" t="s">
        <v>1237</v>
      </c>
      <c r="J367" s="12" t="s">
        <v>1238</v>
      </c>
      <c r="K367" s="12" t="s">
        <v>44</v>
      </c>
      <c r="L367" s="12" t="s">
        <v>45</v>
      </c>
      <c r="M367" s="12" t="s">
        <v>45</v>
      </c>
      <c r="N367" s="12" t="s">
        <v>780</v>
      </c>
      <c r="O367" s="12" t="s">
        <v>260</v>
      </c>
      <c r="P367" s="88" t="s">
        <v>261</v>
      </c>
      <c r="Q367" s="13">
        <v>45589</v>
      </c>
      <c r="R367" s="16">
        <v>0.82499999999999996</v>
      </c>
      <c r="S367" s="13" t="s">
        <v>49</v>
      </c>
      <c r="U367" s="12" t="s">
        <v>60</v>
      </c>
      <c r="AU367" s="12" t="s">
        <v>53</v>
      </c>
    </row>
    <row r="368" spans="1:47" s="12" customFormat="1" ht="14.4" hidden="1" x14ac:dyDescent="0.3">
      <c r="A368" s="12" t="s">
        <v>505</v>
      </c>
      <c r="B368" s="12" t="s">
        <v>1102</v>
      </c>
      <c r="C368" s="12">
        <v>70</v>
      </c>
      <c r="D368" s="12">
        <v>215</v>
      </c>
      <c r="F368" s="12" t="s">
        <v>1239</v>
      </c>
      <c r="G368" s="12" t="str">
        <f t="shared" si="7"/>
        <v>7021570289203</v>
      </c>
      <c r="H368" s="12" t="s">
        <v>1240</v>
      </c>
      <c r="I368" s="12">
        <v>70289203</v>
      </c>
      <c r="J368" s="12" t="s">
        <v>1241</v>
      </c>
      <c r="K368" s="12" t="s">
        <v>44</v>
      </c>
      <c r="L368" s="12" t="s">
        <v>45</v>
      </c>
      <c r="M368" s="12" t="s">
        <v>45</v>
      </c>
      <c r="N368" s="12" t="s">
        <v>780</v>
      </c>
      <c r="O368" s="12" t="s">
        <v>260</v>
      </c>
      <c r="P368" s="88" t="s">
        <v>261</v>
      </c>
      <c r="Q368" s="13">
        <v>45558</v>
      </c>
      <c r="R368" s="16">
        <v>0.94</v>
      </c>
      <c r="S368" s="13" t="s">
        <v>210</v>
      </c>
      <c r="U368" s="12" t="s">
        <v>60</v>
      </c>
      <c r="AU368" s="12" t="s">
        <v>53</v>
      </c>
    </row>
    <row r="369" spans="1:47" s="12" customFormat="1" ht="14.4" hidden="1" x14ac:dyDescent="0.3">
      <c r="A369" s="12" t="s">
        <v>505</v>
      </c>
      <c r="B369" s="12" t="s">
        <v>1102</v>
      </c>
      <c r="C369" s="12">
        <v>70</v>
      </c>
      <c r="D369" s="12">
        <v>215</v>
      </c>
      <c r="F369" s="12" t="s">
        <v>1242</v>
      </c>
      <c r="G369" s="12" t="str">
        <f t="shared" si="7"/>
        <v>702157675617</v>
      </c>
      <c r="H369" s="12" t="s">
        <v>1243</v>
      </c>
      <c r="I369" s="12">
        <v>7675617</v>
      </c>
      <c r="J369" s="12" t="s">
        <v>1244</v>
      </c>
      <c r="K369" s="12" t="s">
        <v>44</v>
      </c>
      <c r="L369" s="12" t="s">
        <v>45</v>
      </c>
      <c r="M369" s="12" t="s">
        <v>45</v>
      </c>
      <c r="N369" s="12" t="s">
        <v>780</v>
      </c>
      <c r="O369" s="12" t="s">
        <v>260</v>
      </c>
      <c r="P369" s="88" t="s">
        <v>261</v>
      </c>
      <c r="Q369" s="13">
        <v>45583</v>
      </c>
      <c r="R369" s="16">
        <v>0.87</v>
      </c>
      <c r="S369" s="13" t="s">
        <v>49</v>
      </c>
      <c r="U369" s="12" t="s">
        <v>60</v>
      </c>
      <c r="V369" s="13" t="s">
        <v>1245</v>
      </c>
      <c r="W369" s="16">
        <v>0.85499999999999998</v>
      </c>
      <c r="X369" s="13" t="s">
        <v>49</v>
      </c>
      <c r="Z369" s="12" t="s">
        <v>50</v>
      </c>
      <c r="AA369" s="12" t="s">
        <v>52</v>
      </c>
      <c r="AB369" s="12" t="s">
        <v>52</v>
      </c>
      <c r="AU369" s="12" t="s">
        <v>53</v>
      </c>
    </row>
    <row r="370" spans="1:47" s="12" customFormat="1" ht="14.4" hidden="1" x14ac:dyDescent="0.3">
      <c r="A370" s="12" t="s">
        <v>505</v>
      </c>
      <c r="B370" s="12" t="s">
        <v>1102</v>
      </c>
      <c r="C370" s="12">
        <v>70</v>
      </c>
      <c r="D370" s="12">
        <v>215</v>
      </c>
      <c r="F370" s="12" t="s">
        <v>1246</v>
      </c>
      <c r="G370" s="12" t="str">
        <f t="shared" si="7"/>
        <v>7021592551009</v>
      </c>
      <c r="H370" s="12" t="s">
        <v>1247</v>
      </c>
      <c r="I370" s="12">
        <v>92551009</v>
      </c>
      <c r="J370" s="12" t="s">
        <v>1248</v>
      </c>
      <c r="K370" s="12" t="s">
        <v>44</v>
      </c>
      <c r="L370" s="12" t="s">
        <v>45</v>
      </c>
      <c r="M370" s="12" t="s">
        <v>45</v>
      </c>
      <c r="N370" s="12" t="s">
        <v>780</v>
      </c>
      <c r="O370" s="12" t="s">
        <v>260</v>
      </c>
      <c r="P370" s="88" t="s">
        <v>261</v>
      </c>
      <c r="Q370" s="13">
        <v>45611</v>
      </c>
      <c r="R370" s="16">
        <v>0.87</v>
      </c>
      <c r="S370" s="13" t="s">
        <v>49</v>
      </c>
      <c r="U370" s="12" t="s">
        <v>60</v>
      </c>
      <c r="AU370" s="12" t="s">
        <v>53</v>
      </c>
    </row>
    <row r="371" spans="1:47" s="12" customFormat="1" ht="14.4" hidden="1" x14ac:dyDescent="0.3">
      <c r="A371" s="12" t="s">
        <v>505</v>
      </c>
      <c r="B371" s="12" t="s">
        <v>1102</v>
      </c>
      <c r="C371" s="12">
        <v>70</v>
      </c>
      <c r="D371" s="12">
        <v>215</v>
      </c>
      <c r="F371" s="12" t="s">
        <v>1249</v>
      </c>
      <c r="G371" s="12" t="str">
        <f t="shared" si="7"/>
        <v>702151100685322</v>
      </c>
      <c r="H371" s="12" t="s">
        <v>1250</v>
      </c>
      <c r="I371" s="12">
        <v>1100685322</v>
      </c>
      <c r="J371" s="12" t="s">
        <v>1251</v>
      </c>
      <c r="K371" s="12" t="s">
        <v>44</v>
      </c>
      <c r="L371" s="12" t="s">
        <v>45</v>
      </c>
      <c r="M371" s="12" t="s">
        <v>45</v>
      </c>
      <c r="N371" s="12" t="s">
        <v>780</v>
      </c>
      <c r="O371" s="12" t="s">
        <v>260</v>
      </c>
      <c r="P371" s="88" t="s">
        <v>261</v>
      </c>
      <c r="Q371" s="13">
        <v>45602</v>
      </c>
      <c r="R371" s="16">
        <v>0.8</v>
      </c>
      <c r="S371" s="13" t="s">
        <v>49</v>
      </c>
      <c r="U371" s="12" t="s">
        <v>60</v>
      </c>
      <c r="AU371" s="12" t="s">
        <v>53</v>
      </c>
    </row>
    <row r="372" spans="1:47" s="12" customFormat="1" ht="14.4" hidden="1" x14ac:dyDescent="0.3">
      <c r="A372" s="12" t="s">
        <v>505</v>
      </c>
      <c r="B372" s="12" t="s">
        <v>1102</v>
      </c>
      <c r="C372" s="12">
        <v>70</v>
      </c>
      <c r="D372" s="12">
        <v>215</v>
      </c>
      <c r="F372" s="12" t="s">
        <v>1252</v>
      </c>
      <c r="G372" s="12" t="str">
        <f t="shared" si="7"/>
        <v>7021592558887</v>
      </c>
      <c r="H372" s="12" t="s">
        <v>1253</v>
      </c>
      <c r="I372" s="12">
        <v>92558887</v>
      </c>
      <c r="J372" s="12" t="s">
        <v>1254</v>
      </c>
      <c r="K372" s="12" t="s">
        <v>44</v>
      </c>
      <c r="L372" s="12" t="s">
        <v>45</v>
      </c>
      <c r="M372" s="12" t="s">
        <v>45</v>
      </c>
      <c r="N372" s="12" t="s">
        <v>780</v>
      </c>
      <c r="O372" s="12" t="s">
        <v>260</v>
      </c>
      <c r="P372" s="88" t="s">
        <v>261</v>
      </c>
      <c r="Q372" s="13">
        <v>45597</v>
      </c>
      <c r="R372" s="16">
        <v>0.82</v>
      </c>
      <c r="S372" s="13" t="s">
        <v>49</v>
      </c>
      <c r="U372" s="12" t="s">
        <v>60</v>
      </c>
      <c r="AU372" s="12" t="s">
        <v>53</v>
      </c>
    </row>
    <row r="373" spans="1:47" s="12" customFormat="1" ht="14.4" hidden="1" x14ac:dyDescent="0.3">
      <c r="A373" s="12" t="s">
        <v>505</v>
      </c>
      <c r="B373" s="12" t="s">
        <v>1102</v>
      </c>
      <c r="C373" s="12">
        <v>70</v>
      </c>
      <c r="D373" s="12">
        <v>215</v>
      </c>
      <c r="F373" s="12" t="s">
        <v>1255</v>
      </c>
      <c r="G373" s="12" t="str">
        <f t="shared" si="7"/>
        <v>702151103113866</v>
      </c>
      <c r="H373" s="12" t="s">
        <v>1256</v>
      </c>
      <c r="I373" s="12">
        <v>1103113866</v>
      </c>
      <c r="J373" s="12" t="s">
        <v>1257</v>
      </c>
      <c r="K373" s="12" t="s">
        <v>44</v>
      </c>
      <c r="L373" s="12" t="s">
        <v>45</v>
      </c>
      <c r="M373" s="12" t="s">
        <v>45</v>
      </c>
      <c r="N373" s="12" t="s">
        <v>780</v>
      </c>
      <c r="O373" s="12" t="s">
        <v>260</v>
      </c>
      <c r="P373" s="88" t="s">
        <v>261</v>
      </c>
      <c r="Q373" s="13">
        <v>45596</v>
      </c>
      <c r="R373" s="16">
        <v>0.87</v>
      </c>
      <c r="S373" s="13" t="s">
        <v>49</v>
      </c>
      <c r="U373" s="12" t="s">
        <v>60</v>
      </c>
      <c r="AU373" s="12" t="s">
        <v>53</v>
      </c>
    </row>
    <row r="374" spans="1:47" s="12" customFormat="1" ht="14.4" hidden="1" x14ac:dyDescent="0.3">
      <c r="A374" s="12" t="s">
        <v>505</v>
      </c>
      <c r="B374" s="12" t="s">
        <v>1102</v>
      </c>
      <c r="C374" s="12">
        <v>70</v>
      </c>
      <c r="D374" s="12">
        <v>215</v>
      </c>
      <c r="F374" s="12" t="s">
        <v>1258</v>
      </c>
      <c r="G374" s="12" t="str">
        <f t="shared" si="7"/>
        <v>7021517615686</v>
      </c>
      <c r="H374" s="12" t="s">
        <v>1259</v>
      </c>
      <c r="I374" s="12">
        <v>17615686</v>
      </c>
      <c r="J374" s="12" t="s">
        <v>1260</v>
      </c>
      <c r="K374" s="12" t="s">
        <v>44</v>
      </c>
      <c r="L374" s="12" t="s">
        <v>45</v>
      </c>
      <c r="M374" s="12" t="s">
        <v>45</v>
      </c>
      <c r="N374" s="12" t="s">
        <v>780</v>
      </c>
      <c r="O374" s="12" t="s">
        <v>260</v>
      </c>
      <c r="P374" s="88" t="s">
        <v>261</v>
      </c>
      <c r="Q374" s="13">
        <v>45594</v>
      </c>
      <c r="R374" s="16">
        <v>0.8</v>
      </c>
      <c r="S374" s="13" t="s">
        <v>49</v>
      </c>
      <c r="U374" s="12" t="s">
        <v>60</v>
      </c>
      <c r="V374" s="13">
        <v>44628</v>
      </c>
      <c r="W374" s="16">
        <v>0.81</v>
      </c>
      <c r="X374" s="13" t="s">
        <v>49</v>
      </c>
      <c r="Z374" s="12" t="s">
        <v>50</v>
      </c>
      <c r="AA374" s="12" t="s">
        <v>52</v>
      </c>
      <c r="AB374" s="12" t="s">
        <v>52</v>
      </c>
      <c r="AU374" s="12" t="s">
        <v>53</v>
      </c>
    </row>
    <row r="375" spans="1:47" s="12" customFormat="1" ht="14.4" hidden="1" x14ac:dyDescent="0.3">
      <c r="A375" s="12" t="s">
        <v>505</v>
      </c>
      <c r="B375" s="12" t="s">
        <v>1102</v>
      </c>
      <c r="C375" s="12">
        <v>70</v>
      </c>
      <c r="D375" s="12">
        <v>215</v>
      </c>
      <c r="F375" s="12" t="s">
        <v>302</v>
      </c>
      <c r="G375" s="12" t="str">
        <f t="shared" si="7"/>
        <v>702153839039</v>
      </c>
      <c r="H375" s="12" t="s">
        <v>1261</v>
      </c>
      <c r="I375" s="12">
        <v>3839039</v>
      </c>
      <c r="J375" s="12" t="s">
        <v>1262</v>
      </c>
      <c r="K375" s="12" t="s">
        <v>44</v>
      </c>
      <c r="L375" s="12" t="s">
        <v>45</v>
      </c>
      <c r="M375" s="12" t="s">
        <v>45</v>
      </c>
      <c r="N375" s="12" t="s">
        <v>780</v>
      </c>
      <c r="O375" s="12" t="s">
        <v>260</v>
      </c>
      <c r="P375" s="88" t="s">
        <v>261</v>
      </c>
      <c r="Q375" s="13">
        <v>45597</v>
      </c>
      <c r="R375" s="16">
        <v>0.75</v>
      </c>
      <c r="S375" s="13" t="s">
        <v>49</v>
      </c>
      <c r="U375" s="12" t="s">
        <v>60</v>
      </c>
      <c r="AU375" s="12" t="s">
        <v>53</v>
      </c>
    </row>
    <row r="376" spans="1:47" s="12" customFormat="1" ht="14.4" hidden="1" x14ac:dyDescent="0.3">
      <c r="A376" s="12" t="s">
        <v>505</v>
      </c>
      <c r="B376" s="12" t="s">
        <v>1102</v>
      </c>
      <c r="C376" s="12">
        <v>70</v>
      </c>
      <c r="D376" s="12">
        <v>215</v>
      </c>
      <c r="F376" s="12" t="s">
        <v>1263</v>
      </c>
      <c r="G376" s="12" t="str">
        <f t="shared" si="7"/>
        <v>702151103094445</v>
      </c>
      <c r="H376" s="12" t="s">
        <v>1264</v>
      </c>
      <c r="I376" s="12">
        <v>1103094445</v>
      </c>
      <c r="J376" s="12" t="s">
        <v>1265</v>
      </c>
      <c r="K376" s="12" t="s">
        <v>44</v>
      </c>
      <c r="L376" s="12">
        <v>3003293904</v>
      </c>
      <c r="M376" s="12" t="s">
        <v>45</v>
      </c>
      <c r="N376" s="12" t="s">
        <v>780</v>
      </c>
      <c r="O376" s="12" t="s">
        <v>260</v>
      </c>
      <c r="P376" s="88" t="s">
        <v>261</v>
      </c>
      <c r="Q376" s="12" t="s">
        <v>378</v>
      </c>
      <c r="R376" s="18">
        <v>0.66600000000000004</v>
      </c>
      <c r="S376" s="13" t="s">
        <v>49</v>
      </c>
      <c r="T376" s="12" t="s">
        <v>1125</v>
      </c>
      <c r="U376" s="12" t="s">
        <v>60</v>
      </c>
      <c r="W376" s="16"/>
      <c r="AU376" s="12" t="s">
        <v>53</v>
      </c>
    </row>
    <row r="377" spans="1:47" s="12" customFormat="1" ht="14.4" hidden="1" x14ac:dyDescent="0.3">
      <c r="A377" s="12" t="s">
        <v>505</v>
      </c>
      <c r="B377" s="12" t="s">
        <v>1102</v>
      </c>
      <c r="C377" s="12">
        <v>70</v>
      </c>
      <c r="D377" s="12">
        <v>215</v>
      </c>
      <c r="F377" s="12" t="s">
        <v>1266</v>
      </c>
      <c r="G377" s="12" t="str">
        <f t="shared" si="7"/>
        <v>7021564741922</v>
      </c>
      <c r="H377" s="12" t="s">
        <v>1267</v>
      </c>
      <c r="I377" s="12">
        <v>64741922</v>
      </c>
      <c r="J377" s="12" t="s">
        <v>1268</v>
      </c>
      <c r="K377" s="12" t="s">
        <v>44</v>
      </c>
      <c r="L377" s="12" t="s">
        <v>45</v>
      </c>
      <c r="M377" s="12" t="s">
        <v>45</v>
      </c>
      <c r="N377" s="12" t="s">
        <v>780</v>
      </c>
      <c r="O377" s="12" t="s">
        <v>260</v>
      </c>
      <c r="P377" s="88" t="s">
        <v>261</v>
      </c>
      <c r="Q377" s="13">
        <v>45609</v>
      </c>
      <c r="R377" s="16">
        <v>0.87</v>
      </c>
      <c r="S377" s="13" t="s">
        <v>49</v>
      </c>
      <c r="U377" s="12" t="s">
        <v>50</v>
      </c>
      <c r="V377" s="13">
        <v>44284</v>
      </c>
      <c r="W377" s="16">
        <v>0.89</v>
      </c>
      <c r="X377" s="13" t="s">
        <v>49</v>
      </c>
      <c r="Z377" s="12" t="s">
        <v>50</v>
      </c>
      <c r="AA377" s="12" t="s">
        <v>52</v>
      </c>
      <c r="AB377" s="12" t="s">
        <v>52</v>
      </c>
      <c r="AU377" s="12" t="s">
        <v>53</v>
      </c>
    </row>
    <row r="378" spans="1:47" s="12" customFormat="1" ht="14.4" hidden="1" x14ac:dyDescent="0.3">
      <c r="A378" s="12" t="s">
        <v>505</v>
      </c>
      <c r="B378" s="12" t="s">
        <v>1102</v>
      </c>
      <c r="C378" s="12">
        <v>70</v>
      </c>
      <c r="D378" s="12">
        <v>215</v>
      </c>
      <c r="F378" s="12" t="s">
        <v>1269</v>
      </c>
      <c r="G378" s="12" t="str">
        <f t="shared" si="7"/>
        <v>702153839658</v>
      </c>
      <c r="H378" s="12" t="s">
        <v>1270</v>
      </c>
      <c r="I378" s="12">
        <v>3839658</v>
      </c>
      <c r="J378" s="12" t="s">
        <v>1271</v>
      </c>
      <c r="K378" s="12" t="s">
        <v>44</v>
      </c>
      <c r="L378" s="12" t="s">
        <v>45</v>
      </c>
      <c r="M378" s="12" t="s">
        <v>45</v>
      </c>
      <c r="N378" s="12" t="s">
        <v>780</v>
      </c>
      <c r="O378" s="12" t="s">
        <v>260</v>
      </c>
      <c r="P378" s="88" t="s">
        <v>261</v>
      </c>
      <c r="Q378" s="13">
        <v>45604</v>
      </c>
      <c r="R378" s="16">
        <v>0.76</v>
      </c>
      <c r="S378" s="13" t="s">
        <v>49</v>
      </c>
      <c r="U378" s="12" t="s">
        <v>50</v>
      </c>
      <c r="V378" s="13" t="s">
        <v>1272</v>
      </c>
      <c r="W378" s="16">
        <v>0.78</v>
      </c>
      <c r="X378" s="13" t="s">
        <v>49</v>
      </c>
      <c r="Z378" s="12" t="s">
        <v>50</v>
      </c>
      <c r="AA378" s="12" t="s">
        <v>52</v>
      </c>
      <c r="AB378" s="12" t="s">
        <v>52</v>
      </c>
      <c r="AC378" s="12" t="s">
        <v>682</v>
      </c>
      <c r="AD378" s="16">
        <v>0.69750000000000001</v>
      </c>
      <c r="AE378" s="12" t="s">
        <v>49</v>
      </c>
      <c r="AF378" s="12" t="s">
        <v>50</v>
      </c>
      <c r="AG378" s="12" t="s">
        <v>52</v>
      </c>
      <c r="AH378" s="12" t="s">
        <v>52</v>
      </c>
      <c r="AU378" s="12" t="s">
        <v>53</v>
      </c>
    </row>
    <row r="379" spans="1:47" s="12" customFormat="1" ht="14.4" hidden="1" x14ac:dyDescent="0.3">
      <c r="A379" s="12" t="s">
        <v>505</v>
      </c>
      <c r="B379" s="12" t="s">
        <v>1102</v>
      </c>
      <c r="C379" s="12">
        <v>70</v>
      </c>
      <c r="D379" s="12">
        <v>215</v>
      </c>
      <c r="F379" s="12" t="s">
        <v>1273</v>
      </c>
      <c r="G379" s="12" t="str">
        <f t="shared" si="7"/>
        <v>7021592028222</v>
      </c>
      <c r="H379" s="12" t="s">
        <v>1274</v>
      </c>
      <c r="I379" s="12">
        <v>92028222</v>
      </c>
      <c r="J379" s="12" t="s">
        <v>1275</v>
      </c>
      <c r="K379" s="12" t="s">
        <v>44</v>
      </c>
      <c r="L379" s="12" t="s">
        <v>45</v>
      </c>
      <c r="M379" s="12" t="s">
        <v>45</v>
      </c>
      <c r="N379" s="12" t="s">
        <v>780</v>
      </c>
      <c r="O379" s="12" t="s">
        <v>260</v>
      </c>
      <c r="P379" s="88" t="s">
        <v>261</v>
      </c>
      <c r="Q379" s="13">
        <v>45611</v>
      </c>
      <c r="R379" s="16">
        <v>0.93</v>
      </c>
      <c r="S379" s="13" t="s">
        <v>210</v>
      </c>
      <c r="U379" s="12" t="s">
        <v>50</v>
      </c>
      <c r="V379" s="13">
        <v>44462</v>
      </c>
      <c r="W379" s="16">
        <v>0.68500000000000005</v>
      </c>
      <c r="X379" s="13" t="s">
        <v>49</v>
      </c>
      <c r="Z379" s="12" t="s">
        <v>50</v>
      </c>
      <c r="AA379" s="12" t="s">
        <v>52</v>
      </c>
      <c r="AB379" s="12" t="s">
        <v>52</v>
      </c>
      <c r="AU379" s="12" t="s">
        <v>53</v>
      </c>
    </row>
    <row r="380" spans="1:47" s="12" customFormat="1" ht="14.4" hidden="1" x14ac:dyDescent="0.3">
      <c r="A380" s="12" t="s">
        <v>505</v>
      </c>
      <c r="B380" s="12" t="s">
        <v>1102</v>
      </c>
      <c r="C380" s="12">
        <v>70</v>
      </c>
      <c r="D380" s="12">
        <v>215</v>
      </c>
      <c r="F380" s="12" t="s">
        <v>1276</v>
      </c>
      <c r="G380" s="12" t="str">
        <f t="shared" si="7"/>
        <v>7021570698252</v>
      </c>
      <c r="H380" s="12" t="s">
        <v>1277</v>
      </c>
      <c r="I380" s="12">
        <v>70698252</v>
      </c>
      <c r="J380" s="12" t="s">
        <v>1278</v>
      </c>
      <c r="K380" s="12" t="s">
        <v>44</v>
      </c>
      <c r="L380" s="12" t="s">
        <v>45</v>
      </c>
      <c r="M380" s="12" t="s">
        <v>45</v>
      </c>
      <c r="N380" s="12" t="s">
        <v>780</v>
      </c>
      <c r="O380" s="12" t="s">
        <v>260</v>
      </c>
      <c r="P380" s="88" t="s">
        <v>261</v>
      </c>
      <c r="Q380" s="13">
        <v>45611</v>
      </c>
      <c r="R380" s="16">
        <v>0.96499999999999997</v>
      </c>
      <c r="S380" s="13" t="s">
        <v>210</v>
      </c>
      <c r="U380" s="12" t="s">
        <v>50</v>
      </c>
      <c r="V380" s="13">
        <v>44495</v>
      </c>
      <c r="W380" s="16">
        <v>0.86499999999999999</v>
      </c>
      <c r="X380" s="13" t="s">
        <v>49</v>
      </c>
      <c r="Z380" s="12" t="s">
        <v>50</v>
      </c>
      <c r="AA380" s="12" t="s">
        <v>52</v>
      </c>
      <c r="AB380" s="12" t="s">
        <v>52</v>
      </c>
      <c r="AU380" s="12" t="s">
        <v>53</v>
      </c>
    </row>
    <row r="381" spans="1:47" s="12" customFormat="1" ht="14.4" hidden="1" x14ac:dyDescent="0.3">
      <c r="A381" s="12" t="s">
        <v>505</v>
      </c>
      <c r="B381" s="12" t="s">
        <v>1102</v>
      </c>
      <c r="C381" s="12">
        <v>70</v>
      </c>
      <c r="D381" s="12">
        <v>215</v>
      </c>
      <c r="F381" s="12" t="s">
        <v>1279</v>
      </c>
      <c r="G381" s="12" t="str">
        <f t="shared" si="7"/>
        <v>7021570693328</v>
      </c>
      <c r="H381" s="12" t="s">
        <v>1280</v>
      </c>
      <c r="I381" s="12">
        <v>70693328</v>
      </c>
      <c r="J381" s="12" t="s">
        <v>1281</v>
      </c>
      <c r="K381" s="12" t="s">
        <v>44</v>
      </c>
      <c r="L381" s="12" t="s">
        <v>45</v>
      </c>
      <c r="M381" s="12" t="s">
        <v>45</v>
      </c>
      <c r="N381" s="12" t="s">
        <v>780</v>
      </c>
      <c r="O381" s="12" t="s">
        <v>260</v>
      </c>
      <c r="P381" s="88" t="s">
        <v>261</v>
      </c>
      <c r="Q381" s="13">
        <v>45602</v>
      </c>
      <c r="R381" s="16">
        <v>0.78</v>
      </c>
      <c r="S381" s="13" t="s">
        <v>49</v>
      </c>
      <c r="U381" s="12" t="s">
        <v>50</v>
      </c>
      <c r="V381" s="13">
        <v>44468</v>
      </c>
      <c r="W381" s="16">
        <v>0.81499999999999995</v>
      </c>
      <c r="X381" s="13" t="s">
        <v>49</v>
      </c>
      <c r="Z381" s="12" t="s">
        <v>50</v>
      </c>
      <c r="AA381" s="12" t="s">
        <v>52</v>
      </c>
      <c r="AB381" s="12" t="s">
        <v>52</v>
      </c>
      <c r="AU381" s="12" t="s">
        <v>53</v>
      </c>
    </row>
    <row r="382" spans="1:47" s="12" customFormat="1" ht="14.4" hidden="1" x14ac:dyDescent="0.3">
      <c r="A382" s="12" t="s">
        <v>505</v>
      </c>
      <c r="B382" s="12" t="s">
        <v>1102</v>
      </c>
      <c r="C382" s="12">
        <v>70</v>
      </c>
      <c r="D382" s="12">
        <v>215</v>
      </c>
      <c r="F382" s="12" t="s">
        <v>1282</v>
      </c>
      <c r="G382" s="12" t="str">
        <f t="shared" si="7"/>
        <v>7021518777964</v>
      </c>
      <c r="H382" s="12" t="s">
        <v>1283</v>
      </c>
      <c r="I382" s="12">
        <v>18777964</v>
      </c>
      <c r="J382" s="12" t="s">
        <v>1284</v>
      </c>
      <c r="K382" s="12" t="s">
        <v>44</v>
      </c>
      <c r="L382" s="12" t="s">
        <v>45</v>
      </c>
      <c r="M382" s="12" t="s">
        <v>45</v>
      </c>
      <c r="N382" s="12" t="s">
        <v>780</v>
      </c>
      <c r="O382" s="12" t="s">
        <v>260</v>
      </c>
      <c r="P382" s="88" t="s">
        <v>261</v>
      </c>
      <c r="Q382" s="13">
        <v>45610</v>
      </c>
      <c r="R382" s="16">
        <v>0.84</v>
      </c>
      <c r="S382" s="13" t="s">
        <v>49</v>
      </c>
      <c r="U382" s="12" t="s">
        <v>50</v>
      </c>
      <c r="AU382" s="12" t="s">
        <v>53</v>
      </c>
    </row>
    <row r="383" spans="1:47" s="12" customFormat="1" ht="14.4" hidden="1" x14ac:dyDescent="0.3">
      <c r="A383" s="12" t="s">
        <v>505</v>
      </c>
      <c r="B383" s="12" t="s">
        <v>1102</v>
      </c>
      <c r="C383" s="12">
        <v>70</v>
      </c>
      <c r="D383" s="12">
        <v>215</v>
      </c>
      <c r="F383" s="12" t="s">
        <v>1285</v>
      </c>
      <c r="G383" s="12" t="str">
        <f t="shared" si="7"/>
        <v>702151104011189</v>
      </c>
      <c r="H383" s="12" t="s">
        <v>1286</v>
      </c>
      <c r="I383" s="12">
        <v>1104011189</v>
      </c>
      <c r="J383" s="12" t="s">
        <v>1287</v>
      </c>
      <c r="K383" s="12" t="s">
        <v>44</v>
      </c>
      <c r="L383" s="12" t="s">
        <v>45</v>
      </c>
      <c r="M383" s="12" t="s">
        <v>45</v>
      </c>
      <c r="N383" s="12" t="s">
        <v>780</v>
      </c>
      <c r="O383" s="12" t="s">
        <v>260</v>
      </c>
      <c r="P383" s="88" t="s">
        <v>261</v>
      </c>
      <c r="Q383" s="13">
        <v>45608</v>
      </c>
      <c r="R383" s="16">
        <v>0.84</v>
      </c>
      <c r="S383" s="13" t="s">
        <v>49</v>
      </c>
      <c r="U383" s="12" t="s">
        <v>50</v>
      </c>
      <c r="AU383" s="12" t="s">
        <v>53</v>
      </c>
    </row>
    <row r="384" spans="1:47" s="12" customFormat="1" ht="14.4" hidden="1" x14ac:dyDescent="0.3">
      <c r="A384" s="12" t="s">
        <v>505</v>
      </c>
      <c r="B384" s="12" t="s">
        <v>1102</v>
      </c>
      <c r="C384" s="12">
        <v>70</v>
      </c>
      <c r="D384" s="12">
        <v>215</v>
      </c>
      <c r="F384" s="12" t="s">
        <v>1288</v>
      </c>
      <c r="G384" s="12" t="str">
        <f t="shared" si="7"/>
        <v>702159313439</v>
      </c>
      <c r="H384" s="12" t="s">
        <v>1289</v>
      </c>
      <c r="I384" s="12">
        <v>9313439</v>
      </c>
      <c r="J384" s="12" t="s">
        <v>1290</v>
      </c>
      <c r="K384" s="12" t="s">
        <v>44</v>
      </c>
      <c r="L384" s="12" t="s">
        <v>45</v>
      </c>
      <c r="M384" s="12" t="s">
        <v>45</v>
      </c>
      <c r="N384" s="12" t="s">
        <v>780</v>
      </c>
      <c r="O384" s="12" t="s">
        <v>260</v>
      </c>
      <c r="P384" s="88" t="s">
        <v>261</v>
      </c>
      <c r="Q384" s="13">
        <v>45608</v>
      </c>
      <c r="R384" s="16">
        <v>0.85</v>
      </c>
      <c r="S384" s="13" t="s">
        <v>49</v>
      </c>
      <c r="T384" s="12" t="s">
        <v>1291</v>
      </c>
      <c r="U384" s="12" t="s">
        <v>50</v>
      </c>
      <c r="V384" s="13"/>
      <c r="W384" s="16"/>
      <c r="X384" s="13"/>
      <c r="AU384" s="12" t="s">
        <v>53</v>
      </c>
    </row>
    <row r="385" spans="1:47" s="12" customFormat="1" ht="14.4" hidden="1" x14ac:dyDescent="0.3">
      <c r="A385" s="12" t="s">
        <v>505</v>
      </c>
      <c r="B385" s="12" t="s">
        <v>1102</v>
      </c>
      <c r="C385" s="12">
        <v>70</v>
      </c>
      <c r="D385" s="12">
        <v>215</v>
      </c>
      <c r="F385" s="12" t="s">
        <v>1292</v>
      </c>
      <c r="G385" s="12" t="str">
        <f t="shared" si="7"/>
        <v>7021555065130</v>
      </c>
      <c r="H385" s="12" t="s">
        <v>1293</v>
      </c>
      <c r="I385" s="12">
        <v>55065130</v>
      </c>
      <c r="J385" s="12" t="s">
        <v>1294</v>
      </c>
      <c r="K385" s="12" t="s">
        <v>44</v>
      </c>
      <c r="L385" s="12" t="s">
        <v>45</v>
      </c>
      <c r="M385" s="12" t="s">
        <v>45</v>
      </c>
      <c r="N385" s="12" t="s">
        <v>780</v>
      </c>
      <c r="O385" s="12" t="s">
        <v>260</v>
      </c>
      <c r="P385" s="88" t="s">
        <v>261</v>
      </c>
      <c r="Q385" s="13">
        <v>45590</v>
      </c>
      <c r="R385" s="16">
        <v>0.78500000000000003</v>
      </c>
      <c r="S385" s="13" t="s">
        <v>49</v>
      </c>
      <c r="U385" s="12" t="s">
        <v>60</v>
      </c>
      <c r="V385" s="13">
        <v>44782</v>
      </c>
      <c r="W385" s="16">
        <v>0.96499999999999997</v>
      </c>
      <c r="X385" s="13" t="s">
        <v>210</v>
      </c>
      <c r="Z385" s="12" t="s">
        <v>50</v>
      </c>
      <c r="AA385" s="12" t="s">
        <v>52</v>
      </c>
      <c r="AB385" s="12" t="s">
        <v>52</v>
      </c>
      <c r="AU385" s="12" t="s">
        <v>53</v>
      </c>
    </row>
    <row r="386" spans="1:47" s="12" customFormat="1" ht="14.4" hidden="1" x14ac:dyDescent="0.3">
      <c r="A386" s="12" t="s">
        <v>505</v>
      </c>
      <c r="B386" s="12" t="s">
        <v>1102</v>
      </c>
      <c r="C386" s="12">
        <v>70</v>
      </c>
      <c r="D386" s="12">
        <v>215</v>
      </c>
      <c r="F386" s="12" t="s">
        <v>1295</v>
      </c>
      <c r="G386" s="12" t="str">
        <f t="shared" si="7"/>
        <v>702151102879465</v>
      </c>
      <c r="H386" s="12" t="s">
        <v>1296</v>
      </c>
      <c r="I386" s="12">
        <v>1102879465</v>
      </c>
      <c r="J386" s="12" t="s">
        <v>1297</v>
      </c>
      <c r="K386" s="12" t="s">
        <v>44</v>
      </c>
      <c r="L386" s="12" t="s">
        <v>45</v>
      </c>
      <c r="M386" s="12" t="s">
        <v>45</v>
      </c>
      <c r="N386" s="12" t="s">
        <v>780</v>
      </c>
      <c r="O386" s="12" t="s">
        <v>260</v>
      </c>
      <c r="P386" s="88" t="s">
        <v>261</v>
      </c>
      <c r="Q386" s="13">
        <v>45609</v>
      </c>
      <c r="R386" s="16">
        <v>0.92</v>
      </c>
      <c r="S386" s="13" t="s">
        <v>210</v>
      </c>
      <c r="U386" s="12" t="s">
        <v>60</v>
      </c>
      <c r="V386" s="13">
        <v>44351</v>
      </c>
      <c r="W386" s="16">
        <v>0.89</v>
      </c>
      <c r="X386" s="13" t="s">
        <v>49</v>
      </c>
      <c r="Z386" s="12" t="s">
        <v>50</v>
      </c>
      <c r="AA386" s="12" t="s">
        <v>52</v>
      </c>
      <c r="AB386" s="12" t="s">
        <v>52</v>
      </c>
      <c r="AU386" s="12" t="s">
        <v>53</v>
      </c>
    </row>
    <row r="387" spans="1:47" s="12" customFormat="1" ht="14.4" hidden="1" x14ac:dyDescent="0.3">
      <c r="A387" s="12" t="s">
        <v>505</v>
      </c>
      <c r="B387" s="12" t="s">
        <v>1102</v>
      </c>
      <c r="C387" s="12">
        <v>70</v>
      </c>
      <c r="D387" s="12">
        <v>215</v>
      </c>
      <c r="F387" s="12" t="s">
        <v>1298</v>
      </c>
      <c r="G387" s="12" t="str">
        <f t="shared" si="7"/>
        <v>7021542209724</v>
      </c>
      <c r="H387" s="12" t="s">
        <v>1299</v>
      </c>
      <c r="I387" s="12">
        <v>42209724</v>
      </c>
      <c r="J387" s="12" t="s">
        <v>1300</v>
      </c>
      <c r="K387" s="12" t="s">
        <v>44</v>
      </c>
      <c r="L387" s="12" t="s">
        <v>45</v>
      </c>
      <c r="M387" s="12" t="s">
        <v>45</v>
      </c>
      <c r="N387" s="12" t="s">
        <v>780</v>
      </c>
      <c r="O387" s="12" t="s">
        <v>260</v>
      </c>
      <c r="P387" s="88" t="s">
        <v>261</v>
      </c>
      <c r="Q387" s="13">
        <v>45617</v>
      </c>
      <c r="R387" s="16">
        <v>0.88</v>
      </c>
      <c r="S387" s="13" t="s">
        <v>49</v>
      </c>
      <c r="U387" s="12" t="s">
        <v>60</v>
      </c>
      <c r="AU387" s="12" t="s">
        <v>53</v>
      </c>
    </row>
    <row r="388" spans="1:47" s="12" customFormat="1" ht="14.4" hidden="1" x14ac:dyDescent="0.3">
      <c r="A388" s="12" t="s">
        <v>505</v>
      </c>
      <c r="B388" s="12" t="s">
        <v>1102</v>
      </c>
      <c r="C388" s="12">
        <v>70</v>
      </c>
      <c r="D388" s="12">
        <v>215</v>
      </c>
      <c r="F388" s="12" t="s">
        <v>1301</v>
      </c>
      <c r="G388" s="12" t="str">
        <f t="shared" si="7"/>
        <v>70215900276962-1</v>
      </c>
      <c r="H388" s="12" t="s">
        <v>1302</v>
      </c>
      <c r="I388" s="12" t="s">
        <v>1303</v>
      </c>
      <c r="J388" s="12" t="s">
        <v>1304</v>
      </c>
      <c r="K388" s="12" t="s">
        <v>44</v>
      </c>
      <c r="L388" s="12">
        <v>3212560571</v>
      </c>
      <c r="M388" s="12" t="s">
        <v>1305</v>
      </c>
      <c r="N388" s="12" t="s">
        <v>780</v>
      </c>
      <c r="O388" s="12" t="s">
        <v>260</v>
      </c>
      <c r="P388" s="88" t="s">
        <v>261</v>
      </c>
      <c r="Q388" s="12" t="s">
        <v>1306</v>
      </c>
      <c r="R388" s="18">
        <v>0.92500000000000004</v>
      </c>
      <c r="S388" s="12" t="s">
        <v>210</v>
      </c>
      <c r="T388" s="12" t="s">
        <v>1204</v>
      </c>
      <c r="U388" s="12" t="s">
        <v>60</v>
      </c>
      <c r="V388" s="13" t="s">
        <v>1307</v>
      </c>
      <c r="W388" s="16">
        <v>0.94499999999999995</v>
      </c>
      <c r="X388" s="13" t="s">
        <v>210</v>
      </c>
      <c r="Z388" s="12" t="s">
        <v>50</v>
      </c>
      <c r="AA388" s="12" t="s">
        <v>52</v>
      </c>
      <c r="AB388" s="12" t="s">
        <v>52</v>
      </c>
      <c r="AU388" s="12" t="s">
        <v>53</v>
      </c>
    </row>
    <row r="389" spans="1:47" s="12" customFormat="1" ht="14.4" hidden="1" x14ac:dyDescent="0.3">
      <c r="A389" s="12" t="s">
        <v>505</v>
      </c>
      <c r="B389" s="12" t="s">
        <v>1102</v>
      </c>
      <c r="C389" s="12">
        <v>70</v>
      </c>
      <c r="D389" s="12">
        <v>215</v>
      </c>
      <c r="F389" s="12" t="s">
        <v>1308</v>
      </c>
      <c r="G389" s="12" t="str">
        <f t="shared" si="7"/>
        <v>70215900276962-1</v>
      </c>
      <c r="H389" s="12" t="s">
        <v>1309</v>
      </c>
      <c r="I389" s="12" t="s">
        <v>1303</v>
      </c>
      <c r="J389" s="12" t="s">
        <v>1310</v>
      </c>
      <c r="K389" s="12" t="s">
        <v>44</v>
      </c>
      <c r="L389" s="12">
        <v>3164741892</v>
      </c>
      <c r="M389" s="12" t="s">
        <v>1311</v>
      </c>
      <c r="N389" s="12" t="s">
        <v>780</v>
      </c>
      <c r="O389" s="12" t="s">
        <v>260</v>
      </c>
      <c r="P389" s="88" t="s">
        <v>261</v>
      </c>
      <c r="Q389" s="13">
        <v>45389</v>
      </c>
      <c r="R389" s="16">
        <v>0.88</v>
      </c>
      <c r="S389" s="13" t="s">
        <v>49</v>
      </c>
      <c r="U389" s="12" t="s">
        <v>60</v>
      </c>
      <c r="AU389" s="12" t="s">
        <v>53</v>
      </c>
    </row>
    <row r="390" spans="1:47" s="12" customFormat="1" ht="14.4" hidden="1" x14ac:dyDescent="0.3">
      <c r="A390" s="12" t="s">
        <v>505</v>
      </c>
      <c r="B390" s="12" t="s">
        <v>1102</v>
      </c>
      <c r="C390" s="12">
        <v>70</v>
      </c>
      <c r="D390" s="12">
        <v>215</v>
      </c>
      <c r="F390" s="12" t="s">
        <v>1312</v>
      </c>
      <c r="G390" s="12" t="str">
        <f t="shared" si="7"/>
        <v>7021564744959</v>
      </c>
      <c r="H390" s="12" t="s">
        <v>1313</v>
      </c>
      <c r="I390" s="12">
        <v>64744959</v>
      </c>
      <c r="J390" s="12" t="s">
        <v>1314</v>
      </c>
      <c r="K390" s="12" t="s">
        <v>44</v>
      </c>
      <c r="L390" s="12" t="s">
        <v>45</v>
      </c>
      <c r="M390" s="12" t="s">
        <v>45</v>
      </c>
      <c r="N390" s="12" t="s">
        <v>780</v>
      </c>
      <c r="O390" s="12" t="s">
        <v>260</v>
      </c>
      <c r="P390" s="88" t="s">
        <v>261</v>
      </c>
      <c r="Q390" s="13">
        <v>45608</v>
      </c>
      <c r="R390" s="16">
        <v>0.86499999999999999</v>
      </c>
      <c r="S390" s="13" t="s">
        <v>49</v>
      </c>
      <c r="U390" s="12" t="s">
        <v>60</v>
      </c>
      <c r="AU390" s="12" t="s">
        <v>53</v>
      </c>
    </row>
    <row r="391" spans="1:47" s="12" customFormat="1" ht="14.4" hidden="1" x14ac:dyDescent="0.3">
      <c r="A391" s="12" t="s">
        <v>505</v>
      </c>
      <c r="B391" s="12" t="s">
        <v>1102</v>
      </c>
      <c r="C391" s="12">
        <v>70</v>
      </c>
      <c r="D391" s="12">
        <v>215</v>
      </c>
      <c r="F391" s="12" t="s">
        <v>1315</v>
      </c>
      <c r="G391" s="12" t="str">
        <f t="shared" si="7"/>
        <v>7021564744959</v>
      </c>
      <c r="H391" s="12" t="s">
        <v>1316</v>
      </c>
      <c r="I391" s="12">
        <v>64744959</v>
      </c>
      <c r="J391" s="12" t="s">
        <v>1317</v>
      </c>
      <c r="K391" s="12" t="s">
        <v>44</v>
      </c>
      <c r="L391" s="12" t="s">
        <v>45</v>
      </c>
      <c r="M391" s="12" t="s">
        <v>45</v>
      </c>
      <c r="N391" s="12" t="s">
        <v>780</v>
      </c>
      <c r="O391" s="12" t="s">
        <v>260</v>
      </c>
      <c r="P391" s="88" t="s">
        <v>261</v>
      </c>
      <c r="Q391" s="13">
        <v>45608</v>
      </c>
      <c r="R391" s="16">
        <v>0.86499999999999999</v>
      </c>
      <c r="S391" s="13" t="s">
        <v>49</v>
      </c>
      <c r="U391" s="12" t="s">
        <v>60</v>
      </c>
      <c r="AU391" s="12" t="s">
        <v>53</v>
      </c>
    </row>
    <row r="392" spans="1:47" s="12" customFormat="1" ht="14.4" hidden="1" x14ac:dyDescent="0.3">
      <c r="A392" s="12" t="s">
        <v>505</v>
      </c>
      <c r="B392" s="12" t="s">
        <v>1102</v>
      </c>
      <c r="C392" s="12">
        <v>70</v>
      </c>
      <c r="D392" s="12">
        <v>215</v>
      </c>
      <c r="F392" s="12" t="s">
        <v>1318</v>
      </c>
      <c r="G392" s="12" t="str">
        <f t="shared" si="7"/>
        <v>702151010131123</v>
      </c>
      <c r="H392" s="12" t="s">
        <v>1319</v>
      </c>
      <c r="I392" s="12">
        <v>1010131123</v>
      </c>
      <c r="J392" s="12" t="s">
        <v>1320</v>
      </c>
      <c r="K392" s="12" t="s">
        <v>44</v>
      </c>
      <c r="L392" s="12" t="s">
        <v>45</v>
      </c>
      <c r="M392" s="12" t="s">
        <v>45</v>
      </c>
      <c r="N392" s="12" t="s">
        <v>780</v>
      </c>
      <c r="O392" s="12" t="s">
        <v>260</v>
      </c>
      <c r="P392" s="88" t="s">
        <v>261</v>
      </c>
      <c r="Q392" s="13">
        <v>45608</v>
      </c>
      <c r="R392" s="16">
        <v>0.86499999999999999</v>
      </c>
      <c r="S392" s="13" t="s">
        <v>49</v>
      </c>
      <c r="U392" s="12" t="s">
        <v>60</v>
      </c>
      <c r="AU392" s="12" t="s">
        <v>53</v>
      </c>
    </row>
    <row r="393" spans="1:47" s="12" customFormat="1" ht="14.4" hidden="1" x14ac:dyDescent="0.3">
      <c r="A393" s="12" t="s">
        <v>505</v>
      </c>
      <c r="B393" s="12" t="s">
        <v>1102</v>
      </c>
      <c r="C393" s="12">
        <v>70</v>
      </c>
      <c r="D393" s="12">
        <v>215</v>
      </c>
      <c r="F393" s="12" t="s">
        <v>1321</v>
      </c>
      <c r="G393" s="12" t="str">
        <f t="shared" si="7"/>
        <v>70215890900608</v>
      </c>
      <c r="H393" s="12" t="s">
        <v>1322</v>
      </c>
      <c r="I393" s="12">
        <v>890900608</v>
      </c>
      <c r="J393" s="12" t="s">
        <v>1323</v>
      </c>
      <c r="K393" s="12" t="s">
        <v>44</v>
      </c>
      <c r="L393" s="12" t="s">
        <v>45</v>
      </c>
      <c r="M393" s="12" t="s">
        <v>45</v>
      </c>
      <c r="N393" s="12" t="s">
        <v>780</v>
      </c>
      <c r="O393" s="12" t="s">
        <v>260</v>
      </c>
      <c r="P393" s="88" t="s">
        <v>261</v>
      </c>
      <c r="Q393" s="13">
        <v>45615</v>
      </c>
      <c r="R393" s="16">
        <v>0.94</v>
      </c>
      <c r="S393" s="13" t="s">
        <v>210</v>
      </c>
      <c r="U393" s="12" t="s">
        <v>60</v>
      </c>
      <c r="AU393" s="12" t="s">
        <v>53</v>
      </c>
    </row>
    <row r="394" spans="1:47" s="12" customFormat="1" ht="14.4" hidden="1" x14ac:dyDescent="0.3">
      <c r="A394" s="12" t="s">
        <v>505</v>
      </c>
      <c r="B394" s="12" t="s">
        <v>1102</v>
      </c>
      <c r="C394" s="12">
        <v>70</v>
      </c>
      <c r="D394" s="12">
        <v>215</v>
      </c>
      <c r="F394" s="12" t="s">
        <v>1324</v>
      </c>
      <c r="G394" s="12" t="str">
        <f t="shared" si="7"/>
        <v>7021570691257</v>
      </c>
      <c r="H394" s="12" t="s">
        <v>1325</v>
      </c>
      <c r="I394" s="12">
        <v>70691257</v>
      </c>
      <c r="J394" s="12" t="s">
        <v>1326</v>
      </c>
      <c r="K394" s="12" t="s">
        <v>44</v>
      </c>
      <c r="L394" s="12" t="s">
        <v>45</v>
      </c>
      <c r="M394" s="12" t="s">
        <v>45</v>
      </c>
      <c r="N394" s="12" t="s">
        <v>780</v>
      </c>
      <c r="O394" s="12" t="s">
        <v>260</v>
      </c>
      <c r="P394" s="88" t="s">
        <v>261</v>
      </c>
      <c r="Q394" s="13">
        <v>45622</v>
      </c>
      <c r="R394" s="16">
        <v>0.82</v>
      </c>
      <c r="S394" s="13" t="s">
        <v>49</v>
      </c>
      <c r="U394" s="12" t="s">
        <v>60</v>
      </c>
      <c r="AU394" s="12" t="s">
        <v>53</v>
      </c>
    </row>
    <row r="395" spans="1:47" s="12" customFormat="1" ht="14.4" hidden="1" x14ac:dyDescent="0.3">
      <c r="A395" s="12" t="s">
        <v>505</v>
      </c>
      <c r="B395" s="12" t="s">
        <v>1102</v>
      </c>
      <c r="C395" s="12">
        <v>70</v>
      </c>
      <c r="D395" s="12">
        <v>215</v>
      </c>
      <c r="F395" s="12" t="s">
        <v>1327</v>
      </c>
      <c r="G395" s="12" t="str">
        <f t="shared" si="7"/>
        <v>7021570694752</v>
      </c>
      <c r="H395" s="12" t="s">
        <v>1328</v>
      </c>
      <c r="I395" s="12">
        <v>70694752</v>
      </c>
      <c r="J395" s="12" t="s">
        <v>1329</v>
      </c>
      <c r="K395" s="12" t="s">
        <v>44</v>
      </c>
      <c r="L395" s="12">
        <v>3105300267</v>
      </c>
      <c r="M395" s="12" t="s">
        <v>45</v>
      </c>
      <c r="N395" s="12" t="s">
        <v>780</v>
      </c>
      <c r="O395" s="12" t="s">
        <v>260</v>
      </c>
      <c r="P395" s="88" t="s">
        <v>261</v>
      </c>
      <c r="Q395" s="13">
        <v>45588</v>
      </c>
      <c r="R395" s="16">
        <v>0.64500000000000002</v>
      </c>
      <c r="S395" s="13" t="s">
        <v>49</v>
      </c>
      <c r="U395" s="12" t="s">
        <v>60</v>
      </c>
      <c r="V395" s="12" t="s">
        <v>1330</v>
      </c>
      <c r="W395" s="16">
        <v>0.88500000000000001</v>
      </c>
      <c r="X395" s="12" t="s">
        <v>49</v>
      </c>
      <c r="Z395" s="12" t="s">
        <v>1331</v>
      </c>
      <c r="AA395" s="12" t="s">
        <v>52</v>
      </c>
      <c r="AB395" s="12" t="s">
        <v>52</v>
      </c>
      <c r="AU395" s="12" t="s">
        <v>53</v>
      </c>
    </row>
    <row r="396" spans="1:47" s="12" customFormat="1" ht="14.4" hidden="1" x14ac:dyDescent="0.3">
      <c r="A396" s="12" t="s">
        <v>505</v>
      </c>
      <c r="B396" s="12" t="s">
        <v>1102</v>
      </c>
      <c r="C396" s="12">
        <v>70</v>
      </c>
      <c r="D396" s="12">
        <v>215</v>
      </c>
      <c r="F396" s="12" t="s">
        <v>1332</v>
      </c>
      <c r="G396" s="12" t="str">
        <f t="shared" si="7"/>
        <v>70215</v>
      </c>
      <c r="H396" s="12" t="s">
        <v>1333</v>
      </c>
      <c r="J396" s="12" t="s">
        <v>1334</v>
      </c>
      <c r="K396" s="12" t="s">
        <v>44</v>
      </c>
      <c r="L396" s="12" t="s">
        <v>45</v>
      </c>
      <c r="M396" s="12" t="s">
        <v>45</v>
      </c>
      <c r="N396" s="12" t="s">
        <v>780</v>
      </c>
      <c r="O396" s="12" t="s">
        <v>260</v>
      </c>
      <c r="P396" s="88" t="s">
        <v>261</v>
      </c>
      <c r="V396" s="13"/>
      <c r="W396" s="16"/>
      <c r="X396" s="13"/>
      <c r="AU396" s="12" t="s">
        <v>164</v>
      </c>
    </row>
    <row r="397" spans="1:47" s="12" customFormat="1" ht="14.4" hidden="1" x14ac:dyDescent="0.3">
      <c r="A397" s="12" t="s">
        <v>505</v>
      </c>
      <c r="B397" s="12" t="s">
        <v>1102</v>
      </c>
      <c r="C397" s="12">
        <v>70</v>
      </c>
      <c r="D397" s="12">
        <v>215</v>
      </c>
      <c r="F397" s="12" t="s">
        <v>1335</v>
      </c>
      <c r="G397" s="12" t="str">
        <f t="shared" si="7"/>
        <v>7021570694149</v>
      </c>
      <c r="H397" s="12" t="s">
        <v>1336</v>
      </c>
      <c r="I397" s="12">
        <v>70694149</v>
      </c>
      <c r="J397" s="12" t="s">
        <v>1337</v>
      </c>
      <c r="K397" s="12" t="s">
        <v>44</v>
      </c>
      <c r="L397" s="12">
        <v>2857286</v>
      </c>
      <c r="M397" s="12" t="s">
        <v>45</v>
      </c>
      <c r="N397" s="12" t="s">
        <v>780</v>
      </c>
      <c r="O397" s="12" t="s">
        <v>260</v>
      </c>
      <c r="P397" s="88" t="s">
        <v>261</v>
      </c>
      <c r="Q397" s="12" t="s">
        <v>614</v>
      </c>
      <c r="R397" s="16">
        <v>0.8</v>
      </c>
      <c r="S397" s="12" t="s">
        <v>49</v>
      </c>
      <c r="U397" s="12" t="s">
        <v>60</v>
      </c>
      <c r="AU397" s="12" t="s">
        <v>164</v>
      </c>
    </row>
    <row r="398" spans="1:47" s="12" customFormat="1" ht="14.4" hidden="1" x14ac:dyDescent="0.3">
      <c r="A398" s="12" t="s">
        <v>505</v>
      </c>
      <c r="B398" s="12" t="s">
        <v>1102</v>
      </c>
      <c r="C398" s="12">
        <v>70</v>
      </c>
      <c r="D398" s="12">
        <v>215</v>
      </c>
      <c r="F398" s="12" t="s">
        <v>1338</v>
      </c>
      <c r="G398" s="12" t="str">
        <f t="shared" si="7"/>
        <v>7021592154353</v>
      </c>
      <c r="H398" s="12" t="s">
        <v>1339</v>
      </c>
      <c r="I398" s="12">
        <v>92154353</v>
      </c>
      <c r="J398" s="12" t="s">
        <v>1340</v>
      </c>
      <c r="K398" s="12" t="s">
        <v>44</v>
      </c>
      <c r="L398" s="12">
        <v>3146707444</v>
      </c>
      <c r="M398" s="12" t="s">
        <v>1341</v>
      </c>
      <c r="N398" s="12" t="s">
        <v>780</v>
      </c>
      <c r="O398" s="12" t="s">
        <v>260</v>
      </c>
      <c r="P398" s="88" t="s">
        <v>261</v>
      </c>
      <c r="Q398" s="13">
        <v>45566</v>
      </c>
      <c r="R398" s="18">
        <v>0.72750000000000004</v>
      </c>
      <c r="S398" s="12" t="s">
        <v>139</v>
      </c>
      <c r="T398" s="12" t="s">
        <v>1125</v>
      </c>
      <c r="U398" s="12" t="s">
        <v>50</v>
      </c>
      <c r="V398" s="13">
        <v>43942</v>
      </c>
      <c r="W398" s="16">
        <v>0.93</v>
      </c>
      <c r="X398" s="13" t="s">
        <v>210</v>
      </c>
      <c r="Z398" s="12" t="s">
        <v>1331</v>
      </c>
      <c r="AA398" s="12" t="s">
        <v>52</v>
      </c>
      <c r="AB398" s="12" t="s">
        <v>52</v>
      </c>
      <c r="AU398" s="12" t="s">
        <v>53</v>
      </c>
    </row>
    <row r="399" spans="1:47" s="12" customFormat="1" ht="14.4" hidden="1" x14ac:dyDescent="0.3">
      <c r="A399" s="12" t="s">
        <v>505</v>
      </c>
      <c r="B399" s="12" t="s">
        <v>1102</v>
      </c>
      <c r="C399" s="12">
        <v>70</v>
      </c>
      <c r="D399" s="12">
        <v>215</v>
      </c>
      <c r="F399" s="12" t="s">
        <v>1342</v>
      </c>
      <c r="G399" s="12" t="str">
        <f t="shared" si="7"/>
        <v>7021592640801</v>
      </c>
      <c r="H399" s="12" t="s">
        <v>1343</v>
      </c>
      <c r="I399" s="12">
        <v>92640801</v>
      </c>
      <c r="J399" s="12" t="s">
        <v>1344</v>
      </c>
      <c r="K399" s="12" t="s">
        <v>44</v>
      </c>
      <c r="L399" s="12" t="s">
        <v>45</v>
      </c>
      <c r="M399" s="12" t="s">
        <v>45</v>
      </c>
      <c r="N399" s="12" t="s">
        <v>780</v>
      </c>
      <c r="O399" s="12" t="s">
        <v>260</v>
      </c>
      <c r="P399" s="88" t="s">
        <v>261</v>
      </c>
      <c r="Q399" s="13">
        <v>45063</v>
      </c>
      <c r="R399" s="16">
        <v>0.73499999999999999</v>
      </c>
      <c r="S399" s="13" t="s">
        <v>49</v>
      </c>
      <c r="U399" s="12" t="s">
        <v>60</v>
      </c>
      <c r="AU399" s="12" t="s">
        <v>53</v>
      </c>
    </row>
    <row r="400" spans="1:47" s="12" customFormat="1" ht="14.4" hidden="1" x14ac:dyDescent="0.3">
      <c r="A400" s="12" t="s">
        <v>505</v>
      </c>
      <c r="B400" s="12" t="s">
        <v>1102</v>
      </c>
      <c r="C400" s="12">
        <v>70</v>
      </c>
      <c r="D400" s="12">
        <v>215</v>
      </c>
      <c r="F400" s="275" t="s">
        <v>1345</v>
      </c>
      <c r="G400" s="12" t="str">
        <f t="shared" si="7"/>
        <v>7021570785158-8</v>
      </c>
      <c r="H400" s="12" t="s">
        <v>1346</v>
      </c>
      <c r="I400" s="12" t="s">
        <v>1347</v>
      </c>
      <c r="J400" s="12" t="s">
        <v>1348</v>
      </c>
      <c r="K400" s="12" t="s">
        <v>44</v>
      </c>
      <c r="L400" s="12">
        <v>3145567733</v>
      </c>
      <c r="M400" s="12" t="s">
        <v>1349</v>
      </c>
      <c r="N400" s="12" t="s">
        <v>780</v>
      </c>
      <c r="O400" s="12" t="s">
        <v>260</v>
      </c>
      <c r="P400" s="88" t="s">
        <v>261</v>
      </c>
      <c r="Q400" s="13">
        <v>46041</v>
      </c>
      <c r="R400" s="16">
        <v>0.95</v>
      </c>
      <c r="S400" s="12" t="s">
        <v>210</v>
      </c>
      <c r="T400" s="12" t="s">
        <v>1125</v>
      </c>
      <c r="U400" s="12" t="s">
        <v>50</v>
      </c>
      <c r="V400" s="13">
        <v>45931</v>
      </c>
      <c r="W400" s="16">
        <v>0.93</v>
      </c>
      <c r="X400" s="13" t="s">
        <v>319</v>
      </c>
      <c r="Z400" s="12" t="s">
        <v>1331</v>
      </c>
      <c r="AA400" s="12" t="s">
        <v>52</v>
      </c>
      <c r="AB400" s="12" t="s">
        <v>52</v>
      </c>
      <c r="AC400" s="12" t="s">
        <v>1350</v>
      </c>
      <c r="AD400" s="16">
        <v>0.95</v>
      </c>
      <c r="AE400" s="13" t="s">
        <v>319</v>
      </c>
      <c r="AU400" s="12" t="s">
        <v>53</v>
      </c>
    </row>
    <row r="401" spans="1:47" s="12" customFormat="1" ht="14.4" hidden="1" x14ac:dyDescent="0.3">
      <c r="A401" s="12" t="s">
        <v>505</v>
      </c>
      <c r="B401" s="12" t="s">
        <v>1102</v>
      </c>
      <c r="C401" s="12">
        <v>70</v>
      </c>
      <c r="D401" s="12">
        <v>215</v>
      </c>
      <c r="F401" s="12" t="s">
        <v>1351</v>
      </c>
      <c r="G401" s="12" t="str">
        <f t="shared" si="7"/>
        <v>702151100627149</v>
      </c>
      <c r="H401" s="12" t="s">
        <v>1352</v>
      </c>
      <c r="I401" s="12">
        <v>1100627149</v>
      </c>
      <c r="J401" s="12" t="s">
        <v>1353</v>
      </c>
      <c r="K401" s="12" t="s">
        <v>44</v>
      </c>
      <c r="L401" s="12" t="s">
        <v>45</v>
      </c>
      <c r="M401" s="12" t="s">
        <v>45</v>
      </c>
      <c r="N401" s="12" t="s">
        <v>780</v>
      </c>
      <c r="O401" s="12" t="s">
        <v>260</v>
      </c>
      <c r="P401" s="88" t="s">
        <v>261</v>
      </c>
      <c r="Q401" s="13" t="s">
        <v>1354</v>
      </c>
      <c r="R401" s="16">
        <v>0.98</v>
      </c>
      <c r="S401" s="13" t="s">
        <v>210</v>
      </c>
      <c r="U401" s="12" t="s">
        <v>50</v>
      </c>
      <c r="AU401" s="12" t="s">
        <v>164</v>
      </c>
    </row>
    <row r="402" spans="1:47" s="12" customFormat="1" ht="14.4" hidden="1" x14ac:dyDescent="0.3">
      <c r="A402" s="12" t="s">
        <v>505</v>
      </c>
      <c r="B402" s="12" t="s">
        <v>1102</v>
      </c>
      <c r="C402" s="12">
        <v>70</v>
      </c>
      <c r="D402" s="12">
        <v>215</v>
      </c>
      <c r="F402" s="12" t="s">
        <v>1355</v>
      </c>
      <c r="G402" s="12" t="str">
        <f t="shared" si="7"/>
        <v>7021592556998</v>
      </c>
      <c r="H402" s="12" t="s">
        <v>1356</v>
      </c>
      <c r="I402" s="12">
        <v>92556998</v>
      </c>
      <c r="J402" s="12" t="s">
        <v>1251</v>
      </c>
      <c r="K402" s="12" t="s">
        <v>44</v>
      </c>
      <c r="L402" s="12" t="s">
        <v>45</v>
      </c>
      <c r="M402" s="12" t="s">
        <v>45</v>
      </c>
      <c r="N402" s="12" t="s">
        <v>780</v>
      </c>
      <c r="O402" s="12" t="s">
        <v>260</v>
      </c>
      <c r="P402" s="88" t="s">
        <v>261</v>
      </c>
      <c r="Q402" s="13">
        <v>45097</v>
      </c>
      <c r="R402" s="16">
        <v>0.76749999999999996</v>
      </c>
      <c r="S402" s="13" t="s">
        <v>49</v>
      </c>
      <c r="U402" s="12" t="s">
        <v>60</v>
      </c>
      <c r="AU402" s="12" t="s">
        <v>53</v>
      </c>
    </row>
    <row r="403" spans="1:47" s="12" customFormat="1" ht="14.4" hidden="1" x14ac:dyDescent="0.3">
      <c r="A403" s="12" t="s">
        <v>505</v>
      </c>
      <c r="B403" s="12" t="s">
        <v>1102</v>
      </c>
      <c r="C403" s="12">
        <v>70</v>
      </c>
      <c r="D403" s="12">
        <v>215</v>
      </c>
      <c r="E403" s="12" t="s">
        <v>1357</v>
      </c>
      <c r="F403" s="12" t="s">
        <v>1358</v>
      </c>
      <c r="G403" s="12" t="str">
        <f t="shared" si="7"/>
        <v>70215900717482-1</v>
      </c>
      <c r="H403" s="12" t="s">
        <v>1359</v>
      </c>
      <c r="I403" s="12" t="s">
        <v>1360</v>
      </c>
      <c r="J403" s="12" t="s">
        <v>1361</v>
      </c>
      <c r="K403" s="12" t="s">
        <v>44</v>
      </c>
      <c r="L403" s="12">
        <v>3014602144</v>
      </c>
      <c r="M403" s="99" t="s">
        <v>1362</v>
      </c>
      <c r="N403" s="12" t="s">
        <v>8697</v>
      </c>
      <c r="O403" s="12" t="s">
        <v>9767</v>
      </c>
      <c r="P403" s="88" t="s">
        <v>48</v>
      </c>
      <c r="Q403" s="13">
        <v>45880</v>
      </c>
      <c r="R403" s="18">
        <v>0.86499999999999999</v>
      </c>
      <c r="S403" s="13" t="s">
        <v>139</v>
      </c>
      <c r="T403" s="12" t="s">
        <v>1363</v>
      </c>
      <c r="U403" s="12" t="s">
        <v>60</v>
      </c>
    </row>
    <row r="404" spans="1:47" s="12" customFormat="1" ht="14.4" hidden="1" x14ac:dyDescent="0.3">
      <c r="A404" s="12" t="s">
        <v>39</v>
      </c>
      <c r="B404" s="12" t="s">
        <v>1102</v>
      </c>
      <c r="C404" s="12">
        <v>70</v>
      </c>
      <c r="D404" s="12">
        <v>215</v>
      </c>
      <c r="F404" s="12" t="s">
        <v>7848</v>
      </c>
      <c r="G404" s="12" t="str">
        <f t="shared" si="7"/>
        <v>70215228657809</v>
      </c>
      <c r="H404" s="12" t="s">
        <v>1364</v>
      </c>
      <c r="I404" s="12">
        <v>228657809</v>
      </c>
      <c r="J404" s="12" t="s">
        <v>1365</v>
      </c>
      <c r="K404" s="12" t="s">
        <v>44</v>
      </c>
      <c r="L404" s="12">
        <v>3202317191</v>
      </c>
      <c r="M404" s="99" t="s">
        <v>1366</v>
      </c>
      <c r="N404" s="12" t="s">
        <v>432</v>
      </c>
      <c r="O404" s="12" t="s">
        <v>432</v>
      </c>
      <c r="P404" s="88" t="s">
        <v>261</v>
      </c>
      <c r="Q404" s="13">
        <v>45789</v>
      </c>
      <c r="R404" s="18">
        <v>0.755</v>
      </c>
      <c r="S404" s="12" t="s">
        <v>139</v>
      </c>
      <c r="T404" s="12" t="s">
        <v>1111</v>
      </c>
      <c r="U404" s="12" t="s">
        <v>60</v>
      </c>
      <c r="V404" s="13">
        <v>45637</v>
      </c>
      <c r="W404" s="16">
        <v>0.95</v>
      </c>
      <c r="X404" s="13" t="s">
        <v>319</v>
      </c>
      <c r="AU404" s="12" t="s">
        <v>53</v>
      </c>
    </row>
    <row r="405" spans="1:47" s="12" customFormat="1" ht="14.4" hidden="1" x14ac:dyDescent="0.3">
      <c r="A405" s="12" t="s">
        <v>505</v>
      </c>
      <c r="B405" s="12" t="s">
        <v>1102</v>
      </c>
      <c r="C405" s="12">
        <v>70</v>
      </c>
      <c r="D405" s="12">
        <v>215</v>
      </c>
      <c r="F405" s="12" t="s">
        <v>1367</v>
      </c>
      <c r="G405" s="12" t="str">
        <f t="shared" si="7"/>
        <v>7021592640792</v>
      </c>
      <c r="H405" s="12" t="s">
        <v>1368</v>
      </c>
      <c r="I405" s="12">
        <v>92640792</v>
      </c>
      <c r="J405" s="12" t="s">
        <v>1369</v>
      </c>
      <c r="K405" s="12" t="s">
        <v>44</v>
      </c>
      <c r="L405" s="12" t="s">
        <v>45</v>
      </c>
      <c r="M405" s="12" t="s">
        <v>45</v>
      </c>
      <c r="N405" s="12" t="s">
        <v>780</v>
      </c>
      <c r="O405" s="12" t="s">
        <v>260</v>
      </c>
      <c r="P405" s="88" t="s">
        <v>261</v>
      </c>
      <c r="Q405" s="13">
        <v>45149</v>
      </c>
      <c r="R405" s="16">
        <v>0.90500000000000003</v>
      </c>
      <c r="S405" s="13" t="s">
        <v>210</v>
      </c>
      <c r="AU405" s="12" t="s">
        <v>53</v>
      </c>
    </row>
    <row r="406" spans="1:47" s="12" customFormat="1" ht="14.4" hidden="1" x14ac:dyDescent="0.3">
      <c r="A406" s="12" t="s">
        <v>505</v>
      </c>
      <c r="B406" s="12" t="s">
        <v>1102</v>
      </c>
      <c r="C406" s="12">
        <v>70</v>
      </c>
      <c r="D406" s="12">
        <v>215</v>
      </c>
      <c r="F406" s="12" t="s">
        <v>1370</v>
      </c>
      <c r="G406" s="12" t="str">
        <f t="shared" si="7"/>
        <v>702151041231888</v>
      </c>
      <c r="H406" s="12" t="s">
        <v>1371</v>
      </c>
      <c r="I406" s="12">
        <v>1041231888</v>
      </c>
      <c r="J406" s="12" t="s">
        <v>1372</v>
      </c>
      <c r="K406" s="12" t="s">
        <v>44</v>
      </c>
      <c r="L406" s="12">
        <v>3023092231</v>
      </c>
      <c r="M406" s="12" t="s">
        <v>45</v>
      </c>
      <c r="N406" s="12" t="s">
        <v>780</v>
      </c>
      <c r="O406" s="12" t="s">
        <v>260</v>
      </c>
      <c r="P406" s="88" t="s">
        <v>261</v>
      </c>
      <c r="Q406" s="13">
        <v>45148</v>
      </c>
      <c r="R406" s="16">
        <v>0.85</v>
      </c>
      <c r="S406" s="13" t="s">
        <v>49</v>
      </c>
      <c r="AU406" s="12" t="s">
        <v>53</v>
      </c>
    </row>
    <row r="407" spans="1:47" s="12" customFormat="1" ht="14.4" hidden="1" x14ac:dyDescent="0.3">
      <c r="A407" s="12" t="s">
        <v>505</v>
      </c>
      <c r="B407" s="12" t="s">
        <v>1102</v>
      </c>
      <c r="C407" s="12">
        <v>70</v>
      </c>
      <c r="D407" s="12">
        <v>215</v>
      </c>
      <c r="F407" s="12" t="s">
        <v>1373</v>
      </c>
      <c r="G407" s="12" t="str">
        <f t="shared" ref="G407:G470" si="8">C407&amp;D407&amp;I407</f>
        <v>702151103109702</v>
      </c>
      <c r="H407" s="12" t="s">
        <v>1374</v>
      </c>
      <c r="I407" s="12">
        <v>1103109702</v>
      </c>
      <c r="J407" s="12" t="s">
        <v>1375</v>
      </c>
      <c r="K407" s="12" t="s">
        <v>44</v>
      </c>
      <c r="L407" s="12" t="s">
        <v>45</v>
      </c>
      <c r="M407" s="12" t="s">
        <v>45</v>
      </c>
      <c r="N407" s="12" t="s">
        <v>780</v>
      </c>
      <c r="O407" s="12" t="s">
        <v>260</v>
      </c>
      <c r="P407" s="88" t="s">
        <v>261</v>
      </c>
      <c r="Q407" s="13">
        <v>45148</v>
      </c>
      <c r="R407" s="16">
        <v>0.90500000000000003</v>
      </c>
      <c r="S407" s="13" t="s">
        <v>210</v>
      </c>
      <c r="AU407" s="12" t="s">
        <v>53</v>
      </c>
    </row>
    <row r="408" spans="1:47" s="12" customFormat="1" ht="14.4" hidden="1" x14ac:dyDescent="0.3">
      <c r="A408" s="12" t="s">
        <v>505</v>
      </c>
      <c r="B408" s="12" t="s">
        <v>1102</v>
      </c>
      <c r="C408" s="12">
        <v>70</v>
      </c>
      <c r="D408" s="12">
        <v>215</v>
      </c>
      <c r="F408" s="12" t="s">
        <v>1376</v>
      </c>
      <c r="G408" s="12" t="str">
        <f t="shared" si="8"/>
        <v>7021522866173</v>
      </c>
      <c r="H408" s="12" t="s">
        <v>1377</v>
      </c>
      <c r="I408" s="12">
        <v>22866173</v>
      </c>
      <c r="J408" s="12" t="s">
        <v>1378</v>
      </c>
      <c r="K408" s="12" t="s">
        <v>44</v>
      </c>
      <c r="L408" s="12">
        <v>3162727576</v>
      </c>
      <c r="M408" s="12" t="s">
        <v>1379</v>
      </c>
      <c r="N408" s="12" t="s">
        <v>780</v>
      </c>
      <c r="O408" s="12" t="s">
        <v>260</v>
      </c>
      <c r="P408" s="88" t="s">
        <v>261</v>
      </c>
      <c r="Q408" s="12" t="s">
        <v>1380</v>
      </c>
      <c r="R408" s="18">
        <v>0.84250000000000003</v>
      </c>
      <c r="S408" s="13" t="s">
        <v>49</v>
      </c>
      <c r="T408" s="12" t="s">
        <v>1125</v>
      </c>
      <c r="U408" s="12" t="s">
        <v>50</v>
      </c>
      <c r="V408" s="13" t="s">
        <v>1381</v>
      </c>
      <c r="W408" s="16">
        <v>0.76500000000000001</v>
      </c>
      <c r="X408" s="13" t="s">
        <v>49</v>
      </c>
      <c r="Z408" s="12" t="s">
        <v>1331</v>
      </c>
      <c r="AA408" s="12" t="s">
        <v>52</v>
      </c>
      <c r="AB408" s="12" t="s">
        <v>52</v>
      </c>
      <c r="AU408" s="12" t="s">
        <v>53</v>
      </c>
    </row>
    <row r="409" spans="1:47" s="12" customFormat="1" ht="14.4" hidden="1" x14ac:dyDescent="0.3">
      <c r="A409" s="12" t="s">
        <v>505</v>
      </c>
      <c r="B409" s="12" t="s">
        <v>1102</v>
      </c>
      <c r="C409" s="12">
        <v>70</v>
      </c>
      <c r="D409" s="12">
        <v>215</v>
      </c>
      <c r="F409" s="12" t="s">
        <v>1382</v>
      </c>
      <c r="G409" s="12" t="str">
        <f t="shared" si="8"/>
        <v>702151100684605</v>
      </c>
      <c r="H409" s="12" t="s">
        <v>1383</v>
      </c>
      <c r="I409" s="12">
        <v>1100684605</v>
      </c>
      <c r="J409" s="12" t="s">
        <v>1384</v>
      </c>
      <c r="K409" s="12" t="s">
        <v>44</v>
      </c>
      <c r="L409" s="12" t="s">
        <v>45</v>
      </c>
      <c r="M409" s="12" t="s">
        <v>45</v>
      </c>
      <c r="N409" s="12" t="s">
        <v>780</v>
      </c>
      <c r="O409" s="12" t="s">
        <v>260</v>
      </c>
      <c r="P409" s="88" t="s">
        <v>261</v>
      </c>
      <c r="Q409" s="13">
        <v>45162</v>
      </c>
      <c r="R409" s="16">
        <v>0.79</v>
      </c>
      <c r="S409" s="13" t="s">
        <v>49</v>
      </c>
      <c r="U409" s="12" t="s">
        <v>60</v>
      </c>
      <c r="AU409" s="12" t="s">
        <v>53</v>
      </c>
    </row>
    <row r="410" spans="1:47" s="12" customFormat="1" ht="14.4" hidden="1" x14ac:dyDescent="0.3">
      <c r="A410" s="12" t="s">
        <v>505</v>
      </c>
      <c r="B410" s="12" t="s">
        <v>1102</v>
      </c>
      <c r="C410" s="12">
        <v>70</v>
      </c>
      <c r="D410" s="12">
        <v>215</v>
      </c>
      <c r="F410" s="12" t="s">
        <v>1385</v>
      </c>
      <c r="G410" s="12" t="str">
        <f t="shared" si="8"/>
        <v>702151041232490-1</v>
      </c>
      <c r="H410" s="12" t="s">
        <v>1386</v>
      </c>
      <c r="I410" s="12" t="s">
        <v>1387</v>
      </c>
      <c r="J410" s="12" t="s">
        <v>1388</v>
      </c>
      <c r="K410" s="12" t="s">
        <v>44</v>
      </c>
      <c r="L410" s="12">
        <v>3134489217</v>
      </c>
      <c r="M410" s="12" t="s">
        <v>45</v>
      </c>
      <c r="N410" s="12" t="s">
        <v>780</v>
      </c>
      <c r="O410" s="12" t="s">
        <v>260</v>
      </c>
      <c r="P410" s="88" t="s">
        <v>261</v>
      </c>
      <c r="Q410" s="12" t="s">
        <v>1389</v>
      </c>
      <c r="R410" s="16">
        <v>0.78</v>
      </c>
      <c r="S410" s="13" t="s">
        <v>49</v>
      </c>
      <c r="T410" s="12" t="s">
        <v>1125</v>
      </c>
      <c r="U410" s="12" t="s">
        <v>60</v>
      </c>
      <c r="V410" s="13">
        <v>45235</v>
      </c>
      <c r="W410" s="16">
        <v>0.77500000000000002</v>
      </c>
      <c r="X410" s="13" t="s">
        <v>49</v>
      </c>
      <c r="Z410" s="12" t="s">
        <v>1331</v>
      </c>
      <c r="AA410" s="12" t="s">
        <v>52</v>
      </c>
      <c r="AB410" s="12" t="s">
        <v>52</v>
      </c>
      <c r="AU410" s="12" t="s">
        <v>53</v>
      </c>
    </row>
    <row r="411" spans="1:47" s="12" customFormat="1" ht="14.4" hidden="1" x14ac:dyDescent="0.3">
      <c r="A411" s="12" t="s">
        <v>505</v>
      </c>
      <c r="B411" s="12" t="s">
        <v>1102</v>
      </c>
      <c r="C411" s="12">
        <v>70</v>
      </c>
      <c r="D411" s="12">
        <v>215</v>
      </c>
      <c r="F411" s="12" t="s">
        <v>1390</v>
      </c>
      <c r="G411" s="12" t="str">
        <f t="shared" si="8"/>
        <v>7021570693428</v>
      </c>
      <c r="H411" s="12" t="s">
        <v>1391</v>
      </c>
      <c r="I411" s="12">
        <v>70693428</v>
      </c>
      <c r="J411" s="12" t="s">
        <v>1392</v>
      </c>
      <c r="K411" s="12" t="s">
        <v>44</v>
      </c>
      <c r="L411" s="12" t="s">
        <v>45</v>
      </c>
      <c r="M411" s="12" t="s">
        <v>45</v>
      </c>
      <c r="N411" s="12" t="s">
        <v>780</v>
      </c>
      <c r="O411" s="12" t="s">
        <v>260</v>
      </c>
      <c r="P411" s="88" t="s">
        <v>261</v>
      </c>
      <c r="Q411" s="13">
        <v>45069</v>
      </c>
      <c r="R411" s="16">
        <v>0.81</v>
      </c>
      <c r="S411" s="13" t="s">
        <v>49</v>
      </c>
      <c r="U411" s="12" t="s">
        <v>60</v>
      </c>
      <c r="AU411" s="12" t="s">
        <v>53</v>
      </c>
    </row>
    <row r="412" spans="1:47" s="12" customFormat="1" ht="14.4" hidden="1" x14ac:dyDescent="0.3">
      <c r="A412" s="12" t="s">
        <v>505</v>
      </c>
      <c r="B412" s="12" t="s">
        <v>1102</v>
      </c>
      <c r="C412" s="12">
        <v>70</v>
      </c>
      <c r="D412" s="12">
        <v>215</v>
      </c>
      <c r="F412" s="12" t="s">
        <v>1393</v>
      </c>
      <c r="G412" s="12" t="str">
        <f t="shared" si="8"/>
        <v>702151103115006</v>
      </c>
      <c r="H412" s="12" t="s">
        <v>1394</v>
      </c>
      <c r="I412" s="12">
        <v>1103115006</v>
      </c>
      <c r="J412" s="12" t="s">
        <v>1326</v>
      </c>
      <c r="K412" s="12" t="s">
        <v>44</v>
      </c>
      <c r="L412" s="12" t="s">
        <v>45</v>
      </c>
      <c r="M412" s="12" t="s">
        <v>45</v>
      </c>
      <c r="N412" s="12" t="s">
        <v>780</v>
      </c>
      <c r="O412" s="12" t="s">
        <v>260</v>
      </c>
      <c r="P412" s="88" t="s">
        <v>261</v>
      </c>
      <c r="Q412" s="13">
        <v>45030</v>
      </c>
      <c r="R412" s="16">
        <v>0.755</v>
      </c>
      <c r="S412" s="13" t="s">
        <v>49</v>
      </c>
      <c r="U412" s="12" t="s">
        <v>60</v>
      </c>
      <c r="AU412" s="12" t="s">
        <v>53</v>
      </c>
    </row>
    <row r="413" spans="1:47" s="12" customFormat="1" ht="14.4" hidden="1" x14ac:dyDescent="0.3">
      <c r="A413" s="12" t="s">
        <v>505</v>
      </c>
      <c r="B413" s="12" t="s">
        <v>1102</v>
      </c>
      <c r="C413" s="12">
        <v>70</v>
      </c>
      <c r="D413" s="12">
        <v>215</v>
      </c>
      <c r="F413" s="12" t="s">
        <v>1395</v>
      </c>
      <c r="G413" s="12" t="str">
        <f t="shared" si="8"/>
        <v>7021512502600</v>
      </c>
      <c r="H413" s="12" t="s">
        <v>1396</v>
      </c>
      <c r="I413" s="12">
        <v>12502600</v>
      </c>
      <c r="J413" s="12" t="s">
        <v>1397</v>
      </c>
      <c r="K413" s="12" t="s">
        <v>44</v>
      </c>
      <c r="L413" s="12" t="s">
        <v>45</v>
      </c>
      <c r="M413" s="12" t="s">
        <v>45</v>
      </c>
      <c r="N413" s="12" t="s">
        <v>780</v>
      </c>
      <c r="O413" s="12" t="s">
        <v>260</v>
      </c>
      <c r="P413" s="88" t="s">
        <v>261</v>
      </c>
      <c r="Q413" s="13">
        <v>45224</v>
      </c>
      <c r="R413" s="16">
        <v>0.83</v>
      </c>
      <c r="S413" s="13" t="s">
        <v>49</v>
      </c>
      <c r="U413" s="12" t="s">
        <v>60</v>
      </c>
      <c r="AU413" s="12" t="s">
        <v>53</v>
      </c>
    </row>
    <row r="414" spans="1:47" s="12" customFormat="1" ht="14.4" hidden="1" x14ac:dyDescent="0.3">
      <c r="A414" s="12" t="s">
        <v>505</v>
      </c>
      <c r="B414" s="12" t="s">
        <v>1102</v>
      </c>
      <c r="C414" s="12">
        <v>70</v>
      </c>
      <c r="D414" s="12">
        <v>215</v>
      </c>
      <c r="F414" s="12" t="s">
        <v>1398</v>
      </c>
      <c r="G414" s="12" t="str">
        <f t="shared" si="8"/>
        <v>702158769470</v>
      </c>
      <c r="H414" s="12" t="s">
        <v>1399</v>
      </c>
      <c r="I414" s="12">
        <v>8769470</v>
      </c>
      <c r="J414" s="12" t="s">
        <v>1400</v>
      </c>
      <c r="K414" s="12" t="s">
        <v>44</v>
      </c>
      <c r="L414" s="12" t="s">
        <v>45</v>
      </c>
      <c r="M414" s="12" t="s">
        <v>45</v>
      </c>
      <c r="N414" s="12" t="s">
        <v>780</v>
      </c>
      <c r="O414" s="12" t="s">
        <v>260</v>
      </c>
      <c r="P414" s="88" t="s">
        <v>261</v>
      </c>
      <c r="Q414" s="13">
        <v>45237</v>
      </c>
      <c r="R414" s="16">
        <v>0.81499999999999995</v>
      </c>
      <c r="S414" s="13" t="s">
        <v>49</v>
      </c>
      <c r="U414" s="12" t="s">
        <v>60</v>
      </c>
      <c r="AU414" s="12" t="s">
        <v>53</v>
      </c>
    </row>
    <row r="415" spans="1:47" s="12" customFormat="1" ht="14.4" hidden="1" x14ac:dyDescent="0.3">
      <c r="A415" s="12" t="s">
        <v>505</v>
      </c>
      <c r="B415" s="12" t="s">
        <v>1102</v>
      </c>
      <c r="C415" s="12">
        <v>70</v>
      </c>
      <c r="D415" s="12">
        <v>215</v>
      </c>
      <c r="F415" s="12" t="s">
        <v>1401</v>
      </c>
      <c r="G415" s="12" t="str">
        <f t="shared" si="8"/>
        <v>702151100626957</v>
      </c>
      <c r="H415" s="12" t="s">
        <v>1402</v>
      </c>
      <c r="I415" s="12">
        <v>1100626957</v>
      </c>
      <c r="J415" s="12" t="s">
        <v>1403</v>
      </c>
      <c r="K415" s="12" t="s">
        <v>44</v>
      </c>
      <c r="L415" s="12" t="s">
        <v>45</v>
      </c>
      <c r="M415" s="12" t="s">
        <v>45</v>
      </c>
      <c r="N415" s="12" t="s">
        <v>780</v>
      </c>
      <c r="O415" s="12" t="s">
        <v>260</v>
      </c>
      <c r="P415" s="88" t="s">
        <v>261</v>
      </c>
      <c r="Q415" s="13">
        <v>45266</v>
      </c>
      <c r="R415" s="16">
        <v>0.93</v>
      </c>
      <c r="S415" s="13" t="s">
        <v>210</v>
      </c>
      <c r="U415" s="12" t="s">
        <v>60</v>
      </c>
      <c r="AU415" s="12" t="s">
        <v>53</v>
      </c>
    </row>
    <row r="416" spans="1:47" s="12" customFormat="1" ht="14.4" hidden="1" x14ac:dyDescent="0.3">
      <c r="A416" s="12" t="s">
        <v>505</v>
      </c>
      <c r="B416" s="12" t="s">
        <v>1102</v>
      </c>
      <c r="C416" s="12">
        <v>70</v>
      </c>
      <c r="D416" s="12">
        <v>215</v>
      </c>
      <c r="F416" s="12" t="s">
        <v>1404</v>
      </c>
      <c r="G416" s="12" t="str">
        <f t="shared" si="8"/>
        <v>702151005582152</v>
      </c>
      <c r="H416" s="12" t="s">
        <v>1405</v>
      </c>
      <c r="I416" s="12">
        <v>1005582152</v>
      </c>
      <c r="J416" s="12" t="s">
        <v>1400</v>
      </c>
      <c r="K416" s="12" t="s">
        <v>44</v>
      </c>
      <c r="L416" s="12" t="s">
        <v>45</v>
      </c>
      <c r="M416" s="12" t="s">
        <v>45</v>
      </c>
      <c r="N416" s="12" t="s">
        <v>780</v>
      </c>
      <c r="O416" s="12" t="s">
        <v>260</v>
      </c>
      <c r="P416" s="88" t="s">
        <v>261</v>
      </c>
      <c r="Q416" s="13">
        <v>45265</v>
      </c>
      <c r="R416" s="16">
        <v>0.83</v>
      </c>
      <c r="S416" s="13" t="s">
        <v>49</v>
      </c>
      <c r="U416" s="12" t="s">
        <v>60</v>
      </c>
      <c r="AU416" s="12" t="s">
        <v>53</v>
      </c>
    </row>
    <row r="417" spans="1:47" s="12" customFormat="1" ht="14.4" hidden="1" x14ac:dyDescent="0.3">
      <c r="A417" s="12" t="s">
        <v>505</v>
      </c>
      <c r="B417" s="12" t="s">
        <v>1102</v>
      </c>
      <c r="C417" s="12">
        <v>70</v>
      </c>
      <c r="D417" s="12">
        <v>215</v>
      </c>
      <c r="F417" s="12" t="s">
        <v>1406</v>
      </c>
      <c r="G417" s="12" t="str">
        <f t="shared" si="8"/>
        <v>702152289600</v>
      </c>
      <c r="H417" s="12" t="s">
        <v>1407</v>
      </c>
      <c r="I417" s="12">
        <v>2289600</v>
      </c>
      <c r="J417" s="12" t="s">
        <v>1408</v>
      </c>
      <c r="K417" s="12" t="s">
        <v>44</v>
      </c>
      <c r="L417" s="12" t="s">
        <v>45</v>
      </c>
      <c r="M417" s="12" t="s">
        <v>45</v>
      </c>
      <c r="N417" s="12" t="s">
        <v>780</v>
      </c>
      <c r="O417" s="12" t="s">
        <v>260</v>
      </c>
      <c r="P417" s="88" t="s">
        <v>261</v>
      </c>
      <c r="Q417" s="13">
        <v>45259</v>
      </c>
      <c r="R417" s="16">
        <v>0.82</v>
      </c>
      <c r="S417" s="13" t="s">
        <v>49</v>
      </c>
      <c r="U417" s="12" t="s">
        <v>60</v>
      </c>
      <c r="AU417" s="12" t="s">
        <v>53</v>
      </c>
    </row>
    <row r="418" spans="1:47" s="12" customFormat="1" ht="14.4" hidden="1" x14ac:dyDescent="0.3">
      <c r="A418" s="12" t="s">
        <v>505</v>
      </c>
      <c r="B418" s="12" t="s">
        <v>1102</v>
      </c>
      <c r="C418" s="12">
        <v>70</v>
      </c>
      <c r="D418" s="12">
        <v>215</v>
      </c>
      <c r="F418" s="12" t="s">
        <v>1409</v>
      </c>
      <c r="G418" s="12" t="str">
        <f t="shared" si="8"/>
        <v>702153840342</v>
      </c>
      <c r="H418" s="12" t="s">
        <v>1410</v>
      </c>
      <c r="I418" s="12">
        <v>3840342</v>
      </c>
      <c r="J418" s="12" t="s">
        <v>1411</v>
      </c>
      <c r="K418" s="12" t="s">
        <v>44</v>
      </c>
      <c r="L418" s="12" t="s">
        <v>45</v>
      </c>
      <c r="M418" s="12" t="s">
        <v>45</v>
      </c>
      <c r="N418" s="12" t="s">
        <v>780</v>
      </c>
      <c r="O418" s="12" t="s">
        <v>260</v>
      </c>
      <c r="P418" s="88" t="s">
        <v>261</v>
      </c>
      <c r="Q418" s="13">
        <v>45222</v>
      </c>
      <c r="R418" s="16">
        <v>0.91</v>
      </c>
      <c r="S418" s="13" t="s">
        <v>210</v>
      </c>
      <c r="U418" s="12" t="s">
        <v>60</v>
      </c>
      <c r="AU418" s="12" t="s">
        <v>53</v>
      </c>
    </row>
    <row r="419" spans="1:47" s="12" customFormat="1" ht="14.4" hidden="1" x14ac:dyDescent="0.3">
      <c r="A419" s="12" t="s">
        <v>505</v>
      </c>
      <c r="B419" s="12" t="s">
        <v>1102</v>
      </c>
      <c r="C419" s="12">
        <v>70</v>
      </c>
      <c r="D419" s="12">
        <v>215</v>
      </c>
      <c r="F419" s="12" t="s">
        <v>1412</v>
      </c>
      <c r="G419" s="12" t="str">
        <f t="shared" si="8"/>
        <v>702157021592555885</v>
      </c>
      <c r="H419" s="12" t="s">
        <v>1413</v>
      </c>
      <c r="I419" s="12">
        <v>7021592555885</v>
      </c>
      <c r="J419" s="12" t="s">
        <v>1414</v>
      </c>
      <c r="K419" s="12" t="s">
        <v>44</v>
      </c>
      <c r="L419" s="12" t="s">
        <v>45</v>
      </c>
      <c r="M419" s="12" t="s">
        <v>45</v>
      </c>
      <c r="N419" s="12" t="s">
        <v>780</v>
      </c>
      <c r="O419" s="12" t="s">
        <v>260</v>
      </c>
      <c r="P419" s="88" t="s">
        <v>261</v>
      </c>
      <c r="Q419" s="13">
        <v>45116</v>
      </c>
      <c r="R419" s="16">
        <v>0.89</v>
      </c>
      <c r="S419" s="13" t="s">
        <v>49</v>
      </c>
      <c r="U419" s="12" t="s">
        <v>60</v>
      </c>
      <c r="AU419" s="12" t="s">
        <v>53</v>
      </c>
    </row>
    <row r="420" spans="1:47" s="12" customFormat="1" ht="14.4" hidden="1" x14ac:dyDescent="0.3">
      <c r="A420" s="12" t="s">
        <v>505</v>
      </c>
      <c r="B420" s="12" t="s">
        <v>1102</v>
      </c>
      <c r="C420" s="12">
        <v>70</v>
      </c>
      <c r="D420" s="12">
        <v>215</v>
      </c>
      <c r="F420" s="12" t="s">
        <v>1415</v>
      </c>
      <c r="G420" s="12" t="str">
        <f t="shared" si="8"/>
        <v>7021521659735</v>
      </c>
      <c r="H420" s="12" t="s">
        <v>1416</v>
      </c>
      <c r="I420" s="12">
        <v>21659735</v>
      </c>
      <c r="J420" s="12" t="s">
        <v>1417</v>
      </c>
      <c r="K420" s="12" t="s">
        <v>44</v>
      </c>
      <c r="L420" s="12" t="s">
        <v>45</v>
      </c>
      <c r="M420" s="12" t="s">
        <v>45</v>
      </c>
      <c r="N420" s="12" t="s">
        <v>780</v>
      </c>
      <c r="O420" s="12" t="s">
        <v>260</v>
      </c>
      <c r="P420" s="88" t="s">
        <v>261</v>
      </c>
      <c r="Q420" s="13">
        <v>45161</v>
      </c>
      <c r="R420" s="16">
        <v>0.86499999999999999</v>
      </c>
      <c r="S420" s="13" t="s">
        <v>49</v>
      </c>
      <c r="U420" s="12" t="s">
        <v>60</v>
      </c>
      <c r="AU420" s="12" t="s">
        <v>53</v>
      </c>
    </row>
    <row r="421" spans="1:47" s="12" customFormat="1" ht="14.4" hidden="1" x14ac:dyDescent="0.3">
      <c r="A421" s="12" t="s">
        <v>505</v>
      </c>
      <c r="B421" s="12" t="s">
        <v>1102</v>
      </c>
      <c r="C421" s="12">
        <v>70</v>
      </c>
      <c r="D421" s="12">
        <v>215</v>
      </c>
      <c r="F421" s="12" t="s">
        <v>1418</v>
      </c>
      <c r="G421" s="12" t="str">
        <f t="shared" si="8"/>
        <v>702151100684605</v>
      </c>
      <c r="H421" s="12" t="s">
        <v>1383</v>
      </c>
      <c r="I421" s="12">
        <v>1100684605</v>
      </c>
      <c r="J421" s="12" t="s">
        <v>1400</v>
      </c>
      <c r="K421" s="12" t="s">
        <v>44</v>
      </c>
      <c r="L421" s="12" t="s">
        <v>45</v>
      </c>
      <c r="M421" s="12" t="s">
        <v>45</v>
      </c>
      <c r="N421" s="12" t="s">
        <v>780</v>
      </c>
      <c r="O421" s="12" t="s">
        <v>260</v>
      </c>
      <c r="P421" s="88" t="s">
        <v>261</v>
      </c>
      <c r="Q421" s="13">
        <v>45091</v>
      </c>
      <c r="R421" s="16">
        <v>0.80500000000000005</v>
      </c>
      <c r="S421" s="13" t="s">
        <v>49</v>
      </c>
      <c r="U421" s="12" t="s">
        <v>60</v>
      </c>
      <c r="AU421" s="12" t="s">
        <v>53</v>
      </c>
    </row>
    <row r="422" spans="1:47" s="12" customFormat="1" ht="14.4" hidden="1" x14ac:dyDescent="0.3">
      <c r="A422" s="12" t="s">
        <v>505</v>
      </c>
      <c r="B422" s="12" t="s">
        <v>1102</v>
      </c>
      <c r="C422" s="12">
        <v>70</v>
      </c>
      <c r="D422" s="12">
        <v>215</v>
      </c>
      <c r="F422" s="12" t="s">
        <v>1419</v>
      </c>
      <c r="G422" s="12" t="str">
        <f t="shared" si="8"/>
        <v>702153919235</v>
      </c>
      <c r="H422" s="12" t="s">
        <v>1420</v>
      </c>
      <c r="I422" s="12">
        <v>3919235</v>
      </c>
      <c r="J422" s="12" t="s">
        <v>1421</v>
      </c>
      <c r="K422" s="12" t="s">
        <v>44</v>
      </c>
      <c r="L422" s="12" t="s">
        <v>45</v>
      </c>
      <c r="M422" s="12" t="s">
        <v>45</v>
      </c>
      <c r="N422" s="12" t="s">
        <v>780</v>
      </c>
      <c r="O422" s="12" t="s">
        <v>260</v>
      </c>
      <c r="P422" s="88" t="s">
        <v>261</v>
      </c>
      <c r="AU422" s="12" t="s">
        <v>164</v>
      </c>
    </row>
    <row r="423" spans="1:47" s="12" customFormat="1" ht="14.4" hidden="1" x14ac:dyDescent="0.3">
      <c r="A423" s="12" t="s">
        <v>505</v>
      </c>
      <c r="B423" s="12" t="s">
        <v>1102</v>
      </c>
      <c r="C423" s="12">
        <v>70</v>
      </c>
      <c r="D423" s="12">
        <v>215</v>
      </c>
      <c r="F423" s="12" t="s">
        <v>1422</v>
      </c>
      <c r="G423" s="12" t="str">
        <f t="shared" si="8"/>
        <v xml:space="preserve">70215NO REGISTRA </v>
      </c>
      <c r="H423" s="12" t="s">
        <v>1423</v>
      </c>
      <c r="I423" s="12" t="s">
        <v>193</v>
      </c>
      <c r="J423" s="12" t="s">
        <v>45</v>
      </c>
      <c r="K423" s="12" t="s">
        <v>44</v>
      </c>
      <c r="L423" s="12" t="s">
        <v>45</v>
      </c>
      <c r="M423" s="12" t="s">
        <v>45</v>
      </c>
      <c r="N423" s="12" t="s">
        <v>780</v>
      </c>
      <c r="O423" s="12" t="s">
        <v>260</v>
      </c>
      <c r="P423" s="88" t="s">
        <v>261</v>
      </c>
      <c r="AU423" s="12" t="s">
        <v>164</v>
      </c>
    </row>
    <row r="424" spans="1:47" s="12" customFormat="1" ht="14.4" hidden="1" x14ac:dyDescent="0.3">
      <c r="A424" s="12" t="s">
        <v>505</v>
      </c>
      <c r="B424" s="12" t="s">
        <v>1102</v>
      </c>
      <c r="C424" s="12">
        <v>70</v>
      </c>
      <c r="D424" s="12">
        <v>215</v>
      </c>
      <c r="F424" s="12" t="s">
        <v>1424</v>
      </c>
      <c r="G424" s="12" t="str">
        <f t="shared" si="8"/>
        <v>7021592559667</v>
      </c>
      <c r="H424" s="12" t="s">
        <v>1425</v>
      </c>
      <c r="I424" s="12">
        <v>92559667</v>
      </c>
      <c r="J424" s="12" t="s">
        <v>1426</v>
      </c>
      <c r="K424" s="12" t="s">
        <v>44</v>
      </c>
      <c r="L424" s="12">
        <v>3174022476</v>
      </c>
      <c r="M424" s="12" t="s">
        <v>1427</v>
      </c>
      <c r="N424" s="12" t="s">
        <v>780</v>
      </c>
      <c r="O424" s="12" t="s">
        <v>260</v>
      </c>
      <c r="P424" s="88" t="s">
        <v>261</v>
      </c>
      <c r="AU424" s="12" t="s">
        <v>164</v>
      </c>
    </row>
    <row r="425" spans="1:47" s="12" customFormat="1" ht="14.4" hidden="1" x14ac:dyDescent="0.3">
      <c r="A425" s="12" t="s">
        <v>505</v>
      </c>
      <c r="B425" s="12" t="s">
        <v>1102</v>
      </c>
      <c r="C425" s="12">
        <v>70</v>
      </c>
      <c r="D425" s="12">
        <v>215</v>
      </c>
      <c r="F425" s="12" t="s">
        <v>1428</v>
      </c>
      <c r="G425" s="12" t="str">
        <f t="shared" si="8"/>
        <v>70215900480569-1</v>
      </c>
      <c r="H425" s="12" t="s">
        <v>1429</v>
      </c>
      <c r="I425" s="12" t="s">
        <v>1430</v>
      </c>
      <c r="J425" s="12" t="s">
        <v>1431</v>
      </c>
      <c r="K425" s="12" t="s">
        <v>44</v>
      </c>
      <c r="L425" s="12">
        <v>3232209590</v>
      </c>
      <c r="M425" s="12" t="s">
        <v>1432</v>
      </c>
      <c r="N425" s="12" t="s">
        <v>780</v>
      </c>
      <c r="O425" s="12" t="s">
        <v>260</v>
      </c>
      <c r="P425" s="88" t="s">
        <v>261</v>
      </c>
      <c r="AU425" s="12" t="s">
        <v>164</v>
      </c>
    </row>
    <row r="426" spans="1:47" s="12" customFormat="1" ht="14.4" hidden="1" x14ac:dyDescent="0.3">
      <c r="A426" s="12" t="s">
        <v>505</v>
      </c>
      <c r="B426" s="12" t="s">
        <v>1102</v>
      </c>
      <c r="C426" s="12">
        <v>70</v>
      </c>
      <c r="D426" s="12">
        <v>215</v>
      </c>
      <c r="F426" s="12" t="s">
        <v>1433</v>
      </c>
      <c r="G426" s="12" t="str">
        <f t="shared" si="8"/>
        <v>7021573340700-8</v>
      </c>
      <c r="H426" s="12" t="s">
        <v>1434</v>
      </c>
      <c r="I426" s="12" t="s">
        <v>1435</v>
      </c>
      <c r="J426" s="12" t="s">
        <v>1436</v>
      </c>
      <c r="K426" s="12" t="s">
        <v>44</v>
      </c>
      <c r="L426" s="12">
        <v>3147438764</v>
      </c>
      <c r="M426" s="17" t="s">
        <v>7892</v>
      </c>
      <c r="N426" s="12" t="s">
        <v>432</v>
      </c>
      <c r="O426" s="12" t="s">
        <v>432</v>
      </c>
      <c r="P426" s="88" t="s">
        <v>261</v>
      </c>
      <c r="Q426" s="13">
        <v>45849</v>
      </c>
      <c r="R426" s="16">
        <v>0.97</v>
      </c>
      <c r="S426" s="12" t="s">
        <v>210</v>
      </c>
      <c r="U426" s="12" t="s">
        <v>2456</v>
      </c>
      <c r="V426" s="13">
        <v>45443</v>
      </c>
      <c r="W426" s="16">
        <v>0.95</v>
      </c>
      <c r="X426" s="12" t="s">
        <v>210</v>
      </c>
      <c r="Z426" s="12" t="s">
        <v>2456</v>
      </c>
      <c r="AU426" s="12" t="s">
        <v>53</v>
      </c>
    </row>
    <row r="427" spans="1:47" s="12" customFormat="1" ht="14.4" hidden="1" x14ac:dyDescent="0.3">
      <c r="A427" s="12" t="s">
        <v>505</v>
      </c>
      <c r="B427" s="12" t="s">
        <v>1102</v>
      </c>
      <c r="C427" s="12">
        <v>70</v>
      </c>
      <c r="D427" s="12">
        <v>215</v>
      </c>
      <c r="F427" s="12" t="s">
        <v>1437</v>
      </c>
      <c r="G427" s="12" t="str">
        <f t="shared" si="8"/>
        <v>7021592512582</v>
      </c>
      <c r="H427" s="12" t="s">
        <v>1438</v>
      </c>
      <c r="I427" s="12">
        <v>92512582</v>
      </c>
      <c r="J427" s="12" t="s">
        <v>1439</v>
      </c>
      <c r="K427" s="12" t="s">
        <v>44</v>
      </c>
      <c r="L427" s="12">
        <v>3107000870</v>
      </c>
      <c r="M427" s="12" t="s">
        <v>45</v>
      </c>
      <c r="N427" s="12" t="s">
        <v>780</v>
      </c>
      <c r="O427" s="12" t="s">
        <v>260</v>
      </c>
      <c r="P427" s="88" t="s">
        <v>261</v>
      </c>
      <c r="Q427" s="13">
        <v>45629</v>
      </c>
      <c r="R427" s="18">
        <v>0.755</v>
      </c>
      <c r="S427" s="12" t="s">
        <v>69</v>
      </c>
      <c r="T427" s="12" t="s">
        <v>1125</v>
      </c>
      <c r="U427" s="12" t="s">
        <v>60</v>
      </c>
      <c r="AU427" s="12" t="s">
        <v>53</v>
      </c>
    </row>
    <row r="428" spans="1:47" s="12" customFormat="1" ht="14.4" hidden="1" x14ac:dyDescent="0.3">
      <c r="A428" s="12" t="s">
        <v>505</v>
      </c>
      <c r="B428" s="12" t="s">
        <v>1102</v>
      </c>
      <c r="C428" s="12">
        <v>70</v>
      </c>
      <c r="D428" s="12">
        <v>215</v>
      </c>
      <c r="F428" s="12" t="s">
        <v>1440</v>
      </c>
      <c r="G428" s="12" t="str">
        <f t="shared" si="8"/>
        <v>7021574245440-9</v>
      </c>
      <c r="H428" s="12" t="s">
        <v>1441</v>
      </c>
      <c r="I428" s="12" t="s">
        <v>1442</v>
      </c>
      <c r="J428" s="12" t="s">
        <v>1443</v>
      </c>
      <c r="K428" s="12" t="s">
        <v>44</v>
      </c>
      <c r="L428" s="12">
        <v>3218141755</v>
      </c>
      <c r="M428" s="99" t="s">
        <v>1444</v>
      </c>
      <c r="N428" s="12" t="s">
        <v>780</v>
      </c>
      <c r="O428" s="12" t="s">
        <v>260</v>
      </c>
      <c r="P428" s="88" t="s">
        <v>261</v>
      </c>
      <c r="Q428" s="13">
        <v>45784</v>
      </c>
      <c r="R428" s="16">
        <v>0.93</v>
      </c>
      <c r="S428" s="12" t="s">
        <v>210</v>
      </c>
      <c r="T428" s="12" t="s">
        <v>1125</v>
      </c>
      <c r="U428" s="12" t="s">
        <v>1445</v>
      </c>
      <c r="V428" s="13">
        <v>45570</v>
      </c>
      <c r="W428" s="16">
        <v>0.83</v>
      </c>
      <c r="X428" s="12" t="s">
        <v>49</v>
      </c>
      <c r="Z428" s="12" t="s">
        <v>50</v>
      </c>
    </row>
    <row r="429" spans="1:47" s="12" customFormat="1" ht="14.4" hidden="1" x14ac:dyDescent="0.3">
      <c r="A429" s="12" t="s">
        <v>505</v>
      </c>
      <c r="B429" s="12" t="s">
        <v>1102</v>
      </c>
      <c r="C429" s="12">
        <v>70</v>
      </c>
      <c r="D429" s="12">
        <v>215</v>
      </c>
      <c r="F429" s="12" t="s">
        <v>1446</v>
      </c>
      <c r="G429" s="12" t="str">
        <f t="shared" si="8"/>
        <v>7021518777964</v>
      </c>
      <c r="H429" s="12" t="s">
        <v>1447</v>
      </c>
      <c r="I429" s="12">
        <v>18777964</v>
      </c>
      <c r="J429" s="12" t="s">
        <v>1448</v>
      </c>
      <c r="K429" s="12" t="s">
        <v>44</v>
      </c>
      <c r="L429" s="12" t="s">
        <v>45</v>
      </c>
      <c r="M429" s="12" t="s">
        <v>45</v>
      </c>
      <c r="N429" s="12" t="s">
        <v>432</v>
      </c>
      <c r="O429" s="12" t="s">
        <v>432</v>
      </c>
      <c r="P429" s="88" t="s">
        <v>261</v>
      </c>
      <c r="Q429" s="13">
        <v>45604</v>
      </c>
      <c r="R429" s="16">
        <v>0.83</v>
      </c>
      <c r="S429" s="13" t="s">
        <v>49</v>
      </c>
      <c r="U429" s="12" t="s">
        <v>60</v>
      </c>
      <c r="AU429" s="12" t="s">
        <v>53</v>
      </c>
    </row>
    <row r="430" spans="1:47" s="12" customFormat="1" ht="14.4" hidden="1" x14ac:dyDescent="0.3">
      <c r="A430" s="12" t="s">
        <v>505</v>
      </c>
      <c r="B430" s="12" t="s">
        <v>1102</v>
      </c>
      <c r="C430" s="12">
        <v>70</v>
      </c>
      <c r="D430" s="12">
        <v>215</v>
      </c>
      <c r="F430" s="12" t="s">
        <v>1449</v>
      </c>
      <c r="G430" s="12" t="str">
        <f t="shared" si="8"/>
        <v>702159314148</v>
      </c>
      <c r="H430" s="12" t="s">
        <v>1450</v>
      </c>
      <c r="I430" s="12">
        <v>9314148</v>
      </c>
      <c r="J430" s="12" t="s">
        <v>1451</v>
      </c>
      <c r="K430" s="12" t="s">
        <v>44</v>
      </c>
      <c r="L430" s="12" t="s">
        <v>45</v>
      </c>
      <c r="M430" s="12" t="s">
        <v>45</v>
      </c>
      <c r="N430" s="12" t="s">
        <v>432</v>
      </c>
      <c r="O430" s="12" t="s">
        <v>432</v>
      </c>
      <c r="P430" s="88" t="s">
        <v>261</v>
      </c>
      <c r="Q430" s="13">
        <v>45609</v>
      </c>
      <c r="R430" s="16">
        <v>0.86499999999999999</v>
      </c>
      <c r="S430" s="13" t="s">
        <v>49</v>
      </c>
      <c r="U430" s="12" t="s">
        <v>60</v>
      </c>
      <c r="AU430" s="12" t="s">
        <v>53</v>
      </c>
    </row>
    <row r="431" spans="1:47" s="12" customFormat="1" ht="14.4" hidden="1" x14ac:dyDescent="0.3">
      <c r="A431" s="12" t="s">
        <v>505</v>
      </c>
      <c r="B431" s="12" t="s">
        <v>1102</v>
      </c>
      <c r="C431" s="12">
        <v>70</v>
      </c>
      <c r="D431" s="12">
        <v>215</v>
      </c>
      <c r="F431" s="12" t="s">
        <v>1452</v>
      </c>
      <c r="G431" s="12" t="str">
        <f t="shared" si="8"/>
        <v>702151028188323</v>
      </c>
      <c r="H431" s="12" t="s">
        <v>1453</v>
      </c>
      <c r="I431" s="12">
        <v>1028188323</v>
      </c>
      <c r="J431" s="12" t="s">
        <v>1454</v>
      </c>
      <c r="K431" s="12" t="s">
        <v>44</v>
      </c>
      <c r="L431" s="12" t="s">
        <v>45</v>
      </c>
      <c r="M431" s="12" t="s">
        <v>45</v>
      </c>
      <c r="N431" s="12" t="s">
        <v>432</v>
      </c>
      <c r="O431" s="12" t="s">
        <v>432</v>
      </c>
      <c r="P431" s="88" t="s">
        <v>261</v>
      </c>
      <c r="Q431" s="13">
        <v>45611</v>
      </c>
      <c r="R431" s="16">
        <v>0.94</v>
      </c>
      <c r="S431" s="13" t="s">
        <v>210</v>
      </c>
      <c r="U431" s="12" t="s">
        <v>60</v>
      </c>
      <c r="AU431" s="12" t="s">
        <v>53</v>
      </c>
    </row>
    <row r="432" spans="1:47" s="12" customFormat="1" ht="14.4" hidden="1" x14ac:dyDescent="0.3">
      <c r="A432" s="12" t="s">
        <v>505</v>
      </c>
      <c r="B432" s="12" t="s">
        <v>1102</v>
      </c>
      <c r="C432" s="12">
        <v>70</v>
      </c>
      <c r="D432" s="12">
        <v>215</v>
      </c>
      <c r="F432" s="12" t="s">
        <v>1455</v>
      </c>
      <c r="G432" s="12" t="str">
        <f t="shared" si="8"/>
        <v>7021592559239</v>
      </c>
      <c r="H432" s="12" t="s">
        <v>1456</v>
      </c>
      <c r="I432" s="12">
        <v>92559239</v>
      </c>
      <c r="J432" s="12" t="s">
        <v>1457</v>
      </c>
      <c r="K432" s="12" t="s">
        <v>44</v>
      </c>
      <c r="L432" s="12" t="s">
        <v>45</v>
      </c>
      <c r="M432" s="12" t="s">
        <v>45</v>
      </c>
      <c r="N432" s="12" t="s">
        <v>432</v>
      </c>
      <c r="O432" s="12" t="s">
        <v>432</v>
      </c>
      <c r="P432" s="88" t="s">
        <v>261</v>
      </c>
      <c r="Q432" s="13">
        <v>45616</v>
      </c>
      <c r="R432" s="16">
        <v>0.94</v>
      </c>
      <c r="S432" s="13" t="s">
        <v>210</v>
      </c>
      <c r="U432" s="12" t="s">
        <v>60</v>
      </c>
      <c r="AU432" s="12" t="s">
        <v>53</v>
      </c>
    </row>
    <row r="433" spans="1:47" s="12" customFormat="1" ht="14.4" hidden="1" x14ac:dyDescent="0.3">
      <c r="A433" s="12" t="s">
        <v>505</v>
      </c>
      <c r="B433" s="12" t="s">
        <v>1102</v>
      </c>
      <c r="C433" s="12">
        <v>70</v>
      </c>
      <c r="D433" s="12">
        <v>215</v>
      </c>
      <c r="F433" s="12" t="s">
        <v>1458</v>
      </c>
      <c r="G433" s="12" t="str">
        <f t="shared" si="8"/>
        <v>70215900302592</v>
      </c>
      <c r="H433" s="12" t="s">
        <v>1459</v>
      </c>
      <c r="I433" s="12">
        <v>900302592</v>
      </c>
      <c r="J433" s="12" t="s">
        <v>1460</v>
      </c>
      <c r="K433" s="12" t="s">
        <v>44</v>
      </c>
      <c r="L433" s="12" t="s">
        <v>45</v>
      </c>
      <c r="M433" s="12" t="s">
        <v>45</v>
      </c>
      <c r="N433" s="12" t="s">
        <v>432</v>
      </c>
      <c r="O433" s="12" t="s">
        <v>432</v>
      </c>
      <c r="P433" s="88" t="s">
        <v>261</v>
      </c>
      <c r="Q433" s="13">
        <v>45418</v>
      </c>
      <c r="R433" s="16">
        <v>0.82</v>
      </c>
      <c r="S433" s="13" t="s">
        <v>49</v>
      </c>
      <c r="U433" s="12" t="s">
        <v>60</v>
      </c>
      <c r="V433" s="13">
        <v>44645</v>
      </c>
      <c r="W433" s="16">
        <v>0.82499999999999996</v>
      </c>
      <c r="X433" s="13" t="s">
        <v>49</v>
      </c>
      <c r="Z433" s="12" t="s">
        <v>50</v>
      </c>
      <c r="AU433" s="12" t="s">
        <v>53</v>
      </c>
    </row>
    <row r="434" spans="1:47" s="12" customFormat="1" ht="14.4" hidden="1" x14ac:dyDescent="0.3">
      <c r="A434" s="12" t="s">
        <v>505</v>
      </c>
      <c r="B434" s="12" t="s">
        <v>1102</v>
      </c>
      <c r="C434" s="12">
        <v>70</v>
      </c>
      <c r="D434" s="12">
        <v>215</v>
      </c>
      <c r="F434" s="12" t="s">
        <v>1461</v>
      </c>
      <c r="G434" s="12" t="str">
        <f t="shared" si="8"/>
        <v>7021564743624-7</v>
      </c>
      <c r="H434" s="12" t="s">
        <v>1462</v>
      </c>
      <c r="I434" s="12" t="s">
        <v>1463</v>
      </c>
      <c r="J434" s="12" t="s">
        <v>1464</v>
      </c>
      <c r="K434" s="12" t="s">
        <v>44</v>
      </c>
      <c r="L434" s="12" t="s">
        <v>45</v>
      </c>
      <c r="M434" s="12" t="s">
        <v>45</v>
      </c>
      <c r="N434" s="12" t="s">
        <v>432</v>
      </c>
      <c r="O434" s="12" t="s">
        <v>432</v>
      </c>
      <c r="P434" s="88" t="s">
        <v>261</v>
      </c>
      <c r="Q434" s="13">
        <v>45567</v>
      </c>
      <c r="R434" s="16">
        <v>0.74</v>
      </c>
      <c r="S434" s="13" t="s">
        <v>49</v>
      </c>
      <c r="U434" s="12" t="s">
        <v>60</v>
      </c>
      <c r="AU434" s="12" t="s">
        <v>53</v>
      </c>
    </row>
    <row r="435" spans="1:47" s="12" customFormat="1" ht="14.4" hidden="1" x14ac:dyDescent="0.3">
      <c r="A435" s="12" t="s">
        <v>505</v>
      </c>
      <c r="B435" s="12" t="s">
        <v>1102</v>
      </c>
      <c r="C435" s="12">
        <v>70</v>
      </c>
      <c r="D435" s="12">
        <v>215</v>
      </c>
      <c r="F435" s="12" t="s">
        <v>1465</v>
      </c>
      <c r="G435" s="12" t="str">
        <f t="shared" si="8"/>
        <v>702151103122226</v>
      </c>
      <c r="H435" s="12" t="s">
        <v>1466</v>
      </c>
      <c r="I435" s="12">
        <v>1103122226</v>
      </c>
      <c r="J435" s="12" t="s">
        <v>1467</v>
      </c>
      <c r="K435" s="12" t="s">
        <v>44</v>
      </c>
      <c r="L435" s="12" t="s">
        <v>45</v>
      </c>
      <c r="M435" s="12" t="s">
        <v>45</v>
      </c>
      <c r="N435" s="12" t="s">
        <v>432</v>
      </c>
      <c r="O435" s="12" t="s">
        <v>432</v>
      </c>
      <c r="P435" s="88" t="s">
        <v>261</v>
      </c>
      <c r="Q435" s="13">
        <v>45586</v>
      </c>
      <c r="R435" s="16">
        <v>0.92</v>
      </c>
      <c r="S435" s="13" t="s">
        <v>210</v>
      </c>
      <c r="U435" s="12" t="s">
        <v>60</v>
      </c>
      <c r="AU435" s="12" t="s">
        <v>53</v>
      </c>
    </row>
    <row r="436" spans="1:47" s="12" customFormat="1" ht="14.4" hidden="1" x14ac:dyDescent="0.3">
      <c r="A436" s="12" t="s">
        <v>505</v>
      </c>
      <c r="B436" s="12" t="s">
        <v>1102</v>
      </c>
      <c r="C436" s="12">
        <v>70</v>
      </c>
      <c r="D436" s="12">
        <v>215</v>
      </c>
      <c r="F436" s="12" t="s">
        <v>1468</v>
      </c>
      <c r="G436" s="12" t="str">
        <f t="shared" si="8"/>
        <v>7021542209649</v>
      </c>
      <c r="H436" s="214" t="s">
        <v>1469</v>
      </c>
      <c r="I436" s="12">
        <v>42209649</v>
      </c>
      <c r="J436" s="12" t="s">
        <v>1470</v>
      </c>
      <c r="K436" s="12" t="s">
        <v>44</v>
      </c>
      <c r="L436" s="12">
        <v>3012614753</v>
      </c>
      <c r="M436" s="12" t="s">
        <v>1471</v>
      </c>
      <c r="N436" s="12" t="s">
        <v>432</v>
      </c>
      <c r="O436" s="12" t="s">
        <v>432</v>
      </c>
      <c r="P436" s="88" t="s">
        <v>261</v>
      </c>
      <c r="Q436" s="12" t="s">
        <v>1472</v>
      </c>
      <c r="R436" s="18">
        <v>0.93500000000000005</v>
      </c>
      <c r="S436" s="12" t="s">
        <v>69</v>
      </c>
      <c r="T436" s="12" t="s">
        <v>1125</v>
      </c>
      <c r="U436" s="12" t="s">
        <v>60</v>
      </c>
      <c r="V436" s="13" t="s">
        <v>1473</v>
      </c>
      <c r="W436" s="16">
        <v>0.95</v>
      </c>
      <c r="X436" s="13" t="s">
        <v>210</v>
      </c>
      <c r="Z436" s="12" t="s">
        <v>50</v>
      </c>
      <c r="AA436" s="12" t="s">
        <v>1474</v>
      </c>
      <c r="AB436" s="12" t="s">
        <v>52</v>
      </c>
      <c r="AU436" s="12" t="s">
        <v>53</v>
      </c>
    </row>
    <row r="437" spans="1:47" s="12" customFormat="1" ht="14.4" hidden="1" x14ac:dyDescent="0.3">
      <c r="A437" s="12" t="s">
        <v>505</v>
      </c>
      <c r="B437" s="12" t="s">
        <v>1102</v>
      </c>
      <c r="C437" s="12">
        <v>70</v>
      </c>
      <c r="D437" s="12">
        <v>215</v>
      </c>
      <c r="F437" s="275" t="s">
        <v>1475</v>
      </c>
      <c r="G437" s="213" t="str">
        <f t="shared" si="8"/>
        <v>7021510055821527</v>
      </c>
      <c r="H437" s="282" t="s">
        <v>8938</v>
      </c>
      <c r="I437" s="220">
        <v>10055821527</v>
      </c>
      <c r="J437" s="12" t="s">
        <v>1476</v>
      </c>
      <c r="K437" s="12" t="s">
        <v>44</v>
      </c>
      <c r="L437" s="12">
        <v>3202290830</v>
      </c>
      <c r="M437" s="12" t="s">
        <v>8939</v>
      </c>
      <c r="N437" s="12" t="s">
        <v>432</v>
      </c>
      <c r="O437" s="12" t="s">
        <v>432</v>
      </c>
      <c r="P437" s="88" t="s">
        <v>261</v>
      </c>
      <c r="Q437" s="13">
        <v>46168</v>
      </c>
      <c r="R437" s="12">
        <v>89</v>
      </c>
      <c r="S437" s="12" t="s">
        <v>49</v>
      </c>
      <c r="T437" s="12" t="s">
        <v>1139</v>
      </c>
      <c r="U437" s="12" t="s">
        <v>2456</v>
      </c>
      <c r="V437" s="13">
        <v>45901</v>
      </c>
      <c r="W437" s="16">
        <v>0.91</v>
      </c>
      <c r="X437" s="12" t="s">
        <v>210</v>
      </c>
      <c r="Y437" s="12" t="s">
        <v>1125</v>
      </c>
      <c r="Z437" s="12" t="s">
        <v>2456</v>
      </c>
      <c r="AC437" s="12" t="s">
        <v>1477</v>
      </c>
      <c r="AD437" s="16">
        <v>0.91</v>
      </c>
      <c r="AE437" s="12" t="s">
        <v>319</v>
      </c>
      <c r="AF437" s="12" t="s">
        <v>60</v>
      </c>
      <c r="AU437" s="12" t="s">
        <v>53</v>
      </c>
    </row>
    <row r="438" spans="1:47" s="12" customFormat="1" ht="14.4" hidden="1" x14ac:dyDescent="0.3">
      <c r="A438" s="12" t="s">
        <v>505</v>
      </c>
      <c r="B438" s="12" t="s">
        <v>1102</v>
      </c>
      <c r="C438" s="12">
        <v>70</v>
      </c>
      <c r="D438" s="12">
        <v>215</v>
      </c>
      <c r="F438" s="275" t="s">
        <v>1478</v>
      </c>
      <c r="G438" s="213" t="str">
        <f t="shared" si="8"/>
        <v>7021542206690</v>
      </c>
      <c r="H438" s="360" t="s">
        <v>9046</v>
      </c>
      <c r="I438" s="220">
        <v>42206690</v>
      </c>
      <c r="J438" s="12" t="s">
        <v>9047</v>
      </c>
      <c r="K438" s="12" t="s">
        <v>44</v>
      </c>
      <c r="L438" s="12">
        <v>3114063698</v>
      </c>
      <c r="M438" s="12" t="s">
        <v>9048</v>
      </c>
      <c r="N438" s="12" t="s">
        <v>432</v>
      </c>
      <c r="O438" s="12" t="s">
        <v>432</v>
      </c>
      <c r="P438" s="88" t="s">
        <v>261</v>
      </c>
      <c r="Q438" s="13">
        <v>46178</v>
      </c>
      <c r="R438" s="12" t="s">
        <v>2768</v>
      </c>
      <c r="S438" s="12" t="s">
        <v>49</v>
      </c>
      <c r="T438" s="12" t="s">
        <v>9049</v>
      </c>
      <c r="U438" s="12" t="s">
        <v>50</v>
      </c>
      <c r="V438" s="12" t="s">
        <v>369</v>
      </c>
      <c r="W438" s="16">
        <v>0.82</v>
      </c>
      <c r="X438" s="12" t="s">
        <v>69</v>
      </c>
      <c r="Z438" s="12" t="s">
        <v>2456</v>
      </c>
      <c r="AU438" s="12" t="s">
        <v>164</v>
      </c>
    </row>
    <row r="439" spans="1:47" s="12" customFormat="1" ht="14.4" hidden="1" x14ac:dyDescent="0.3">
      <c r="A439" s="12" t="s">
        <v>505</v>
      </c>
      <c r="B439" s="12" t="s">
        <v>1102</v>
      </c>
      <c r="C439" s="12">
        <v>70</v>
      </c>
      <c r="D439" s="12">
        <v>215</v>
      </c>
      <c r="F439" s="12" t="s">
        <v>1479</v>
      </c>
      <c r="G439" s="12" t="str">
        <f t="shared" si="8"/>
        <v>7021592550770</v>
      </c>
      <c r="H439" s="215" t="s">
        <v>1480</v>
      </c>
      <c r="I439" s="12">
        <v>92550770</v>
      </c>
      <c r="J439" s="12" t="s">
        <v>1481</v>
      </c>
      <c r="K439" s="12" t="s">
        <v>44</v>
      </c>
      <c r="L439" s="12">
        <v>3213643506</v>
      </c>
      <c r="M439" s="12" t="s">
        <v>1482</v>
      </c>
      <c r="N439" s="12" t="s">
        <v>432</v>
      </c>
      <c r="O439" s="12" t="s">
        <v>432</v>
      </c>
      <c r="P439" s="88" t="s">
        <v>261</v>
      </c>
      <c r="Q439" s="13">
        <v>43942</v>
      </c>
      <c r="R439" s="16">
        <v>0.93</v>
      </c>
      <c r="S439" s="13" t="s">
        <v>210</v>
      </c>
      <c r="U439" s="12" t="s">
        <v>50</v>
      </c>
      <c r="V439" s="13">
        <v>44570</v>
      </c>
      <c r="W439" s="16">
        <v>0.91</v>
      </c>
      <c r="X439" s="13" t="s">
        <v>210</v>
      </c>
      <c r="Z439" s="12" t="s">
        <v>50</v>
      </c>
      <c r="AU439" s="12" t="s">
        <v>164</v>
      </c>
    </row>
    <row r="440" spans="1:47" s="12" customFormat="1" ht="14.4" hidden="1" x14ac:dyDescent="0.3">
      <c r="A440" s="12" t="s">
        <v>505</v>
      </c>
      <c r="B440" s="12" t="s">
        <v>1102</v>
      </c>
      <c r="C440" s="12">
        <v>70</v>
      </c>
      <c r="D440" s="12">
        <v>215</v>
      </c>
      <c r="F440" s="12" t="s">
        <v>1483</v>
      </c>
      <c r="G440" s="12" t="str">
        <f t="shared" si="8"/>
        <v>70215NO REGISTRA</v>
      </c>
      <c r="H440" s="12" t="s">
        <v>45</v>
      </c>
      <c r="I440" s="12" t="s">
        <v>45</v>
      </c>
      <c r="J440" s="12" t="s">
        <v>45</v>
      </c>
      <c r="K440" s="12" t="s">
        <v>44</v>
      </c>
      <c r="L440" s="12" t="s">
        <v>45</v>
      </c>
      <c r="M440" s="12" t="s">
        <v>45</v>
      </c>
      <c r="N440" s="12" t="s">
        <v>432</v>
      </c>
      <c r="O440" s="12" t="s">
        <v>432</v>
      </c>
      <c r="P440" s="88" t="s">
        <v>261</v>
      </c>
      <c r="Q440" s="13">
        <v>44629</v>
      </c>
      <c r="R440" s="16">
        <v>0.81</v>
      </c>
      <c r="S440" s="13" t="s">
        <v>49</v>
      </c>
      <c r="U440" s="12" t="s">
        <v>50</v>
      </c>
      <c r="V440" s="13">
        <v>44302</v>
      </c>
      <c r="W440" s="16">
        <v>0.82499999999999996</v>
      </c>
      <c r="X440" s="13" t="s">
        <v>49</v>
      </c>
      <c r="Z440" s="12" t="s">
        <v>50</v>
      </c>
      <c r="AU440" s="12" t="s">
        <v>164</v>
      </c>
    </row>
    <row r="441" spans="1:47" s="12" customFormat="1" ht="14.4" hidden="1" x14ac:dyDescent="0.3">
      <c r="A441" s="12" t="s">
        <v>505</v>
      </c>
      <c r="B441" s="12" t="s">
        <v>1102</v>
      </c>
      <c r="C441" s="12">
        <v>70</v>
      </c>
      <c r="D441" s="12">
        <v>215</v>
      </c>
      <c r="F441" s="12" t="s">
        <v>1484</v>
      </c>
      <c r="G441" s="12" t="str">
        <f t="shared" si="8"/>
        <v xml:space="preserve">70215NO REGISTRA </v>
      </c>
      <c r="H441" s="12" t="s">
        <v>1485</v>
      </c>
      <c r="I441" s="12" t="s">
        <v>193</v>
      </c>
      <c r="J441" s="12" t="s">
        <v>1486</v>
      </c>
      <c r="K441" s="12" t="s">
        <v>44</v>
      </c>
      <c r="L441" s="12">
        <v>3215296929</v>
      </c>
      <c r="M441" s="12" t="s">
        <v>45</v>
      </c>
      <c r="N441" s="12" t="s">
        <v>432</v>
      </c>
      <c r="O441" s="12" t="s">
        <v>432</v>
      </c>
      <c r="P441" s="88" t="s">
        <v>261</v>
      </c>
      <c r="Q441" s="13">
        <v>44159</v>
      </c>
      <c r="R441" s="16">
        <v>0.96499999999999997</v>
      </c>
      <c r="S441" s="13" t="s">
        <v>210</v>
      </c>
      <c r="U441" s="12" t="s">
        <v>50</v>
      </c>
      <c r="V441" s="13">
        <v>44631</v>
      </c>
      <c r="W441" s="16">
        <v>0.94</v>
      </c>
      <c r="X441" s="13" t="s">
        <v>210</v>
      </c>
      <c r="Z441" s="12" t="s">
        <v>50</v>
      </c>
      <c r="AU441" s="12" t="s">
        <v>164</v>
      </c>
    </row>
    <row r="442" spans="1:47" s="12" customFormat="1" ht="14.4" hidden="1" x14ac:dyDescent="0.3">
      <c r="A442" s="12" t="s">
        <v>505</v>
      </c>
      <c r="B442" s="12" t="s">
        <v>1102</v>
      </c>
      <c r="C442" s="12">
        <v>70</v>
      </c>
      <c r="D442" s="12">
        <v>215</v>
      </c>
      <c r="F442" s="12" t="s">
        <v>7847</v>
      </c>
      <c r="G442" s="12" t="str">
        <f t="shared" si="8"/>
        <v>70215925574847</v>
      </c>
      <c r="H442" s="12" t="s">
        <v>1487</v>
      </c>
      <c r="I442" s="12">
        <v>925574847</v>
      </c>
      <c r="J442" s="12" t="s">
        <v>1488</v>
      </c>
      <c r="K442" s="12" t="s">
        <v>44</v>
      </c>
      <c r="L442" s="12">
        <v>3007716555</v>
      </c>
      <c r="M442" s="99" t="s">
        <v>1489</v>
      </c>
      <c r="N442" s="12" t="s">
        <v>432</v>
      </c>
      <c r="O442" s="12" t="s">
        <v>432</v>
      </c>
      <c r="P442" s="88" t="s">
        <v>261</v>
      </c>
      <c r="Q442" s="13">
        <v>45759</v>
      </c>
      <c r="R442" s="18">
        <v>0.71499999999999997</v>
      </c>
      <c r="S442" s="13" t="s">
        <v>49</v>
      </c>
      <c r="T442" s="12" t="s">
        <v>1111</v>
      </c>
      <c r="U442" s="12" t="s">
        <v>50</v>
      </c>
      <c r="V442" s="12" t="s">
        <v>1490</v>
      </c>
      <c r="W442" s="16">
        <v>0.78</v>
      </c>
      <c r="X442" s="12" t="s">
        <v>139</v>
      </c>
      <c r="AU442" s="12" t="s">
        <v>164</v>
      </c>
    </row>
    <row r="443" spans="1:47" s="12" customFormat="1" ht="14.4" hidden="1" x14ac:dyDescent="0.3">
      <c r="A443" s="12" t="s">
        <v>505</v>
      </c>
      <c r="B443" s="12" t="s">
        <v>1102</v>
      </c>
      <c r="C443" s="12">
        <v>70</v>
      </c>
      <c r="D443" s="12">
        <v>215</v>
      </c>
      <c r="F443" s="12" t="s">
        <v>1491</v>
      </c>
      <c r="G443" s="12" t="str">
        <f t="shared" si="8"/>
        <v>70215NO REGISTRA</v>
      </c>
      <c r="H443" s="12" t="s">
        <v>45</v>
      </c>
      <c r="I443" s="12" t="s">
        <v>45</v>
      </c>
      <c r="J443" s="12" t="s">
        <v>45</v>
      </c>
      <c r="K443" s="12" t="s">
        <v>44</v>
      </c>
      <c r="L443" s="12" t="s">
        <v>45</v>
      </c>
      <c r="M443" s="12" t="s">
        <v>45</v>
      </c>
      <c r="N443" s="12" t="s">
        <v>432</v>
      </c>
      <c r="O443" s="12" t="s">
        <v>432</v>
      </c>
      <c r="P443" s="88" t="s">
        <v>261</v>
      </c>
      <c r="Q443" s="13">
        <v>45569</v>
      </c>
      <c r="R443" s="18">
        <v>0.84499999999999997</v>
      </c>
      <c r="S443" s="12" t="s">
        <v>139</v>
      </c>
      <c r="T443" s="12" t="s">
        <v>1125</v>
      </c>
      <c r="U443" s="12" t="s">
        <v>60</v>
      </c>
      <c r="V443" s="13">
        <v>44159</v>
      </c>
      <c r="W443" s="16">
        <v>0.96499999999999997</v>
      </c>
      <c r="X443" s="13" t="s">
        <v>210</v>
      </c>
      <c r="Z443" s="12" t="s">
        <v>50</v>
      </c>
      <c r="AA443" s="12" t="s">
        <v>52</v>
      </c>
      <c r="AB443" s="12" t="s">
        <v>52</v>
      </c>
      <c r="AC443" s="13">
        <v>44425</v>
      </c>
      <c r="AD443" s="16">
        <v>0.85</v>
      </c>
      <c r="AE443" s="13" t="s">
        <v>49</v>
      </c>
      <c r="AF443" s="12" t="s">
        <v>50</v>
      </c>
      <c r="AG443" s="12" t="s">
        <v>52</v>
      </c>
      <c r="AH443" s="12" t="s">
        <v>52</v>
      </c>
      <c r="AU443" s="12" t="s">
        <v>53</v>
      </c>
    </row>
    <row r="444" spans="1:47" s="12" customFormat="1" ht="14.4" hidden="1" x14ac:dyDescent="0.3">
      <c r="A444" s="12" t="s">
        <v>505</v>
      </c>
      <c r="B444" s="12" t="s">
        <v>1102</v>
      </c>
      <c r="C444" s="12">
        <v>70</v>
      </c>
      <c r="D444" s="12">
        <v>215</v>
      </c>
      <c r="F444" s="12" t="s">
        <v>1492</v>
      </c>
      <c r="G444" s="12" t="str">
        <f t="shared" si="8"/>
        <v>702159314059</v>
      </c>
      <c r="H444" s="12" t="s">
        <v>1493</v>
      </c>
      <c r="I444" s="12">
        <v>9314059</v>
      </c>
      <c r="J444" s="12" t="s">
        <v>1494</v>
      </c>
      <c r="K444" s="12" t="s">
        <v>44</v>
      </c>
      <c r="L444" s="12" t="s">
        <v>45</v>
      </c>
      <c r="M444" s="12" t="s">
        <v>45</v>
      </c>
      <c r="N444" s="12" t="s">
        <v>432</v>
      </c>
      <c r="O444" s="12" t="s">
        <v>432</v>
      </c>
      <c r="P444" s="88" t="s">
        <v>261</v>
      </c>
      <c r="Q444" s="13">
        <v>43942</v>
      </c>
      <c r="R444" s="16">
        <v>0.93</v>
      </c>
      <c r="S444" s="13" t="s">
        <v>210</v>
      </c>
      <c r="U444" s="12" t="s">
        <v>60</v>
      </c>
      <c r="AU444" s="12" t="s">
        <v>164</v>
      </c>
    </row>
    <row r="445" spans="1:47" s="12" customFormat="1" ht="14.4" hidden="1" x14ac:dyDescent="0.3">
      <c r="A445" s="12" t="s">
        <v>505</v>
      </c>
      <c r="B445" s="12" t="s">
        <v>1102</v>
      </c>
      <c r="C445" s="12">
        <v>70</v>
      </c>
      <c r="D445" s="12">
        <v>215</v>
      </c>
      <c r="F445" s="12" t="s">
        <v>1495</v>
      </c>
      <c r="G445" s="12" t="str">
        <f t="shared" si="8"/>
        <v>702159097635</v>
      </c>
      <c r="H445" s="12" t="s">
        <v>1496</v>
      </c>
      <c r="I445" s="12">
        <v>9097635</v>
      </c>
      <c r="J445" s="12" t="s">
        <v>1497</v>
      </c>
      <c r="K445" s="12" t="s">
        <v>44</v>
      </c>
      <c r="L445" s="12" t="s">
        <v>45</v>
      </c>
      <c r="M445" s="12" t="s">
        <v>45</v>
      </c>
      <c r="N445" s="12" t="s">
        <v>432</v>
      </c>
      <c r="O445" s="12" t="s">
        <v>432</v>
      </c>
      <c r="P445" s="88" t="s">
        <v>261</v>
      </c>
      <c r="Q445" s="13">
        <v>44147</v>
      </c>
      <c r="R445" s="16">
        <v>0.95499999999999996</v>
      </c>
      <c r="S445" s="13" t="s">
        <v>210</v>
      </c>
      <c r="U445" s="12" t="s">
        <v>60</v>
      </c>
      <c r="AU445" s="12" t="s">
        <v>164</v>
      </c>
    </row>
    <row r="446" spans="1:47" s="12" customFormat="1" ht="14.4" hidden="1" x14ac:dyDescent="0.3">
      <c r="A446" s="12" t="s">
        <v>505</v>
      </c>
      <c r="B446" s="12" t="s">
        <v>1102</v>
      </c>
      <c r="C446" s="12">
        <v>70</v>
      </c>
      <c r="D446" s="12">
        <v>215</v>
      </c>
      <c r="F446" s="12" t="s">
        <v>1498</v>
      </c>
      <c r="G446" s="12" t="str">
        <f t="shared" si="8"/>
        <v>702151103111863</v>
      </c>
      <c r="H446" s="12" t="s">
        <v>1499</v>
      </c>
      <c r="I446" s="12">
        <v>1103111863</v>
      </c>
      <c r="J446" s="12" t="s">
        <v>1500</v>
      </c>
      <c r="K446" s="12" t="s">
        <v>44</v>
      </c>
      <c r="L446" s="12">
        <v>3205145835</v>
      </c>
      <c r="M446" s="12" t="s">
        <v>45</v>
      </c>
      <c r="N446" s="12" t="s">
        <v>432</v>
      </c>
      <c r="O446" s="12" t="s">
        <v>432</v>
      </c>
      <c r="P446" s="88" t="s">
        <v>261</v>
      </c>
      <c r="Q446" s="13">
        <v>44608</v>
      </c>
      <c r="R446" s="16">
        <v>0.92</v>
      </c>
      <c r="S446" s="13" t="s">
        <v>210</v>
      </c>
      <c r="U446" s="12" t="s">
        <v>60</v>
      </c>
      <c r="V446" s="13">
        <v>44103</v>
      </c>
      <c r="W446" s="16">
        <v>0.68500000000000005</v>
      </c>
      <c r="X446" s="13" t="s">
        <v>49</v>
      </c>
      <c r="AU446" s="12" t="s">
        <v>164</v>
      </c>
    </row>
    <row r="447" spans="1:47" s="12" customFormat="1" ht="14.4" hidden="1" x14ac:dyDescent="0.3">
      <c r="A447" s="12" t="s">
        <v>505</v>
      </c>
      <c r="B447" s="12" t="s">
        <v>1102</v>
      </c>
      <c r="C447" s="12">
        <v>70</v>
      </c>
      <c r="D447" s="12">
        <v>215</v>
      </c>
      <c r="F447" s="12" t="s">
        <v>1501</v>
      </c>
      <c r="G447" s="12" t="str">
        <f t="shared" si="8"/>
        <v>7021564703916</v>
      </c>
      <c r="H447" s="12" t="s">
        <v>1502</v>
      </c>
      <c r="I447" s="12">
        <v>64703916</v>
      </c>
      <c r="J447" s="12" t="s">
        <v>1503</v>
      </c>
      <c r="K447" s="12" t="s">
        <v>44</v>
      </c>
      <c r="L447" s="12" t="s">
        <v>45</v>
      </c>
      <c r="M447" s="12" t="s">
        <v>45</v>
      </c>
      <c r="N447" s="12" t="s">
        <v>432</v>
      </c>
      <c r="O447" s="12" t="s">
        <v>432</v>
      </c>
      <c r="P447" s="88" t="s">
        <v>261</v>
      </c>
      <c r="AU447" s="12" t="s">
        <v>164</v>
      </c>
    </row>
    <row r="448" spans="1:47" s="12" customFormat="1" ht="14.4" hidden="1" x14ac:dyDescent="0.3">
      <c r="A448" s="12" t="s">
        <v>505</v>
      </c>
      <c r="B448" s="12" t="s">
        <v>1102</v>
      </c>
      <c r="C448" s="12">
        <v>70</v>
      </c>
      <c r="D448" s="12">
        <v>215</v>
      </c>
      <c r="F448" s="12" t="s">
        <v>1504</v>
      </c>
      <c r="G448" s="12" t="str">
        <f t="shared" si="8"/>
        <v>702151103105425</v>
      </c>
      <c r="H448" s="12" t="s">
        <v>1505</v>
      </c>
      <c r="I448" s="12">
        <v>1103105425</v>
      </c>
      <c r="J448" s="12" t="s">
        <v>1506</v>
      </c>
      <c r="K448" s="12" t="s">
        <v>44</v>
      </c>
      <c r="L448" s="12" t="s">
        <v>45</v>
      </c>
      <c r="M448" s="12" t="s">
        <v>45</v>
      </c>
      <c r="N448" s="12" t="s">
        <v>432</v>
      </c>
      <c r="O448" s="12" t="s">
        <v>432</v>
      </c>
      <c r="P448" s="88" t="s">
        <v>261</v>
      </c>
      <c r="AU448" s="12" t="s">
        <v>164</v>
      </c>
    </row>
    <row r="449" spans="1:47" s="12" customFormat="1" ht="14.4" hidden="1" x14ac:dyDescent="0.3">
      <c r="A449" s="12" t="s">
        <v>505</v>
      </c>
      <c r="B449" s="12" t="s">
        <v>1102</v>
      </c>
      <c r="C449" s="12">
        <v>70</v>
      </c>
      <c r="D449" s="12">
        <v>215</v>
      </c>
      <c r="F449" s="12" t="s">
        <v>1507</v>
      </c>
      <c r="G449" s="12" t="str">
        <f t="shared" si="8"/>
        <v>702151103111242</v>
      </c>
      <c r="H449" s="12" t="s">
        <v>1508</v>
      </c>
      <c r="I449" s="12">
        <v>1103111242</v>
      </c>
      <c r="J449" s="12" t="s">
        <v>1509</v>
      </c>
      <c r="K449" s="12" t="s">
        <v>44</v>
      </c>
      <c r="L449" s="12" t="s">
        <v>45</v>
      </c>
      <c r="M449" s="12" t="s">
        <v>45</v>
      </c>
      <c r="N449" s="12" t="s">
        <v>432</v>
      </c>
      <c r="O449" s="12" t="s">
        <v>432</v>
      </c>
      <c r="P449" s="88" t="s">
        <v>261</v>
      </c>
      <c r="Q449" s="13">
        <v>44412</v>
      </c>
      <c r="R449" s="16">
        <v>0.84499999999999997</v>
      </c>
      <c r="S449" s="13" t="s">
        <v>49</v>
      </c>
      <c r="U449" s="12" t="s">
        <v>60</v>
      </c>
      <c r="AU449" s="12" t="s">
        <v>164</v>
      </c>
    </row>
    <row r="450" spans="1:47" s="12" customFormat="1" ht="14.4" hidden="1" x14ac:dyDescent="0.3">
      <c r="A450" s="12" t="s">
        <v>505</v>
      </c>
      <c r="B450" s="12" t="s">
        <v>1102</v>
      </c>
      <c r="C450" s="12">
        <v>70</v>
      </c>
      <c r="D450" s="12">
        <v>215</v>
      </c>
      <c r="F450" s="12" t="s">
        <v>1510</v>
      </c>
      <c r="G450" s="12" t="str">
        <f t="shared" si="8"/>
        <v xml:space="preserve">70215NO REGISTRA </v>
      </c>
      <c r="H450" s="12" t="s">
        <v>1511</v>
      </c>
      <c r="I450" s="12" t="s">
        <v>193</v>
      </c>
      <c r="J450" s="12" t="s">
        <v>1512</v>
      </c>
      <c r="K450" s="12" t="s">
        <v>44</v>
      </c>
      <c r="L450" s="12">
        <v>3017542751</v>
      </c>
      <c r="M450" s="12" t="s">
        <v>45</v>
      </c>
      <c r="N450" s="12" t="s">
        <v>432</v>
      </c>
      <c r="O450" s="12" t="s">
        <v>432</v>
      </c>
      <c r="P450" s="88" t="s">
        <v>261</v>
      </c>
      <c r="Q450" s="13">
        <v>44161</v>
      </c>
      <c r="R450" s="16">
        <v>0.72</v>
      </c>
      <c r="S450" s="13" t="s">
        <v>49</v>
      </c>
      <c r="U450" s="12" t="s">
        <v>60</v>
      </c>
      <c r="AU450" s="12" t="s">
        <v>164</v>
      </c>
    </row>
    <row r="451" spans="1:47" s="12" customFormat="1" ht="14.4" hidden="1" x14ac:dyDescent="0.3">
      <c r="A451" s="12" t="s">
        <v>505</v>
      </c>
      <c r="B451" s="12" t="s">
        <v>1102</v>
      </c>
      <c r="C451" s="12">
        <v>70</v>
      </c>
      <c r="D451" s="12">
        <v>215</v>
      </c>
      <c r="F451" s="12" t="s">
        <v>1513</v>
      </c>
      <c r="G451" s="12" t="str">
        <f t="shared" si="8"/>
        <v>702151103113113</v>
      </c>
      <c r="H451" s="12" t="s">
        <v>7849</v>
      </c>
      <c r="I451" s="12">
        <v>1103113113</v>
      </c>
      <c r="J451" s="12" t="s">
        <v>1514</v>
      </c>
      <c r="K451" s="12" t="s">
        <v>44</v>
      </c>
      <c r="L451" s="12">
        <v>3033480362</v>
      </c>
      <c r="M451" s="12" t="s">
        <v>7850</v>
      </c>
      <c r="N451" s="12" t="s">
        <v>432</v>
      </c>
      <c r="O451" s="12" t="s">
        <v>432</v>
      </c>
      <c r="P451" s="88" t="s">
        <v>261</v>
      </c>
      <c r="Q451" s="13">
        <v>46003</v>
      </c>
      <c r="R451" s="12">
        <v>91</v>
      </c>
      <c r="S451" s="12" t="s">
        <v>210</v>
      </c>
      <c r="U451" s="12" t="s">
        <v>50</v>
      </c>
      <c r="V451" s="13">
        <v>45569</v>
      </c>
      <c r="W451" s="16">
        <v>0.89</v>
      </c>
      <c r="X451" s="12" t="s">
        <v>139</v>
      </c>
      <c r="Z451" s="12" t="s">
        <v>50</v>
      </c>
      <c r="AA451" s="12" t="s">
        <v>52</v>
      </c>
      <c r="AB451" s="12" t="s">
        <v>52</v>
      </c>
      <c r="AC451" s="13">
        <v>45040</v>
      </c>
      <c r="AD451" s="16">
        <v>0.72</v>
      </c>
      <c r="AE451" s="13" t="s">
        <v>49</v>
      </c>
      <c r="AU451" s="12" t="s">
        <v>53</v>
      </c>
    </row>
    <row r="452" spans="1:47" s="12" customFormat="1" ht="14.4" hidden="1" x14ac:dyDescent="0.3">
      <c r="A452" s="12" t="s">
        <v>505</v>
      </c>
      <c r="B452" s="12" t="s">
        <v>1102</v>
      </c>
      <c r="C452" s="12">
        <v>70</v>
      </c>
      <c r="D452" s="12">
        <v>215</v>
      </c>
      <c r="F452" s="12" t="s">
        <v>1515</v>
      </c>
      <c r="G452" s="12" t="str">
        <f t="shared" si="8"/>
        <v>70215</v>
      </c>
      <c r="H452" s="12" t="s">
        <v>1516</v>
      </c>
      <c r="J452" s="12" t="s">
        <v>1517</v>
      </c>
      <c r="K452" s="12" t="s">
        <v>44</v>
      </c>
      <c r="L452" s="12">
        <v>2850171</v>
      </c>
      <c r="M452" s="12" t="s">
        <v>45</v>
      </c>
      <c r="N452" s="12" t="s">
        <v>432</v>
      </c>
      <c r="O452" s="12" t="s">
        <v>432</v>
      </c>
      <c r="P452" s="88" t="s">
        <v>261</v>
      </c>
      <c r="Q452" s="12" t="s">
        <v>382</v>
      </c>
      <c r="R452" s="18">
        <v>0.85499999999999998</v>
      </c>
      <c r="S452" s="12" t="s">
        <v>69</v>
      </c>
      <c r="T452" s="12" t="s">
        <v>1291</v>
      </c>
      <c r="U452" s="12" t="s">
        <v>50</v>
      </c>
      <c r="AU452" s="12" t="s">
        <v>53</v>
      </c>
    </row>
    <row r="453" spans="1:47" s="12" customFormat="1" ht="14.4" hidden="1" x14ac:dyDescent="0.3">
      <c r="A453" s="12" t="s">
        <v>505</v>
      </c>
      <c r="B453" s="12" t="s">
        <v>1102</v>
      </c>
      <c r="C453" s="12">
        <v>70</v>
      </c>
      <c r="D453" s="12">
        <v>215</v>
      </c>
      <c r="F453" s="12" t="s">
        <v>1518</v>
      </c>
      <c r="G453" s="12" t="str">
        <f t="shared" si="8"/>
        <v>702151143335781</v>
      </c>
      <c r="H453" s="12" t="s">
        <v>1519</v>
      </c>
      <c r="I453" s="12">
        <v>1143335781</v>
      </c>
      <c r="J453" s="12" t="s">
        <v>1520</v>
      </c>
      <c r="K453" s="12" t="s">
        <v>44</v>
      </c>
      <c r="L453" s="12" t="s">
        <v>45</v>
      </c>
      <c r="M453" s="12" t="s">
        <v>45</v>
      </c>
      <c r="N453" s="12" t="s">
        <v>432</v>
      </c>
      <c r="O453" s="12" t="s">
        <v>432</v>
      </c>
      <c r="P453" s="88" t="s">
        <v>261</v>
      </c>
      <c r="Q453" s="13">
        <v>44543</v>
      </c>
      <c r="R453" s="16">
        <v>0.87</v>
      </c>
      <c r="S453" s="13" t="s">
        <v>49</v>
      </c>
      <c r="U453" s="12" t="s">
        <v>50</v>
      </c>
      <c r="AU453" s="12" t="s">
        <v>164</v>
      </c>
    </row>
    <row r="454" spans="1:47" s="12" customFormat="1" ht="14.4" hidden="1" x14ac:dyDescent="0.3">
      <c r="A454" s="12" t="s">
        <v>505</v>
      </c>
      <c r="B454" s="12" t="s">
        <v>1102</v>
      </c>
      <c r="C454" s="12">
        <v>70</v>
      </c>
      <c r="D454" s="12">
        <v>215</v>
      </c>
      <c r="F454" s="12" t="s">
        <v>1521</v>
      </c>
      <c r="G454" s="12" t="str">
        <f t="shared" si="8"/>
        <v>7021539286674</v>
      </c>
      <c r="H454" s="12" t="s">
        <v>1522</v>
      </c>
      <c r="I454" s="12">
        <v>39286674</v>
      </c>
      <c r="J454" s="12" t="s">
        <v>1523</v>
      </c>
      <c r="K454" s="12" t="s">
        <v>44</v>
      </c>
      <c r="L454" s="12" t="s">
        <v>45</v>
      </c>
      <c r="M454" s="12" t="s">
        <v>45</v>
      </c>
      <c r="N454" s="12" t="s">
        <v>432</v>
      </c>
      <c r="O454" s="12" t="s">
        <v>432</v>
      </c>
      <c r="P454" s="88" t="s">
        <v>261</v>
      </c>
      <c r="Q454" s="13">
        <v>45201</v>
      </c>
      <c r="R454" s="16">
        <v>0.84</v>
      </c>
      <c r="S454" s="13" t="s">
        <v>49</v>
      </c>
      <c r="U454" s="12" t="s">
        <v>50</v>
      </c>
      <c r="AU454" s="12" t="s">
        <v>53</v>
      </c>
    </row>
    <row r="455" spans="1:47" s="12" customFormat="1" ht="14.4" hidden="1" x14ac:dyDescent="0.3">
      <c r="A455" s="12" t="s">
        <v>505</v>
      </c>
      <c r="B455" s="12" t="s">
        <v>1102</v>
      </c>
      <c r="C455" s="12">
        <v>70</v>
      </c>
      <c r="D455" s="12">
        <v>215</v>
      </c>
      <c r="F455" s="12" t="s">
        <v>1524</v>
      </c>
      <c r="G455" s="12" t="str">
        <f t="shared" si="8"/>
        <v>7021542209576</v>
      </c>
      <c r="H455" s="12" t="s">
        <v>1525</v>
      </c>
      <c r="I455" s="12">
        <v>42209576</v>
      </c>
      <c r="J455" s="12" t="s">
        <v>1526</v>
      </c>
      <c r="K455" s="12" t="s">
        <v>44</v>
      </c>
      <c r="L455" s="12" t="s">
        <v>45</v>
      </c>
      <c r="M455" s="12" t="s">
        <v>45</v>
      </c>
      <c r="N455" s="12" t="s">
        <v>432</v>
      </c>
      <c r="O455" s="12" t="s">
        <v>432</v>
      </c>
      <c r="P455" s="88" t="s">
        <v>261</v>
      </c>
      <c r="Q455" s="12" t="s">
        <v>429</v>
      </c>
      <c r="R455" s="16">
        <v>0.87</v>
      </c>
      <c r="S455" s="12" t="s">
        <v>69</v>
      </c>
      <c r="T455" s="12" t="s">
        <v>1291</v>
      </c>
      <c r="U455" s="12" t="s">
        <v>50</v>
      </c>
      <c r="V455" s="13"/>
      <c r="W455" s="16"/>
      <c r="X455" s="13"/>
      <c r="AU455" s="12" t="s">
        <v>53</v>
      </c>
    </row>
    <row r="456" spans="1:47" s="12" customFormat="1" ht="14.4" hidden="1" x14ac:dyDescent="0.3">
      <c r="A456" s="12" t="s">
        <v>505</v>
      </c>
      <c r="B456" s="12" t="s">
        <v>1102</v>
      </c>
      <c r="C456" s="12">
        <v>70</v>
      </c>
      <c r="D456" s="12">
        <v>215</v>
      </c>
      <c r="F456" s="12" t="s">
        <v>1527</v>
      </c>
      <c r="G456" s="12" t="str">
        <f t="shared" si="8"/>
        <v>702151103105499-8</v>
      </c>
      <c r="H456" s="12" t="s">
        <v>1528</v>
      </c>
      <c r="I456" s="12" t="s">
        <v>1529</v>
      </c>
      <c r="J456" s="12" t="s">
        <v>1530</v>
      </c>
      <c r="K456" s="12" t="s">
        <v>44</v>
      </c>
      <c r="L456" s="12">
        <v>3046345033</v>
      </c>
      <c r="M456" s="12" t="s">
        <v>45</v>
      </c>
      <c r="N456" s="12" t="s">
        <v>432</v>
      </c>
      <c r="O456" s="12" t="s">
        <v>432</v>
      </c>
      <c r="P456" s="88" t="s">
        <v>261</v>
      </c>
      <c r="Q456" s="12" t="s">
        <v>334</v>
      </c>
      <c r="R456" s="16">
        <v>0.88500000000000001</v>
      </c>
      <c r="S456" s="12" t="s">
        <v>69</v>
      </c>
      <c r="T456" s="12" t="s">
        <v>1291</v>
      </c>
      <c r="U456" s="12" t="s">
        <v>50</v>
      </c>
      <c r="V456" s="13"/>
      <c r="W456" s="16"/>
      <c r="X456" s="13"/>
      <c r="AU456" s="12" t="s">
        <v>53</v>
      </c>
    </row>
    <row r="457" spans="1:47" s="12" customFormat="1" ht="14.4" hidden="1" x14ac:dyDescent="0.3">
      <c r="A457" s="12" t="s">
        <v>505</v>
      </c>
      <c r="B457" s="12" t="s">
        <v>1102</v>
      </c>
      <c r="C457" s="12">
        <v>70</v>
      </c>
      <c r="D457" s="12">
        <v>215</v>
      </c>
      <c r="F457" s="12" t="s">
        <v>1531</v>
      </c>
      <c r="G457" s="12" t="str">
        <f t="shared" si="8"/>
        <v>7021542203704</v>
      </c>
      <c r="H457" s="12" t="s">
        <v>1532</v>
      </c>
      <c r="I457" s="12">
        <v>42203704</v>
      </c>
      <c r="J457" s="12" t="s">
        <v>1533</v>
      </c>
      <c r="K457" s="12" t="s">
        <v>44</v>
      </c>
      <c r="L457" s="12" t="s">
        <v>45</v>
      </c>
      <c r="M457" s="12" t="s">
        <v>45</v>
      </c>
      <c r="N457" s="12" t="s">
        <v>432</v>
      </c>
      <c r="O457" s="12" t="s">
        <v>432</v>
      </c>
      <c r="P457" s="88" t="s">
        <v>261</v>
      </c>
      <c r="Q457" s="13">
        <v>44517</v>
      </c>
      <c r="R457" s="16">
        <v>0.82499999999999996</v>
      </c>
      <c r="S457" s="13" t="s">
        <v>49</v>
      </c>
      <c r="U457" s="12" t="s">
        <v>50</v>
      </c>
      <c r="AU457" s="12" t="s">
        <v>164</v>
      </c>
    </row>
    <row r="458" spans="1:47" s="12" customFormat="1" ht="14.4" hidden="1" x14ac:dyDescent="0.3">
      <c r="A458" s="12" t="s">
        <v>505</v>
      </c>
      <c r="B458" s="12" t="s">
        <v>1102</v>
      </c>
      <c r="C458" s="12">
        <v>70</v>
      </c>
      <c r="D458" s="12">
        <v>215</v>
      </c>
      <c r="F458" s="12" t="s">
        <v>1534</v>
      </c>
      <c r="G458" s="12" t="str">
        <f t="shared" si="8"/>
        <v>7021564475376</v>
      </c>
      <c r="H458" s="12" t="s">
        <v>1535</v>
      </c>
      <c r="I458" s="12">
        <v>64475376</v>
      </c>
      <c r="J458" s="12" t="s">
        <v>1536</v>
      </c>
      <c r="K458" s="12" t="s">
        <v>44</v>
      </c>
      <c r="L458" s="12" t="s">
        <v>45</v>
      </c>
      <c r="M458" s="12" t="s">
        <v>45</v>
      </c>
      <c r="N458" s="12" t="s">
        <v>432</v>
      </c>
      <c r="O458" s="12" t="s">
        <v>432</v>
      </c>
      <c r="P458" s="88" t="s">
        <v>261</v>
      </c>
      <c r="Q458" s="13">
        <v>44161</v>
      </c>
      <c r="R458" s="16">
        <v>0.72</v>
      </c>
      <c r="S458" s="13" t="s">
        <v>49</v>
      </c>
      <c r="U458" s="12" t="s">
        <v>60</v>
      </c>
      <c r="AU458" s="12" t="s">
        <v>164</v>
      </c>
    </row>
    <row r="459" spans="1:47" s="12" customFormat="1" ht="14.4" hidden="1" x14ac:dyDescent="0.3">
      <c r="A459" s="12" t="s">
        <v>505</v>
      </c>
      <c r="B459" s="12" t="s">
        <v>1102</v>
      </c>
      <c r="C459" s="12">
        <v>70</v>
      </c>
      <c r="D459" s="12">
        <v>215</v>
      </c>
      <c r="F459" s="12" t="s">
        <v>1537</v>
      </c>
      <c r="G459" s="12" t="str">
        <f t="shared" si="8"/>
        <v>70215110309464-1</v>
      </c>
      <c r="H459" s="12" t="s">
        <v>1538</v>
      </c>
      <c r="I459" s="12" t="s">
        <v>1539</v>
      </c>
      <c r="J459" s="12" t="s">
        <v>1540</v>
      </c>
      <c r="K459" s="12" t="s">
        <v>44</v>
      </c>
      <c r="L459" s="12">
        <v>320507841</v>
      </c>
      <c r="M459" s="12" t="s">
        <v>45</v>
      </c>
      <c r="N459" s="12" t="s">
        <v>432</v>
      </c>
      <c r="O459" s="12" t="s">
        <v>432</v>
      </c>
      <c r="P459" s="88" t="s">
        <v>261</v>
      </c>
      <c r="Q459" s="13">
        <v>45936</v>
      </c>
      <c r="R459" s="18">
        <v>0.70499999999999996</v>
      </c>
      <c r="S459" s="12" t="s">
        <v>139</v>
      </c>
      <c r="T459" s="12" t="s">
        <v>1111</v>
      </c>
      <c r="U459" s="12" t="s">
        <v>50</v>
      </c>
      <c r="V459" s="13"/>
      <c r="W459" s="16"/>
      <c r="X459" s="13"/>
      <c r="AC459" s="13"/>
      <c r="AD459" s="16"/>
      <c r="AE459" s="13"/>
      <c r="AU459" s="12" t="s">
        <v>53</v>
      </c>
    </row>
    <row r="460" spans="1:47" s="12" customFormat="1" ht="14.4" hidden="1" x14ac:dyDescent="0.3">
      <c r="A460" s="12" t="s">
        <v>505</v>
      </c>
      <c r="B460" s="12" t="s">
        <v>1102</v>
      </c>
      <c r="C460" s="12">
        <v>70</v>
      </c>
      <c r="D460" s="12">
        <v>215</v>
      </c>
      <c r="F460" s="12" t="s">
        <v>1541</v>
      </c>
      <c r="G460" s="12" t="str">
        <f t="shared" si="8"/>
        <v>7021579219084</v>
      </c>
      <c r="H460" s="12" t="s">
        <v>1542</v>
      </c>
      <c r="I460" s="12">
        <v>79219084</v>
      </c>
      <c r="J460" s="12" t="s">
        <v>1543</v>
      </c>
      <c r="K460" s="12" t="s">
        <v>44</v>
      </c>
      <c r="L460" s="12" t="s">
        <v>45</v>
      </c>
      <c r="M460" s="12" t="s">
        <v>45</v>
      </c>
      <c r="N460" s="12" t="s">
        <v>432</v>
      </c>
      <c r="O460" s="12" t="s">
        <v>432</v>
      </c>
      <c r="P460" s="88" t="s">
        <v>261</v>
      </c>
      <c r="Q460" s="13">
        <v>45040</v>
      </c>
      <c r="R460" s="16">
        <v>0.72</v>
      </c>
      <c r="S460" s="13" t="s">
        <v>49</v>
      </c>
      <c r="U460" s="12" t="s">
        <v>50</v>
      </c>
      <c r="AU460" s="12" t="s">
        <v>53</v>
      </c>
    </row>
    <row r="461" spans="1:47" s="12" customFormat="1" ht="14.4" hidden="1" x14ac:dyDescent="0.3">
      <c r="A461" s="12" t="s">
        <v>505</v>
      </c>
      <c r="B461" s="12" t="s">
        <v>1102</v>
      </c>
      <c r="C461" s="12">
        <v>70</v>
      </c>
      <c r="D461" s="12">
        <v>215</v>
      </c>
      <c r="F461" s="12" t="s">
        <v>1544</v>
      </c>
      <c r="G461" s="12" t="str">
        <f t="shared" si="8"/>
        <v>7021564450311</v>
      </c>
      <c r="H461" s="12" t="s">
        <v>1545</v>
      </c>
      <c r="I461" s="12">
        <v>64450311</v>
      </c>
      <c r="J461" s="12" t="s">
        <v>1326</v>
      </c>
      <c r="K461" s="12" t="s">
        <v>44</v>
      </c>
      <c r="L461" s="12" t="s">
        <v>45</v>
      </c>
      <c r="M461" s="12" t="s">
        <v>45</v>
      </c>
      <c r="N461" s="12" t="s">
        <v>432</v>
      </c>
      <c r="O461" s="12" t="s">
        <v>432</v>
      </c>
      <c r="P461" s="88" t="s">
        <v>261</v>
      </c>
      <c r="Q461" s="13">
        <v>45201</v>
      </c>
      <c r="R461" s="16">
        <v>0.84</v>
      </c>
      <c r="S461" s="13" t="s">
        <v>49</v>
      </c>
      <c r="U461" s="12" t="s">
        <v>50</v>
      </c>
      <c r="AU461" s="12" t="s">
        <v>53</v>
      </c>
    </row>
    <row r="462" spans="1:47" s="12" customFormat="1" ht="14.4" hidden="1" x14ac:dyDescent="0.3">
      <c r="A462" s="12" t="s">
        <v>505</v>
      </c>
      <c r="B462" s="12" t="s">
        <v>1102</v>
      </c>
      <c r="C462" s="12">
        <v>70</v>
      </c>
      <c r="D462" s="12">
        <v>215</v>
      </c>
      <c r="F462" s="12" t="s">
        <v>1546</v>
      </c>
      <c r="G462" s="12" t="str">
        <f t="shared" si="8"/>
        <v>70215</v>
      </c>
      <c r="H462" s="12" t="s">
        <v>1547</v>
      </c>
      <c r="J462" s="12" t="s">
        <v>1548</v>
      </c>
      <c r="K462" s="12" t="s">
        <v>44</v>
      </c>
      <c r="L462" s="12">
        <v>3178421669</v>
      </c>
      <c r="M462" s="12" t="s">
        <v>45</v>
      </c>
      <c r="N462" s="12" t="s">
        <v>432</v>
      </c>
      <c r="O462" s="12" t="s">
        <v>432</v>
      </c>
      <c r="P462" s="88" t="s">
        <v>261</v>
      </c>
      <c r="Q462" s="13">
        <v>45253</v>
      </c>
      <c r="R462" s="16">
        <v>0.78</v>
      </c>
      <c r="S462" s="13" t="s">
        <v>49</v>
      </c>
      <c r="U462" s="12" t="s">
        <v>50</v>
      </c>
      <c r="AU462" s="12" t="s">
        <v>53</v>
      </c>
    </row>
    <row r="463" spans="1:47" s="12" customFormat="1" ht="14.4" hidden="1" x14ac:dyDescent="0.3">
      <c r="A463" s="12" t="s">
        <v>505</v>
      </c>
      <c r="B463" s="12" t="s">
        <v>1102</v>
      </c>
      <c r="C463" s="12">
        <v>70</v>
      </c>
      <c r="D463" s="12">
        <v>215</v>
      </c>
      <c r="F463" s="12" t="s">
        <v>1549</v>
      </c>
      <c r="G463" s="12" t="str">
        <f t="shared" si="8"/>
        <v>702151007183957</v>
      </c>
      <c r="H463" s="12" t="s">
        <v>1550</v>
      </c>
      <c r="I463" s="12">
        <v>1007183957</v>
      </c>
      <c r="J463" s="12" t="s">
        <v>1551</v>
      </c>
      <c r="K463" s="12" t="s">
        <v>44</v>
      </c>
      <c r="L463" s="12" t="s">
        <v>45</v>
      </c>
      <c r="M463" s="12" t="s">
        <v>45</v>
      </c>
      <c r="N463" s="12" t="s">
        <v>432</v>
      </c>
      <c r="O463" s="12" t="s">
        <v>432</v>
      </c>
      <c r="P463" s="88" t="s">
        <v>261</v>
      </c>
      <c r="Q463" s="13">
        <v>44984</v>
      </c>
      <c r="R463" s="16">
        <v>0.88</v>
      </c>
      <c r="S463" s="13" t="s">
        <v>49</v>
      </c>
      <c r="U463" s="12" t="s">
        <v>50</v>
      </c>
      <c r="AU463" s="12" t="s">
        <v>53</v>
      </c>
    </row>
    <row r="464" spans="1:47" s="12" customFormat="1" ht="14.4" hidden="1" x14ac:dyDescent="0.3">
      <c r="A464" s="12" t="s">
        <v>505</v>
      </c>
      <c r="B464" s="12" t="s">
        <v>1102</v>
      </c>
      <c r="C464" s="12">
        <v>70</v>
      </c>
      <c r="D464" s="12">
        <v>215</v>
      </c>
      <c r="F464" s="12" t="s">
        <v>1552</v>
      </c>
      <c r="G464" s="12" t="str">
        <f t="shared" si="8"/>
        <v>7021522854080-4</v>
      </c>
      <c r="H464" s="12" t="s">
        <v>1553</v>
      </c>
      <c r="I464" s="12" t="s">
        <v>1554</v>
      </c>
      <c r="J464" s="12" t="s">
        <v>1555</v>
      </c>
      <c r="K464" s="12" t="s">
        <v>44</v>
      </c>
      <c r="L464" s="12">
        <v>3106623865</v>
      </c>
      <c r="M464" s="12" t="s">
        <v>1556</v>
      </c>
      <c r="N464" s="12" t="s">
        <v>432</v>
      </c>
      <c r="O464" s="12" t="s">
        <v>432</v>
      </c>
      <c r="P464" s="88" t="s">
        <v>261</v>
      </c>
      <c r="Q464" s="13">
        <v>46003</v>
      </c>
      <c r="R464" s="18">
        <v>0.68500000000000005</v>
      </c>
      <c r="S464" s="13" t="s">
        <v>49</v>
      </c>
      <c r="T464" s="12" t="s">
        <v>1111</v>
      </c>
      <c r="U464" s="12" t="s">
        <v>50</v>
      </c>
      <c r="V464" s="12" t="s">
        <v>1557</v>
      </c>
      <c r="W464" s="16">
        <v>0.92</v>
      </c>
      <c r="X464" s="12" t="s">
        <v>319</v>
      </c>
      <c r="AU464" s="12" t="s">
        <v>53</v>
      </c>
    </row>
    <row r="465" spans="1:47" s="12" customFormat="1" ht="14.4" hidden="1" x14ac:dyDescent="0.3">
      <c r="A465" s="12" t="s">
        <v>505</v>
      </c>
      <c r="B465" s="12" t="s">
        <v>1102</v>
      </c>
      <c r="C465" s="12">
        <v>70</v>
      </c>
      <c r="D465" s="12">
        <v>215</v>
      </c>
      <c r="F465" s="12" t="s">
        <v>1558</v>
      </c>
      <c r="G465" s="12" t="str">
        <f t="shared" si="8"/>
        <v>702159307077</v>
      </c>
      <c r="H465" s="12" t="s">
        <v>1559</v>
      </c>
      <c r="I465" s="12">
        <v>9307077</v>
      </c>
      <c r="J465" s="12" t="s">
        <v>1560</v>
      </c>
      <c r="K465" s="12" t="s">
        <v>44</v>
      </c>
      <c r="L465" s="12" t="s">
        <v>45</v>
      </c>
      <c r="M465" s="12" t="s">
        <v>45</v>
      </c>
      <c r="N465" s="12" t="s">
        <v>432</v>
      </c>
      <c r="O465" s="12" t="s">
        <v>432</v>
      </c>
      <c r="P465" s="88" t="s">
        <v>261</v>
      </c>
      <c r="Q465" s="13">
        <v>44951</v>
      </c>
      <c r="R465" s="16">
        <v>0.88</v>
      </c>
      <c r="S465" s="13" t="s">
        <v>49</v>
      </c>
      <c r="U465" s="12" t="s">
        <v>50</v>
      </c>
      <c r="AU465" s="12" t="s">
        <v>53</v>
      </c>
    </row>
    <row r="466" spans="1:47" s="12" customFormat="1" ht="14.4" hidden="1" x14ac:dyDescent="0.3">
      <c r="A466" s="12" t="s">
        <v>505</v>
      </c>
      <c r="B466" s="12" t="s">
        <v>1102</v>
      </c>
      <c r="C466" s="12">
        <v>70</v>
      </c>
      <c r="D466" s="12">
        <v>215</v>
      </c>
      <c r="F466" s="12" t="s">
        <v>1561</v>
      </c>
      <c r="G466" s="12" t="str">
        <f t="shared" si="8"/>
        <v>702151103116852</v>
      </c>
      <c r="H466" s="12" t="s">
        <v>1562</v>
      </c>
      <c r="I466" s="12">
        <v>1103116852</v>
      </c>
      <c r="J466" s="12" t="s">
        <v>1563</v>
      </c>
      <c r="K466" s="12" t="s">
        <v>44</v>
      </c>
      <c r="L466" s="12">
        <v>315721232</v>
      </c>
      <c r="M466" s="12" t="s">
        <v>1564</v>
      </c>
      <c r="N466" s="12" t="s">
        <v>432</v>
      </c>
      <c r="O466" s="12" t="s">
        <v>432</v>
      </c>
      <c r="P466" s="88" t="s">
        <v>261</v>
      </c>
      <c r="Q466" s="13">
        <v>45044</v>
      </c>
      <c r="R466" s="16">
        <v>0.75</v>
      </c>
      <c r="S466" s="13" t="s">
        <v>49</v>
      </c>
      <c r="U466" s="12" t="s">
        <v>50</v>
      </c>
      <c r="AU466" s="12" t="s">
        <v>53</v>
      </c>
    </row>
    <row r="467" spans="1:47" s="12" customFormat="1" ht="14.4" hidden="1" x14ac:dyDescent="0.3">
      <c r="A467" s="12" t="s">
        <v>505</v>
      </c>
      <c r="B467" s="12" t="s">
        <v>1102</v>
      </c>
      <c r="C467" s="12">
        <v>70</v>
      </c>
      <c r="D467" s="12">
        <v>215</v>
      </c>
      <c r="F467" s="12" t="s">
        <v>1565</v>
      </c>
      <c r="G467" s="12" t="str">
        <f t="shared" si="8"/>
        <v>7021584068562</v>
      </c>
      <c r="H467" s="12" t="s">
        <v>1566</v>
      </c>
      <c r="I467" s="12">
        <v>84068562</v>
      </c>
      <c r="J467" s="12" t="s">
        <v>1567</v>
      </c>
      <c r="K467" s="12" t="s">
        <v>44</v>
      </c>
      <c r="L467" s="12" t="s">
        <v>45</v>
      </c>
      <c r="M467" s="12" t="s">
        <v>45</v>
      </c>
      <c r="N467" s="12" t="s">
        <v>432</v>
      </c>
      <c r="O467" s="12" t="s">
        <v>432</v>
      </c>
      <c r="P467" s="88" t="s">
        <v>261</v>
      </c>
      <c r="Q467" s="13">
        <v>45021</v>
      </c>
      <c r="R467" s="16">
        <v>0.85</v>
      </c>
      <c r="S467" s="13" t="s">
        <v>49</v>
      </c>
      <c r="U467" s="12" t="s">
        <v>50</v>
      </c>
      <c r="AU467" s="12" t="s">
        <v>53</v>
      </c>
    </row>
    <row r="468" spans="1:47" s="12" customFormat="1" ht="14.4" hidden="1" x14ac:dyDescent="0.3">
      <c r="A468" s="12" t="s">
        <v>505</v>
      </c>
      <c r="B468" s="12" t="s">
        <v>1102</v>
      </c>
      <c r="C468" s="12">
        <v>70</v>
      </c>
      <c r="D468" s="12">
        <v>215</v>
      </c>
      <c r="F468" s="12" t="s">
        <v>1568</v>
      </c>
      <c r="G468" s="12" t="str">
        <f t="shared" si="8"/>
        <v>70215</v>
      </c>
      <c r="H468" s="12" t="s">
        <v>1569</v>
      </c>
      <c r="J468" s="12" t="s">
        <v>1570</v>
      </c>
      <c r="K468" s="12" t="s">
        <v>44</v>
      </c>
      <c r="L468" s="12">
        <v>3128057127</v>
      </c>
      <c r="M468" s="12" t="s">
        <v>45</v>
      </c>
      <c r="N468" s="12" t="s">
        <v>432</v>
      </c>
      <c r="O468" s="12" t="s">
        <v>432</v>
      </c>
      <c r="P468" s="88" t="s">
        <v>261</v>
      </c>
      <c r="Q468" s="13">
        <v>45182</v>
      </c>
      <c r="R468" s="16">
        <v>0.75</v>
      </c>
      <c r="S468" s="13" t="s">
        <v>49</v>
      </c>
      <c r="U468" s="12" t="s">
        <v>50</v>
      </c>
      <c r="AU468" s="12" t="s">
        <v>53</v>
      </c>
    </row>
    <row r="469" spans="1:47" s="12" customFormat="1" ht="14.4" hidden="1" x14ac:dyDescent="0.3">
      <c r="A469" s="12" t="s">
        <v>505</v>
      </c>
      <c r="B469" s="12" t="s">
        <v>1102</v>
      </c>
      <c r="C469" s="12">
        <v>70</v>
      </c>
      <c r="D469" s="12">
        <v>215</v>
      </c>
      <c r="F469" s="12" t="s">
        <v>1571</v>
      </c>
      <c r="G469" s="12" t="str">
        <f t="shared" si="8"/>
        <v>70215</v>
      </c>
      <c r="H469" s="12" t="s">
        <v>1572</v>
      </c>
      <c r="J469" s="12" t="s">
        <v>1573</v>
      </c>
      <c r="K469" s="12" t="s">
        <v>44</v>
      </c>
      <c r="L469" s="12">
        <v>3013993662</v>
      </c>
      <c r="M469" s="12" t="s">
        <v>45</v>
      </c>
      <c r="N469" s="12" t="s">
        <v>432</v>
      </c>
      <c r="O469" s="12" t="s">
        <v>432</v>
      </c>
      <c r="P469" s="88" t="s">
        <v>261</v>
      </c>
      <c r="Q469" s="13" t="s">
        <v>1574</v>
      </c>
      <c r="R469" s="16">
        <v>0.75</v>
      </c>
      <c r="S469" s="13" t="s">
        <v>49</v>
      </c>
      <c r="U469" s="12" t="s">
        <v>50</v>
      </c>
      <c r="AU469" s="12" t="s">
        <v>164</v>
      </c>
    </row>
    <row r="470" spans="1:47" s="12" customFormat="1" ht="14.4" hidden="1" x14ac:dyDescent="0.3">
      <c r="A470" s="12" t="s">
        <v>505</v>
      </c>
      <c r="B470" s="12" t="s">
        <v>1102</v>
      </c>
      <c r="C470" s="12">
        <v>70</v>
      </c>
      <c r="D470" s="12">
        <v>215</v>
      </c>
      <c r="F470" s="12" t="s">
        <v>1575</v>
      </c>
      <c r="G470" s="12" t="str">
        <f t="shared" si="8"/>
        <v>70215702153834900</v>
      </c>
      <c r="H470" s="12" t="s">
        <v>1576</v>
      </c>
      <c r="I470" s="12">
        <v>702153834900</v>
      </c>
      <c r="J470" s="12" t="s">
        <v>1577</v>
      </c>
      <c r="K470" s="12" t="s">
        <v>44</v>
      </c>
      <c r="L470" s="12">
        <v>3042924545</v>
      </c>
      <c r="M470" s="12" t="s">
        <v>1578</v>
      </c>
      <c r="N470" s="12" t="s">
        <v>432</v>
      </c>
      <c r="O470" s="12" t="s">
        <v>432</v>
      </c>
      <c r="P470" s="88" t="s">
        <v>261</v>
      </c>
      <c r="Q470" s="13">
        <v>45386</v>
      </c>
      <c r="R470" s="16">
        <v>0.9</v>
      </c>
      <c r="S470" s="12" t="s">
        <v>210</v>
      </c>
      <c r="T470" s="12" t="s">
        <v>1125</v>
      </c>
      <c r="U470" s="12" t="s">
        <v>60</v>
      </c>
      <c r="V470" s="13" t="s">
        <v>1579</v>
      </c>
      <c r="W470" s="16">
        <v>0.87</v>
      </c>
      <c r="X470" s="13" t="s">
        <v>49</v>
      </c>
      <c r="Z470" s="12" t="s">
        <v>50</v>
      </c>
      <c r="AA470" s="12" t="s">
        <v>52</v>
      </c>
      <c r="AB470" s="12" t="s">
        <v>52</v>
      </c>
      <c r="AU470" s="12" t="s">
        <v>53</v>
      </c>
    </row>
    <row r="471" spans="1:47" s="12" customFormat="1" ht="14.4" hidden="1" x14ac:dyDescent="0.3">
      <c r="A471" s="12" t="s">
        <v>505</v>
      </c>
      <c r="B471" s="12" t="s">
        <v>1102</v>
      </c>
      <c r="C471" s="12">
        <v>70</v>
      </c>
      <c r="D471" s="12">
        <v>215</v>
      </c>
      <c r="F471" s="275" t="s">
        <v>1580</v>
      </c>
      <c r="G471" s="12" t="str">
        <f t="shared" ref="G471:G536" si="9">C471&amp;D471&amp;I471</f>
        <v>70215228649911</v>
      </c>
      <c r="H471" s="12" t="s">
        <v>1581</v>
      </c>
      <c r="I471" s="12">
        <v>228649911</v>
      </c>
      <c r="J471" s="12" t="s">
        <v>1582</v>
      </c>
      <c r="K471" s="12" t="s">
        <v>44</v>
      </c>
      <c r="L471" s="12">
        <v>3116531109</v>
      </c>
      <c r="M471" s="93" t="s">
        <v>8505</v>
      </c>
      <c r="N471" s="12" t="s">
        <v>432</v>
      </c>
      <c r="O471" s="12" t="s">
        <v>432</v>
      </c>
      <c r="P471" s="88" t="s">
        <v>261</v>
      </c>
      <c r="Q471" s="13">
        <v>46084</v>
      </c>
      <c r="R471" s="12">
        <v>90</v>
      </c>
      <c r="S471" s="12" t="s">
        <v>319</v>
      </c>
      <c r="T471" s="12" t="s">
        <v>1125</v>
      </c>
      <c r="U471" s="12" t="s">
        <v>2456</v>
      </c>
      <c r="V471" s="96" t="s">
        <v>1583</v>
      </c>
      <c r="W471" s="98">
        <v>0.9</v>
      </c>
      <c r="X471" s="96" t="s">
        <v>210</v>
      </c>
      <c r="Y471" s="12" t="s">
        <v>1125</v>
      </c>
      <c r="Z471" s="12" t="s">
        <v>50</v>
      </c>
      <c r="AA471" s="12" t="s">
        <v>52</v>
      </c>
      <c r="AB471" s="12" t="s">
        <v>52</v>
      </c>
      <c r="AC471" s="96" t="s">
        <v>429</v>
      </c>
      <c r="AD471" s="16">
        <v>0.92</v>
      </c>
      <c r="AE471" s="13" t="s">
        <v>49</v>
      </c>
      <c r="AF471" s="12" t="s">
        <v>50</v>
      </c>
      <c r="AH471" s="12" t="s">
        <v>52</v>
      </c>
      <c r="AI471" s="13">
        <v>45222</v>
      </c>
      <c r="AJ471" s="16">
        <v>0.83499999999999996</v>
      </c>
      <c r="AK471" s="13" t="s">
        <v>49</v>
      </c>
      <c r="AL471" s="12" t="s">
        <v>50</v>
      </c>
      <c r="AU471" s="12" t="s">
        <v>53</v>
      </c>
    </row>
    <row r="472" spans="1:47" s="12" customFormat="1" ht="14.4" hidden="1" x14ac:dyDescent="0.3">
      <c r="A472" s="12" t="s">
        <v>505</v>
      </c>
      <c r="B472" s="12" t="s">
        <v>1102</v>
      </c>
      <c r="C472" s="12">
        <v>70</v>
      </c>
      <c r="D472" s="12">
        <v>215</v>
      </c>
      <c r="F472" s="12" t="s">
        <v>1584</v>
      </c>
      <c r="G472" s="12" t="str">
        <f t="shared" si="9"/>
        <v>7021585385505</v>
      </c>
      <c r="H472" s="12" t="s">
        <v>1585</v>
      </c>
      <c r="I472" s="12">
        <v>85385505</v>
      </c>
      <c r="J472" s="12" t="s">
        <v>1586</v>
      </c>
      <c r="K472" s="12" t="s">
        <v>44</v>
      </c>
      <c r="L472" s="12">
        <v>3207025534</v>
      </c>
      <c r="M472" s="12" t="s">
        <v>1587</v>
      </c>
      <c r="N472" s="12" t="s">
        <v>432</v>
      </c>
      <c r="O472" s="12" t="s">
        <v>432</v>
      </c>
      <c r="P472" s="88" t="s">
        <v>261</v>
      </c>
      <c r="Q472" s="13">
        <v>45078</v>
      </c>
      <c r="R472" s="16">
        <v>0.78</v>
      </c>
      <c r="S472" s="13" t="s">
        <v>49</v>
      </c>
      <c r="U472" s="12" t="s">
        <v>50</v>
      </c>
      <c r="AU472" s="12" t="s">
        <v>53</v>
      </c>
    </row>
    <row r="473" spans="1:47" s="12" customFormat="1" ht="14.4" hidden="1" x14ac:dyDescent="0.3">
      <c r="A473" s="12" t="s">
        <v>505</v>
      </c>
      <c r="B473" s="12" t="s">
        <v>1102</v>
      </c>
      <c r="C473" s="12">
        <v>70</v>
      </c>
      <c r="D473" s="12">
        <v>215</v>
      </c>
      <c r="F473" s="12" t="s">
        <v>1588</v>
      </c>
      <c r="G473" s="12" t="str">
        <f t="shared" si="9"/>
        <v>702157021592551213</v>
      </c>
      <c r="H473" s="12" t="s">
        <v>1589</v>
      </c>
      <c r="I473" s="12">
        <v>7021592551213</v>
      </c>
      <c r="J473" s="12" t="s">
        <v>1590</v>
      </c>
      <c r="K473" s="12" t="s">
        <v>44</v>
      </c>
      <c r="L473" s="12" t="s">
        <v>45</v>
      </c>
      <c r="M473" s="12" t="s">
        <v>45</v>
      </c>
      <c r="N473" s="12" t="s">
        <v>432</v>
      </c>
      <c r="O473" s="12" t="s">
        <v>432</v>
      </c>
      <c r="P473" s="88" t="s">
        <v>261</v>
      </c>
      <c r="Q473" s="13">
        <v>45195</v>
      </c>
      <c r="R473" s="16">
        <v>0.92500000000000004</v>
      </c>
      <c r="S473" s="13" t="s">
        <v>210</v>
      </c>
      <c r="U473" s="12" t="s">
        <v>50</v>
      </c>
      <c r="AU473" s="12" t="s">
        <v>53</v>
      </c>
    </row>
    <row r="474" spans="1:47" s="12" customFormat="1" ht="14.4" hidden="1" x14ac:dyDescent="0.3">
      <c r="A474" s="12" t="s">
        <v>505</v>
      </c>
      <c r="B474" s="12" t="s">
        <v>1102</v>
      </c>
      <c r="C474" s="12">
        <v>70</v>
      </c>
      <c r="D474" s="12">
        <v>215</v>
      </c>
      <c r="F474" s="12" t="s">
        <v>1591</v>
      </c>
      <c r="G474" s="12" t="str">
        <f t="shared" si="9"/>
        <v>702151103120330-5</v>
      </c>
      <c r="H474" s="12" t="s">
        <v>1592</v>
      </c>
      <c r="I474" s="12" t="s">
        <v>1593</v>
      </c>
      <c r="J474" s="12" t="s">
        <v>1594</v>
      </c>
      <c r="K474" s="12" t="s">
        <v>44</v>
      </c>
      <c r="L474" s="12" t="s">
        <v>45</v>
      </c>
      <c r="M474" s="12" t="s">
        <v>45</v>
      </c>
      <c r="N474" s="12" t="s">
        <v>432</v>
      </c>
      <c r="O474" s="12" t="s">
        <v>432</v>
      </c>
      <c r="P474" s="88" t="s">
        <v>261</v>
      </c>
      <c r="Q474" s="13">
        <v>45211</v>
      </c>
      <c r="R474" s="16">
        <v>0.91</v>
      </c>
      <c r="S474" s="13" t="s">
        <v>210</v>
      </c>
      <c r="U474" s="12" t="s">
        <v>50</v>
      </c>
      <c r="AU474" s="12" t="s">
        <v>53</v>
      </c>
    </row>
    <row r="475" spans="1:47" s="12" customFormat="1" ht="14.4" hidden="1" x14ac:dyDescent="0.3">
      <c r="A475" s="12" t="s">
        <v>505</v>
      </c>
      <c r="B475" s="12" t="s">
        <v>1102</v>
      </c>
      <c r="C475" s="12">
        <v>70</v>
      </c>
      <c r="D475" s="12">
        <v>215</v>
      </c>
      <c r="F475" s="12" t="s">
        <v>1734</v>
      </c>
      <c r="G475" s="12" t="str">
        <f t="shared" si="9"/>
        <v>702151051823654</v>
      </c>
      <c r="H475" s="12" t="s">
        <v>7831</v>
      </c>
      <c r="I475" s="12">
        <v>1051823654</v>
      </c>
      <c r="J475" s="12" t="s">
        <v>1596</v>
      </c>
      <c r="K475" s="12" t="s">
        <v>44</v>
      </c>
      <c r="L475" s="12">
        <v>3205441540</v>
      </c>
      <c r="M475" s="12" t="s">
        <v>7832</v>
      </c>
      <c r="N475" s="12" t="s">
        <v>432</v>
      </c>
      <c r="O475" s="12" t="s">
        <v>432</v>
      </c>
      <c r="P475" s="88" t="s">
        <v>261</v>
      </c>
      <c r="Q475" s="13">
        <v>45915</v>
      </c>
      <c r="R475" s="12">
        <v>89</v>
      </c>
      <c r="S475" s="12" t="s">
        <v>49</v>
      </c>
      <c r="U475" s="12" t="s">
        <v>50</v>
      </c>
      <c r="V475" s="12" t="s">
        <v>1597</v>
      </c>
      <c r="W475" s="16">
        <v>0.86</v>
      </c>
      <c r="X475" s="13" t="s">
        <v>49</v>
      </c>
      <c r="Z475" s="12" t="s">
        <v>50</v>
      </c>
      <c r="AA475" s="12" t="s">
        <v>52</v>
      </c>
      <c r="AB475" s="12" t="s">
        <v>52</v>
      </c>
      <c r="AC475" s="13">
        <v>45079</v>
      </c>
      <c r="AD475" s="16">
        <v>0.85499999999999998</v>
      </c>
      <c r="AE475" s="13" t="s">
        <v>49</v>
      </c>
      <c r="AU475" s="12" t="s">
        <v>53</v>
      </c>
    </row>
    <row r="476" spans="1:47" s="12" customFormat="1" ht="14.4" hidden="1" x14ac:dyDescent="0.3">
      <c r="A476" s="12" t="s">
        <v>505</v>
      </c>
      <c r="B476" s="12" t="s">
        <v>1102</v>
      </c>
      <c r="C476" s="12">
        <v>70</v>
      </c>
      <c r="D476" s="12">
        <v>215</v>
      </c>
      <c r="F476" s="12" t="s">
        <v>1598</v>
      </c>
      <c r="G476" s="12" t="str">
        <f t="shared" si="9"/>
        <v>70215</v>
      </c>
      <c r="H476" s="12" t="s">
        <v>1599</v>
      </c>
      <c r="J476" s="12" t="s">
        <v>1600</v>
      </c>
      <c r="K476" s="12" t="s">
        <v>44</v>
      </c>
      <c r="L476" s="12">
        <v>2857454</v>
      </c>
      <c r="M476" s="12" t="s">
        <v>45</v>
      </c>
      <c r="N476" s="12" t="s">
        <v>432</v>
      </c>
      <c r="O476" s="12" t="s">
        <v>432</v>
      </c>
      <c r="P476" s="88" t="s">
        <v>261</v>
      </c>
      <c r="Q476" s="13">
        <v>45084</v>
      </c>
      <c r="R476" s="16">
        <v>0.77</v>
      </c>
      <c r="S476" s="13" t="s">
        <v>49</v>
      </c>
      <c r="U476" s="12" t="s">
        <v>50</v>
      </c>
      <c r="AU476" s="12" t="s">
        <v>53</v>
      </c>
    </row>
    <row r="477" spans="1:47" s="12" customFormat="1" ht="14.4" hidden="1" x14ac:dyDescent="0.3">
      <c r="A477" s="12" t="s">
        <v>505</v>
      </c>
      <c r="B477" s="12" t="s">
        <v>1102</v>
      </c>
      <c r="C477" s="12">
        <v>70</v>
      </c>
      <c r="D477" s="12">
        <v>215</v>
      </c>
      <c r="F477" s="12" t="s">
        <v>1601</v>
      </c>
      <c r="G477" s="12" t="str">
        <f t="shared" si="9"/>
        <v>702151103101001</v>
      </c>
      <c r="H477" s="12" t="s">
        <v>1602</v>
      </c>
      <c r="I477" s="12">
        <v>1103101001</v>
      </c>
      <c r="J477" s="12" t="s">
        <v>1603</v>
      </c>
      <c r="K477" s="12" t="s">
        <v>44</v>
      </c>
      <c r="L477" s="12" t="s">
        <v>45</v>
      </c>
      <c r="M477" s="12" t="s">
        <v>45</v>
      </c>
      <c r="N477" s="12" t="s">
        <v>432</v>
      </c>
      <c r="O477" s="12" t="s">
        <v>432</v>
      </c>
      <c r="P477" s="88" t="s">
        <v>261</v>
      </c>
      <c r="Q477" s="13">
        <v>45138</v>
      </c>
      <c r="R477" s="16">
        <v>0.78</v>
      </c>
      <c r="S477" s="13" t="s">
        <v>49</v>
      </c>
      <c r="U477" s="12" t="s">
        <v>50</v>
      </c>
      <c r="AU477" s="12" t="s">
        <v>53</v>
      </c>
    </row>
    <row r="478" spans="1:47" s="12" customFormat="1" ht="14.4" hidden="1" x14ac:dyDescent="0.3">
      <c r="A478" s="12" t="s">
        <v>505</v>
      </c>
      <c r="B478" s="12" t="s">
        <v>1102</v>
      </c>
      <c r="C478" s="12">
        <v>70</v>
      </c>
      <c r="D478" s="12">
        <v>215</v>
      </c>
      <c r="F478" s="12" t="s">
        <v>1604</v>
      </c>
      <c r="G478" s="12" t="str">
        <f t="shared" si="9"/>
        <v>7021592555231</v>
      </c>
      <c r="H478" s="12" t="s">
        <v>1595</v>
      </c>
      <c r="I478" s="12">
        <v>92555231</v>
      </c>
      <c r="J478" s="12" t="s">
        <v>1605</v>
      </c>
      <c r="K478" s="12" t="s">
        <v>44</v>
      </c>
      <c r="L478" s="12">
        <v>3044188792</v>
      </c>
      <c r="M478" s="99" t="s">
        <v>1606</v>
      </c>
      <c r="N478" s="12" t="s">
        <v>432</v>
      </c>
      <c r="O478" s="12" t="s">
        <v>432</v>
      </c>
      <c r="P478" s="88" t="s">
        <v>261</v>
      </c>
      <c r="Q478" s="13" t="s">
        <v>1607</v>
      </c>
      <c r="R478" s="16">
        <v>0.86</v>
      </c>
      <c r="S478" s="12" t="s">
        <v>139</v>
      </c>
      <c r="T478" s="12" t="s">
        <v>1125</v>
      </c>
      <c r="U478" s="12" t="s">
        <v>60</v>
      </c>
      <c r="V478" s="13">
        <v>45386</v>
      </c>
      <c r="W478" s="16">
        <v>0.86</v>
      </c>
      <c r="X478" s="13" t="s">
        <v>49</v>
      </c>
      <c r="Z478" s="12" t="s">
        <v>50</v>
      </c>
      <c r="AA478" s="12" t="s">
        <v>52</v>
      </c>
      <c r="AB478" s="12" t="s">
        <v>52</v>
      </c>
      <c r="AU478" s="12" t="s">
        <v>53</v>
      </c>
    </row>
    <row r="479" spans="1:47" s="12" customFormat="1" ht="14.4" hidden="1" x14ac:dyDescent="0.3">
      <c r="A479" s="12" t="s">
        <v>505</v>
      </c>
      <c r="B479" s="12" t="s">
        <v>1102</v>
      </c>
      <c r="C479" s="12">
        <v>70</v>
      </c>
      <c r="D479" s="12">
        <v>215</v>
      </c>
      <c r="F479" s="12" t="s">
        <v>1608</v>
      </c>
      <c r="G479" s="12" t="str">
        <f t="shared" si="9"/>
        <v>7021592550983</v>
      </c>
      <c r="H479" s="12" t="s">
        <v>1609</v>
      </c>
      <c r="I479" s="12">
        <v>92550983</v>
      </c>
      <c r="J479" s="12" t="s">
        <v>1610</v>
      </c>
      <c r="K479" s="12" t="s">
        <v>44</v>
      </c>
      <c r="L479" s="12">
        <v>3002055507</v>
      </c>
      <c r="M479" s="12" t="s">
        <v>1611</v>
      </c>
      <c r="N479" s="12" t="s">
        <v>432</v>
      </c>
      <c r="O479" s="12" t="s">
        <v>432</v>
      </c>
      <c r="P479" s="88" t="s">
        <v>261</v>
      </c>
      <c r="Q479" s="13">
        <v>45087</v>
      </c>
      <c r="R479" s="16">
        <v>0.78</v>
      </c>
      <c r="S479" s="13" t="s">
        <v>49</v>
      </c>
      <c r="U479" s="12" t="s">
        <v>50</v>
      </c>
      <c r="V479" s="13">
        <v>44609</v>
      </c>
      <c r="W479" s="16">
        <v>0.83</v>
      </c>
      <c r="X479" s="13" t="s">
        <v>49</v>
      </c>
      <c r="Z479" s="12" t="s">
        <v>60</v>
      </c>
      <c r="AA479" s="12" t="s">
        <v>52</v>
      </c>
      <c r="AB479" s="12" t="s">
        <v>52</v>
      </c>
      <c r="AU479" s="12" t="s">
        <v>53</v>
      </c>
    </row>
    <row r="480" spans="1:47" s="12" customFormat="1" ht="14.4" hidden="1" x14ac:dyDescent="0.3">
      <c r="A480" s="12" t="s">
        <v>505</v>
      </c>
      <c r="B480" s="12" t="s">
        <v>1102</v>
      </c>
      <c r="C480" s="12">
        <v>70</v>
      </c>
      <c r="D480" s="12">
        <v>215</v>
      </c>
      <c r="F480" s="12" t="s">
        <v>1612</v>
      </c>
      <c r="G480" s="12" t="str">
        <f t="shared" si="9"/>
        <v>7021522865066-8</v>
      </c>
      <c r="H480" s="12" t="s">
        <v>1613</v>
      </c>
      <c r="I480" s="12" t="s">
        <v>1614</v>
      </c>
      <c r="J480" s="12" t="s">
        <v>1615</v>
      </c>
      <c r="K480" s="12" t="s">
        <v>44</v>
      </c>
      <c r="L480" s="12">
        <v>3003805336</v>
      </c>
      <c r="M480" s="12" t="s">
        <v>1616</v>
      </c>
      <c r="N480" s="12" t="s">
        <v>432</v>
      </c>
      <c r="O480" s="12" t="s">
        <v>432</v>
      </c>
      <c r="P480" s="88" t="s">
        <v>261</v>
      </c>
      <c r="Q480" s="12" t="s">
        <v>1617</v>
      </c>
      <c r="R480" s="16">
        <v>0.92</v>
      </c>
      <c r="S480" s="12" t="s">
        <v>210</v>
      </c>
      <c r="T480" s="12" t="s">
        <v>1125</v>
      </c>
      <c r="U480" s="12" t="s">
        <v>60</v>
      </c>
      <c r="V480" s="12" t="s">
        <v>1618</v>
      </c>
      <c r="W480" s="16">
        <v>0.92</v>
      </c>
      <c r="X480" s="13" t="s">
        <v>49</v>
      </c>
      <c r="Z480" s="12" t="s">
        <v>50</v>
      </c>
      <c r="AA480" s="12" t="s">
        <v>52</v>
      </c>
      <c r="AB480" s="12" t="s">
        <v>52</v>
      </c>
      <c r="AC480" s="13">
        <v>44263</v>
      </c>
      <c r="AD480" s="16">
        <v>0.92</v>
      </c>
      <c r="AE480" s="13" t="s">
        <v>210</v>
      </c>
      <c r="AF480" s="12" t="s">
        <v>50</v>
      </c>
      <c r="AG480" s="12" t="s">
        <v>52</v>
      </c>
      <c r="AH480" s="12" t="s">
        <v>52</v>
      </c>
      <c r="AU480" s="12" t="s">
        <v>53</v>
      </c>
    </row>
    <row r="481" spans="1:47" s="12" customFormat="1" ht="14.4" hidden="1" x14ac:dyDescent="0.3">
      <c r="A481" s="12" t="s">
        <v>505</v>
      </c>
      <c r="B481" s="12" t="s">
        <v>1102</v>
      </c>
      <c r="C481" s="12">
        <v>70</v>
      </c>
      <c r="D481" s="12">
        <v>215</v>
      </c>
      <c r="F481" s="12" t="s">
        <v>1619</v>
      </c>
      <c r="G481" s="12" t="str">
        <f t="shared" si="9"/>
        <v>70215</v>
      </c>
      <c r="H481" s="12" t="s">
        <v>1620</v>
      </c>
      <c r="J481" s="12" t="s">
        <v>1621</v>
      </c>
      <c r="K481" s="12" t="s">
        <v>44</v>
      </c>
      <c r="L481" s="12">
        <v>3012862556</v>
      </c>
      <c r="M481" s="12" t="s">
        <v>45</v>
      </c>
      <c r="N481" s="12" t="s">
        <v>432</v>
      </c>
      <c r="O481" s="12" t="s">
        <v>432</v>
      </c>
      <c r="P481" s="88" t="s">
        <v>261</v>
      </c>
      <c r="Q481" s="13">
        <v>45051</v>
      </c>
      <c r="R481" s="16">
        <v>0.755</v>
      </c>
      <c r="S481" s="13" t="s">
        <v>49</v>
      </c>
      <c r="U481" s="12" t="s">
        <v>50</v>
      </c>
      <c r="AD481" s="13"/>
      <c r="AU481" s="12" t="s">
        <v>53</v>
      </c>
    </row>
    <row r="482" spans="1:47" s="12" customFormat="1" ht="14.4" hidden="1" x14ac:dyDescent="0.3">
      <c r="A482" s="12" t="s">
        <v>505</v>
      </c>
      <c r="B482" s="12" t="s">
        <v>1102</v>
      </c>
      <c r="C482" s="12">
        <v>70</v>
      </c>
      <c r="D482" s="12">
        <v>215</v>
      </c>
      <c r="F482" s="12" t="s">
        <v>1622</v>
      </c>
      <c r="G482" s="12" t="str">
        <f t="shared" si="9"/>
        <v>702151102825406-9</v>
      </c>
      <c r="H482" s="12" t="s">
        <v>1623</v>
      </c>
      <c r="I482" s="12" t="s">
        <v>1624</v>
      </c>
      <c r="J482" s="12" t="s">
        <v>1625</v>
      </c>
      <c r="K482" s="12" t="s">
        <v>44</v>
      </c>
      <c r="L482" s="12">
        <v>3015783710</v>
      </c>
      <c r="M482" s="12" t="s">
        <v>1626</v>
      </c>
      <c r="N482" s="12" t="s">
        <v>432</v>
      </c>
      <c r="O482" s="12" t="s">
        <v>432</v>
      </c>
      <c r="P482" s="88" t="s">
        <v>261</v>
      </c>
      <c r="AU482" s="12" t="s">
        <v>164</v>
      </c>
    </row>
    <row r="483" spans="1:47" s="12" customFormat="1" ht="14.4" hidden="1" x14ac:dyDescent="0.3">
      <c r="A483" s="12" t="s">
        <v>505</v>
      </c>
      <c r="B483" s="12" t="s">
        <v>1102</v>
      </c>
      <c r="C483" s="12">
        <v>70</v>
      </c>
      <c r="D483" s="12">
        <v>215</v>
      </c>
      <c r="F483" s="12" t="s">
        <v>1627</v>
      </c>
      <c r="G483" s="12" t="str">
        <f t="shared" si="9"/>
        <v>70215</v>
      </c>
      <c r="H483" s="12" t="s">
        <v>1628</v>
      </c>
      <c r="J483" s="12" t="s">
        <v>1629</v>
      </c>
      <c r="K483" s="12" t="s">
        <v>44</v>
      </c>
      <c r="L483" s="12">
        <v>3017648501</v>
      </c>
      <c r="M483" s="12" t="s">
        <v>45</v>
      </c>
      <c r="N483" s="12" t="s">
        <v>432</v>
      </c>
      <c r="O483" s="12" t="s">
        <v>432</v>
      </c>
      <c r="P483" s="88" t="s">
        <v>261</v>
      </c>
      <c r="Q483" s="12" t="s">
        <v>1630</v>
      </c>
      <c r="R483" s="16">
        <v>0.93</v>
      </c>
      <c r="S483" s="12" t="s">
        <v>210</v>
      </c>
      <c r="AU483" s="12" t="s">
        <v>53</v>
      </c>
    </row>
    <row r="484" spans="1:47" s="12" customFormat="1" ht="14.4" hidden="1" x14ac:dyDescent="0.3">
      <c r="A484" s="12" t="s">
        <v>505</v>
      </c>
      <c r="B484" s="12" t="s">
        <v>1102</v>
      </c>
      <c r="C484" s="12">
        <v>70</v>
      </c>
      <c r="D484" s="12">
        <v>215</v>
      </c>
      <c r="F484" s="275" t="s">
        <v>1631</v>
      </c>
      <c r="G484" s="12" t="str">
        <f t="shared" si="9"/>
        <v>702159309411</v>
      </c>
      <c r="H484" s="274" t="s">
        <v>8940</v>
      </c>
      <c r="I484" s="12">
        <v>9309411</v>
      </c>
      <c r="J484" s="12" t="s">
        <v>1632</v>
      </c>
      <c r="K484" s="12" t="s">
        <v>44</v>
      </c>
      <c r="L484" s="12">
        <v>3002244057</v>
      </c>
      <c r="M484" s="94" t="s">
        <v>1633</v>
      </c>
      <c r="N484" s="12" t="s">
        <v>432</v>
      </c>
      <c r="O484" s="12" t="s">
        <v>432</v>
      </c>
      <c r="P484" s="88" t="s">
        <v>261</v>
      </c>
      <c r="Q484" s="13">
        <v>46167</v>
      </c>
      <c r="R484" s="12">
        <v>87</v>
      </c>
      <c r="S484" s="12" t="s">
        <v>49</v>
      </c>
      <c r="T484" s="12" t="s">
        <v>1139</v>
      </c>
      <c r="U484" s="12" t="s">
        <v>2456</v>
      </c>
      <c r="V484" s="12" t="s">
        <v>1634</v>
      </c>
      <c r="W484" s="16">
        <v>0.9</v>
      </c>
      <c r="X484" s="12" t="s">
        <v>210</v>
      </c>
      <c r="Y484" s="12" t="s">
        <v>1125</v>
      </c>
      <c r="Z484" s="12" t="s">
        <v>60</v>
      </c>
      <c r="AA484" s="12" t="s">
        <v>52</v>
      </c>
      <c r="AB484" s="12" t="s">
        <v>52</v>
      </c>
      <c r="AC484" s="12" t="s">
        <v>1635</v>
      </c>
      <c r="AD484" s="16">
        <v>0.9</v>
      </c>
      <c r="AE484" s="12" t="s">
        <v>210</v>
      </c>
      <c r="AF484" s="12" t="s">
        <v>60</v>
      </c>
      <c r="AU484" s="12" t="s">
        <v>164</v>
      </c>
    </row>
    <row r="485" spans="1:47" s="12" customFormat="1" ht="14.4" hidden="1" x14ac:dyDescent="0.3">
      <c r="A485" s="12" t="s">
        <v>505</v>
      </c>
      <c r="B485" s="12" t="s">
        <v>1102</v>
      </c>
      <c r="C485" s="12">
        <v>70</v>
      </c>
      <c r="D485" s="12">
        <v>215</v>
      </c>
      <c r="F485" s="12" t="s">
        <v>1636</v>
      </c>
      <c r="G485" s="12" t="str">
        <f t="shared" si="9"/>
        <v>70215</v>
      </c>
      <c r="H485" s="12" t="s">
        <v>1637</v>
      </c>
      <c r="J485" s="12" t="s">
        <v>1638</v>
      </c>
      <c r="K485" s="12" t="s">
        <v>44</v>
      </c>
      <c r="L485" s="12">
        <v>3106271964</v>
      </c>
      <c r="M485" s="12" t="s">
        <v>45</v>
      </c>
      <c r="N485" s="12" t="s">
        <v>432</v>
      </c>
      <c r="O485" s="12" t="s">
        <v>432</v>
      </c>
      <c r="P485" s="88" t="s">
        <v>261</v>
      </c>
      <c r="AU485" s="12" t="s">
        <v>164</v>
      </c>
    </row>
    <row r="486" spans="1:47" s="12" customFormat="1" ht="14.4" hidden="1" x14ac:dyDescent="0.3">
      <c r="A486" s="12" t="s">
        <v>505</v>
      </c>
      <c r="B486" s="12" t="s">
        <v>1102</v>
      </c>
      <c r="C486" s="12">
        <v>70</v>
      </c>
      <c r="D486" s="12">
        <v>215</v>
      </c>
      <c r="F486" s="12" t="s">
        <v>1639</v>
      </c>
      <c r="G486" s="12" t="str">
        <f t="shared" si="9"/>
        <v>702151005425750</v>
      </c>
      <c r="H486" s="12" t="s">
        <v>1640</v>
      </c>
      <c r="I486" s="12">
        <v>1005425750</v>
      </c>
      <c r="J486" s="12" t="s">
        <v>1641</v>
      </c>
      <c r="K486" s="12" t="s">
        <v>44</v>
      </c>
      <c r="L486" s="12" t="s">
        <v>45</v>
      </c>
      <c r="M486" s="12" t="s">
        <v>45</v>
      </c>
      <c r="N486" s="12" t="s">
        <v>432</v>
      </c>
      <c r="O486" s="12" t="s">
        <v>432</v>
      </c>
      <c r="P486" s="88" t="s">
        <v>261</v>
      </c>
      <c r="AU486" s="12" t="s">
        <v>164</v>
      </c>
    </row>
    <row r="487" spans="1:47" s="12" customFormat="1" ht="14.4" hidden="1" x14ac:dyDescent="0.3">
      <c r="A487" s="12" t="s">
        <v>505</v>
      </c>
      <c r="B487" s="12" t="s">
        <v>1102</v>
      </c>
      <c r="C487" s="12">
        <v>70</v>
      </c>
      <c r="D487" s="12">
        <v>215</v>
      </c>
      <c r="F487" s="12" t="s">
        <v>1642</v>
      </c>
      <c r="G487" s="12" t="str">
        <f t="shared" si="9"/>
        <v>7021571004471</v>
      </c>
      <c r="H487" s="12" t="s">
        <v>1643</v>
      </c>
      <c r="I487" s="12">
        <v>71004471</v>
      </c>
      <c r="J487" s="12" t="s">
        <v>1644</v>
      </c>
      <c r="K487" s="12" t="s">
        <v>44</v>
      </c>
      <c r="L487" s="12">
        <v>3016544612</v>
      </c>
      <c r="M487" s="12" t="s">
        <v>1645</v>
      </c>
      <c r="N487" s="12" t="s">
        <v>432</v>
      </c>
      <c r="O487" s="12" t="s">
        <v>432</v>
      </c>
      <c r="P487" s="88" t="s">
        <v>261</v>
      </c>
      <c r="Q487" s="13">
        <v>45629</v>
      </c>
      <c r="R487" s="16">
        <v>0.88</v>
      </c>
      <c r="S487" s="12" t="s">
        <v>69</v>
      </c>
      <c r="T487" s="12" t="s">
        <v>1125</v>
      </c>
      <c r="U487" s="12" t="s">
        <v>60</v>
      </c>
      <c r="V487" s="12" t="s">
        <v>1646</v>
      </c>
      <c r="W487" s="12">
        <v>89</v>
      </c>
      <c r="X487" s="12" t="s">
        <v>69</v>
      </c>
      <c r="Z487" s="12" t="s">
        <v>60</v>
      </c>
      <c r="AA487" s="12" t="s">
        <v>52</v>
      </c>
      <c r="AB487" s="12" t="s">
        <v>52</v>
      </c>
      <c r="AU487" s="12" t="s">
        <v>164</v>
      </c>
    </row>
    <row r="488" spans="1:47" s="12" customFormat="1" ht="14.4" hidden="1" x14ac:dyDescent="0.3">
      <c r="A488" s="12" t="s">
        <v>505</v>
      </c>
      <c r="B488" s="12" t="s">
        <v>1102</v>
      </c>
      <c r="C488" s="12">
        <v>70</v>
      </c>
      <c r="D488" s="12">
        <v>215</v>
      </c>
      <c r="F488" s="12" t="s">
        <v>1647</v>
      </c>
      <c r="G488" s="12" t="str">
        <f t="shared" si="9"/>
        <v>702151005582219</v>
      </c>
      <c r="H488" s="12" t="s">
        <v>1648</v>
      </c>
      <c r="I488" s="12">
        <v>1005582219</v>
      </c>
      <c r="J488" s="12" t="s">
        <v>1649</v>
      </c>
      <c r="K488" s="12" t="s">
        <v>44</v>
      </c>
      <c r="L488" s="12" t="s">
        <v>45</v>
      </c>
      <c r="M488" s="12" t="s">
        <v>45</v>
      </c>
      <c r="N488" s="12" t="s">
        <v>432</v>
      </c>
      <c r="O488" s="12" t="s">
        <v>432</v>
      </c>
      <c r="P488" s="88" t="s">
        <v>261</v>
      </c>
      <c r="AU488" s="12" t="s">
        <v>164</v>
      </c>
    </row>
    <row r="489" spans="1:47" s="12" customFormat="1" ht="14.4" hidden="1" x14ac:dyDescent="0.3">
      <c r="A489" s="12" t="s">
        <v>505</v>
      </c>
      <c r="B489" s="12" t="s">
        <v>1102</v>
      </c>
      <c r="C489" s="12">
        <v>70</v>
      </c>
      <c r="D489" s="12">
        <v>215</v>
      </c>
      <c r="F489" s="12" t="s">
        <v>1650</v>
      </c>
      <c r="G489" s="12" t="str">
        <f t="shared" si="9"/>
        <v>7021511031221750</v>
      </c>
      <c r="H489" s="12" t="s">
        <v>1651</v>
      </c>
      <c r="I489" s="12">
        <v>11031221750</v>
      </c>
      <c r="J489" s="12" t="s">
        <v>1652</v>
      </c>
      <c r="K489" s="12" t="s">
        <v>44</v>
      </c>
      <c r="L489" s="12" t="s">
        <v>45</v>
      </c>
      <c r="M489" s="12" t="s">
        <v>45</v>
      </c>
      <c r="N489" s="12" t="s">
        <v>432</v>
      </c>
      <c r="O489" s="12" t="s">
        <v>432</v>
      </c>
      <c r="P489" s="88" t="s">
        <v>261</v>
      </c>
      <c r="AU489" s="12" t="s">
        <v>164</v>
      </c>
    </row>
    <row r="490" spans="1:47" s="12" customFormat="1" ht="14.4" hidden="1" x14ac:dyDescent="0.3">
      <c r="A490" s="12" t="s">
        <v>505</v>
      </c>
      <c r="B490" s="12" t="s">
        <v>1102</v>
      </c>
      <c r="C490" s="12">
        <v>70</v>
      </c>
      <c r="D490" s="12">
        <v>215</v>
      </c>
      <c r="F490" s="12" t="s">
        <v>1653</v>
      </c>
      <c r="G490" s="12" t="str">
        <f t="shared" si="9"/>
        <v>7021552133691</v>
      </c>
      <c r="H490" s="12" t="s">
        <v>1654</v>
      </c>
      <c r="I490" s="12">
        <v>52133691</v>
      </c>
      <c r="J490" s="12" t="s">
        <v>1655</v>
      </c>
      <c r="K490" s="12" t="s">
        <v>44</v>
      </c>
      <c r="L490" s="12" t="s">
        <v>45</v>
      </c>
      <c r="M490" s="12" t="s">
        <v>45</v>
      </c>
      <c r="N490" s="12" t="s">
        <v>432</v>
      </c>
      <c r="O490" s="12" t="s">
        <v>432</v>
      </c>
      <c r="P490" s="88" t="s">
        <v>261</v>
      </c>
      <c r="AU490" s="12" t="s">
        <v>164</v>
      </c>
    </row>
    <row r="491" spans="1:47" s="12" customFormat="1" ht="14.4" hidden="1" x14ac:dyDescent="0.3">
      <c r="A491" s="12" t="s">
        <v>505</v>
      </c>
      <c r="B491" s="12" t="s">
        <v>1102</v>
      </c>
      <c r="C491" s="12">
        <v>70</v>
      </c>
      <c r="D491" s="12">
        <v>215</v>
      </c>
      <c r="F491" s="12" t="s">
        <v>1656</v>
      </c>
      <c r="G491" s="12" t="str">
        <f t="shared" si="9"/>
        <v>702151102845764</v>
      </c>
      <c r="H491" s="12" t="s">
        <v>1657</v>
      </c>
      <c r="I491" s="12">
        <v>1102845764</v>
      </c>
      <c r="J491" s="12" t="s">
        <v>1658</v>
      </c>
      <c r="K491" s="12" t="s">
        <v>44</v>
      </c>
      <c r="L491" s="12" t="s">
        <v>45</v>
      </c>
      <c r="M491" s="12" t="s">
        <v>45</v>
      </c>
      <c r="N491" s="12" t="s">
        <v>432</v>
      </c>
      <c r="O491" s="12" t="s">
        <v>432</v>
      </c>
      <c r="P491" s="88" t="s">
        <v>261</v>
      </c>
      <c r="AU491" s="12" t="s">
        <v>164</v>
      </c>
    </row>
    <row r="492" spans="1:47" s="12" customFormat="1" ht="14.4" hidden="1" x14ac:dyDescent="0.3">
      <c r="A492" s="12" t="s">
        <v>505</v>
      </c>
      <c r="B492" s="12" t="s">
        <v>1102</v>
      </c>
      <c r="C492" s="12">
        <v>70</v>
      </c>
      <c r="D492" s="12">
        <v>215</v>
      </c>
      <c r="F492" s="12" t="s">
        <v>1659</v>
      </c>
      <c r="G492" s="12" t="str">
        <f t="shared" si="9"/>
        <v>702151063286210-8</v>
      </c>
      <c r="H492" s="12" t="s">
        <v>1660</v>
      </c>
      <c r="I492" s="12" t="s">
        <v>1661</v>
      </c>
      <c r="J492" s="12" t="s">
        <v>1662</v>
      </c>
      <c r="K492" s="12" t="s">
        <v>44</v>
      </c>
      <c r="L492" s="12">
        <v>3016461447</v>
      </c>
      <c r="M492" s="12" t="s">
        <v>45</v>
      </c>
      <c r="N492" s="12" t="s">
        <v>432</v>
      </c>
      <c r="O492" s="12" t="s">
        <v>432</v>
      </c>
      <c r="P492" s="88" t="s">
        <v>261</v>
      </c>
      <c r="Q492" s="96" t="s">
        <v>1663</v>
      </c>
      <c r="R492" s="98">
        <v>0.95</v>
      </c>
      <c r="S492" s="96" t="s">
        <v>319</v>
      </c>
      <c r="U492" s="12" t="s">
        <v>50</v>
      </c>
      <c r="AU492" s="12" t="s">
        <v>53</v>
      </c>
    </row>
    <row r="493" spans="1:47" s="12" customFormat="1" ht="14.4" hidden="1" x14ac:dyDescent="0.3">
      <c r="A493" s="12" t="s">
        <v>505</v>
      </c>
      <c r="B493" s="12" t="s">
        <v>1102</v>
      </c>
      <c r="C493" s="12">
        <v>70</v>
      </c>
      <c r="D493" s="12">
        <v>215</v>
      </c>
      <c r="F493" s="12" t="s">
        <v>1664</v>
      </c>
      <c r="G493" s="12" t="str">
        <f t="shared" si="9"/>
        <v>702159312387</v>
      </c>
      <c r="H493" s="12" t="s">
        <v>1665</v>
      </c>
      <c r="I493" s="12">
        <v>9312387</v>
      </c>
      <c r="J493" s="12" t="s">
        <v>1666</v>
      </c>
      <c r="K493" s="12" t="s">
        <v>44</v>
      </c>
      <c r="L493" s="12">
        <v>3005005067</v>
      </c>
      <c r="M493" s="12" t="s">
        <v>1667</v>
      </c>
      <c r="N493" s="12" t="s">
        <v>432</v>
      </c>
      <c r="O493" s="12" t="s">
        <v>432</v>
      </c>
      <c r="P493" s="88" t="s">
        <v>261</v>
      </c>
      <c r="Q493" s="13">
        <v>44693</v>
      </c>
      <c r="R493" s="16">
        <v>0.77</v>
      </c>
      <c r="S493" s="13" t="s">
        <v>49</v>
      </c>
      <c r="U493" s="12" t="s">
        <v>50</v>
      </c>
      <c r="AU493" s="12" t="s">
        <v>164</v>
      </c>
    </row>
    <row r="494" spans="1:47" s="12" customFormat="1" ht="14.4" hidden="1" x14ac:dyDescent="0.3">
      <c r="A494" s="12" t="s">
        <v>505</v>
      </c>
      <c r="B494" s="12" t="s">
        <v>1102</v>
      </c>
      <c r="C494" s="12">
        <v>70</v>
      </c>
      <c r="D494" s="12">
        <v>215</v>
      </c>
      <c r="F494" s="12" t="s">
        <v>1668</v>
      </c>
      <c r="G494" s="12" t="str">
        <f t="shared" si="9"/>
        <v>702153836663</v>
      </c>
      <c r="H494" s="12" t="s">
        <v>1669</v>
      </c>
      <c r="I494" s="12">
        <v>3836663</v>
      </c>
      <c r="J494" s="12" t="s">
        <v>1670</v>
      </c>
      <c r="K494" s="12" t="s">
        <v>44</v>
      </c>
      <c r="L494" s="12">
        <v>3002244085</v>
      </c>
      <c r="M494" s="12" t="s">
        <v>45</v>
      </c>
      <c r="N494" s="12" t="s">
        <v>432</v>
      </c>
      <c r="O494" s="12" t="s">
        <v>432</v>
      </c>
      <c r="P494" s="88" t="s">
        <v>261</v>
      </c>
      <c r="Q494" s="12" t="s">
        <v>378</v>
      </c>
      <c r="R494" s="16">
        <v>0.85</v>
      </c>
      <c r="S494" s="13" t="s">
        <v>49</v>
      </c>
      <c r="T494" s="12" t="s">
        <v>1139</v>
      </c>
      <c r="U494" s="12" t="s">
        <v>60</v>
      </c>
      <c r="V494" s="13"/>
      <c r="W494" s="16"/>
      <c r="X494" s="13"/>
      <c r="AU494" s="12" t="s">
        <v>53</v>
      </c>
    </row>
    <row r="495" spans="1:47" s="12" customFormat="1" ht="14.4" hidden="1" x14ac:dyDescent="0.3">
      <c r="A495" s="12" t="s">
        <v>505</v>
      </c>
      <c r="B495" s="12" t="s">
        <v>1102</v>
      </c>
      <c r="C495" s="12">
        <v>70</v>
      </c>
      <c r="D495" s="12">
        <v>215</v>
      </c>
      <c r="F495" s="12" t="s">
        <v>1671</v>
      </c>
      <c r="G495" s="12" t="str">
        <f t="shared" si="9"/>
        <v>702151103119523</v>
      </c>
      <c r="H495" s="12" t="s">
        <v>1672</v>
      </c>
      <c r="I495" s="12">
        <v>1103119523</v>
      </c>
      <c r="J495" s="12" t="s">
        <v>1673</v>
      </c>
      <c r="K495" s="12" t="s">
        <v>44</v>
      </c>
      <c r="L495" s="12">
        <v>3135412737</v>
      </c>
      <c r="M495" s="94" t="s">
        <v>1674</v>
      </c>
      <c r="N495" s="12" t="s">
        <v>432</v>
      </c>
      <c r="O495" s="12" t="s">
        <v>432</v>
      </c>
      <c r="P495" s="88" t="s">
        <v>261</v>
      </c>
      <c r="Q495" s="96" t="s">
        <v>1675</v>
      </c>
      <c r="R495" s="98">
        <v>0.91</v>
      </c>
      <c r="S495" s="96" t="s">
        <v>319</v>
      </c>
      <c r="T495" s="12" t="s">
        <v>1125</v>
      </c>
      <c r="U495" s="12" t="s">
        <v>50</v>
      </c>
      <c r="V495" s="13">
        <v>44570</v>
      </c>
      <c r="W495" s="16">
        <v>0.96499999999999997</v>
      </c>
      <c r="X495" s="13" t="s">
        <v>210</v>
      </c>
      <c r="Z495" s="12" t="s">
        <v>50</v>
      </c>
      <c r="AA495" s="12" t="s">
        <v>52</v>
      </c>
      <c r="AB495" s="12" t="s">
        <v>52</v>
      </c>
      <c r="AC495" s="13">
        <v>44662</v>
      </c>
      <c r="AD495" s="16">
        <v>0.85</v>
      </c>
      <c r="AE495" s="13" t="s">
        <v>49</v>
      </c>
      <c r="AF495" s="12" t="s">
        <v>50</v>
      </c>
      <c r="AG495" s="12" t="s">
        <v>52</v>
      </c>
      <c r="AH495" s="12" t="s">
        <v>52</v>
      </c>
      <c r="AU495" s="12" t="s">
        <v>53</v>
      </c>
    </row>
    <row r="496" spans="1:47" s="12" customFormat="1" ht="14.4" hidden="1" x14ac:dyDescent="0.3">
      <c r="A496" s="12" t="s">
        <v>505</v>
      </c>
      <c r="B496" s="12" t="s">
        <v>1102</v>
      </c>
      <c r="C496" s="12">
        <v>70</v>
      </c>
      <c r="D496" s="12">
        <v>215</v>
      </c>
      <c r="F496" s="12" t="s">
        <v>1676</v>
      </c>
      <c r="G496" s="12" t="str">
        <f t="shared" si="9"/>
        <v>702159305935</v>
      </c>
      <c r="H496" s="12" t="s">
        <v>1677</v>
      </c>
      <c r="I496" s="12">
        <v>9305935</v>
      </c>
      <c r="J496" s="12" t="s">
        <v>1678</v>
      </c>
      <c r="K496" s="12" t="s">
        <v>44</v>
      </c>
      <c r="L496" s="12" t="s">
        <v>45</v>
      </c>
      <c r="M496" s="12" t="s">
        <v>45</v>
      </c>
      <c r="N496" s="12" t="s">
        <v>432</v>
      </c>
      <c r="O496" s="12" t="s">
        <v>432</v>
      </c>
      <c r="P496" s="88" t="s">
        <v>261</v>
      </c>
      <c r="Q496" s="13" t="s">
        <v>600</v>
      </c>
      <c r="R496" s="16">
        <v>0.72499999999999998</v>
      </c>
      <c r="S496" s="13" t="s">
        <v>49</v>
      </c>
      <c r="U496" s="12" t="s">
        <v>50</v>
      </c>
      <c r="V496" s="13">
        <v>44776</v>
      </c>
      <c r="W496" s="16">
        <v>0.87</v>
      </c>
      <c r="X496" s="13" t="s">
        <v>49</v>
      </c>
      <c r="Z496" s="12" t="s">
        <v>50</v>
      </c>
      <c r="AU496" s="12" t="s">
        <v>164</v>
      </c>
    </row>
    <row r="497" spans="1:47" s="12" customFormat="1" ht="14.4" hidden="1" x14ac:dyDescent="0.3">
      <c r="A497" s="12" t="s">
        <v>505</v>
      </c>
      <c r="B497" s="12" t="s">
        <v>1102</v>
      </c>
      <c r="C497" s="12">
        <v>70</v>
      </c>
      <c r="D497" s="12">
        <v>215</v>
      </c>
      <c r="F497" s="12" t="s">
        <v>1679</v>
      </c>
      <c r="G497" s="12" t="str">
        <f t="shared" si="9"/>
        <v>702151103121396-5</v>
      </c>
      <c r="H497" s="12" t="s">
        <v>1680</v>
      </c>
      <c r="I497" s="12" t="s">
        <v>1681</v>
      </c>
      <c r="J497" s="12" t="s">
        <v>1682</v>
      </c>
      <c r="K497" s="12" t="s">
        <v>44</v>
      </c>
      <c r="L497" s="12" t="s">
        <v>45</v>
      </c>
      <c r="M497" s="12" t="s">
        <v>45</v>
      </c>
      <c r="N497" s="12" t="s">
        <v>432</v>
      </c>
      <c r="O497" s="12" t="s">
        <v>432</v>
      </c>
      <c r="P497" s="88" t="s">
        <v>261</v>
      </c>
      <c r="Q497" s="13">
        <v>44779</v>
      </c>
      <c r="R497" s="16">
        <v>0.8</v>
      </c>
      <c r="S497" s="13" t="s">
        <v>49</v>
      </c>
      <c r="U497" s="12" t="s">
        <v>50</v>
      </c>
      <c r="AU497" s="12" t="s">
        <v>164</v>
      </c>
    </row>
    <row r="498" spans="1:47" s="12" customFormat="1" ht="14.4" hidden="1" x14ac:dyDescent="0.3">
      <c r="A498" s="12" t="s">
        <v>505</v>
      </c>
      <c r="B498" s="12" t="s">
        <v>1102</v>
      </c>
      <c r="C498" s="12">
        <v>70</v>
      </c>
      <c r="D498" s="12">
        <v>215</v>
      </c>
      <c r="F498" s="12" t="s">
        <v>1683</v>
      </c>
      <c r="G498" s="12" t="str">
        <f t="shared" si="9"/>
        <v>7021592559981</v>
      </c>
      <c r="H498" s="12" t="s">
        <v>1684</v>
      </c>
      <c r="I498" s="12">
        <v>92559981</v>
      </c>
      <c r="J498" s="12" t="s">
        <v>1685</v>
      </c>
      <c r="K498" s="12" t="s">
        <v>44</v>
      </c>
      <c r="L498" s="12" t="s">
        <v>45</v>
      </c>
      <c r="M498" s="12" t="s">
        <v>45</v>
      </c>
      <c r="N498" s="12" t="s">
        <v>432</v>
      </c>
      <c r="O498" s="12" t="s">
        <v>432</v>
      </c>
      <c r="P498" s="88" t="s">
        <v>261</v>
      </c>
      <c r="AU498" s="12" t="s">
        <v>164</v>
      </c>
    </row>
    <row r="499" spans="1:47" s="12" customFormat="1" ht="14.4" hidden="1" x14ac:dyDescent="0.3">
      <c r="A499" s="12" t="s">
        <v>505</v>
      </c>
      <c r="B499" s="12" t="s">
        <v>1102</v>
      </c>
      <c r="C499" s="12">
        <v>70</v>
      </c>
      <c r="D499" s="12">
        <v>215</v>
      </c>
      <c r="E499" s="307" t="s">
        <v>8918</v>
      </c>
      <c r="F499" s="275" t="s">
        <v>8916</v>
      </c>
      <c r="G499" s="12" t="str">
        <f t="shared" si="9"/>
        <v>7021559004918890</v>
      </c>
      <c r="H499" s="274" t="s">
        <v>8917</v>
      </c>
      <c r="I499" s="12">
        <v>59004918890</v>
      </c>
      <c r="J499" s="274" t="s">
        <v>8919</v>
      </c>
      <c r="K499" s="12" t="s">
        <v>44</v>
      </c>
      <c r="L499" s="12">
        <v>3108040920</v>
      </c>
      <c r="M499" s="99" t="s">
        <v>1686</v>
      </c>
      <c r="N499" s="12" t="s">
        <v>46</v>
      </c>
      <c r="O499" s="12" t="s">
        <v>1687</v>
      </c>
      <c r="P499" s="88" t="s">
        <v>48</v>
      </c>
      <c r="Q499" s="13">
        <v>46149</v>
      </c>
      <c r="R499" s="12">
        <v>97</v>
      </c>
      <c r="S499" s="12" t="s">
        <v>210</v>
      </c>
      <c r="T499" s="12" t="s">
        <v>1125</v>
      </c>
      <c r="U499" s="12" t="s">
        <v>60</v>
      </c>
      <c r="V499" s="12" t="s">
        <v>1688</v>
      </c>
      <c r="W499" s="18">
        <v>0.94499999999999995</v>
      </c>
      <c r="X499" s="12" t="s">
        <v>210</v>
      </c>
      <c r="Y499" s="12" t="s">
        <v>1125</v>
      </c>
      <c r="Z499" s="12" t="s">
        <v>60</v>
      </c>
      <c r="AA499" s="12" t="s">
        <v>52</v>
      </c>
      <c r="AB499" s="12" t="s">
        <v>52</v>
      </c>
      <c r="AC499" s="12" t="s">
        <v>1689</v>
      </c>
      <c r="AD499" s="16">
        <v>0.97</v>
      </c>
      <c r="AE499" s="12" t="s">
        <v>210</v>
      </c>
      <c r="AF499" s="12" t="s">
        <v>60</v>
      </c>
      <c r="AU499" s="12" t="s">
        <v>53</v>
      </c>
    </row>
    <row r="500" spans="1:47" s="12" customFormat="1" ht="14.4" hidden="1" x14ac:dyDescent="0.3">
      <c r="A500" s="12" t="s">
        <v>505</v>
      </c>
      <c r="B500" s="12" t="s">
        <v>1102</v>
      </c>
      <c r="C500" s="12">
        <v>70</v>
      </c>
      <c r="D500" s="12">
        <v>215</v>
      </c>
      <c r="F500" s="12" t="s">
        <v>1690</v>
      </c>
      <c r="G500" s="12" t="str">
        <f t="shared" si="9"/>
        <v xml:space="preserve">70215NO REGISTRA </v>
      </c>
      <c r="H500" s="12" t="s">
        <v>1691</v>
      </c>
      <c r="I500" s="12" t="s">
        <v>193</v>
      </c>
      <c r="J500" s="12" t="s">
        <v>1692</v>
      </c>
      <c r="K500" s="12" t="s">
        <v>44</v>
      </c>
      <c r="L500" s="12">
        <v>3004372858</v>
      </c>
      <c r="M500" s="12" t="s">
        <v>45</v>
      </c>
      <c r="N500" s="12" t="s">
        <v>432</v>
      </c>
      <c r="O500" s="12" t="s">
        <v>432</v>
      </c>
      <c r="P500" s="88" t="s">
        <v>261</v>
      </c>
      <c r="AU500" s="12" t="s">
        <v>164</v>
      </c>
    </row>
    <row r="501" spans="1:47" s="12" customFormat="1" ht="14.4" hidden="1" x14ac:dyDescent="0.3">
      <c r="A501" s="12" t="s">
        <v>505</v>
      </c>
      <c r="B501" s="12" t="s">
        <v>1102</v>
      </c>
      <c r="C501" s="12">
        <v>70</v>
      </c>
      <c r="D501" s="12">
        <v>215</v>
      </c>
      <c r="F501" s="12" t="s">
        <v>1693</v>
      </c>
      <c r="G501" s="12" t="str">
        <f t="shared" si="9"/>
        <v>7021592558598</v>
      </c>
      <c r="H501" s="96" t="s">
        <v>1694</v>
      </c>
      <c r="I501" s="96">
        <v>92558598</v>
      </c>
      <c r="J501" s="96" t="s">
        <v>1695</v>
      </c>
      <c r="K501" s="12" t="s">
        <v>44</v>
      </c>
      <c r="L501" s="96">
        <v>3225873673</v>
      </c>
      <c r="M501" s="100" t="s">
        <v>1696</v>
      </c>
      <c r="N501" s="12" t="s">
        <v>432</v>
      </c>
      <c r="O501" s="12" t="s">
        <v>432</v>
      </c>
      <c r="P501" s="180" t="s">
        <v>261</v>
      </c>
      <c r="Q501" s="96" t="s">
        <v>1697</v>
      </c>
      <c r="R501" s="96" t="s">
        <v>1698</v>
      </c>
      <c r="S501" s="96" t="s">
        <v>49</v>
      </c>
      <c r="T501" s="12" t="s">
        <v>1699</v>
      </c>
      <c r="U501" s="12" t="s">
        <v>50</v>
      </c>
      <c r="AU501" s="12" t="s">
        <v>53</v>
      </c>
    </row>
    <row r="502" spans="1:47" s="12" customFormat="1" ht="14.4" hidden="1" x14ac:dyDescent="0.3">
      <c r="A502" s="12" t="s">
        <v>505</v>
      </c>
      <c r="B502" s="12" t="s">
        <v>1102</v>
      </c>
      <c r="C502" s="12">
        <v>70</v>
      </c>
      <c r="D502" s="12">
        <v>215</v>
      </c>
      <c r="F502" s="12" t="s">
        <v>1700</v>
      </c>
      <c r="G502" s="12" t="str">
        <f t="shared" si="9"/>
        <v>70215901457279</v>
      </c>
      <c r="H502" s="12" t="s">
        <v>1701</v>
      </c>
      <c r="I502" s="12">
        <v>901457279</v>
      </c>
      <c r="J502" s="12" t="s">
        <v>1702</v>
      </c>
      <c r="K502" s="12" t="s">
        <v>44</v>
      </c>
      <c r="L502" s="12" t="s">
        <v>45</v>
      </c>
      <c r="M502" s="12" t="s">
        <v>45</v>
      </c>
      <c r="N502" s="12" t="s">
        <v>432</v>
      </c>
      <c r="O502" s="12" t="s">
        <v>432</v>
      </c>
      <c r="P502" s="88" t="s">
        <v>261</v>
      </c>
      <c r="AU502" s="12" t="s">
        <v>164</v>
      </c>
    </row>
    <row r="503" spans="1:47" s="12" customFormat="1" ht="14.4" hidden="1" x14ac:dyDescent="0.3">
      <c r="A503" s="12" t="s">
        <v>505</v>
      </c>
      <c r="B503" s="12" t="s">
        <v>1102</v>
      </c>
      <c r="C503" s="12">
        <v>70</v>
      </c>
      <c r="D503" s="12">
        <v>215</v>
      </c>
      <c r="F503" s="12" t="s">
        <v>1703</v>
      </c>
      <c r="G503" s="12" t="str">
        <f t="shared" si="9"/>
        <v>702151103119523-8</v>
      </c>
      <c r="H503" s="12" t="s">
        <v>1704</v>
      </c>
      <c r="I503" s="12" t="s">
        <v>1705</v>
      </c>
      <c r="J503" s="12" t="s">
        <v>1706</v>
      </c>
      <c r="K503" s="12" t="s">
        <v>44</v>
      </c>
      <c r="L503" s="12">
        <v>3135412737</v>
      </c>
      <c r="M503" s="12" t="s">
        <v>45</v>
      </c>
      <c r="N503" s="12" t="s">
        <v>432</v>
      </c>
      <c r="O503" s="12" t="s">
        <v>432</v>
      </c>
      <c r="P503" s="88" t="s">
        <v>261</v>
      </c>
      <c r="AU503" s="12" t="s">
        <v>164</v>
      </c>
    </row>
    <row r="504" spans="1:47" s="12" customFormat="1" ht="14.4" hidden="1" x14ac:dyDescent="0.3">
      <c r="A504" s="12" t="s">
        <v>505</v>
      </c>
      <c r="B504" s="12" t="s">
        <v>1102</v>
      </c>
      <c r="C504" s="12">
        <v>70</v>
      </c>
      <c r="D504" s="12">
        <v>215</v>
      </c>
      <c r="F504" s="12" t="s">
        <v>1707</v>
      </c>
      <c r="G504" s="12" t="str">
        <f t="shared" si="9"/>
        <v>702151103115566</v>
      </c>
      <c r="H504" s="12" t="s">
        <v>1708</v>
      </c>
      <c r="I504" s="12">
        <v>1103115566</v>
      </c>
      <c r="J504" s="12" t="s">
        <v>1709</v>
      </c>
      <c r="K504" s="12" t="s">
        <v>44</v>
      </c>
      <c r="L504" s="12">
        <v>3016785939</v>
      </c>
      <c r="M504" s="12" t="s">
        <v>45</v>
      </c>
      <c r="N504" s="12" t="s">
        <v>432</v>
      </c>
      <c r="O504" s="12" t="s">
        <v>432</v>
      </c>
      <c r="P504" s="88" t="s">
        <v>261</v>
      </c>
      <c r="Q504" s="12" t="s">
        <v>1597</v>
      </c>
      <c r="R504" s="16">
        <v>0.87</v>
      </c>
      <c r="S504" s="12" t="s">
        <v>49</v>
      </c>
      <c r="T504" s="12" t="s">
        <v>1125</v>
      </c>
      <c r="U504" s="12" t="s">
        <v>60</v>
      </c>
      <c r="AU504" s="12" t="s">
        <v>53</v>
      </c>
    </row>
    <row r="505" spans="1:47" s="12" customFormat="1" ht="14.4" hidden="1" x14ac:dyDescent="0.3">
      <c r="A505" s="12" t="s">
        <v>505</v>
      </c>
      <c r="B505" s="12" t="s">
        <v>1102</v>
      </c>
      <c r="C505" s="12">
        <v>70</v>
      </c>
      <c r="D505" s="12">
        <v>215</v>
      </c>
      <c r="F505" s="12" t="s">
        <v>1710</v>
      </c>
      <c r="G505" s="12" t="str">
        <f t="shared" si="9"/>
        <v>7021592550983</v>
      </c>
      <c r="H505" s="12" t="s">
        <v>1711</v>
      </c>
      <c r="I505" s="12">
        <v>92550983</v>
      </c>
      <c r="J505" s="12" t="s">
        <v>1712</v>
      </c>
      <c r="K505" s="12" t="s">
        <v>44</v>
      </c>
      <c r="L505" s="12">
        <v>3002085507</v>
      </c>
      <c r="M505" s="12" t="s">
        <v>1713</v>
      </c>
      <c r="N505" s="12" t="s">
        <v>432</v>
      </c>
      <c r="O505" s="12" t="s">
        <v>432</v>
      </c>
      <c r="P505" s="88" t="s">
        <v>261</v>
      </c>
      <c r="Q505" s="13">
        <v>45603</v>
      </c>
      <c r="R505" s="16">
        <v>0.92</v>
      </c>
      <c r="S505" s="12" t="s">
        <v>319</v>
      </c>
      <c r="T505" s="12" t="s">
        <v>1714</v>
      </c>
      <c r="U505" s="12" t="s">
        <v>50</v>
      </c>
      <c r="AU505" s="12" t="s">
        <v>53</v>
      </c>
    </row>
    <row r="506" spans="1:47" s="12" customFormat="1" ht="14.4" hidden="1" x14ac:dyDescent="0.3">
      <c r="A506" s="12" t="s">
        <v>505</v>
      </c>
      <c r="B506" s="12" t="s">
        <v>1102</v>
      </c>
      <c r="C506" s="12">
        <v>70</v>
      </c>
      <c r="D506" s="12">
        <v>215</v>
      </c>
      <c r="F506" s="12" t="s">
        <v>1715</v>
      </c>
      <c r="G506" s="12" t="str">
        <f t="shared" si="9"/>
        <v>7021564744900</v>
      </c>
      <c r="H506" s="96" t="s">
        <v>1716</v>
      </c>
      <c r="I506" s="96">
        <v>64744900</v>
      </c>
      <c r="J506" s="96" t="s">
        <v>1717</v>
      </c>
      <c r="K506" s="12" t="s">
        <v>44</v>
      </c>
      <c r="L506" s="96">
        <v>3245343285</v>
      </c>
      <c r="M506" s="101" t="s">
        <v>1718</v>
      </c>
      <c r="N506" s="12" t="s">
        <v>432</v>
      </c>
      <c r="O506" s="12" t="s">
        <v>432</v>
      </c>
      <c r="P506" s="180" t="s">
        <v>261</v>
      </c>
      <c r="Q506" s="96" t="s">
        <v>1719</v>
      </c>
      <c r="R506" s="98">
        <v>0.86</v>
      </c>
      <c r="S506" s="96" t="s">
        <v>49</v>
      </c>
      <c r="T506" s="12" t="s">
        <v>1125</v>
      </c>
      <c r="U506" s="12" t="s">
        <v>50</v>
      </c>
      <c r="AU506" s="12" t="s">
        <v>53</v>
      </c>
    </row>
    <row r="507" spans="1:47" s="12" customFormat="1" ht="14.4" hidden="1" x14ac:dyDescent="0.3">
      <c r="A507" s="12" t="s">
        <v>505</v>
      </c>
      <c r="B507" s="12" t="s">
        <v>1102</v>
      </c>
      <c r="C507" s="12">
        <v>70</v>
      </c>
      <c r="D507" s="12">
        <v>215</v>
      </c>
      <c r="F507" s="12" t="s">
        <v>1720</v>
      </c>
      <c r="G507" s="12" t="str">
        <f t="shared" si="9"/>
        <v>702151103094674-1</v>
      </c>
      <c r="H507" s="96" t="s">
        <v>1721</v>
      </c>
      <c r="I507" s="96" t="s">
        <v>1722</v>
      </c>
      <c r="J507" s="96" t="s">
        <v>1723</v>
      </c>
      <c r="K507" s="12" t="s">
        <v>44</v>
      </c>
      <c r="L507" s="96">
        <v>3205078341</v>
      </c>
      <c r="M507" s="100" t="s">
        <v>1724</v>
      </c>
      <c r="N507" s="12" t="s">
        <v>432</v>
      </c>
      <c r="O507" s="12" t="s">
        <v>432</v>
      </c>
      <c r="P507" s="180" t="s">
        <v>261</v>
      </c>
      <c r="Q507" s="102">
        <v>45936</v>
      </c>
      <c r="R507" s="96" t="s">
        <v>1698</v>
      </c>
      <c r="S507" s="96" t="s">
        <v>49</v>
      </c>
      <c r="U507" s="12" t="s">
        <v>50</v>
      </c>
      <c r="AU507" s="12" t="s">
        <v>53</v>
      </c>
    </row>
    <row r="508" spans="1:47" s="12" customFormat="1" ht="14.4" hidden="1" x14ac:dyDescent="0.3">
      <c r="A508" s="12" t="s">
        <v>505</v>
      </c>
      <c r="B508" s="12" t="s">
        <v>1102</v>
      </c>
      <c r="C508" s="12">
        <v>70</v>
      </c>
      <c r="D508" s="12">
        <v>215</v>
      </c>
      <c r="F508" s="12" t="s">
        <v>1725</v>
      </c>
      <c r="G508" s="12" t="str">
        <f t="shared" si="9"/>
        <v>702151143426085</v>
      </c>
      <c r="H508" s="12" t="s">
        <v>1726</v>
      </c>
      <c r="I508" s="12">
        <v>1143426085</v>
      </c>
      <c r="J508" s="12" t="s">
        <v>1727</v>
      </c>
      <c r="K508" s="12" t="s">
        <v>44</v>
      </c>
      <c r="L508" s="12">
        <v>3126331213</v>
      </c>
      <c r="M508" s="12" t="s">
        <v>45</v>
      </c>
      <c r="N508" s="12" t="s">
        <v>432</v>
      </c>
      <c r="O508" s="12" t="s">
        <v>432</v>
      </c>
      <c r="P508" s="88" t="s">
        <v>261</v>
      </c>
      <c r="AU508" s="12" t="s">
        <v>164</v>
      </c>
    </row>
    <row r="509" spans="1:47" s="12" customFormat="1" ht="14.4" hidden="1" x14ac:dyDescent="0.3">
      <c r="A509" s="12" t="s">
        <v>505</v>
      </c>
      <c r="B509" s="12" t="s">
        <v>1102</v>
      </c>
      <c r="C509" s="12">
        <v>70</v>
      </c>
      <c r="D509" s="12">
        <v>215</v>
      </c>
      <c r="F509" s="12" t="s">
        <v>1728</v>
      </c>
      <c r="G509" s="12" t="str">
        <f t="shared" si="9"/>
        <v>7021519790448</v>
      </c>
      <c r="H509" s="12" t="s">
        <v>1729</v>
      </c>
      <c r="I509" s="12">
        <v>19790448</v>
      </c>
      <c r="J509" s="12" t="s">
        <v>1730</v>
      </c>
      <c r="K509" s="12" t="s">
        <v>44</v>
      </c>
      <c r="L509" s="12">
        <v>3104693122</v>
      </c>
      <c r="M509" s="12" t="s">
        <v>1731</v>
      </c>
      <c r="N509" s="12" t="s">
        <v>432</v>
      </c>
      <c r="O509" s="12" t="s">
        <v>432</v>
      </c>
      <c r="P509" s="88" t="s">
        <v>261</v>
      </c>
      <c r="Q509" s="13" t="s">
        <v>1732</v>
      </c>
      <c r="R509" s="16">
        <v>0.85</v>
      </c>
      <c r="S509" s="13" t="s">
        <v>49</v>
      </c>
      <c r="U509" s="12" t="s">
        <v>50</v>
      </c>
      <c r="AU509" s="12" t="s">
        <v>53</v>
      </c>
    </row>
    <row r="510" spans="1:47" s="12" customFormat="1" ht="14.4" hidden="1" x14ac:dyDescent="0.3">
      <c r="A510" s="12" t="s">
        <v>505</v>
      </c>
      <c r="B510" s="12" t="s">
        <v>1102</v>
      </c>
      <c r="C510" s="12">
        <v>70</v>
      </c>
      <c r="D510" s="12">
        <v>215</v>
      </c>
      <c r="F510" s="275" t="s">
        <v>1733</v>
      </c>
      <c r="G510" s="12" t="str">
        <f t="shared" si="9"/>
        <v>7021571004471</v>
      </c>
      <c r="H510" s="12" t="s">
        <v>1643</v>
      </c>
      <c r="I510" s="12">
        <v>71004471</v>
      </c>
      <c r="J510" s="12" t="s">
        <v>8515</v>
      </c>
      <c r="K510" s="12" t="s">
        <v>44</v>
      </c>
      <c r="L510" s="12">
        <v>3016544612</v>
      </c>
      <c r="M510" s="94" t="s">
        <v>8516</v>
      </c>
      <c r="N510" s="12" t="s">
        <v>432</v>
      </c>
      <c r="O510" s="12" t="s">
        <v>432</v>
      </c>
      <c r="P510" s="88" t="s">
        <v>261</v>
      </c>
      <c r="Q510" s="13">
        <v>46094</v>
      </c>
      <c r="R510" s="12">
        <v>85</v>
      </c>
      <c r="S510" s="12" t="s">
        <v>49</v>
      </c>
      <c r="T510" s="12" t="s">
        <v>1139</v>
      </c>
      <c r="U510" s="12" t="s">
        <v>2456</v>
      </c>
      <c r="V510" s="13" t="s">
        <v>1719</v>
      </c>
      <c r="W510" s="16">
        <v>0.88</v>
      </c>
      <c r="X510" s="13" t="s">
        <v>139</v>
      </c>
      <c r="Y510" s="12" t="s">
        <v>1125</v>
      </c>
      <c r="Z510" s="12" t="s">
        <v>50</v>
      </c>
      <c r="AC510" s="13">
        <v>45629</v>
      </c>
      <c r="AD510" s="16">
        <v>0.88</v>
      </c>
      <c r="AE510" s="12" t="s">
        <v>139</v>
      </c>
      <c r="AG510" s="12" t="s">
        <v>60</v>
      </c>
      <c r="AU510" s="12" t="s">
        <v>53</v>
      </c>
    </row>
    <row r="511" spans="1:47" s="12" customFormat="1" ht="14.4" hidden="1" x14ac:dyDescent="0.3">
      <c r="A511" s="12" t="s">
        <v>505</v>
      </c>
      <c r="B511" s="12" t="s">
        <v>1102</v>
      </c>
      <c r="C511" s="12">
        <v>70</v>
      </c>
      <c r="D511" s="12">
        <v>215</v>
      </c>
      <c r="F511" s="12" t="s">
        <v>1734</v>
      </c>
      <c r="G511" s="12" t="str">
        <f t="shared" si="9"/>
        <v>702151051823654</v>
      </c>
      <c r="H511" s="12" t="s">
        <v>1735</v>
      </c>
      <c r="I511" s="12">
        <v>1051823654</v>
      </c>
      <c r="J511" s="12" t="s">
        <v>1736</v>
      </c>
      <c r="K511" s="12" t="s">
        <v>44</v>
      </c>
      <c r="L511" s="12">
        <v>3205441540</v>
      </c>
      <c r="M511" s="99" t="s">
        <v>1737</v>
      </c>
      <c r="N511" s="12" t="s">
        <v>432</v>
      </c>
      <c r="O511" s="12" t="s">
        <v>432</v>
      </c>
      <c r="P511" s="88" t="s">
        <v>261</v>
      </c>
      <c r="Q511" s="13" t="s">
        <v>1607</v>
      </c>
      <c r="R511" s="16">
        <v>0.89</v>
      </c>
      <c r="S511" s="12" t="s">
        <v>49</v>
      </c>
      <c r="T511" s="12" t="s">
        <v>1125</v>
      </c>
      <c r="V511" s="13"/>
      <c r="W511" s="16"/>
      <c r="AU511" s="12" t="s">
        <v>53</v>
      </c>
    </row>
    <row r="512" spans="1:47" s="12" customFormat="1" ht="14.4" hidden="1" x14ac:dyDescent="0.3">
      <c r="A512" s="12" t="s">
        <v>505</v>
      </c>
      <c r="B512" s="12" t="s">
        <v>1102</v>
      </c>
      <c r="C512" s="12">
        <v>70</v>
      </c>
      <c r="D512" s="12">
        <v>215</v>
      </c>
      <c r="F512" s="12" t="s">
        <v>1738</v>
      </c>
      <c r="G512" s="12" t="str">
        <f t="shared" si="9"/>
        <v>702151103107060</v>
      </c>
      <c r="H512" s="12" t="s">
        <v>1739</v>
      </c>
      <c r="I512" s="12">
        <v>1103107060</v>
      </c>
      <c r="J512" s="12" t="s">
        <v>1740</v>
      </c>
      <c r="K512" s="12" t="s">
        <v>44</v>
      </c>
      <c r="M512" s="93" t="s">
        <v>1741</v>
      </c>
      <c r="N512" s="12" t="s">
        <v>432</v>
      </c>
      <c r="O512" s="12" t="s">
        <v>432</v>
      </c>
      <c r="P512" s="88" t="s">
        <v>261</v>
      </c>
      <c r="Q512" s="13" t="s">
        <v>1742</v>
      </c>
      <c r="R512" s="16">
        <v>0.92</v>
      </c>
      <c r="S512" s="13" t="s">
        <v>210</v>
      </c>
      <c r="T512" s="12" t="s">
        <v>1125</v>
      </c>
      <c r="U512" s="12" t="s">
        <v>50</v>
      </c>
      <c r="V512" s="13"/>
      <c r="W512" s="16"/>
      <c r="AU512" s="12" t="s">
        <v>53</v>
      </c>
    </row>
    <row r="513" spans="1:47" s="12" customFormat="1" ht="14.4" hidden="1" x14ac:dyDescent="0.3">
      <c r="A513" s="12" t="s">
        <v>505</v>
      </c>
      <c r="B513" s="12" t="s">
        <v>1102</v>
      </c>
      <c r="C513" s="12">
        <v>70</v>
      </c>
      <c r="D513" s="12">
        <v>215</v>
      </c>
      <c r="F513" s="12" t="s">
        <v>1743</v>
      </c>
      <c r="G513" s="12" t="str">
        <f t="shared" si="9"/>
        <v>702151103098076</v>
      </c>
      <c r="H513" s="12" t="s">
        <v>1744</v>
      </c>
      <c r="I513" s="12">
        <v>1103098076</v>
      </c>
      <c r="J513" s="12" t="s">
        <v>1745</v>
      </c>
      <c r="K513" s="12" t="s">
        <v>44</v>
      </c>
      <c r="L513" s="12">
        <v>3209424114</v>
      </c>
      <c r="M513" s="99" t="s">
        <v>1746</v>
      </c>
      <c r="N513" s="12" t="s">
        <v>432</v>
      </c>
      <c r="O513" s="12" t="s">
        <v>432</v>
      </c>
      <c r="P513" s="88" t="s">
        <v>261</v>
      </c>
      <c r="Q513" s="13">
        <v>45757</v>
      </c>
      <c r="R513" s="16">
        <v>0.91</v>
      </c>
      <c r="S513" s="13" t="s">
        <v>319</v>
      </c>
      <c r="T513" s="12" t="s">
        <v>1120</v>
      </c>
      <c r="U513" s="12" t="s">
        <v>50</v>
      </c>
      <c r="V513" s="13"/>
      <c r="W513" s="16"/>
      <c r="AU513" s="12" t="s">
        <v>53</v>
      </c>
    </row>
    <row r="514" spans="1:47" s="12" customFormat="1" ht="14.4" hidden="1" x14ac:dyDescent="0.3">
      <c r="A514" s="12" t="s">
        <v>505</v>
      </c>
      <c r="B514" s="12" t="s">
        <v>1102</v>
      </c>
      <c r="C514" s="12">
        <v>70</v>
      </c>
      <c r="D514" s="12">
        <v>215</v>
      </c>
      <c r="F514" s="12" t="s">
        <v>1747</v>
      </c>
      <c r="G514" s="12" t="str">
        <f t="shared" si="9"/>
        <v>70215901838694-7</v>
      </c>
      <c r="H514" s="12" t="s">
        <v>1748</v>
      </c>
      <c r="I514" s="12" t="s">
        <v>1749</v>
      </c>
      <c r="J514" s="12" t="s">
        <v>1750</v>
      </c>
      <c r="K514" s="12" t="s">
        <v>44</v>
      </c>
      <c r="L514" s="12">
        <v>3145614448</v>
      </c>
      <c r="M514" s="99" t="s">
        <v>1751</v>
      </c>
      <c r="N514" s="12" t="s">
        <v>432</v>
      </c>
      <c r="O514" s="12" t="s">
        <v>432</v>
      </c>
      <c r="P514" s="88" t="s">
        <v>261</v>
      </c>
      <c r="Q514" s="13">
        <v>45669</v>
      </c>
      <c r="R514" s="18">
        <v>0.745</v>
      </c>
      <c r="S514" s="13" t="s">
        <v>49</v>
      </c>
      <c r="T514" s="12" t="s">
        <v>1111</v>
      </c>
      <c r="U514" s="12" t="s">
        <v>60</v>
      </c>
      <c r="V514" s="13"/>
      <c r="W514" s="16"/>
    </row>
    <row r="515" spans="1:47" s="12" customFormat="1" ht="14.4" hidden="1" x14ac:dyDescent="0.3">
      <c r="A515" s="12" t="s">
        <v>505</v>
      </c>
      <c r="B515" s="12" t="s">
        <v>1102</v>
      </c>
      <c r="C515" s="12">
        <v>70</v>
      </c>
      <c r="D515" s="12">
        <v>215</v>
      </c>
      <c r="E515" s="12" t="s">
        <v>1752</v>
      </c>
      <c r="F515" s="12" t="s">
        <v>1753</v>
      </c>
      <c r="G515" s="12" t="str">
        <f t="shared" si="9"/>
        <v>70215900480569-1</v>
      </c>
      <c r="H515" s="12" t="s">
        <v>1754</v>
      </c>
      <c r="I515" s="12" t="s">
        <v>1430</v>
      </c>
      <c r="J515" s="12" t="s">
        <v>1755</v>
      </c>
      <c r="K515" s="12" t="s">
        <v>44</v>
      </c>
      <c r="L515" s="12">
        <v>3222486496</v>
      </c>
      <c r="M515" s="99" t="s">
        <v>1756</v>
      </c>
      <c r="N515" s="12" t="s">
        <v>1757</v>
      </c>
      <c r="O515" s="12" t="s">
        <v>1758</v>
      </c>
      <c r="P515" s="88" t="s">
        <v>48</v>
      </c>
      <c r="Q515" s="13">
        <v>45967</v>
      </c>
      <c r="R515" s="59">
        <v>0.95499999999999996</v>
      </c>
      <c r="S515" s="13" t="s">
        <v>319</v>
      </c>
      <c r="T515" s="12" t="s">
        <v>1198</v>
      </c>
      <c r="U515" s="12" t="s">
        <v>50</v>
      </c>
      <c r="V515" s="13" t="s">
        <v>1759</v>
      </c>
      <c r="W515" s="18">
        <v>0.92500000000000004</v>
      </c>
      <c r="X515" s="13" t="s">
        <v>319</v>
      </c>
      <c r="Z515" s="12" t="s">
        <v>50</v>
      </c>
      <c r="AA515" s="12" t="s">
        <v>52</v>
      </c>
      <c r="AB515" s="12" t="s">
        <v>52</v>
      </c>
      <c r="AC515" s="13">
        <v>44704</v>
      </c>
      <c r="AD515" s="16">
        <v>0.83</v>
      </c>
      <c r="AE515" s="13" t="s">
        <v>49</v>
      </c>
      <c r="AF515" s="12" t="s">
        <v>50</v>
      </c>
      <c r="AG515" s="12" t="s">
        <v>52</v>
      </c>
      <c r="AH515" s="12" t="s">
        <v>52</v>
      </c>
      <c r="AU515" s="12" t="s">
        <v>53</v>
      </c>
    </row>
    <row r="516" spans="1:47" s="12" customFormat="1" ht="14.4" hidden="1" x14ac:dyDescent="0.3">
      <c r="A516" s="12" t="s">
        <v>505</v>
      </c>
      <c r="B516" s="12" t="s">
        <v>1102</v>
      </c>
      <c r="C516" s="12">
        <v>70</v>
      </c>
      <c r="D516" s="12">
        <v>215</v>
      </c>
      <c r="E516" s="12" t="s">
        <v>1752</v>
      </c>
      <c r="F516" s="12" t="s">
        <v>1760</v>
      </c>
      <c r="G516" s="12" t="str">
        <f t="shared" si="9"/>
        <v>70215900480569-1</v>
      </c>
      <c r="H516" s="12" t="s">
        <v>1754</v>
      </c>
      <c r="I516" s="12" t="s">
        <v>1430</v>
      </c>
      <c r="J516" s="12" t="s">
        <v>1761</v>
      </c>
      <c r="K516" s="12" t="s">
        <v>44</v>
      </c>
      <c r="L516" s="12">
        <v>3222486496</v>
      </c>
      <c r="M516" s="99" t="s">
        <v>1756</v>
      </c>
      <c r="N516" s="12" t="s">
        <v>1757</v>
      </c>
      <c r="O516" s="12" t="s">
        <v>1758</v>
      </c>
      <c r="P516" s="88" t="s">
        <v>48</v>
      </c>
      <c r="Q516" s="13">
        <v>45967</v>
      </c>
      <c r="R516" s="59">
        <v>0.95499999999999996</v>
      </c>
      <c r="S516" s="13" t="s">
        <v>210</v>
      </c>
      <c r="T516" s="12" t="s">
        <v>1198</v>
      </c>
      <c r="U516" s="12" t="s">
        <v>50</v>
      </c>
      <c r="V516" s="13">
        <v>45512</v>
      </c>
      <c r="W516" s="16">
        <v>0.9</v>
      </c>
      <c r="X516" s="12" t="s">
        <v>319</v>
      </c>
      <c r="Z516" s="12" t="s">
        <v>50</v>
      </c>
      <c r="AU516" s="12" t="s">
        <v>53</v>
      </c>
    </row>
    <row r="517" spans="1:47" s="12" customFormat="1" ht="14.4" hidden="1" x14ac:dyDescent="0.3">
      <c r="A517" s="12" t="s">
        <v>505</v>
      </c>
      <c r="B517" s="12" t="s">
        <v>1102</v>
      </c>
      <c r="C517" s="12">
        <v>70</v>
      </c>
      <c r="D517" s="12">
        <v>215</v>
      </c>
      <c r="E517" s="12" t="s">
        <v>7669</v>
      </c>
      <c r="F517" s="12" t="s">
        <v>7673</v>
      </c>
      <c r="G517" s="12" t="str">
        <f t="shared" si="9"/>
        <v>70215890107487</v>
      </c>
      <c r="H517" s="12" t="s">
        <v>1762</v>
      </c>
      <c r="I517" s="12">
        <v>890107487</v>
      </c>
      <c r="J517" s="12" t="s">
        <v>1763</v>
      </c>
      <c r="K517" s="12" t="s">
        <v>44</v>
      </c>
      <c r="L517" s="12">
        <v>3187119919</v>
      </c>
      <c r="M517" s="17" t="s">
        <v>7671</v>
      </c>
      <c r="N517" s="12" t="s">
        <v>1757</v>
      </c>
      <c r="O517" s="12" t="s">
        <v>1758</v>
      </c>
      <c r="P517" s="88" t="s">
        <v>48</v>
      </c>
      <c r="Q517" s="13">
        <v>45996</v>
      </c>
      <c r="R517" s="16">
        <v>0.97</v>
      </c>
      <c r="S517" s="13" t="s">
        <v>210</v>
      </c>
      <c r="T517" s="12" t="s">
        <v>1198</v>
      </c>
      <c r="U517" s="12" t="s">
        <v>50</v>
      </c>
      <c r="V517" s="13">
        <v>45602</v>
      </c>
      <c r="W517" s="16">
        <v>0.85</v>
      </c>
      <c r="X517" s="13" t="s">
        <v>49</v>
      </c>
      <c r="AU517" s="12" t="s">
        <v>53</v>
      </c>
    </row>
    <row r="518" spans="1:47" s="12" customFormat="1" ht="14.4" hidden="1" x14ac:dyDescent="0.3">
      <c r="A518" s="12" t="s">
        <v>505</v>
      </c>
      <c r="B518" s="12" t="s">
        <v>1102</v>
      </c>
      <c r="C518" s="12">
        <v>70</v>
      </c>
      <c r="D518" s="12">
        <v>215</v>
      </c>
      <c r="F518" s="12" t="s">
        <v>1764</v>
      </c>
      <c r="G518" s="12" t="str">
        <f t="shared" si="9"/>
        <v>70215892280032</v>
      </c>
      <c r="H518" s="12" t="s">
        <v>1765</v>
      </c>
      <c r="I518" s="12">
        <v>892280032</v>
      </c>
      <c r="J518" s="12" t="s">
        <v>1766</v>
      </c>
      <c r="K518" s="12" t="s">
        <v>44</v>
      </c>
      <c r="L518" s="12" t="s">
        <v>45</v>
      </c>
      <c r="M518" s="12" t="s">
        <v>45</v>
      </c>
      <c r="N518" s="12" t="s">
        <v>1400</v>
      </c>
      <c r="O518" s="12" t="s">
        <v>1326</v>
      </c>
      <c r="P518" s="88" t="s">
        <v>48</v>
      </c>
      <c r="Q518" s="13">
        <v>45632</v>
      </c>
      <c r="R518" s="16">
        <v>0.81</v>
      </c>
      <c r="S518" s="13" t="s">
        <v>49</v>
      </c>
      <c r="U518" s="12" t="s">
        <v>50</v>
      </c>
      <c r="V518" s="13">
        <v>45228</v>
      </c>
      <c r="W518" s="13">
        <v>0.84499999999999997</v>
      </c>
      <c r="X518" s="13" t="s">
        <v>49</v>
      </c>
      <c r="Z518" s="12" t="s">
        <v>50</v>
      </c>
      <c r="AA518" s="12" t="s">
        <v>52</v>
      </c>
      <c r="AB518" s="12" t="s">
        <v>52</v>
      </c>
      <c r="AU518" s="12" t="s">
        <v>53</v>
      </c>
    </row>
    <row r="519" spans="1:47" s="12" customFormat="1" ht="14.4" hidden="1" x14ac:dyDescent="0.3">
      <c r="A519" s="12" t="s">
        <v>505</v>
      </c>
      <c r="B519" s="12" t="s">
        <v>1102</v>
      </c>
      <c r="C519" s="12">
        <v>70</v>
      </c>
      <c r="D519" s="12">
        <v>215</v>
      </c>
      <c r="F519" s="12" t="s">
        <v>1767</v>
      </c>
      <c r="G519" s="12" t="str">
        <f t="shared" si="9"/>
        <v>70215</v>
      </c>
      <c r="H519" s="12" t="s">
        <v>1768</v>
      </c>
      <c r="J519" s="12" t="s">
        <v>1769</v>
      </c>
      <c r="K519" s="12" t="s">
        <v>44</v>
      </c>
      <c r="L519" s="12">
        <v>3012260952</v>
      </c>
      <c r="M519" s="12" t="s">
        <v>45</v>
      </c>
      <c r="N519" s="12" t="s">
        <v>46</v>
      </c>
      <c r="O519" s="12" t="s">
        <v>521</v>
      </c>
      <c r="P519" s="88" t="s">
        <v>48</v>
      </c>
      <c r="Q519" s="13">
        <v>45601</v>
      </c>
      <c r="R519" s="16">
        <v>0.72</v>
      </c>
      <c r="S519" s="13" t="s">
        <v>49</v>
      </c>
      <c r="U519" s="12" t="s">
        <v>50</v>
      </c>
      <c r="AU519" s="12" t="s">
        <v>53</v>
      </c>
    </row>
    <row r="520" spans="1:47" s="12" customFormat="1" ht="14.4" hidden="1" x14ac:dyDescent="0.3">
      <c r="A520" s="12" t="s">
        <v>505</v>
      </c>
      <c r="B520" s="12" t="s">
        <v>1102</v>
      </c>
      <c r="C520" s="12">
        <v>70</v>
      </c>
      <c r="D520" s="12">
        <v>215</v>
      </c>
      <c r="F520" s="12" t="s">
        <v>1770</v>
      </c>
      <c r="G520" s="12" t="str">
        <f t="shared" si="9"/>
        <v>7021573229182</v>
      </c>
      <c r="H520" s="12" t="s">
        <v>1771</v>
      </c>
      <c r="I520" s="15">
        <v>73229182</v>
      </c>
      <c r="J520" s="15" t="s">
        <v>1772</v>
      </c>
      <c r="K520" s="12" t="s">
        <v>44</v>
      </c>
      <c r="L520" s="15" t="s">
        <v>45</v>
      </c>
      <c r="M520" s="15" t="s">
        <v>45</v>
      </c>
      <c r="N520" s="12" t="s">
        <v>46</v>
      </c>
      <c r="O520" s="15" t="s">
        <v>1773</v>
      </c>
      <c r="P520" s="181" t="s">
        <v>48</v>
      </c>
      <c r="Q520" s="13">
        <v>45590</v>
      </c>
      <c r="R520" s="16">
        <v>0.86499999999999999</v>
      </c>
      <c r="S520" s="13" t="s">
        <v>49</v>
      </c>
      <c r="U520" s="12" t="s">
        <v>50</v>
      </c>
      <c r="AU520" s="12" t="s">
        <v>53</v>
      </c>
    </row>
    <row r="521" spans="1:47" s="12" customFormat="1" ht="14.4" x14ac:dyDescent="0.3">
      <c r="A521" s="12" t="s">
        <v>505</v>
      </c>
      <c r="B521" s="12" t="s">
        <v>1102</v>
      </c>
      <c r="C521" s="12">
        <v>70</v>
      </c>
      <c r="D521" s="12">
        <v>215</v>
      </c>
      <c r="F521" s="275" t="s">
        <v>7709</v>
      </c>
      <c r="G521" s="12" t="str">
        <f t="shared" si="9"/>
        <v>7021592556123</v>
      </c>
      <c r="H521" s="12" t="s">
        <v>7710</v>
      </c>
      <c r="I521" s="12">
        <v>92556123</v>
      </c>
      <c r="J521" s="15" t="s">
        <v>7711</v>
      </c>
      <c r="K521" s="12" t="s">
        <v>44</v>
      </c>
      <c r="L521" s="12">
        <v>3215296234</v>
      </c>
      <c r="M521" s="12" t="s">
        <v>7752</v>
      </c>
      <c r="N521" s="12" t="s">
        <v>46</v>
      </c>
      <c r="O521" s="15" t="s">
        <v>47</v>
      </c>
      <c r="P521" s="181" t="s">
        <v>48</v>
      </c>
      <c r="Q521" s="13">
        <v>45741</v>
      </c>
      <c r="R521" s="12">
        <v>73</v>
      </c>
      <c r="S521" s="12" t="s">
        <v>49</v>
      </c>
      <c r="AU521" s="12" t="s">
        <v>53</v>
      </c>
    </row>
    <row r="522" spans="1:47" s="12" customFormat="1" ht="14.4" x14ac:dyDescent="0.3">
      <c r="A522" s="12" t="s">
        <v>505</v>
      </c>
      <c r="B522" s="12" t="s">
        <v>1102</v>
      </c>
      <c r="C522" s="12">
        <v>70</v>
      </c>
      <c r="D522" s="12">
        <v>215</v>
      </c>
      <c r="F522" s="205" t="s">
        <v>1774</v>
      </c>
      <c r="G522" s="12" t="str">
        <f t="shared" si="9"/>
        <v>7021530188044</v>
      </c>
      <c r="H522" s="12" t="s">
        <v>1775</v>
      </c>
      <c r="I522" s="15">
        <v>30188044</v>
      </c>
      <c r="J522" s="15" t="s">
        <v>1776</v>
      </c>
      <c r="K522" s="12" t="s">
        <v>44</v>
      </c>
      <c r="L522" s="15">
        <v>3223852048</v>
      </c>
      <c r="M522" s="15" t="s">
        <v>1777</v>
      </c>
      <c r="N522" s="12" t="s">
        <v>46</v>
      </c>
      <c r="O522" s="12" t="s">
        <v>47</v>
      </c>
      <c r="P522" s="181" t="s">
        <v>48</v>
      </c>
      <c r="Q522" s="12" t="s">
        <v>1778</v>
      </c>
      <c r="R522" s="12">
        <v>64</v>
      </c>
      <c r="S522" s="12" t="s">
        <v>49</v>
      </c>
      <c r="T522" s="12" t="s">
        <v>1111</v>
      </c>
      <c r="U522" s="12" t="s">
        <v>50</v>
      </c>
      <c r="V522" s="13">
        <v>45569</v>
      </c>
      <c r="W522" s="16">
        <v>0.84499999999999997</v>
      </c>
      <c r="X522" s="13" t="s">
        <v>49</v>
      </c>
      <c r="Z522" s="12" t="s">
        <v>50</v>
      </c>
      <c r="AA522" s="12" t="s">
        <v>52</v>
      </c>
      <c r="AB522" s="12" t="s">
        <v>52</v>
      </c>
      <c r="AU522" s="12" t="s">
        <v>164</v>
      </c>
    </row>
    <row r="523" spans="1:47" s="12" customFormat="1" ht="14.4" x14ac:dyDescent="0.3">
      <c r="A523" s="12" t="s">
        <v>505</v>
      </c>
      <c r="B523" s="12" t="s">
        <v>1102</v>
      </c>
      <c r="C523" s="12">
        <v>70</v>
      </c>
      <c r="D523" s="12">
        <v>215</v>
      </c>
      <c r="F523" s="275" t="s">
        <v>1779</v>
      </c>
      <c r="G523" s="12" t="str">
        <f t="shared" si="9"/>
        <v>7021592552083</v>
      </c>
      <c r="H523" s="12" t="s">
        <v>1780</v>
      </c>
      <c r="I523" s="15">
        <v>92552083</v>
      </c>
      <c r="J523" s="15" t="s">
        <v>1781</v>
      </c>
      <c r="K523" s="12" t="s">
        <v>44</v>
      </c>
      <c r="L523" s="12">
        <v>3205419130</v>
      </c>
      <c r="M523" s="12" t="s">
        <v>7754</v>
      </c>
      <c r="N523" s="12" t="s">
        <v>46</v>
      </c>
      <c r="O523" s="12" t="s">
        <v>47</v>
      </c>
      <c r="P523" s="181" t="s">
        <v>48</v>
      </c>
      <c r="Q523" s="13">
        <v>46212</v>
      </c>
      <c r="R523" s="12" t="s">
        <v>8942</v>
      </c>
      <c r="S523" s="12" t="s">
        <v>49</v>
      </c>
      <c r="T523" s="12" t="s">
        <v>9054</v>
      </c>
      <c r="U523" s="12" t="s">
        <v>60</v>
      </c>
      <c r="V523" s="13">
        <v>45975</v>
      </c>
      <c r="W523" s="12">
        <v>79</v>
      </c>
      <c r="X523" s="12" t="s">
        <v>49</v>
      </c>
      <c r="Y523" s="12" t="s">
        <v>1111</v>
      </c>
      <c r="Z523" s="12" t="s">
        <v>50</v>
      </c>
      <c r="AA523" s="12" t="s">
        <v>52</v>
      </c>
      <c r="AB523" s="12" t="s">
        <v>52</v>
      </c>
      <c r="AC523" s="12" t="s">
        <v>1782</v>
      </c>
      <c r="AD523" s="18">
        <v>0.67500000000000004</v>
      </c>
      <c r="AE523" s="12" t="s">
        <v>49</v>
      </c>
      <c r="AF523" s="12" t="s">
        <v>60</v>
      </c>
      <c r="AI523" s="13" t="s">
        <v>1783</v>
      </c>
      <c r="AJ523" s="16">
        <v>0.82</v>
      </c>
      <c r="AK523" s="13" t="s">
        <v>49</v>
      </c>
      <c r="AL523" s="12" t="s">
        <v>50</v>
      </c>
      <c r="AU523" s="12" t="s">
        <v>53</v>
      </c>
    </row>
    <row r="524" spans="1:47" s="12" customFormat="1" ht="14.4" hidden="1" x14ac:dyDescent="0.3">
      <c r="A524" s="12" t="s">
        <v>505</v>
      </c>
      <c r="B524" s="12" t="s">
        <v>1102</v>
      </c>
      <c r="C524" s="12">
        <v>70</v>
      </c>
      <c r="D524" s="12">
        <v>215</v>
      </c>
      <c r="F524" s="12" t="s">
        <v>1784</v>
      </c>
      <c r="G524" s="12" t="str">
        <f t="shared" si="9"/>
        <v>70215</v>
      </c>
      <c r="H524" s="12" t="s">
        <v>1785</v>
      </c>
      <c r="I524" s="15"/>
      <c r="J524" s="15" t="s">
        <v>1786</v>
      </c>
      <c r="K524" s="12" t="s">
        <v>44</v>
      </c>
      <c r="L524" s="15">
        <v>3126148634</v>
      </c>
      <c r="M524" s="15" t="s">
        <v>45</v>
      </c>
      <c r="N524" s="12" t="s">
        <v>46</v>
      </c>
      <c r="O524" s="15" t="s">
        <v>521</v>
      </c>
      <c r="P524" s="181" t="s">
        <v>48</v>
      </c>
      <c r="Q524" s="13">
        <v>45576</v>
      </c>
      <c r="R524" s="16">
        <v>0.69499999999999995</v>
      </c>
      <c r="S524" s="13" t="s">
        <v>49</v>
      </c>
      <c r="U524" s="12" t="s">
        <v>50</v>
      </c>
      <c r="V524" s="12" t="s">
        <v>1787</v>
      </c>
      <c r="W524" s="16">
        <v>0.66</v>
      </c>
      <c r="X524" s="12" t="s">
        <v>49</v>
      </c>
      <c r="Z524" s="12" t="s">
        <v>50</v>
      </c>
      <c r="AA524" s="12" t="s">
        <v>1788</v>
      </c>
      <c r="AB524" s="12" t="s">
        <v>52</v>
      </c>
      <c r="AU524" s="12" t="s">
        <v>53</v>
      </c>
    </row>
    <row r="525" spans="1:47" s="12" customFormat="1" ht="14.4" x14ac:dyDescent="0.3">
      <c r="A525" s="12" t="s">
        <v>505</v>
      </c>
      <c r="B525" s="12" t="s">
        <v>1102</v>
      </c>
      <c r="C525" s="12">
        <v>70</v>
      </c>
      <c r="D525" s="12">
        <v>215</v>
      </c>
      <c r="F525" s="275" t="s">
        <v>9055</v>
      </c>
      <c r="G525" s="12" t="str">
        <f t="shared" si="9"/>
        <v>7021592553405</v>
      </c>
      <c r="H525" s="12" t="s">
        <v>9056</v>
      </c>
      <c r="I525" s="12">
        <v>92553405</v>
      </c>
      <c r="J525" s="12" t="s">
        <v>9057</v>
      </c>
      <c r="K525" s="12" t="s">
        <v>9058</v>
      </c>
      <c r="L525" s="12">
        <v>3004124985</v>
      </c>
      <c r="M525" s="12" t="s">
        <v>9059</v>
      </c>
      <c r="N525" s="12" t="s">
        <v>46</v>
      </c>
      <c r="O525" s="15" t="s">
        <v>47</v>
      </c>
      <c r="P525" s="181" t="s">
        <v>102</v>
      </c>
      <c r="Q525" s="13">
        <v>46209</v>
      </c>
      <c r="R525" s="12">
        <v>63</v>
      </c>
      <c r="S525" s="13" t="s">
        <v>49</v>
      </c>
      <c r="T525" s="12" t="s">
        <v>9054</v>
      </c>
      <c r="U525" s="12" t="s">
        <v>60</v>
      </c>
      <c r="W525" s="16"/>
      <c r="AU525" s="12" t="s">
        <v>53</v>
      </c>
    </row>
    <row r="526" spans="1:47" s="12" customFormat="1" ht="14.4" x14ac:dyDescent="0.3">
      <c r="A526" s="12" t="s">
        <v>505</v>
      </c>
      <c r="B526" s="12" t="s">
        <v>1102</v>
      </c>
      <c r="C526" s="12">
        <v>70</v>
      </c>
      <c r="D526" s="12">
        <v>215</v>
      </c>
      <c r="F526" s="275" t="s">
        <v>9763</v>
      </c>
      <c r="G526" s="12" t="str">
        <f t="shared" si="9"/>
        <v>7021574245440</v>
      </c>
      <c r="H526" s="12" t="s">
        <v>9764</v>
      </c>
      <c r="I526" s="12">
        <v>74245440</v>
      </c>
      <c r="J526" s="12" t="s">
        <v>9765</v>
      </c>
      <c r="K526" s="12" t="s">
        <v>44</v>
      </c>
      <c r="L526" s="12">
        <v>3218141755</v>
      </c>
      <c r="M526" s="12" t="s">
        <v>7756</v>
      </c>
      <c r="N526" s="12" t="s">
        <v>46</v>
      </c>
      <c r="O526" s="15" t="s">
        <v>47</v>
      </c>
      <c r="P526" s="181" t="s">
        <v>48</v>
      </c>
      <c r="Q526" s="13">
        <v>45853</v>
      </c>
      <c r="R526" s="12">
        <v>93</v>
      </c>
      <c r="S526" s="12" t="s">
        <v>210</v>
      </c>
      <c r="U526" s="12" t="s">
        <v>60</v>
      </c>
      <c r="W526" s="16"/>
      <c r="AU526" s="12" t="s">
        <v>53</v>
      </c>
    </row>
    <row r="527" spans="1:47" s="12" customFormat="1" ht="14.4" x14ac:dyDescent="0.3">
      <c r="A527" s="12" t="s">
        <v>505</v>
      </c>
      <c r="B527" s="12" t="s">
        <v>1102</v>
      </c>
      <c r="C527" s="12">
        <v>70</v>
      </c>
      <c r="D527" s="12">
        <v>215</v>
      </c>
      <c r="F527" s="12" t="s">
        <v>1789</v>
      </c>
      <c r="G527" s="12" t="str">
        <f t="shared" si="9"/>
        <v>70215</v>
      </c>
      <c r="H527" s="12" t="s">
        <v>1790</v>
      </c>
      <c r="I527" s="15"/>
      <c r="J527" s="15" t="s">
        <v>45</v>
      </c>
      <c r="K527" s="12" t="s">
        <v>44</v>
      </c>
      <c r="L527" s="15" t="s">
        <v>45</v>
      </c>
      <c r="M527" s="15" t="s">
        <v>45</v>
      </c>
      <c r="N527" s="12" t="s">
        <v>46</v>
      </c>
      <c r="O527" s="12" t="s">
        <v>47</v>
      </c>
      <c r="P527" s="181" t="s">
        <v>48</v>
      </c>
      <c r="Q527" s="13">
        <v>45622</v>
      </c>
      <c r="R527" s="16">
        <v>0.875</v>
      </c>
      <c r="S527" s="13" t="s">
        <v>49</v>
      </c>
      <c r="U527" s="12" t="s">
        <v>50</v>
      </c>
      <c r="AU527" s="12" t="s">
        <v>53</v>
      </c>
    </row>
    <row r="528" spans="1:47" s="12" customFormat="1" ht="14.4" x14ac:dyDescent="0.3">
      <c r="A528" s="12" t="s">
        <v>505</v>
      </c>
      <c r="B528" s="12" t="s">
        <v>1102</v>
      </c>
      <c r="C528" s="12">
        <v>70</v>
      </c>
      <c r="D528" s="12">
        <v>215</v>
      </c>
      <c r="F528" s="275" t="s">
        <v>1791</v>
      </c>
      <c r="G528" s="12" t="str">
        <f t="shared" si="9"/>
        <v>702158090280013-2</v>
      </c>
      <c r="H528" s="12" t="s">
        <v>1792</v>
      </c>
      <c r="I528" s="12" t="s">
        <v>1793</v>
      </c>
      <c r="J528" s="15" t="s">
        <v>1794</v>
      </c>
      <c r="K528" s="12" t="s">
        <v>44</v>
      </c>
      <c r="L528" s="15">
        <v>3002561133</v>
      </c>
      <c r="M528" s="15" t="s">
        <v>45</v>
      </c>
      <c r="N528" s="12" t="s">
        <v>46</v>
      </c>
      <c r="O528" s="12" t="s">
        <v>47</v>
      </c>
      <c r="P528" s="181" t="s">
        <v>48</v>
      </c>
      <c r="V528" s="13"/>
      <c r="W528" s="16"/>
      <c r="X528" s="13"/>
      <c r="AU528" s="12" t="s">
        <v>53</v>
      </c>
    </row>
    <row r="529" spans="1:52" s="12" customFormat="1" ht="14.4" hidden="1" x14ac:dyDescent="0.3">
      <c r="A529" s="12" t="s">
        <v>505</v>
      </c>
      <c r="B529" s="12" t="s">
        <v>1102</v>
      </c>
      <c r="C529" s="12">
        <v>70</v>
      </c>
      <c r="D529" s="12">
        <v>215</v>
      </c>
      <c r="F529" s="12" t="s">
        <v>1795</v>
      </c>
      <c r="G529" s="12" t="str">
        <f t="shared" si="9"/>
        <v>7021573336250</v>
      </c>
      <c r="H529" s="12" t="s">
        <v>1796</v>
      </c>
      <c r="I529" s="15">
        <v>73336250</v>
      </c>
      <c r="J529" s="12" t="s">
        <v>7775</v>
      </c>
      <c r="K529" s="12" t="s">
        <v>44</v>
      </c>
      <c r="L529" s="12">
        <v>3012865726</v>
      </c>
      <c r="M529" s="12" t="s">
        <v>7776</v>
      </c>
      <c r="N529" s="12" t="s">
        <v>46</v>
      </c>
      <c r="O529" s="12" t="s">
        <v>2797</v>
      </c>
      <c r="P529" s="181" t="s">
        <v>48</v>
      </c>
      <c r="Q529" s="12" t="s">
        <v>1797</v>
      </c>
      <c r="R529" s="16">
        <v>0.64</v>
      </c>
      <c r="S529" s="13" t="s">
        <v>49</v>
      </c>
      <c r="T529" s="12" t="s">
        <v>1120</v>
      </c>
      <c r="U529" s="12" t="s">
        <v>50</v>
      </c>
      <c r="V529" s="13">
        <v>45394</v>
      </c>
      <c r="W529" s="16">
        <v>0.88500000000000001</v>
      </c>
      <c r="X529" s="13" t="s">
        <v>49</v>
      </c>
      <c r="Z529" s="12" t="s">
        <v>50</v>
      </c>
      <c r="AA529" s="12" t="s">
        <v>52</v>
      </c>
      <c r="AB529" s="12" t="s">
        <v>52</v>
      </c>
      <c r="AU529" s="12" t="s">
        <v>53</v>
      </c>
    </row>
    <row r="530" spans="1:52" s="12" customFormat="1" ht="14.4" hidden="1" x14ac:dyDescent="0.3">
      <c r="A530" s="12" t="s">
        <v>505</v>
      </c>
      <c r="B530" s="12" t="s">
        <v>1102</v>
      </c>
      <c r="C530" s="12">
        <v>70</v>
      </c>
      <c r="D530" s="12">
        <v>215</v>
      </c>
      <c r="F530" s="12" t="s">
        <v>7771</v>
      </c>
      <c r="G530" s="12" t="str">
        <f t="shared" si="9"/>
        <v>7021533173582</v>
      </c>
      <c r="H530" s="12" t="s">
        <v>7772</v>
      </c>
      <c r="I530" s="12">
        <v>33173582</v>
      </c>
      <c r="J530" s="12" t="s">
        <v>7773</v>
      </c>
      <c r="K530" s="12" t="s">
        <v>44</v>
      </c>
      <c r="L530" s="12">
        <v>3022977336</v>
      </c>
      <c r="M530" s="12" t="s">
        <v>7774</v>
      </c>
      <c r="N530" s="12" t="s">
        <v>46</v>
      </c>
      <c r="O530" s="12" t="s">
        <v>2797</v>
      </c>
      <c r="P530" s="181" t="s">
        <v>48</v>
      </c>
      <c r="Q530" s="13">
        <v>45834</v>
      </c>
      <c r="R530" s="16">
        <v>0.99</v>
      </c>
      <c r="S530" s="12" t="s">
        <v>210</v>
      </c>
      <c r="U530" s="12" t="s">
        <v>60</v>
      </c>
      <c r="V530" s="13"/>
      <c r="W530" s="16"/>
      <c r="X530" s="13"/>
      <c r="AU530" s="12" t="s">
        <v>53</v>
      </c>
    </row>
    <row r="531" spans="1:52" s="12" customFormat="1" ht="14.4" hidden="1" x14ac:dyDescent="0.3">
      <c r="A531" s="12" t="s">
        <v>505</v>
      </c>
      <c r="B531" s="12" t="s">
        <v>1102</v>
      </c>
      <c r="C531" s="12">
        <v>70</v>
      </c>
      <c r="D531" s="12">
        <v>215</v>
      </c>
      <c r="F531" s="12" t="s">
        <v>1798</v>
      </c>
      <c r="G531" s="12" t="str">
        <f t="shared" si="9"/>
        <v>70215901613820-2</v>
      </c>
      <c r="H531" s="12" t="s">
        <v>1799</v>
      </c>
      <c r="I531" s="15" t="s">
        <v>1800</v>
      </c>
      <c r="J531" s="15" t="s">
        <v>1801</v>
      </c>
      <c r="K531" s="12" t="s">
        <v>44</v>
      </c>
      <c r="L531" s="15">
        <v>3186935789</v>
      </c>
      <c r="M531" s="15" t="s">
        <v>45</v>
      </c>
      <c r="N531" s="12" t="s">
        <v>46</v>
      </c>
      <c r="O531" s="12" t="s">
        <v>2797</v>
      </c>
      <c r="P531" s="181" t="s">
        <v>48</v>
      </c>
      <c r="Q531" s="106">
        <v>45877</v>
      </c>
      <c r="R531" s="98">
        <v>0.62</v>
      </c>
      <c r="S531" s="96" t="s">
        <v>49</v>
      </c>
      <c r="U531" s="12" t="s">
        <v>50</v>
      </c>
      <c r="V531" s="13">
        <v>45631</v>
      </c>
      <c r="W531" s="16">
        <v>0.85</v>
      </c>
      <c r="X531" s="13" t="s">
        <v>49</v>
      </c>
      <c r="Z531" s="12" t="s">
        <v>50</v>
      </c>
      <c r="AA531" s="12" t="s">
        <v>52</v>
      </c>
      <c r="AB531" s="12" t="s">
        <v>52</v>
      </c>
      <c r="AU531" s="12" t="s">
        <v>53</v>
      </c>
    </row>
    <row r="532" spans="1:52" s="12" customFormat="1" ht="14.4" hidden="1" x14ac:dyDescent="0.3">
      <c r="A532" s="12" t="s">
        <v>505</v>
      </c>
      <c r="B532" s="12" t="s">
        <v>1102</v>
      </c>
      <c r="C532" s="12">
        <v>70</v>
      </c>
      <c r="D532" s="12">
        <v>215</v>
      </c>
      <c r="F532" s="12" t="s">
        <v>1802</v>
      </c>
      <c r="G532" s="12" t="str">
        <f t="shared" si="9"/>
        <v>7021513515080</v>
      </c>
      <c r="H532" s="12" t="s">
        <v>1803</v>
      </c>
      <c r="I532" s="15">
        <v>13515080</v>
      </c>
      <c r="J532" s="15" t="s">
        <v>1804</v>
      </c>
      <c r="K532" s="12" t="s">
        <v>44</v>
      </c>
      <c r="L532" s="12">
        <v>3023885096</v>
      </c>
      <c r="M532" s="12" t="s">
        <v>7777</v>
      </c>
      <c r="N532" s="12" t="s">
        <v>46</v>
      </c>
      <c r="O532" s="12" t="s">
        <v>2797</v>
      </c>
      <c r="P532" s="181" t="s">
        <v>48</v>
      </c>
      <c r="Q532" s="12" t="s">
        <v>1805</v>
      </c>
      <c r="R532" s="18">
        <v>0.69499999999999995</v>
      </c>
      <c r="S532" s="12" t="s">
        <v>139</v>
      </c>
      <c r="T532" s="12" t="s">
        <v>1111</v>
      </c>
      <c r="U532" s="12" t="s">
        <v>60</v>
      </c>
      <c r="V532" s="13">
        <v>45358</v>
      </c>
      <c r="W532" s="16">
        <v>0.85</v>
      </c>
      <c r="X532" s="13" t="s">
        <v>49</v>
      </c>
      <c r="Z532" s="12" t="s">
        <v>50</v>
      </c>
      <c r="AA532" s="12" t="s">
        <v>52</v>
      </c>
      <c r="AB532" s="12" t="s">
        <v>52</v>
      </c>
      <c r="AC532" s="13">
        <v>45043</v>
      </c>
      <c r="AD532" s="12" t="s">
        <v>7778</v>
      </c>
      <c r="AE532" s="12" t="s">
        <v>49</v>
      </c>
      <c r="AF532" s="12" t="s">
        <v>60</v>
      </c>
      <c r="AG532" s="12" t="s">
        <v>51</v>
      </c>
      <c r="AH532" s="12" t="s">
        <v>51</v>
      </c>
      <c r="AI532" s="13">
        <v>44622</v>
      </c>
      <c r="AJ532" s="12">
        <v>100</v>
      </c>
      <c r="AK532" s="12" t="s">
        <v>210</v>
      </c>
      <c r="AL532" s="12" t="s">
        <v>60</v>
      </c>
      <c r="AU532" s="12" t="s">
        <v>53</v>
      </c>
      <c r="AX532" s="12" t="s">
        <v>1920</v>
      </c>
      <c r="AY532" s="12" t="s">
        <v>7779</v>
      </c>
      <c r="AZ532" s="12" t="s">
        <v>7634</v>
      </c>
    </row>
    <row r="533" spans="1:52" s="12" customFormat="1" ht="14.4" hidden="1" x14ac:dyDescent="0.3">
      <c r="A533" s="12" t="s">
        <v>505</v>
      </c>
      <c r="B533" s="12" t="s">
        <v>1102</v>
      </c>
      <c r="C533" s="12">
        <v>70</v>
      </c>
      <c r="D533" s="12">
        <v>215</v>
      </c>
      <c r="F533" s="12" t="s">
        <v>1806</v>
      </c>
      <c r="G533" s="12" t="str">
        <f t="shared" si="9"/>
        <v>70215901854157-0</v>
      </c>
      <c r="H533" s="12" t="s">
        <v>1807</v>
      </c>
      <c r="I533" s="15" t="s">
        <v>1808</v>
      </c>
      <c r="J533" s="15" t="s">
        <v>1809</v>
      </c>
      <c r="K533" s="12" t="s">
        <v>44</v>
      </c>
      <c r="L533" s="15">
        <v>3126703175</v>
      </c>
      <c r="M533" s="147" t="s">
        <v>1810</v>
      </c>
      <c r="N533" s="12" t="s">
        <v>46</v>
      </c>
      <c r="O533" s="12" t="s">
        <v>2797</v>
      </c>
      <c r="P533" s="181" t="s">
        <v>48</v>
      </c>
      <c r="Q533" s="12" t="s">
        <v>1811</v>
      </c>
      <c r="R533" s="18">
        <v>0.67500000000000004</v>
      </c>
      <c r="S533" s="12" t="s">
        <v>139</v>
      </c>
      <c r="T533" s="12" t="s">
        <v>1139</v>
      </c>
      <c r="U533" s="12" t="s">
        <v>50</v>
      </c>
      <c r="V533" s="13"/>
      <c r="W533" s="16"/>
      <c r="X533" s="13"/>
      <c r="AU533" s="12" t="s">
        <v>53</v>
      </c>
    </row>
    <row r="534" spans="1:52" s="12" customFormat="1" ht="14.4" hidden="1" x14ac:dyDescent="0.3">
      <c r="A534" s="12" t="s">
        <v>505</v>
      </c>
      <c r="B534" s="12" t="s">
        <v>1102</v>
      </c>
      <c r="C534" s="12">
        <v>70</v>
      </c>
      <c r="D534" s="12">
        <v>215</v>
      </c>
      <c r="F534" s="12" t="s">
        <v>1812</v>
      </c>
      <c r="G534" s="12" t="str">
        <f t="shared" si="9"/>
        <v>702151103109391</v>
      </c>
      <c r="H534" s="12" t="s">
        <v>1813</v>
      </c>
      <c r="I534" s="15">
        <v>1103109391</v>
      </c>
      <c r="J534" s="15" t="s">
        <v>1814</v>
      </c>
      <c r="K534" s="12" t="s">
        <v>44</v>
      </c>
      <c r="L534" s="15" t="s">
        <v>45</v>
      </c>
      <c r="M534" s="15" t="s">
        <v>45</v>
      </c>
      <c r="N534" s="12" t="s">
        <v>46</v>
      </c>
      <c r="O534" s="15" t="s">
        <v>521</v>
      </c>
      <c r="P534" s="181" t="s">
        <v>48</v>
      </c>
      <c r="Q534" s="13">
        <v>45631</v>
      </c>
      <c r="R534" s="16">
        <v>0.85</v>
      </c>
      <c r="S534" s="13" t="s">
        <v>49</v>
      </c>
      <c r="U534" s="12" t="s">
        <v>50</v>
      </c>
      <c r="V534" s="13">
        <v>44394</v>
      </c>
      <c r="W534" s="16">
        <v>0.76500000000000001</v>
      </c>
      <c r="X534" s="13" t="s">
        <v>49</v>
      </c>
      <c r="Z534" s="12" t="s">
        <v>60</v>
      </c>
      <c r="AA534" s="12" t="s">
        <v>52</v>
      </c>
      <c r="AB534" s="12" t="s">
        <v>52</v>
      </c>
      <c r="AU534" s="12" t="s">
        <v>53</v>
      </c>
    </row>
    <row r="535" spans="1:52" s="12" customFormat="1" ht="14.4" hidden="1" x14ac:dyDescent="0.3">
      <c r="A535" s="12" t="s">
        <v>505</v>
      </c>
      <c r="B535" s="12" t="s">
        <v>1102</v>
      </c>
      <c r="C535" s="12">
        <v>70</v>
      </c>
      <c r="D535" s="12">
        <v>215</v>
      </c>
      <c r="F535" s="12" t="s">
        <v>1815</v>
      </c>
      <c r="G535" s="12" t="str">
        <f t="shared" si="9"/>
        <v>7021510449241804</v>
      </c>
      <c r="H535" s="12" t="s">
        <v>1816</v>
      </c>
      <c r="I535" s="15">
        <v>10449241804</v>
      </c>
      <c r="J535" s="15" t="s">
        <v>1817</v>
      </c>
      <c r="K535" s="12" t="s">
        <v>44</v>
      </c>
      <c r="L535" s="15">
        <v>3014965209</v>
      </c>
      <c r="M535" s="15" t="s">
        <v>45</v>
      </c>
      <c r="N535" s="12" t="s">
        <v>46</v>
      </c>
      <c r="O535" s="15" t="s">
        <v>521</v>
      </c>
      <c r="P535" s="181" t="s">
        <v>48</v>
      </c>
      <c r="Q535" s="13">
        <v>45272</v>
      </c>
      <c r="R535" s="18">
        <v>0.76500000000000001</v>
      </c>
      <c r="S535" s="12" t="s">
        <v>135</v>
      </c>
      <c r="T535" s="12" t="s">
        <v>1291</v>
      </c>
      <c r="U535" s="12" t="s">
        <v>60</v>
      </c>
      <c r="V535" s="13"/>
      <c r="W535" s="16"/>
      <c r="X535" s="13"/>
      <c r="AC535" s="13"/>
      <c r="AD535" s="16"/>
      <c r="AE535" s="13"/>
      <c r="AU535" s="12" t="s">
        <v>53</v>
      </c>
    </row>
    <row r="536" spans="1:52" s="12" customFormat="1" ht="14.4" hidden="1" x14ac:dyDescent="0.3">
      <c r="A536" s="12" t="s">
        <v>505</v>
      </c>
      <c r="B536" s="12" t="s">
        <v>1102</v>
      </c>
      <c r="C536" s="12">
        <v>70</v>
      </c>
      <c r="D536" s="12">
        <v>215</v>
      </c>
      <c r="F536" s="12" t="s">
        <v>1818</v>
      </c>
      <c r="G536" s="12" t="str">
        <f t="shared" si="9"/>
        <v>702151103100597</v>
      </c>
      <c r="H536" s="12" t="s">
        <v>1819</v>
      </c>
      <c r="I536" s="15">
        <v>1103100597</v>
      </c>
      <c r="J536" s="15" t="s">
        <v>1820</v>
      </c>
      <c r="K536" s="12" t="s">
        <v>44</v>
      </c>
      <c r="L536" s="15" t="s">
        <v>45</v>
      </c>
      <c r="M536" s="15" t="s">
        <v>45</v>
      </c>
      <c r="N536" s="12" t="s">
        <v>46</v>
      </c>
      <c r="O536" s="15" t="s">
        <v>521</v>
      </c>
      <c r="P536" s="181" t="s">
        <v>48</v>
      </c>
      <c r="Q536" s="13">
        <v>44396</v>
      </c>
      <c r="R536" s="16">
        <v>0.73499999999999999</v>
      </c>
      <c r="S536" s="13" t="s">
        <v>49</v>
      </c>
      <c r="U536" s="12" t="s">
        <v>50</v>
      </c>
      <c r="AU536" s="12" t="s">
        <v>164</v>
      </c>
    </row>
    <row r="537" spans="1:52" s="12" customFormat="1" ht="14.4" hidden="1" x14ac:dyDescent="0.3">
      <c r="A537" s="12" t="s">
        <v>505</v>
      </c>
      <c r="B537" s="12" t="s">
        <v>1102</v>
      </c>
      <c r="C537" s="12">
        <v>70</v>
      </c>
      <c r="D537" s="12">
        <v>215</v>
      </c>
      <c r="F537" s="12" t="s">
        <v>1821</v>
      </c>
      <c r="G537" s="12" t="str">
        <f t="shared" ref="G537:G555" si="10">C537&amp;D537&amp;I537</f>
        <v>702151103101276</v>
      </c>
      <c r="H537" s="12" t="s">
        <v>1822</v>
      </c>
      <c r="I537" s="15">
        <v>1103101276</v>
      </c>
      <c r="J537" s="15" t="s">
        <v>1823</v>
      </c>
      <c r="K537" s="12" t="s">
        <v>44</v>
      </c>
      <c r="L537" s="15" t="s">
        <v>45</v>
      </c>
      <c r="M537" s="15" t="s">
        <v>45</v>
      </c>
      <c r="N537" s="12" t="s">
        <v>46</v>
      </c>
      <c r="O537" s="15" t="s">
        <v>1773</v>
      </c>
      <c r="P537" s="181" t="s">
        <v>48</v>
      </c>
      <c r="Q537" s="13">
        <v>44650</v>
      </c>
      <c r="R537" s="16">
        <v>0.83499999999999996</v>
      </c>
      <c r="S537" s="13" t="s">
        <v>49</v>
      </c>
      <c r="U537" s="12" t="s">
        <v>50</v>
      </c>
      <c r="V537" s="13">
        <v>44159</v>
      </c>
      <c r="W537" s="16">
        <v>0.96</v>
      </c>
      <c r="X537" s="13" t="s">
        <v>210</v>
      </c>
      <c r="AU537" s="12" t="s">
        <v>164</v>
      </c>
    </row>
    <row r="538" spans="1:52" s="12" customFormat="1" ht="14.4" hidden="1" x14ac:dyDescent="0.3">
      <c r="A538" s="12" t="s">
        <v>505</v>
      </c>
      <c r="B538" s="12" t="s">
        <v>1102</v>
      </c>
      <c r="C538" s="12">
        <v>70</v>
      </c>
      <c r="D538" s="12">
        <v>215</v>
      </c>
      <c r="F538" s="12" t="s">
        <v>1824</v>
      </c>
      <c r="G538" s="12" t="str">
        <f t="shared" si="10"/>
        <v xml:space="preserve">70215NO REGISTRA </v>
      </c>
      <c r="H538" s="12" t="s">
        <v>1825</v>
      </c>
      <c r="I538" s="12" t="s">
        <v>193</v>
      </c>
      <c r="J538" s="12" t="s">
        <v>1826</v>
      </c>
      <c r="K538" s="12" t="s">
        <v>44</v>
      </c>
      <c r="L538" s="12">
        <v>3103776460</v>
      </c>
      <c r="M538" s="12" t="s">
        <v>45</v>
      </c>
      <c r="N538" s="12" t="s">
        <v>46</v>
      </c>
      <c r="O538" s="12" t="s">
        <v>521</v>
      </c>
      <c r="P538" s="88" t="s">
        <v>48</v>
      </c>
      <c r="Q538" s="13">
        <v>45217</v>
      </c>
      <c r="R538" s="16">
        <v>0.86499999999999999</v>
      </c>
      <c r="S538" s="13" t="s">
        <v>49</v>
      </c>
      <c r="U538" s="12" t="s">
        <v>50</v>
      </c>
      <c r="V538" s="13">
        <v>44543</v>
      </c>
      <c r="W538" s="16">
        <v>0.87</v>
      </c>
      <c r="X538" s="13" t="s">
        <v>49</v>
      </c>
      <c r="AU538" s="12" t="s">
        <v>53</v>
      </c>
    </row>
    <row r="539" spans="1:52" s="12" customFormat="1" ht="14.4" hidden="1" x14ac:dyDescent="0.3">
      <c r="A539" s="12" t="s">
        <v>505</v>
      </c>
      <c r="B539" s="12" t="s">
        <v>1102</v>
      </c>
      <c r="C539" s="12">
        <v>70</v>
      </c>
      <c r="D539" s="12">
        <v>215</v>
      </c>
      <c r="F539" s="12" t="s">
        <v>7780</v>
      </c>
      <c r="G539" s="12" t="str">
        <f t="shared" si="10"/>
        <v>7021522521794</v>
      </c>
      <c r="H539" s="12" t="s">
        <v>7792</v>
      </c>
      <c r="I539" s="12">
        <v>22521794</v>
      </c>
      <c r="J539" s="12" t="s">
        <v>7786</v>
      </c>
      <c r="K539" s="12" t="s">
        <v>44</v>
      </c>
      <c r="L539" s="12">
        <v>3145496740</v>
      </c>
      <c r="M539" s="12" t="s">
        <v>7793</v>
      </c>
      <c r="N539" s="12" t="s">
        <v>46</v>
      </c>
      <c r="O539" s="12" t="s">
        <v>1773</v>
      </c>
      <c r="P539" s="181" t="s">
        <v>48</v>
      </c>
      <c r="Q539" s="13">
        <v>45975</v>
      </c>
      <c r="R539" s="16">
        <v>0.76</v>
      </c>
      <c r="S539" s="12" t="s">
        <v>49</v>
      </c>
      <c r="V539" s="13"/>
      <c r="W539" s="16"/>
      <c r="X539" s="13"/>
      <c r="AU539" s="12" t="s">
        <v>53</v>
      </c>
    </row>
    <row r="540" spans="1:52" s="12" customFormat="1" ht="14.4" hidden="1" x14ac:dyDescent="0.3">
      <c r="A540" s="12" t="s">
        <v>505</v>
      </c>
      <c r="B540" s="12" t="s">
        <v>1102</v>
      </c>
      <c r="C540" s="12">
        <v>70</v>
      </c>
      <c r="D540" s="12">
        <v>215</v>
      </c>
      <c r="F540" s="12" t="s">
        <v>7781</v>
      </c>
      <c r="G540" s="12" t="str">
        <f t="shared" si="10"/>
        <v>702151103116787</v>
      </c>
      <c r="H540" s="12" t="s">
        <v>7794</v>
      </c>
      <c r="I540" s="12">
        <v>1103116787</v>
      </c>
      <c r="J540" s="12" t="s">
        <v>7787</v>
      </c>
      <c r="K540" s="12" t="s">
        <v>44</v>
      </c>
      <c r="L540" s="12">
        <v>3006050019</v>
      </c>
      <c r="M540" s="12" t="s">
        <v>7795</v>
      </c>
      <c r="N540" s="12" t="s">
        <v>46</v>
      </c>
      <c r="O540" s="12" t="s">
        <v>1773</v>
      </c>
      <c r="P540" s="181" t="s">
        <v>48</v>
      </c>
      <c r="Q540" s="13">
        <v>45980</v>
      </c>
      <c r="R540" s="16">
        <v>0.7</v>
      </c>
      <c r="S540" s="12" t="s">
        <v>49</v>
      </c>
      <c r="V540" s="13"/>
      <c r="W540" s="16"/>
      <c r="X540" s="13"/>
    </row>
    <row r="541" spans="1:52" s="12" customFormat="1" ht="14.4" hidden="1" x14ac:dyDescent="0.3">
      <c r="A541" s="12" t="s">
        <v>505</v>
      </c>
      <c r="B541" s="12" t="s">
        <v>1102</v>
      </c>
      <c r="C541" s="12">
        <v>70</v>
      </c>
      <c r="D541" s="12">
        <v>215</v>
      </c>
      <c r="F541" s="12" t="s">
        <v>7782</v>
      </c>
      <c r="G541" s="12" t="str">
        <f t="shared" si="10"/>
        <v>70215</v>
      </c>
      <c r="J541" s="12" t="s">
        <v>7788</v>
      </c>
      <c r="K541" s="12" t="s">
        <v>44</v>
      </c>
      <c r="N541" s="12" t="s">
        <v>46</v>
      </c>
      <c r="O541" s="12" t="s">
        <v>1773</v>
      </c>
      <c r="P541" s="181" t="s">
        <v>48</v>
      </c>
      <c r="Q541" s="13"/>
      <c r="R541" s="16"/>
      <c r="S541" s="13"/>
      <c r="V541" s="13"/>
      <c r="W541" s="16"/>
      <c r="X541" s="13"/>
    </row>
    <row r="542" spans="1:52" s="12" customFormat="1" ht="14.4" hidden="1" x14ac:dyDescent="0.3">
      <c r="A542" s="12" t="s">
        <v>505</v>
      </c>
      <c r="B542" s="12" t="s">
        <v>1102</v>
      </c>
      <c r="C542" s="12">
        <v>70</v>
      </c>
      <c r="D542" s="12">
        <v>215</v>
      </c>
      <c r="F542" s="12" t="s">
        <v>7783</v>
      </c>
      <c r="G542" s="12" t="str">
        <f t="shared" si="10"/>
        <v>70215</v>
      </c>
      <c r="J542" s="12" t="s">
        <v>7789</v>
      </c>
      <c r="K542" s="12" t="s">
        <v>44</v>
      </c>
      <c r="N542" s="12" t="s">
        <v>46</v>
      </c>
      <c r="O542" s="12" t="s">
        <v>1773</v>
      </c>
      <c r="P542" s="181" t="s">
        <v>48</v>
      </c>
      <c r="Q542" s="13"/>
      <c r="R542" s="16"/>
      <c r="S542" s="13"/>
      <c r="V542" s="13"/>
      <c r="W542" s="16"/>
      <c r="X542" s="13"/>
    </row>
    <row r="543" spans="1:52" s="12" customFormat="1" ht="14.4" hidden="1" x14ac:dyDescent="0.3">
      <c r="A543" s="12" t="s">
        <v>505</v>
      </c>
      <c r="B543" s="12" t="s">
        <v>1102</v>
      </c>
      <c r="C543" s="12">
        <v>70</v>
      </c>
      <c r="D543" s="12">
        <v>215</v>
      </c>
      <c r="F543" s="12" t="s">
        <v>7784</v>
      </c>
      <c r="G543" s="12" t="str">
        <f t="shared" si="10"/>
        <v>70215</v>
      </c>
      <c r="J543" s="12" t="s">
        <v>7790</v>
      </c>
      <c r="K543" s="12" t="s">
        <v>44</v>
      </c>
      <c r="N543" s="12" t="s">
        <v>46</v>
      </c>
      <c r="O543" s="12" t="s">
        <v>1773</v>
      </c>
      <c r="P543" s="181" t="s">
        <v>48</v>
      </c>
      <c r="Q543" s="13"/>
      <c r="R543" s="16"/>
      <c r="S543" s="13"/>
      <c r="V543" s="13"/>
      <c r="W543" s="16"/>
      <c r="X543" s="13"/>
    </row>
    <row r="544" spans="1:52" s="12" customFormat="1" ht="14.4" hidden="1" x14ac:dyDescent="0.3">
      <c r="A544" s="12" t="s">
        <v>505</v>
      </c>
      <c r="B544" s="12" t="s">
        <v>1102</v>
      </c>
      <c r="C544" s="12">
        <v>70</v>
      </c>
      <c r="D544" s="12">
        <v>215</v>
      </c>
      <c r="F544" s="12" t="s">
        <v>7785</v>
      </c>
      <c r="G544" s="12" t="str">
        <f t="shared" si="10"/>
        <v>702151102807147</v>
      </c>
      <c r="H544" s="12" t="s">
        <v>7796</v>
      </c>
      <c r="I544" s="12">
        <v>1102807147</v>
      </c>
      <c r="J544" s="12" t="s">
        <v>7791</v>
      </c>
      <c r="K544" s="12" t="s">
        <v>44</v>
      </c>
      <c r="L544" s="12">
        <v>3001061228</v>
      </c>
      <c r="M544" s="12" t="s">
        <v>45</v>
      </c>
      <c r="N544" s="12" t="s">
        <v>46</v>
      </c>
      <c r="O544" s="12" t="s">
        <v>1773</v>
      </c>
      <c r="P544" s="181" t="s">
        <v>48</v>
      </c>
      <c r="Q544" s="13">
        <v>45982</v>
      </c>
      <c r="R544" s="12">
        <v>92.5</v>
      </c>
      <c r="S544" s="12" t="s">
        <v>210</v>
      </c>
      <c r="U544" s="12" t="s">
        <v>50</v>
      </c>
      <c r="V544" s="13"/>
      <c r="W544" s="16"/>
      <c r="X544" s="13"/>
      <c r="AU544" s="12" t="s">
        <v>53</v>
      </c>
    </row>
    <row r="545" spans="1:47" s="12" customFormat="1" ht="14.4" hidden="1" x14ac:dyDescent="0.3">
      <c r="A545" s="12" t="s">
        <v>505</v>
      </c>
      <c r="B545" s="12" t="s">
        <v>1102</v>
      </c>
      <c r="C545" s="12">
        <v>70</v>
      </c>
      <c r="D545" s="12">
        <v>215</v>
      </c>
      <c r="F545" s="12" t="s">
        <v>1827</v>
      </c>
      <c r="G545" s="12" t="str">
        <f t="shared" si="10"/>
        <v>702151103109716</v>
      </c>
      <c r="H545" s="12" t="s">
        <v>1828</v>
      </c>
      <c r="I545" s="15">
        <v>1103109716</v>
      </c>
      <c r="J545" s="15" t="s">
        <v>1829</v>
      </c>
      <c r="K545" s="12" t="s">
        <v>44</v>
      </c>
      <c r="L545" s="15" t="s">
        <v>45</v>
      </c>
      <c r="M545" s="15" t="s">
        <v>45</v>
      </c>
      <c r="N545" s="12" t="s">
        <v>46</v>
      </c>
      <c r="O545" s="15" t="s">
        <v>1773</v>
      </c>
      <c r="P545" s="181" t="s">
        <v>48</v>
      </c>
      <c r="Q545" s="13">
        <v>45204</v>
      </c>
      <c r="R545" s="16">
        <v>0.745</v>
      </c>
      <c r="S545" s="13" t="s">
        <v>49</v>
      </c>
      <c r="U545" s="12" t="s">
        <v>50</v>
      </c>
      <c r="AU545" s="12" t="s">
        <v>53</v>
      </c>
    </row>
    <row r="546" spans="1:47" s="12" customFormat="1" ht="14.4" hidden="1" x14ac:dyDescent="0.3">
      <c r="A546" s="12" t="s">
        <v>505</v>
      </c>
      <c r="B546" s="12" t="s">
        <v>1102</v>
      </c>
      <c r="C546" s="12">
        <v>70</v>
      </c>
      <c r="D546" s="12">
        <v>215</v>
      </c>
      <c r="F546" s="12" t="s">
        <v>1830</v>
      </c>
      <c r="G546" s="12" t="str">
        <f t="shared" si="10"/>
        <v>702151103116097-8</v>
      </c>
      <c r="H546" s="12" t="s">
        <v>1831</v>
      </c>
      <c r="I546" s="12" t="s">
        <v>1832</v>
      </c>
      <c r="J546" s="15" t="s">
        <v>1833</v>
      </c>
      <c r="K546" s="12" t="s">
        <v>44</v>
      </c>
      <c r="L546" s="15">
        <v>3104719767</v>
      </c>
      <c r="M546" s="15" t="s">
        <v>45</v>
      </c>
      <c r="N546" s="12" t="s">
        <v>46</v>
      </c>
      <c r="O546" s="15" t="s">
        <v>521</v>
      </c>
      <c r="P546" s="181" t="s">
        <v>48</v>
      </c>
      <c r="V546" s="13"/>
      <c r="W546" s="16"/>
      <c r="X546" s="13"/>
      <c r="AU546" s="12" t="s">
        <v>53</v>
      </c>
    </row>
    <row r="547" spans="1:47" s="12" customFormat="1" ht="14.4" hidden="1" x14ac:dyDescent="0.3">
      <c r="A547" s="12" t="s">
        <v>39</v>
      </c>
      <c r="B547" s="12" t="s">
        <v>1102</v>
      </c>
      <c r="C547" s="12">
        <v>70</v>
      </c>
      <c r="D547" s="12">
        <v>215</v>
      </c>
      <c r="F547" s="12" t="s">
        <v>1834</v>
      </c>
      <c r="G547" s="12" t="str">
        <f t="shared" si="10"/>
        <v>7021572338461</v>
      </c>
      <c r="H547" s="12" t="s">
        <v>1835</v>
      </c>
      <c r="I547" s="12">
        <v>72338461</v>
      </c>
      <c r="J547" s="15" t="s">
        <v>1836</v>
      </c>
      <c r="K547" s="12" t="s">
        <v>44</v>
      </c>
      <c r="L547" s="15">
        <v>3044076163</v>
      </c>
      <c r="M547" s="15" t="s">
        <v>45</v>
      </c>
      <c r="N547" s="12" t="s">
        <v>46</v>
      </c>
      <c r="O547" s="15" t="s">
        <v>521</v>
      </c>
      <c r="P547" s="181" t="s">
        <v>48</v>
      </c>
      <c r="V547" s="13"/>
      <c r="W547" s="16"/>
      <c r="X547" s="13"/>
      <c r="AU547" s="12" t="s">
        <v>53</v>
      </c>
    </row>
    <row r="548" spans="1:47" s="12" customFormat="1" ht="14.4" hidden="1" x14ac:dyDescent="0.3">
      <c r="A548" s="12" t="s">
        <v>505</v>
      </c>
      <c r="B548" s="12" t="s">
        <v>1102</v>
      </c>
      <c r="C548" s="12">
        <v>70</v>
      </c>
      <c r="D548" s="12">
        <v>215</v>
      </c>
      <c r="F548" s="12" t="s">
        <v>1837</v>
      </c>
      <c r="G548" s="12" t="str">
        <f t="shared" si="10"/>
        <v>702151103097012</v>
      </c>
      <c r="H548" s="12" t="s">
        <v>1838</v>
      </c>
      <c r="I548" s="15">
        <v>1103097012</v>
      </c>
      <c r="J548" s="15" t="s">
        <v>1839</v>
      </c>
      <c r="K548" s="12" t="s">
        <v>44</v>
      </c>
      <c r="L548" s="15" t="s">
        <v>45</v>
      </c>
      <c r="M548" s="15" t="s">
        <v>45</v>
      </c>
      <c r="N548" s="12" t="s">
        <v>46</v>
      </c>
      <c r="O548" s="15" t="s">
        <v>1773</v>
      </c>
      <c r="P548" s="181" t="s">
        <v>48</v>
      </c>
      <c r="Q548" s="13">
        <v>45079</v>
      </c>
      <c r="R548" s="16">
        <v>0.85499999999999998</v>
      </c>
      <c r="S548" s="13" t="s">
        <v>49</v>
      </c>
      <c r="U548" s="12" t="s">
        <v>50</v>
      </c>
      <c r="AU548" s="12" t="s">
        <v>53</v>
      </c>
    </row>
    <row r="549" spans="1:47" s="12" customFormat="1" ht="14.4" hidden="1" x14ac:dyDescent="0.3">
      <c r="A549" s="12" t="s">
        <v>39</v>
      </c>
      <c r="B549" s="12" t="s">
        <v>1102</v>
      </c>
      <c r="C549" s="12">
        <v>70</v>
      </c>
      <c r="D549" s="12">
        <v>473</v>
      </c>
      <c r="F549" s="12" t="s">
        <v>1840</v>
      </c>
      <c r="G549" s="12" t="str">
        <f t="shared" si="10"/>
        <v>7047342209488</v>
      </c>
      <c r="H549" s="12" t="s">
        <v>7797</v>
      </c>
      <c r="I549" s="12">
        <v>42209488</v>
      </c>
      <c r="J549" s="12" t="s">
        <v>7798</v>
      </c>
      <c r="K549" s="12" t="s">
        <v>44</v>
      </c>
      <c r="L549" s="12">
        <v>3005776948</v>
      </c>
      <c r="M549" s="12" t="s">
        <v>7799</v>
      </c>
      <c r="N549" s="12" t="s">
        <v>46</v>
      </c>
      <c r="O549" s="12" t="s">
        <v>521</v>
      </c>
      <c r="P549" s="88" t="s">
        <v>48</v>
      </c>
      <c r="Q549" s="13">
        <v>45758</v>
      </c>
      <c r="R549" s="16">
        <v>0.73</v>
      </c>
      <c r="S549" s="12" t="s">
        <v>69</v>
      </c>
      <c r="T549" s="12" t="s">
        <v>1120</v>
      </c>
      <c r="U549" s="12" t="s">
        <v>50</v>
      </c>
      <c r="V549" s="13">
        <v>45632</v>
      </c>
      <c r="W549" s="16">
        <v>0.76</v>
      </c>
      <c r="X549" s="12" t="s">
        <v>139</v>
      </c>
      <c r="Z549" s="12" t="s">
        <v>50</v>
      </c>
      <c r="AA549" s="12" t="s">
        <v>52</v>
      </c>
      <c r="AB549" s="12" t="s">
        <v>52</v>
      </c>
      <c r="AC549" s="13">
        <v>45078</v>
      </c>
      <c r="AD549" s="16">
        <v>0.89</v>
      </c>
      <c r="AE549" s="13" t="s">
        <v>49</v>
      </c>
      <c r="AF549" s="12" t="s">
        <v>50</v>
      </c>
      <c r="AG549" s="12" t="s">
        <v>52</v>
      </c>
      <c r="AH549" s="12" t="s">
        <v>52</v>
      </c>
      <c r="AU549" s="12" t="s">
        <v>53</v>
      </c>
    </row>
    <row r="550" spans="1:47" s="12" customFormat="1" ht="14.4" hidden="1" x14ac:dyDescent="0.3">
      <c r="A550" s="12" t="s">
        <v>505</v>
      </c>
      <c r="B550" s="12" t="s">
        <v>1102</v>
      </c>
      <c r="C550" s="12">
        <v>70</v>
      </c>
      <c r="D550" s="12">
        <v>215</v>
      </c>
      <c r="F550" s="12" t="s">
        <v>1841</v>
      </c>
      <c r="G550" s="12" t="str">
        <f t="shared" si="10"/>
        <v>70215</v>
      </c>
      <c r="H550" s="12" t="s">
        <v>1842</v>
      </c>
      <c r="J550" s="12" t="s">
        <v>1843</v>
      </c>
      <c r="K550" s="12" t="s">
        <v>44</v>
      </c>
      <c r="L550" s="12">
        <v>3006645762</v>
      </c>
      <c r="M550" s="12" t="s">
        <v>45</v>
      </c>
      <c r="N550" s="12" t="s">
        <v>46</v>
      </c>
      <c r="O550" s="12" t="s">
        <v>521</v>
      </c>
      <c r="P550" s="88" t="s">
        <v>48</v>
      </c>
      <c r="Q550" s="13">
        <v>45261</v>
      </c>
      <c r="R550" s="16">
        <v>0.84</v>
      </c>
      <c r="S550" s="13" t="s">
        <v>49</v>
      </c>
      <c r="U550" s="12" t="s">
        <v>60</v>
      </c>
      <c r="AU550" s="12" t="s">
        <v>53</v>
      </c>
    </row>
    <row r="551" spans="1:47" s="12" customFormat="1" ht="14.4" hidden="1" x14ac:dyDescent="0.3">
      <c r="A551" s="12" t="s">
        <v>505</v>
      </c>
      <c r="B551" s="12" t="s">
        <v>1102</v>
      </c>
      <c r="C551" s="12">
        <v>70</v>
      </c>
      <c r="D551" s="12">
        <v>215</v>
      </c>
      <c r="F551" s="12" t="s">
        <v>1844</v>
      </c>
      <c r="G551" s="12" t="str">
        <f t="shared" si="10"/>
        <v>702151007135843</v>
      </c>
      <c r="H551" s="12" t="s">
        <v>1845</v>
      </c>
      <c r="I551" s="12">
        <v>1007135843</v>
      </c>
      <c r="J551" s="12" t="s">
        <v>1846</v>
      </c>
      <c r="K551" s="12" t="s">
        <v>44</v>
      </c>
      <c r="L551" s="12">
        <v>3222522839</v>
      </c>
      <c r="M551" s="12" t="s">
        <v>45</v>
      </c>
      <c r="N551" s="12" t="s">
        <v>46</v>
      </c>
      <c r="O551" s="12" t="s">
        <v>521</v>
      </c>
      <c r="P551" s="88" t="s">
        <v>48</v>
      </c>
      <c r="V551" s="13"/>
      <c r="W551" s="16"/>
      <c r="X551" s="13"/>
      <c r="AU551" s="12" t="s">
        <v>53</v>
      </c>
    </row>
    <row r="552" spans="1:47" s="12" customFormat="1" ht="14.4" hidden="1" x14ac:dyDescent="0.3">
      <c r="A552" s="12" t="s">
        <v>505</v>
      </c>
      <c r="B552" s="12" t="s">
        <v>1102</v>
      </c>
      <c r="C552" s="12">
        <v>70</v>
      </c>
      <c r="D552" s="12">
        <v>215</v>
      </c>
      <c r="F552" s="12" t="s">
        <v>1847</v>
      </c>
      <c r="G552" s="12" t="str">
        <f t="shared" si="10"/>
        <v>702151103100223</v>
      </c>
      <c r="H552" s="12" t="s">
        <v>1848</v>
      </c>
      <c r="I552" s="12">
        <v>1103100223</v>
      </c>
      <c r="J552" s="12" t="s">
        <v>1849</v>
      </c>
      <c r="K552" s="12" t="s">
        <v>44</v>
      </c>
      <c r="L552" s="12" t="s">
        <v>45</v>
      </c>
      <c r="M552" s="12" t="s">
        <v>45</v>
      </c>
      <c r="N552" s="12" t="s">
        <v>46</v>
      </c>
      <c r="O552" s="12" t="s">
        <v>521</v>
      </c>
      <c r="P552" s="88" t="s">
        <v>48</v>
      </c>
      <c r="Q552" s="13">
        <v>45547</v>
      </c>
      <c r="R552" s="18">
        <v>0.745</v>
      </c>
      <c r="S552" s="12" t="s">
        <v>139</v>
      </c>
      <c r="T552" s="12" t="s">
        <v>1291</v>
      </c>
      <c r="U552" s="12" t="s">
        <v>50</v>
      </c>
      <c r="AU552" s="12" t="s">
        <v>53</v>
      </c>
    </row>
    <row r="553" spans="1:47" s="12" customFormat="1" ht="14.4" hidden="1" x14ac:dyDescent="0.3">
      <c r="A553" s="12" t="s">
        <v>505</v>
      </c>
      <c r="B553" s="12" t="s">
        <v>1102</v>
      </c>
      <c r="C553" s="12">
        <v>70</v>
      </c>
      <c r="D553" s="12">
        <v>215</v>
      </c>
      <c r="F553" s="12" t="s">
        <v>1850</v>
      </c>
      <c r="G553" s="12" t="str">
        <f t="shared" si="10"/>
        <v>702151005640347</v>
      </c>
      <c r="H553" s="12" t="s">
        <v>1851</v>
      </c>
      <c r="I553" s="12">
        <v>1005640347</v>
      </c>
      <c r="J553" s="12" t="s">
        <v>1852</v>
      </c>
      <c r="K553" s="12" t="s">
        <v>44</v>
      </c>
      <c r="L553" s="12">
        <v>3146869430</v>
      </c>
      <c r="M553" s="12" t="s">
        <v>45</v>
      </c>
      <c r="N553" s="12" t="s">
        <v>46</v>
      </c>
      <c r="O553" s="12" t="s">
        <v>521</v>
      </c>
      <c r="P553" s="88" t="s">
        <v>48</v>
      </c>
      <c r="AU553" s="12" t="s">
        <v>53</v>
      </c>
    </row>
    <row r="554" spans="1:47" s="12" customFormat="1" ht="14.4" hidden="1" x14ac:dyDescent="0.3">
      <c r="A554" s="12" t="s">
        <v>505</v>
      </c>
      <c r="B554" s="12" t="s">
        <v>1102</v>
      </c>
      <c r="C554" s="12">
        <v>70</v>
      </c>
      <c r="D554" s="12">
        <v>215</v>
      </c>
      <c r="F554" s="12" t="s">
        <v>1853</v>
      </c>
      <c r="G554" s="12" t="str">
        <f t="shared" si="10"/>
        <v>702151103117043-5</v>
      </c>
      <c r="H554" s="12" t="s">
        <v>1854</v>
      </c>
      <c r="I554" s="12" t="s">
        <v>1855</v>
      </c>
      <c r="J554" s="12" t="s">
        <v>1856</v>
      </c>
      <c r="K554" s="12" t="s">
        <v>44</v>
      </c>
      <c r="L554" s="12">
        <v>3022673744</v>
      </c>
      <c r="M554" s="12" t="s">
        <v>45</v>
      </c>
      <c r="N554" s="12" t="s">
        <v>46</v>
      </c>
      <c r="O554" s="12" t="s">
        <v>521</v>
      </c>
      <c r="P554" s="88" t="s">
        <v>48</v>
      </c>
      <c r="AU554" s="12" t="s">
        <v>53</v>
      </c>
    </row>
    <row r="555" spans="1:47" s="12" customFormat="1" ht="14.4" hidden="1" x14ac:dyDescent="0.3">
      <c r="A555" s="12" t="s">
        <v>505</v>
      </c>
      <c r="B555" s="12" t="s">
        <v>1102</v>
      </c>
      <c r="C555" s="12">
        <v>70</v>
      </c>
      <c r="D555" s="12">
        <v>215</v>
      </c>
      <c r="F555" s="12" t="s">
        <v>1857</v>
      </c>
      <c r="G555" s="12" t="str">
        <f t="shared" si="10"/>
        <v>702151103099294</v>
      </c>
      <c r="H555" s="12" t="s">
        <v>1858</v>
      </c>
      <c r="I555" s="12">
        <v>1103099294</v>
      </c>
      <c r="J555" s="12" t="s">
        <v>1859</v>
      </c>
      <c r="K555" s="12" t="s">
        <v>44</v>
      </c>
      <c r="L555" s="12">
        <v>3132841052</v>
      </c>
      <c r="M555" s="12" t="s">
        <v>45</v>
      </c>
      <c r="N555" s="12" t="s">
        <v>46</v>
      </c>
      <c r="O555" s="12" t="s">
        <v>521</v>
      </c>
      <c r="P555" s="88" t="s">
        <v>48</v>
      </c>
      <c r="AU555" s="12" t="s">
        <v>53</v>
      </c>
    </row>
    <row r="556" spans="1:47" s="12" customFormat="1" ht="14.4" hidden="1" x14ac:dyDescent="0.3">
      <c r="A556" s="12" t="s">
        <v>505</v>
      </c>
      <c r="B556" s="12" t="s">
        <v>1102</v>
      </c>
      <c r="C556" s="12">
        <v>70</v>
      </c>
      <c r="D556" s="12">
        <v>215</v>
      </c>
      <c r="F556" s="12" t="s">
        <v>7800</v>
      </c>
      <c r="H556" s="12" t="s">
        <v>7801</v>
      </c>
      <c r="J556" s="12" t="s">
        <v>7802</v>
      </c>
      <c r="K556" s="12" t="s">
        <v>44</v>
      </c>
      <c r="N556" s="12" t="s">
        <v>46</v>
      </c>
      <c r="O556" s="12" t="s">
        <v>521</v>
      </c>
      <c r="P556" s="88" t="s">
        <v>48</v>
      </c>
    </row>
    <row r="557" spans="1:47" s="12" customFormat="1" ht="14.4" hidden="1" x14ac:dyDescent="0.3">
      <c r="A557" s="12" t="s">
        <v>505</v>
      </c>
      <c r="B557" s="12" t="s">
        <v>1102</v>
      </c>
      <c r="C557" s="12">
        <v>70</v>
      </c>
      <c r="D557" s="12">
        <v>215</v>
      </c>
      <c r="F557" s="12" t="s">
        <v>7804</v>
      </c>
      <c r="H557" s="12" t="s">
        <v>7805</v>
      </c>
      <c r="J557" s="12" t="s">
        <v>7806</v>
      </c>
      <c r="K557" s="12" t="s">
        <v>44</v>
      </c>
      <c r="N557" s="12" t="s">
        <v>46</v>
      </c>
      <c r="O557" s="12" t="s">
        <v>521</v>
      </c>
      <c r="P557" s="88" t="s">
        <v>48</v>
      </c>
    </row>
    <row r="558" spans="1:47" s="12" customFormat="1" ht="14.4" hidden="1" x14ac:dyDescent="0.3">
      <c r="A558" s="12" t="s">
        <v>505</v>
      </c>
      <c r="B558" s="12" t="s">
        <v>1102</v>
      </c>
      <c r="C558" s="12">
        <v>70</v>
      </c>
      <c r="D558" s="12">
        <v>215</v>
      </c>
      <c r="F558" s="12" t="s">
        <v>7813</v>
      </c>
      <c r="H558" s="12" t="s">
        <v>7814</v>
      </c>
      <c r="J558" s="12" t="s">
        <v>7815</v>
      </c>
      <c r="K558" s="12" t="s">
        <v>44</v>
      </c>
      <c r="N558" s="12" t="s">
        <v>46</v>
      </c>
      <c r="O558" s="12" t="s">
        <v>521</v>
      </c>
      <c r="P558" s="88" t="s">
        <v>48</v>
      </c>
    </row>
    <row r="559" spans="1:47" s="12" customFormat="1" ht="14.4" hidden="1" x14ac:dyDescent="0.3">
      <c r="A559" s="12" t="s">
        <v>505</v>
      </c>
      <c r="B559" s="12" t="s">
        <v>1102</v>
      </c>
      <c r="C559" s="12">
        <v>70</v>
      </c>
      <c r="D559" s="12">
        <v>215</v>
      </c>
      <c r="F559" s="12" t="s">
        <v>7810</v>
      </c>
      <c r="H559" s="12" t="s">
        <v>7812</v>
      </c>
      <c r="J559" s="12" t="s">
        <v>7811</v>
      </c>
      <c r="K559" s="12" t="s">
        <v>44</v>
      </c>
      <c r="N559" s="12" t="s">
        <v>46</v>
      </c>
      <c r="O559" s="12" t="s">
        <v>521</v>
      </c>
      <c r="P559" s="88" t="s">
        <v>48</v>
      </c>
    </row>
    <row r="560" spans="1:47" s="12" customFormat="1" ht="14.4" hidden="1" x14ac:dyDescent="0.3">
      <c r="A560" s="12" t="s">
        <v>505</v>
      </c>
      <c r="B560" s="12" t="s">
        <v>1102</v>
      </c>
      <c r="C560" s="12">
        <v>70</v>
      </c>
      <c r="D560" s="12">
        <v>215</v>
      </c>
      <c r="F560" s="12" t="s">
        <v>7807</v>
      </c>
      <c r="H560" s="12" t="s">
        <v>7808</v>
      </c>
      <c r="J560" s="12" t="s">
        <v>7809</v>
      </c>
      <c r="K560" s="12" t="s">
        <v>44</v>
      </c>
      <c r="N560" s="12" t="s">
        <v>46</v>
      </c>
      <c r="O560" s="12" t="s">
        <v>521</v>
      </c>
      <c r="P560" s="88" t="s">
        <v>48</v>
      </c>
    </row>
    <row r="561" spans="1:47" s="12" customFormat="1" ht="14.4" hidden="1" x14ac:dyDescent="0.3">
      <c r="A561" s="12" t="s">
        <v>505</v>
      </c>
      <c r="B561" s="12" t="s">
        <v>1102</v>
      </c>
      <c r="C561" s="12">
        <v>70</v>
      </c>
      <c r="D561" s="12">
        <v>215</v>
      </c>
      <c r="F561" s="12" t="s">
        <v>7803</v>
      </c>
      <c r="G561" s="12" t="str">
        <f t="shared" ref="G561:G587" si="11">C561&amp;D561&amp;I561</f>
        <v>702151098637418-7</v>
      </c>
      <c r="H561" s="12" t="s">
        <v>1860</v>
      </c>
      <c r="I561" s="12" t="s">
        <v>1861</v>
      </c>
      <c r="J561" s="12" t="s">
        <v>1862</v>
      </c>
      <c r="K561" s="12" t="s">
        <v>44</v>
      </c>
      <c r="L561" s="12">
        <v>3023855037</v>
      </c>
      <c r="M561" s="12" t="s">
        <v>45</v>
      </c>
      <c r="N561" s="12" t="s">
        <v>46</v>
      </c>
      <c r="O561" s="12" t="s">
        <v>521</v>
      </c>
      <c r="P561" s="88" t="s">
        <v>48</v>
      </c>
      <c r="AU561" s="12" t="s">
        <v>53</v>
      </c>
    </row>
    <row r="562" spans="1:47" s="12" customFormat="1" ht="14.4" hidden="1" x14ac:dyDescent="0.3">
      <c r="A562" s="12" t="s">
        <v>505</v>
      </c>
      <c r="B562" s="12" t="s">
        <v>1102</v>
      </c>
      <c r="C562" s="12">
        <v>70</v>
      </c>
      <c r="D562" s="12">
        <v>215</v>
      </c>
      <c r="F562" s="12" t="s">
        <v>1863</v>
      </c>
      <c r="G562" s="12" t="str">
        <f t="shared" si="11"/>
        <v>7021518775010-5</v>
      </c>
      <c r="H562" s="12" t="s">
        <v>1864</v>
      </c>
      <c r="I562" s="12" t="s">
        <v>1865</v>
      </c>
      <c r="J562" s="12" t="s">
        <v>1866</v>
      </c>
      <c r="K562" s="12" t="s">
        <v>44</v>
      </c>
      <c r="L562" s="12">
        <v>3044063232</v>
      </c>
      <c r="M562" s="12" t="s">
        <v>45</v>
      </c>
      <c r="N562" s="12" t="s">
        <v>46</v>
      </c>
      <c r="O562" s="12" t="s">
        <v>521</v>
      </c>
      <c r="P562" s="88" t="s">
        <v>48</v>
      </c>
      <c r="U562" s="214"/>
      <c r="AU562" s="12" t="s">
        <v>53</v>
      </c>
    </row>
    <row r="563" spans="1:47" s="12" customFormat="1" ht="14.4" x14ac:dyDescent="0.3">
      <c r="A563" s="12" t="s">
        <v>505</v>
      </c>
      <c r="B563" s="12" t="s">
        <v>1102</v>
      </c>
      <c r="C563" s="12">
        <v>70</v>
      </c>
      <c r="D563" s="12">
        <v>215</v>
      </c>
      <c r="F563" s="275" t="s">
        <v>1867</v>
      </c>
      <c r="G563" s="12" t="str">
        <f t="shared" si="11"/>
        <v>7021532990484-4</v>
      </c>
      <c r="H563" s="12" t="s">
        <v>1868</v>
      </c>
      <c r="I563" s="12" t="s">
        <v>1869</v>
      </c>
      <c r="J563" s="12" t="s">
        <v>1870</v>
      </c>
      <c r="K563" s="12" t="s">
        <v>44</v>
      </c>
      <c r="L563" s="12">
        <v>3114331130</v>
      </c>
      <c r="M563" s="12" t="s">
        <v>193</v>
      </c>
      <c r="N563" s="12" t="s">
        <v>46</v>
      </c>
      <c r="O563" s="12" t="s">
        <v>47</v>
      </c>
      <c r="P563" s="88" t="s">
        <v>48</v>
      </c>
      <c r="Q563" s="12" t="s">
        <v>1871</v>
      </c>
      <c r="R563" s="18">
        <v>0.73499999999999999</v>
      </c>
      <c r="S563" s="12" t="s">
        <v>49</v>
      </c>
      <c r="T563" s="213" t="s">
        <v>1107</v>
      </c>
      <c r="U563" s="216" t="s">
        <v>50</v>
      </c>
      <c r="V563" s="220"/>
      <c r="AU563" s="12" t="s">
        <v>53</v>
      </c>
    </row>
    <row r="564" spans="1:47" s="12" customFormat="1" ht="14.4" x14ac:dyDescent="0.3">
      <c r="A564" s="12" t="s">
        <v>505</v>
      </c>
      <c r="B564" s="12" t="s">
        <v>1102</v>
      </c>
      <c r="C564" s="12">
        <v>70</v>
      </c>
      <c r="D564" s="12">
        <v>215</v>
      </c>
      <c r="F564" s="275" t="s">
        <v>7719</v>
      </c>
      <c r="G564" s="12" t="str">
        <f t="shared" si="11"/>
        <v>7021592530135</v>
      </c>
      <c r="H564" s="12" t="s">
        <v>1872</v>
      </c>
      <c r="I564" s="12">
        <v>92530135</v>
      </c>
      <c r="J564" s="12" t="s">
        <v>9067</v>
      </c>
      <c r="K564" s="12" t="s">
        <v>44</v>
      </c>
      <c r="L564" s="12">
        <v>3012193515</v>
      </c>
      <c r="M564" s="99" t="s">
        <v>1873</v>
      </c>
      <c r="N564" s="12" t="s">
        <v>46</v>
      </c>
      <c r="O564" s="12" t="s">
        <v>47</v>
      </c>
      <c r="P564" s="88" t="s">
        <v>48</v>
      </c>
      <c r="Q564" s="13">
        <v>46209</v>
      </c>
      <c r="R564" s="12" t="s">
        <v>8683</v>
      </c>
      <c r="S564" s="12" t="s">
        <v>49</v>
      </c>
      <c r="T564" s="213" t="s">
        <v>1107</v>
      </c>
      <c r="U564" s="216" t="s">
        <v>50</v>
      </c>
      <c r="V564" s="361">
        <v>45940</v>
      </c>
      <c r="W564" s="16">
        <v>0.77</v>
      </c>
      <c r="X564" s="12" t="s">
        <v>49</v>
      </c>
      <c r="Y564" s="12" t="s">
        <v>1107</v>
      </c>
      <c r="Z564" s="145" t="s">
        <v>60</v>
      </c>
      <c r="AU564" s="12" t="s">
        <v>53</v>
      </c>
    </row>
    <row r="565" spans="1:47" s="12" customFormat="1" ht="14.4" x14ac:dyDescent="0.3">
      <c r="A565" s="12" t="s">
        <v>505</v>
      </c>
      <c r="B565" s="12" t="s">
        <v>1102</v>
      </c>
      <c r="C565" s="12">
        <v>70</v>
      </c>
      <c r="D565" s="12">
        <v>215</v>
      </c>
      <c r="F565" s="12" t="s">
        <v>1874</v>
      </c>
      <c r="G565" s="12" t="str">
        <f t="shared" si="11"/>
        <v>702151103116016</v>
      </c>
      <c r="H565" s="12" t="s">
        <v>1875</v>
      </c>
      <c r="I565" s="12">
        <v>1103116016</v>
      </c>
      <c r="J565" s="12" t="s">
        <v>1876</v>
      </c>
      <c r="K565" s="12" t="s">
        <v>44</v>
      </c>
      <c r="L565" s="12">
        <v>3002781496</v>
      </c>
      <c r="M565" s="12" t="s">
        <v>45</v>
      </c>
      <c r="N565" s="12" t="s">
        <v>46</v>
      </c>
      <c r="O565" s="12" t="s">
        <v>47</v>
      </c>
      <c r="P565" s="88" t="s">
        <v>48</v>
      </c>
      <c r="Q565" s="13">
        <v>45608</v>
      </c>
      <c r="R565" s="18">
        <v>0.81499999999999995</v>
      </c>
      <c r="S565" s="12" t="s">
        <v>49</v>
      </c>
      <c r="T565" s="12" t="s">
        <v>1877</v>
      </c>
      <c r="U565" s="215" t="s">
        <v>60</v>
      </c>
      <c r="AU565" s="12" t="s">
        <v>53</v>
      </c>
    </row>
    <row r="566" spans="1:47" s="12" customFormat="1" ht="14.4" x14ac:dyDescent="0.3">
      <c r="A566" s="12" t="s">
        <v>505</v>
      </c>
      <c r="B566" s="12" t="s">
        <v>1102</v>
      </c>
      <c r="C566" s="12">
        <v>70</v>
      </c>
      <c r="D566" s="12">
        <v>215</v>
      </c>
      <c r="F566" s="275" t="s">
        <v>9068</v>
      </c>
      <c r="G566" s="12" t="str">
        <f t="shared" si="11"/>
        <v>702151007183638</v>
      </c>
      <c r="H566" s="12" t="s">
        <v>9069</v>
      </c>
      <c r="I566" s="12">
        <v>1007183638</v>
      </c>
      <c r="J566" s="12" t="s">
        <v>9070</v>
      </c>
      <c r="K566" s="12" t="s">
        <v>44</v>
      </c>
      <c r="L566" s="12">
        <v>3007977187</v>
      </c>
      <c r="M566" s="12" t="s">
        <v>9071</v>
      </c>
      <c r="N566" s="12" t="s">
        <v>46</v>
      </c>
      <c r="O566" s="12" t="s">
        <v>47</v>
      </c>
      <c r="P566" s="88" t="s">
        <v>48</v>
      </c>
      <c r="Q566" s="13">
        <v>46209</v>
      </c>
      <c r="R566" s="12">
        <v>81</v>
      </c>
      <c r="S566" s="12" t="s">
        <v>49</v>
      </c>
      <c r="U566" s="215" t="s">
        <v>60</v>
      </c>
      <c r="AU566" s="12" t="s">
        <v>53</v>
      </c>
    </row>
    <row r="567" spans="1:47" s="12" customFormat="1" ht="14.4" x14ac:dyDescent="0.3">
      <c r="A567" s="12" t="s">
        <v>505</v>
      </c>
      <c r="B567" s="12" t="s">
        <v>1102</v>
      </c>
      <c r="C567" s="12">
        <v>70</v>
      </c>
      <c r="D567" s="12">
        <v>215</v>
      </c>
      <c r="F567" s="12" t="s">
        <v>7749</v>
      </c>
      <c r="G567" s="12" t="str">
        <f t="shared" si="11"/>
        <v>70215</v>
      </c>
      <c r="H567" s="12" t="s">
        <v>7750</v>
      </c>
      <c r="J567" s="12" t="s">
        <v>7751</v>
      </c>
      <c r="K567" s="12" t="s">
        <v>44</v>
      </c>
      <c r="N567" s="12" t="s">
        <v>46</v>
      </c>
      <c r="O567" s="12" t="s">
        <v>47</v>
      </c>
      <c r="P567" s="88" t="s">
        <v>48</v>
      </c>
      <c r="Q567" s="13"/>
      <c r="R567" s="18"/>
      <c r="AU567" s="12" t="s">
        <v>53</v>
      </c>
    </row>
    <row r="568" spans="1:47" s="12" customFormat="1" ht="14.4" x14ac:dyDescent="0.3">
      <c r="A568" s="12" t="s">
        <v>505</v>
      </c>
      <c r="B568" s="12" t="s">
        <v>1102</v>
      </c>
      <c r="C568" s="12">
        <v>70</v>
      </c>
      <c r="D568" s="12">
        <v>215</v>
      </c>
      <c r="F568" s="12" t="s">
        <v>1847</v>
      </c>
      <c r="G568" s="12" t="str">
        <f t="shared" si="11"/>
        <v>70215</v>
      </c>
      <c r="H568" s="12" t="s">
        <v>7747</v>
      </c>
      <c r="J568" s="12" t="s">
        <v>7748</v>
      </c>
      <c r="K568" s="12" t="s">
        <v>44</v>
      </c>
      <c r="N568" s="12" t="s">
        <v>46</v>
      </c>
      <c r="O568" s="12" t="s">
        <v>47</v>
      </c>
      <c r="P568" s="88" t="s">
        <v>48</v>
      </c>
      <c r="Q568" s="13"/>
      <c r="R568" s="18"/>
      <c r="AU568" s="12" t="s">
        <v>53</v>
      </c>
    </row>
    <row r="569" spans="1:47" s="12" customFormat="1" ht="14.4" x14ac:dyDescent="0.3">
      <c r="A569" s="12" t="s">
        <v>505</v>
      </c>
      <c r="B569" s="12" t="s">
        <v>1102</v>
      </c>
      <c r="C569" s="12">
        <v>70</v>
      </c>
      <c r="D569" s="12">
        <v>215</v>
      </c>
      <c r="F569" s="394" t="s">
        <v>7744</v>
      </c>
      <c r="G569" s="12" t="str">
        <f t="shared" si="11"/>
        <v>70215</v>
      </c>
      <c r="H569" s="12" t="s">
        <v>7745</v>
      </c>
      <c r="J569" s="12" t="s">
        <v>7746</v>
      </c>
      <c r="K569" s="12" t="s">
        <v>44</v>
      </c>
      <c r="N569" s="12" t="s">
        <v>46</v>
      </c>
      <c r="O569" s="12" t="s">
        <v>47</v>
      </c>
      <c r="P569" s="88" t="s">
        <v>48</v>
      </c>
      <c r="Q569" s="13"/>
      <c r="R569" s="18"/>
      <c r="AU569" s="12" t="s">
        <v>164</v>
      </c>
    </row>
    <row r="570" spans="1:47" s="12" customFormat="1" ht="14.4" x14ac:dyDescent="0.3">
      <c r="A570" s="12" t="s">
        <v>505</v>
      </c>
      <c r="B570" s="12" t="s">
        <v>1102</v>
      </c>
      <c r="C570" s="12">
        <v>70</v>
      </c>
      <c r="D570" s="12">
        <v>215</v>
      </c>
      <c r="F570" s="394" t="s">
        <v>7741</v>
      </c>
      <c r="G570" s="12" t="str">
        <f t="shared" si="11"/>
        <v>70215</v>
      </c>
      <c r="H570" s="12" t="s">
        <v>7742</v>
      </c>
      <c r="J570" s="12" t="s">
        <v>7743</v>
      </c>
      <c r="K570" s="12" t="s">
        <v>44</v>
      </c>
      <c r="N570" s="12" t="s">
        <v>46</v>
      </c>
      <c r="O570" s="12" t="s">
        <v>47</v>
      </c>
      <c r="P570" s="88" t="s">
        <v>48</v>
      </c>
      <c r="Q570" s="13"/>
      <c r="R570" s="18"/>
      <c r="AU570" s="12" t="s">
        <v>164</v>
      </c>
    </row>
    <row r="571" spans="1:47" s="12" customFormat="1" ht="14.4" x14ac:dyDescent="0.3">
      <c r="A571" s="12" t="s">
        <v>505</v>
      </c>
      <c r="B571" s="12" t="s">
        <v>1102</v>
      </c>
      <c r="C571" s="12">
        <v>70</v>
      </c>
      <c r="D571" s="12">
        <v>215</v>
      </c>
      <c r="F571" s="394" t="s">
        <v>7738</v>
      </c>
      <c r="G571" s="12" t="str">
        <f t="shared" si="11"/>
        <v>70215</v>
      </c>
      <c r="H571" s="12" t="s">
        <v>7739</v>
      </c>
      <c r="J571" s="12" t="s">
        <v>7740</v>
      </c>
      <c r="K571" s="12" t="s">
        <v>44</v>
      </c>
      <c r="N571" s="12" t="s">
        <v>46</v>
      </c>
      <c r="O571" s="12" t="s">
        <v>47</v>
      </c>
      <c r="P571" s="88" t="s">
        <v>48</v>
      </c>
      <c r="Q571" s="13"/>
      <c r="R571" s="18"/>
      <c r="AU571" s="12" t="s">
        <v>164</v>
      </c>
    </row>
    <row r="572" spans="1:47" s="12" customFormat="1" ht="14.4" x14ac:dyDescent="0.3">
      <c r="A572" s="12" t="s">
        <v>505</v>
      </c>
      <c r="B572" s="12" t="s">
        <v>1102</v>
      </c>
      <c r="C572" s="12">
        <v>70</v>
      </c>
      <c r="D572" s="12">
        <v>215</v>
      </c>
      <c r="F572" s="394" t="s">
        <v>7735</v>
      </c>
      <c r="G572" s="12" t="str">
        <f t="shared" si="11"/>
        <v>70215</v>
      </c>
      <c r="H572" s="12" t="s">
        <v>7736</v>
      </c>
      <c r="J572" s="12" t="s">
        <v>7737</v>
      </c>
      <c r="K572" s="12" t="s">
        <v>44</v>
      </c>
      <c r="N572" s="12" t="s">
        <v>46</v>
      </c>
      <c r="O572" s="12" t="s">
        <v>47</v>
      </c>
      <c r="P572" s="88" t="s">
        <v>48</v>
      </c>
      <c r="Q572" s="13"/>
      <c r="R572" s="18"/>
      <c r="AU572" s="12" t="s">
        <v>164</v>
      </c>
    </row>
    <row r="573" spans="1:47" s="12" customFormat="1" ht="14.4" x14ac:dyDescent="0.3">
      <c r="A573" s="12" t="s">
        <v>505</v>
      </c>
      <c r="B573" s="12" t="s">
        <v>1102</v>
      </c>
      <c r="C573" s="12">
        <v>70</v>
      </c>
      <c r="D573" s="12">
        <v>215</v>
      </c>
      <c r="F573" s="275" t="s">
        <v>7733</v>
      </c>
      <c r="G573" s="12" t="str">
        <f t="shared" si="11"/>
        <v>70215</v>
      </c>
      <c r="H573" s="12" t="s">
        <v>7734</v>
      </c>
      <c r="J573" s="12" t="s">
        <v>7733</v>
      </c>
      <c r="K573" s="12" t="s">
        <v>44</v>
      </c>
      <c r="N573" s="12" t="s">
        <v>46</v>
      </c>
      <c r="O573" s="12" t="s">
        <v>47</v>
      </c>
      <c r="P573" s="88" t="s">
        <v>48</v>
      </c>
      <c r="Q573" s="13"/>
      <c r="R573" s="18"/>
      <c r="AU573" s="12" t="s">
        <v>53</v>
      </c>
    </row>
    <row r="574" spans="1:47" s="12" customFormat="1" ht="14.4" x14ac:dyDescent="0.3">
      <c r="A574" s="12" t="s">
        <v>505</v>
      </c>
      <c r="B574" s="12" t="s">
        <v>1102</v>
      </c>
      <c r="C574" s="12">
        <v>70</v>
      </c>
      <c r="D574" s="12">
        <v>215</v>
      </c>
      <c r="F574" s="394" t="s">
        <v>7730</v>
      </c>
      <c r="G574" s="12" t="str">
        <f t="shared" si="11"/>
        <v>70215</v>
      </c>
      <c r="H574" s="12" t="s">
        <v>7731</v>
      </c>
      <c r="J574" s="12" t="s">
        <v>7732</v>
      </c>
      <c r="K574" s="12" t="s">
        <v>44</v>
      </c>
      <c r="N574" s="12" t="s">
        <v>46</v>
      </c>
      <c r="O574" s="12" t="s">
        <v>47</v>
      </c>
      <c r="P574" s="88" t="s">
        <v>48</v>
      </c>
      <c r="Q574" s="13"/>
      <c r="R574" s="18"/>
      <c r="AU574" s="12" t="s">
        <v>9791</v>
      </c>
    </row>
    <row r="575" spans="1:47" s="12" customFormat="1" ht="14.4" x14ac:dyDescent="0.3">
      <c r="A575" s="12" t="s">
        <v>505</v>
      </c>
      <c r="B575" s="12" t="s">
        <v>1102</v>
      </c>
      <c r="C575" s="12">
        <v>70</v>
      </c>
      <c r="D575" s="12">
        <v>215</v>
      </c>
      <c r="F575" s="275" t="s">
        <v>9766</v>
      </c>
      <c r="G575" s="12" t="str">
        <f t="shared" si="11"/>
        <v>702151005581357</v>
      </c>
      <c r="H575" s="12" t="s">
        <v>9746</v>
      </c>
      <c r="I575" s="12">
        <v>1005581357</v>
      </c>
      <c r="J575" s="12" t="s">
        <v>9747</v>
      </c>
      <c r="K575" s="12" t="s">
        <v>44</v>
      </c>
      <c r="L575" s="12">
        <v>3145004722</v>
      </c>
      <c r="M575" s="17" t="s">
        <v>9748</v>
      </c>
      <c r="N575" s="12" t="s">
        <v>46</v>
      </c>
      <c r="O575" s="12" t="s">
        <v>47</v>
      </c>
      <c r="P575" s="205" t="s">
        <v>48</v>
      </c>
      <c r="Q575" s="13">
        <v>46232</v>
      </c>
      <c r="R575" s="18" t="s">
        <v>221</v>
      </c>
      <c r="S575" s="12" t="s">
        <v>49</v>
      </c>
      <c r="AU575" s="12" t="s">
        <v>53</v>
      </c>
    </row>
    <row r="576" spans="1:47" s="12" customFormat="1" ht="14.4" x14ac:dyDescent="0.3">
      <c r="A576" s="12" t="s">
        <v>505</v>
      </c>
      <c r="B576" s="12" t="s">
        <v>1102</v>
      </c>
      <c r="C576" s="12">
        <v>70</v>
      </c>
      <c r="D576" s="12">
        <v>215</v>
      </c>
      <c r="F576" s="275" t="s">
        <v>7727</v>
      </c>
      <c r="G576" s="12" t="str">
        <f t="shared" si="11"/>
        <v>70215</v>
      </c>
      <c r="H576" s="12" t="s">
        <v>7728</v>
      </c>
      <c r="J576" s="12" t="s">
        <v>7729</v>
      </c>
      <c r="K576" s="12" t="s">
        <v>44</v>
      </c>
      <c r="N576" s="12" t="s">
        <v>46</v>
      </c>
      <c r="O576" s="12" t="s">
        <v>47</v>
      </c>
      <c r="P576" s="88" t="s">
        <v>48</v>
      </c>
      <c r="Q576" s="13"/>
      <c r="R576" s="18"/>
      <c r="AU576" s="12" t="s">
        <v>53</v>
      </c>
    </row>
    <row r="577" spans="1:47" s="12" customFormat="1" ht="14.4" x14ac:dyDescent="0.3">
      <c r="A577" s="12" t="s">
        <v>505</v>
      </c>
      <c r="B577" s="12" t="s">
        <v>1102</v>
      </c>
      <c r="C577" s="12">
        <v>70</v>
      </c>
      <c r="D577" s="12">
        <v>215</v>
      </c>
      <c r="F577" s="275" t="s">
        <v>7724</v>
      </c>
      <c r="G577" s="12" t="str">
        <f t="shared" si="11"/>
        <v>70215</v>
      </c>
      <c r="H577" s="12" t="s">
        <v>7725</v>
      </c>
      <c r="J577" s="12" t="s">
        <v>7726</v>
      </c>
      <c r="K577" s="12" t="s">
        <v>44</v>
      </c>
      <c r="N577" s="12" t="s">
        <v>46</v>
      </c>
      <c r="O577" s="12" t="s">
        <v>47</v>
      </c>
      <c r="P577" s="88" t="s">
        <v>48</v>
      </c>
      <c r="Q577" s="13"/>
      <c r="R577" s="18"/>
      <c r="AU577" s="12" t="s">
        <v>53</v>
      </c>
    </row>
    <row r="578" spans="1:47" s="12" customFormat="1" ht="14.4" x14ac:dyDescent="0.3">
      <c r="A578" s="12" t="s">
        <v>505</v>
      </c>
      <c r="B578" s="12" t="s">
        <v>1102</v>
      </c>
      <c r="C578" s="12">
        <v>70</v>
      </c>
      <c r="D578" s="12">
        <v>215</v>
      </c>
      <c r="F578" s="275" t="s">
        <v>7722</v>
      </c>
      <c r="G578" s="12" t="str">
        <f t="shared" si="11"/>
        <v>702151102879465</v>
      </c>
      <c r="H578" s="12" t="s">
        <v>7757</v>
      </c>
      <c r="I578" s="12">
        <v>1102879465</v>
      </c>
      <c r="J578" s="12" t="s">
        <v>7723</v>
      </c>
      <c r="K578" s="12" t="s">
        <v>44</v>
      </c>
      <c r="L578" s="12">
        <v>3002292349</v>
      </c>
      <c r="M578" s="12" t="s">
        <v>7758</v>
      </c>
      <c r="N578" s="12" t="s">
        <v>46</v>
      </c>
      <c r="O578" s="12" t="s">
        <v>47</v>
      </c>
      <c r="P578" s="88" t="s">
        <v>48</v>
      </c>
      <c r="Q578" s="13">
        <v>46147</v>
      </c>
      <c r="R578" s="12" t="s">
        <v>8588</v>
      </c>
      <c r="S578" s="12" t="s">
        <v>49</v>
      </c>
      <c r="T578" s="12" t="s">
        <v>1120</v>
      </c>
      <c r="U578" s="12" t="s">
        <v>60</v>
      </c>
      <c r="V578" s="13">
        <v>45863</v>
      </c>
      <c r="W578" s="12">
        <v>86.5</v>
      </c>
      <c r="X578" s="12" t="s">
        <v>49</v>
      </c>
      <c r="Z578" s="12" t="s">
        <v>60</v>
      </c>
      <c r="AU578" s="12" t="s">
        <v>53</v>
      </c>
    </row>
    <row r="579" spans="1:47" s="12" customFormat="1" ht="14.4" x14ac:dyDescent="0.3">
      <c r="A579" s="12" t="s">
        <v>505</v>
      </c>
      <c r="B579" s="12" t="s">
        <v>1102</v>
      </c>
      <c r="C579" s="12">
        <v>70</v>
      </c>
      <c r="D579" s="12">
        <v>215</v>
      </c>
      <c r="E579" s="12" t="s">
        <v>8931</v>
      </c>
      <c r="F579" s="275" t="s">
        <v>7721</v>
      </c>
      <c r="G579" s="12" t="str">
        <f t="shared" si="11"/>
        <v>702151103119019</v>
      </c>
      <c r="H579" s="12" t="s">
        <v>8931</v>
      </c>
      <c r="I579" s="12">
        <v>1103119019</v>
      </c>
      <c r="J579" s="12" t="s">
        <v>8932</v>
      </c>
      <c r="K579" s="12" t="s">
        <v>44</v>
      </c>
      <c r="L579" s="12">
        <v>3242133289</v>
      </c>
      <c r="M579" s="12" t="s">
        <v>8933</v>
      </c>
      <c r="N579" s="12" t="s">
        <v>46</v>
      </c>
      <c r="O579" s="12" t="s">
        <v>47</v>
      </c>
      <c r="P579" s="88" t="s">
        <v>48</v>
      </c>
      <c r="Q579" s="13">
        <v>46254</v>
      </c>
      <c r="R579" s="16">
        <v>0.85</v>
      </c>
      <c r="S579" s="12" t="s">
        <v>49</v>
      </c>
      <c r="T579" s="12" t="s">
        <v>1111</v>
      </c>
      <c r="U579" s="12" t="s">
        <v>60</v>
      </c>
      <c r="V579" s="13">
        <v>46156</v>
      </c>
      <c r="W579" s="12" t="s">
        <v>8934</v>
      </c>
      <c r="X579" s="12" t="s">
        <v>49</v>
      </c>
      <c r="Y579" s="12" t="s">
        <v>1111</v>
      </c>
      <c r="Z579" s="12" t="s">
        <v>60</v>
      </c>
      <c r="AA579" s="12" t="s">
        <v>51</v>
      </c>
      <c r="AB579" s="12" t="s">
        <v>51</v>
      </c>
      <c r="AC579" s="13">
        <v>45758</v>
      </c>
      <c r="AD579" s="12" t="s">
        <v>7753</v>
      </c>
      <c r="AE579" s="12" t="s">
        <v>49</v>
      </c>
      <c r="AF579" s="12" t="s">
        <v>60</v>
      </c>
      <c r="AG579" s="12" t="s">
        <v>51</v>
      </c>
      <c r="AH579" s="12" t="s">
        <v>51</v>
      </c>
      <c r="AU579" s="12" t="s">
        <v>53</v>
      </c>
    </row>
    <row r="580" spans="1:47" s="12" customFormat="1" ht="14.4" x14ac:dyDescent="0.3">
      <c r="A580" s="12" t="s">
        <v>505</v>
      </c>
      <c r="B580" s="12" t="s">
        <v>1102</v>
      </c>
      <c r="C580" s="12">
        <v>70</v>
      </c>
      <c r="D580" s="12">
        <v>215</v>
      </c>
      <c r="F580" s="275" t="s">
        <v>7720</v>
      </c>
      <c r="G580" s="12" t="str">
        <f t="shared" si="11"/>
        <v>7021518777814</v>
      </c>
      <c r="H580" s="12" t="s">
        <v>9072</v>
      </c>
      <c r="I580" s="12">
        <v>18777814</v>
      </c>
      <c r="J580" s="12" t="s">
        <v>9073</v>
      </c>
      <c r="K580" s="12" t="s">
        <v>44</v>
      </c>
      <c r="L580" s="12">
        <v>3007067245</v>
      </c>
      <c r="M580" s="12" t="s">
        <v>9074</v>
      </c>
      <c r="N580" s="12" t="s">
        <v>46</v>
      </c>
      <c r="O580" s="12" t="s">
        <v>47</v>
      </c>
      <c r="P580" s="88" t="s">
        <v>48</v>
      </c>
      <c r="Q580" s="13">
        <v>46231</v>
      </c>
      <c r="R580" s="12">
        <v>76</v>
      </c>
      <c r="S580" s="12" t="s">
        <v>49</v>
      </c>
      <c r="AU580" s="12" t="s">
        <v>53</v>
      </c>
    </row>
    <row r="581" spans="1:47" s="12" customFormat="1" ht="14.4" x14ac:dyDescent="0.3">
      <c r="A581" s="12" t="s">
        <v>505</v>
      </c>
      <c r="B581" s="12" t="s">
        <v>1102</v>
      </c>
      <c r="C581" s="12">
        <v>70</v>
      </c>
      <c r="D581" s="12">
        <v>215</v>
      </c>
      <c r="E581" s="12" t="s">
        <v>8924</v>
      </c>
      <c r="F581" s="275" t="s">
        <v>8925</v>
      </c>
      <c r="G581" s="12" t="str">
        <f t="shared" si="11"/>
        <v>70215228629793</v>
      </c>
      <c r="H581" s="12" t="s">
        <v>8924</v>
      </c>
      <c r="I581" s="12">
        <v>228629793</v>
      </c>
      <c r="J581" s="12" t="s">
        <v>8926</v>
      </c>
      <c r="K581" s="12" t="s">
        <v>44</v>
      </c>
      <c r="L581" s="12">
        <v>3145245564</v>
      </c>
      <c r="M581" s="12" t="s">
        <v>8927</v>
      </c>
      <c r="N581" s="12" t="s">
        <v>46</v>
      </c>
      <c r="O581" s="12" t="s">
        <v>47</v>
      </c>
      <c r="P581" s="88" t="s">
        <v>48</v>
      </c>
      <c r="Q581" s="13">
        <v>46148</v>
      </c>
      <c r="R581" s="12" t="s">
        <v>8928</v>
      </c>
      <c r="S581" s="12" t="s">
        <v>49</v>
      </c>
      <c r="T581" s="12" t="s">
        <v>1111</v>
      </c>
      <c r="U581" s="12" t="s">
        <v>60</v>
      </c>
      <c r="V581" s="13">
        <v>45877</v>
      </c>
      <c r="W581" s="12">
        <v>74.5</v>
      </c>
      <c r="X581" s="12" t="s">
        <v>49</v>
      </c>
      <c r="Z581" s="12" t="s">
        <v>60</v>
      </c>
      <c r="AU581" s="12" t="s">
        <v>53</v>
      </c>
    </row>
    <row r="582" spans="1:47" s="12" customFormat="1" ht="14.4" x14ac:dyDescent="0.3">
      <c r="A582" s="12" t="s">
        <v>505</v>
      </c>
      <c r="B582" s="12" t="s">
        <v>1102</v>
      </c>
      <c r="C582" s="12">
        <v>70</v>
      </c>
      <c r="D582" s="12">
        <v>215</v>
      </c>
      <c r="F582" s="275" t="s">
        <v>7712</v>
      </c>
      <c r="G582" s="12" t="str">
        <f t="shared" si="11"/>
        <v>70215</v>
      </c>
      <c r="H582" s="12" t="s">
        <v>7713</v>
      </c>
      <c r="J582" s="12" t="s">
        <v>7714</v>
      </c>
      <c r="K582" s="12" t="s">
        <v>44</v>
      </c>
      <c r="L582" s="12">
        <v>3103689182</v>
      </c>
      <c r="M582" s="12" t="s">
        <v>7755</v>
      </c>
      <c r="N582" s="12" t="s">
        <v>46</v>
      </c>
      <c r="O582" s="12" t="s">
        <v>47</v>
      </c>
      <c r="P582" s="88" t="s">
        <v>48</v>
      </c>
      <c r="Q582" s="13">
        <v>45827</v>
      </c>
      <c r="R582" s="12">
        <v>64</v>
      </c>
      <c r="S582" s="12" t="s">
        <v>49</v>
      </c>
      <c r="AU582" s="12" t="s">
        <v>53</v>
      </c>
    </row>
    <row r="583" spans="1:47" s="12" customFormat="1" ht="14.4" x14ac:dyDescent="0.3">
      <c r="A583" s="12" t="s">
        <v>505</v>
      </c>
      <c r="B583" s="12" t="s">
        <v>1102</v>
      </c>
      <c r="C583" s="12">
        <v>70</v>
      </c>
      <c r="D583" s="12">
        <v>215</v>
      </c>
      <c r="F583" s="275" t="s">
        <v>7717</v>
      </c>
      <c r="G583" s="12" t="str">
        <f t="shared" si="11"/>
        <v>7021542204942</v>
      </c>
      <c r="H583" s="12" t="s">
        <v>9052</v>
      </c>
      <c r="I583" s="12">
        <v>42204942</v>
      </c>
      <c r="J583" s="12" t="s">
        <v>7718</v>
      </c>
      <c r="K583" s="12" t="s">
        <v>44</v>
      </c>
      <c r="L583" s="12">
        <v>3116597629</v>
      </c>
      <c r="M583" s="12" t="s">
        <v>9053</v>
      </c>
      <c r="N583" s="12" t="s">
        <v>46</v>
      </c>
      <c r="O583" s="12" t="s">
        <v>47</v>
      </c>
      <c r="P583" s="88" t="s">
        <v>48</v>
      </c>
      <c r="Q583" s="13">
        <v>46211</v>
      </c>
      <c r="R583" s="12">
        <v>64</v>
      </c>
      <c r="S583" s="12" t="s">
        <v>49</v>
      </c>
      <c r="AU583" s="12" t="s">
        <v>53</v>
      </c>
    </row>
    <row r="584" spans="1:47" s="12" customFormat="1" ht="14.4" x14ac:dyDescent="0.3">
      <c r="A584" s="12" t="s">
        <v>505</v>
      </c>
      <c r="B584" s="12" t="s">
        <v>1102</v>
      </c>
      <c r="C584" s="12">
        <v>70</v>
      </c>
      <c r="D584" s="12">
        <v>215</v>
      </c>
      <c r="F584" s="275" t="s">
        <v>9060</v>
      </c>
      <c r="G584" s="12" t="str">
        <f t="shared" si="11"/>
        <v>7021574245440</v>
      </c>
      <c r="H584" s="12" t="s">
        <v>1441</v>
      </c>
      <c r="I584" s="12">
        <v>74245440</v>
      </c>
      <c r="J584" s="12" t="s">
        <v>7715</v>
      </c>
      <c r="K584" s="12" t="s">
        <v>44</v>
      </c>
      <c r="L584" s="12">
        <v>3218141755</v>
      </c>
      <c r="M584" s="12" t="s">
        <v>7756</v>
      </c>
      <c r="N584" s="12" t="s">
        <v>46</v>
      </c>
      <c r="O584" s="12" t="s">
        <v>47</v>
      </c>
      <c r="P584" s="205" t="s">
        <v>7716</v>
      </c>
      <c r="Q584" s="13">
        <v>46220</v>
      </c>
      <c r="R584" s="12" t="s">
        <v>8709</v>
      </c>
      <c r="S584" s="12" t="s">
        <v>210</v>
      </c>
      <c r="T584" s="12" t="s">
        <v>9061</v>
      </c>
      <c r="V584" s="13">
        <v>45853</v>
      </c>
      <c r="W584" s="12">
        <v>93</v>
      </c>
      <c r="X584" s="12" t="s">
        <v>210</v>
      </c>
      <c r="Z584" s="12" t="s">
        <v>60</v>
      </c>
      <c r="AU584" s="12" t="s">
        <v>53</v>
      </c>
    </row>
    <row r="585" spans="1:47" s="12" customFormat="1" ht="14.4" x14ac:dyDescent="0.3">
      <c r="A585" s="12" t="s">
        <v>505</v>
      </c>
      <c r="B585" s="12" t="s">
        <v>1102</v>
      </c>
      <c r="C585" s="12">
        <v>70</v>
      </c>
      <c r="D585" s="12">
        <v>215</v>
      </c>
      <c r="F585" s="12" t="s">
        <v>7759</v>
      </c>
      <c r="G585" s="12" t="str">
        <f t="shared" si="11"/>
        <v>7021530188044</v>
      </c>
      <c r="H585" s="12" t="s">
        <v>7760</v>
      </c>
      <c r="I585" s="12">
        <v>30188044</v>
      </c>
      <c r="J585" s="12" t="s">
        <v>7761</v>
      </c>
      <c r="K585" s="12" t="s">
        <v>44</v>
      </c>
      <c r="L585" s="12">
        <v>3223852048</v>
      </c>
      <c r="M585" s="12" t="s">
        <v>7762</v>
      </c>
      <c r="N585" s="12" t="s">
        <v>46</v>
      </c>
      <c r="O585" s="12" t="s">
        <v>47</v>
      </c>
      <c r="P585" s="205" t="s">
        <v>48</v>
      </c>
      <c r="Q585" s="13">
        <v>45973</v>
      </c>
      <c r="R585" s="12">
        <v>64</v>
      </c>
      <c r="S585" s="12" t="s">
        <v>49</v>
      </c>
      <c r="U585" s="12" t="s">
        <v>60</v>
      </c>
      <c r="AU585" s="12" t="s">
        <v>53</v>
      </c>
    </row>
    <row r="586" spans="1:47" s="12" customFormat="1" ht="14.4" x14ac:dyDescent="0.3">
      <c r="A586" s="12" t="s">
        <v>505</v>
      </c>
      <c r="B586" s="12" t="s">
        <v>1102</v>
      </c>
      <c r="C586" s="12">
        <v>70</v>
      </c>
      <c r="D586" s="12">
        <v>215</v>
      </c>
      <c r="F586" s="275" t="s">
        <v>9062</v>
      </c>
      <c r="G586" s="12" t="str">
        <f t="shared" si="11"/>
        <v>702151103099429</v>
      </c>
      <c r="H586" s="12" t="s">
        <v>9063</v>
      </c>
      <c r="I586" s="12">
        <v>1103099429</v>
      </c>
      <c r="J586" s="12" t="s">
        <v>9064</v>
      </c>
      <c r="K586" s="12" t="s">
        <v>44</v>
      </c>
      <c r="L586" s="12">
        <v>3043415328</v>
      </c>
      <c r="M586" s="144" t="s">
        <v>9065</v>
      </c>
      <c r="N586" s="12" t="s">
        <v>46</v>
      </c>
      <c r="O586" s="12" t="s">
        <v>47</v>
      </c>
      <c r="P586" s="88" t="s">
        <v>48</v>
      </c>
      <c r="Q586" s="13">
        <v>46217</v>
      </c>
      <c r="R586" s="12" t="s">
        <v>8683</v>
      </c>
      <c r="S586" s="12" t="s">
        <v>49</v>
      </c>
      <c r="T586" s="12" t="s">
        <v>9066</v>
      </c>
      <c r="U586" s="12" t="s">
        <v>60</v>
      </c>
      <c r="V586" s="13">
        <v>45848</v>
      </c>
      <c r="W586" s="16">
        <v>0.68</v>
      </c>
      <c r="X586" s="12" t="s">
        <v>49</v>
      </c>
      <c r="Y586" s="12" t="s">
        <v>1120</v>
      </c>
      <c r="Z586" s="12" t="s">
        <v>60</v>
      </c>
      <c r="AU586" s="12" t="s">
        <v>53</v>
      </c>
    </row>
    <row r="587" spans="1:47" s="12" customFormat="1" ht="14.4" x14ac:dyDescent="0.3">
      <c r="A587" s="12" t="s">
        <v>505</v>
      </c>
      <c r="B587" s="12" t="s">
        <v>1102</v>
      </c>
      <c r="C587" s="12">
        <v>70</v>
      </c>
      <c r="D587" s="12">
        <v>215</v>
      </c>
      <c r="F587" s="275" t="s">
        <v>9068</v>
      </c>
      <c r="G587" s="12" t="str">
        <f t="shared" si="11"/>
        <v>702151007183638</v>
      </c>
      <c r="H587" s="12" t="s">
        <v>9069</v>
      </c>
      <c r="I587" s="12">
        <v>1007183638</v>
      </c>
      <c r="J587" s="12" t="s">
        <v>9070</v>
      </c>
      <c r="K587" s="12" t="s">
        <v>44</v>
      </c>
      <c r="L587" s="12">
        <v>3007977187</v>
      </c>
      <c r="M587" s="144" t="s">
        <v>9071</v>
      </c>
      <c r="N587" s="12" t="s">
        <v>46</v>
      </c>
      <c r="O587" s="12" t="s">
        <v>47</v>
      </c>
      <c r="P587" s="88" t="s">
        <v>48</v>
      </c>
      <c r="Q587" s="13">
        <v>46209</v>
      </c>
      <c r="R587" s="12">
        <v>81</v>
      </c>
      <c r="S587" s="12" t="s">
        <v>49</v>
      </c>
      <c r="T587" s="12" t="s">
        <v>9066</v>
      </c>
      <c r="U587" s="12" t="s">
        <v>60</v>
      </c>
      <c r="V587" s="13"/>
      <c r="W587" s="16"/>
      <c r="AU587" s="12" t="s">
        <v>53</v>
      </c>
    </row>
    <row r="588" spans="1:47" s="12" customFormat="1" ht="14.4" hidden="1" x14ac:dyDescent="0.3">
      <c r="A588" s="12" t="s">
        <v>505</v>
      </c>
      <c r="B588" s="12" t="s">
        <v>1102</v>
      </c>
      <c r="C588" s="12">
        <v>70</v>
      </c>
      <c r="D588" s="12">
        <v>215</v>
      </c>
      <c r="F588" s="12" t="s">
        <v>7768</v>
      </c>
      <c r="H588" s="12" t="s">
        <v>7769</v>
      </c>
      <c r="J588" s="12" t="s">
        <v>7770</v>
      </c>
      <c r="K588" s="12" t="s">
        <v>44</v>
      </c>
      <c r="M588" s="144"/>
      <c r="N588" s="12" t="s">
        <v>46</v>
      </c>
      <c r="O588" s="12" t="s">
        <v>2797</v>
      </c>
      <c r="P588" s="88" t="s">
        <v>48</v>
      </c>
      <c r="Q588" s="13"/>
      <c r="R588" s="16"/>
      <c r="AU588" s="12" t="s">
        <v>53</v>
      </c>
    </row>
    <row r="589" spans="1:47" s="12" customFormat="1" ht="14.4" hidden="1" x14ac:dyDescent="0.3">
      <c r="A589" s="12" t="s">
        <v>505</v>
      </c>
      <c r="B589" s="12" t="s">
        <v>1102</v>
      </c>
      <c r="C589" s="12">
        <v>70</v>
      </c>
      <c r="D589" s="12">
        <v>215</v>
      </c>
      <c r="F589" s="12" t="s">
        <v>1878</v>
      </c>
      <c r="G589" s="12" t="str">
        <f t="shared" ref="G589:G598" si="12">C589&amp;D589&amp;I589</f>
        <v>7021564741010</v>
      </c>
      <c r="H589" s="12" t="s">
        <v>1879</v>
      </c>
      <c r="I589" s="12">
        <v>64741010</v>
      </c>
      <c r="J589" s="12" t="s">
        <v>1880</v>
      </c>
      <c r="K589" s="12" t="s">
        <v>44</v>
      </c>
      <c r="L589" s="12">
        <v>3027181827</v>
      </c>
      <c r="M589" s="12" t="s">
        <v>1881</v>
      </c>
      <c r="N589" s="12" t="s">
        <v>46</v>
      </c>
      <c r="O589" s="12" t="s">
        <v>2797</v>
      </c>
      <c r="P589" s="88" t="s">
        <v>48</v>
      </c>
      <c r="Q589" s="13" t="s">
        <v>1778</v>
      </c>
      <c r="R589" s="16">
        <v>0.84</v>
      </c>
      <c r="S589" s="13" t="s">
        <v>1882</v>
      </c>
      <c r="T589" s="12" t="s">
        <v>1125</v>
      </c>
      <c r="U589" s="12" t="s">
        <v>50</v>
      </c>
      <c r="V589" s="13">
        <v>45622</v>
      </c>
      <c r="W589" s="16">
        <v>0.82</v>
      </c>
      <c r="X589" s="13" t="s">
        <v>49</v>
      </c>
      <c r="AU589" s="12" t="s">
        <v>53</v>
      </c>
    </row>
    <row r="590" spans="1:47" s="12" customFormat="1" ht="14.4" hidden="1" x14ac:dyDescent="0.3">
      <c r="A590" s="12" t="s">
        <v>505</v>
      </c>
      <c r="B590" s="12" t="s">
        <v>1102</v>
      </c>
      <c r="C590" s="12">
        <v>70</v>
      </c>
      <c r="D590" s="12">
        <v>215</v>
      </c>
      <c r="F590" s="12" t="s">
        <v>1883</v>
      </c>
      <c r="G590" s="12" t="str">
        <f t="shared" si="12"/>
        <v>702151103122626</v>
      </c>
      <c r="H590" s="12" t="s">
        <v>1884</v>
      </c>
      <c r="I590" s="12">
        <v>1103122626</v>
      </c>
      <c r="J590" s="12" t="s">
        <v>1885</v>
      </c>
      <c r="K590" s="12" t="s">
        <v>44</v>
      </c>
      <c r="L590" s="12">
        <v>3205177754</v>
      </c>
      <c r="M590" s="12" t="s">
        <v>45</v>
      </c>
      <c r="N590" s="12" t="s">
        <v>46</v>
      </c>
      <c r="O590" s="12" t="s">
        <v>2797</v>
      </c>
      <c r="P590" s="88" t="s">
        <v>48</v>
      </c>
      <c r="Q590" s="13">
        <v>45969</v>
      </c>
      <c r="R590" s="18">
        <v>0.67500000000000004</v>
      </c>
      <c r="S590" s="12" t="s">
        <v>49</v>
      </c>
      <c r="T590" s="12" t="s">
        <v>1886</v>
      </c>
      <c r="U590" s="12" t="s">
        <v>50</v>
      </c>
      <c r="V590" s="13"/>
      <c r="W590" s="16"/>
      <c r="X590" s="13"/>
      <c r="AU590" s="12" t="s">
        <v>53</v>
      </c>
    </row>
    <row r="591" spans="1:47" s="12" customFormat="1" ht="14.4" hidden="1" x14ac:dyDescent="0.3">
      <c r="A591" s="12" t="s">
        <v>505</v>
      </c>
      <c r="B591" s="12" t="s">
        <v>1102</v>
      </c>
      <c r="C591" s="12">
        <v>70</v>
      </c>
      <c r="D591" s="12">
        <v>215</v>
      </c>
      <c r="E591" s="12" t="s">
        <v>8363</v>
      </c>
      <c r="F591" s="12" t="s">
        <v>8378</v>
      </c>
      <c r="G591" s="12" t="str">
        <f t="shared" si="12"/>
        <v>702158230027650</v>
      </c>
      <c r="H591" s="12" t="s">
        <v>8364</v>
      </c>
      <c r="I591" s="12">
        <v>8230027650</v>
      </c>
      <c r="J591" s="12" t="s">
        <v>8379</v>
      </c>
      <c r="K591" s="12" t="s">
        <v>44</v>
      </c>
      <c r="L591" s="12">
        <v>3006334134</v>
      </c>
      <c r="M591" s="12" t="s">
        <v>1887</v>
      </c>
      <c r="N591" s="12" t="s">
        <v>127</v>
      </c>
      <c r="O591" s="12" t="s">
        <v>2822</v>
      </c>
      <c r="P591" s="88" t="s">
        <v>48</v>
      </c>
      <c r="Q591" s="13">
        <v>45944</v>
      </c>
      <c r="R591" s="16">
        <v>0.98</v>
      </c>
      <c r="S591" s="12" t="s">
        <v>210</v>
      </c>
      <c r="U591" s="12" t="s">
        <v>2456</v>
      </c>
      <c r="AU591" s="12" t="s">
        <v>53</v>
      </c>
    </row>
    <row r="592" spans="1:47" s="12" customFormat="1" ht="14.4" hidden="1" x14ac:dyDescent="0.3">
      <c r="A592" s="12" t="s">
        <v>505</v>
      </c>
      <c r="B592" s="12" t="s">
        <v>1102</v>
      </c>
      <c r="C592" s="12">
        <v>70</v>
      </c>
      <c r="D592" s="12">
        <v>215</v>
      </c>
      <c r="E592" s="12" t="s">
        <v>8363</v>
      </c>
      <c r="F592" s="275" t="s">
        <v>8398</v>
      </c>
      <c r="G592" s="12" t="str">
        <f t="shared" si="12"/>
        <v>702158230027650</v>
      </c>
      <c r="H592" s="12" t="s">
        <v>8364</v>
      </c>
      <c r="I592" s="12">
        <v>8230027650</v>
      </c>
      <c r="J592" s="12" t="s">
        <v>8399</v>
      </c>
      <c r="K592" s="12" t="s">
        <v>44</v>
      </c>
      <c r="L592" s="12">
        <v>3006334134</v>
      </c>
      <c r="M592" s="12" t="s">
        <v>1888</v>
      </c>
      <c r="N592" s="12" t="s">
        <v>127</v>
      </c>
      <c r="O592" s="12" t="s">
        <v>2822</v>
      </c>
      <c r="P592" s="88" t="s">
        <v>48</v>
      </c>
      <c r="Q592" s="13">
        <v>46182</v>
      </c>
      <c r="R592" s="12" t="s">
        <v>9050</v>
      </c>
      <c r="S592" s="12" t="s">
        <v>210</v>
      </c>
      <c r="T592" s="12" t="s">
        <v>9049</v>
      </c>
      <c r="U592" s="12" t="s">
        <v>60</v>
      </c>
      <c r="V592" s="13">
        <v>45938</v>
      </c>
      <c r="W592" s="12" t="s">
        <v>2106</v>
      </c>
      <c r="X592" s="12" t="s">
        <v>210</v>
      </c>
      <c r="Y592" s="12" t="s">
        <v>2456</v>
      </c>
      <c r="Z592" s="12" t="s">
        <v>60</v>
      </c>
      <c r="AA592" s="12" t="s">
        <v>51</v>
      </c>
      <c r="AB592" s="12" t="s">
        <v>52</v>
      </c>
      <c r="AC592" s="12" t="s">
        <v>1889</v>
      </c>
      <c r="AD592" s="16">
        <v>0.86</v>
      </c>
      <c r="AE592" s="12" t="s">
        <v>139</v>
      </c>
      <c r="AF592" s="12" t="s">
        <v>60</v>
      </c>
      <c r="AI592" s="12" t="s">
        <v>1890</v>
      </c>
      <c r="AJ592" s="12">
        <v>84</v>
      </c>
      <c r="AK592" s="12" t="s">
        <v>139</v>
      </c>
      <c r="AL592" s="12" t="s">
        <v>60</v>
      </c>
      <c r="AU592" s="12" t="s">
        <v>1208</v>
      </c>
    </row>
    <row r="593" spans="1:52" s="12" customFormat="1" ht="14.4" hidden="1" x14ac:dyDescent="0.3">
      <c r="A593" s="12" t="s">
        <v>505</v>
      </c>
      <c r="B593" s="12" t="s">
        <v>1102</v>
      </c>
      <c r="C593" s="12">
        <v>70</v>
      </c>
      <c r="D593" s="12">
        <v>215</v>
      </c>
      <c r="E593" s="12" t="s">
        <v>1891</v>
      </c>
      <c r="F593" s="12" t="s">
        <v>1892</v>
      </c>
      <c r="G593" s="12" t="str">
        <f t="shared" si="12"/>
        <v>702159002996205</v>
      </c>
      <c r="H593" s="12" t="s">
        <v>1893</v>
      </c>
      <c r="I593" s="12">
        <v>9002996205</v>
      </c>
      <c r="J593" s="12" t="s">
        <v>1894</v>
      </c>
      <c r="K593" s="12" t="s">
        <v>44</v>
      </c>
      <c r="L593" s="12" t="s">
        <v>1895</v>
      </c>
      <c r="M593" s="95" t="s">
        <v>1896</v>
      </c>
      <c r="N593" s="12" t="s">
        <v>127</v>
      </c>
      <c r="O593" s="12" t="s">
        <v>2822</v>
      </c>
      <c r="P593" s="88" t="s">
        <v>48</v>
      </c>
      <c r="Q593" s="12" t="s">
        <v>1897</v>
      </c>
      <c r="R593" s="16">
        <v>0.85</v>
      </c>
      <c r="S593" s="12" t="s">
        <v>135</v>
      </c>
      <c r="T593" s="12" t="s">
        <v>1898</v>
      </c>
      <c r="U593" s="12" t="s">
        <v>50</v>
      </c>
      <c r="AA593" s="12" t="s">
        <v>52</v>
      </c>
      <c r="AB593" s="12" t="s">
        <v>52</v>
      </c>
      <c r="AU593" s="12" t="s">
        <v>53</v>
      </c>
    </row>
    <row r="594" spans="1:52" s="12" customFormat="1" ht="14.4" hidden="1" x14ac:dyDescent="0.3">
      <c r="A594" s="12" t="s">
        <v>505</v>
      </c>
      <c r="B594" s="12" t="s">
        <v>1102</v>
      </c>
      <c r="C594" s="12">
        <v>70</v>
      </c>
      <c r="D594" s="12">
        <v>215</v>
      </c>
      <c r="F594" s="12" t="s">
        <v>7677</v>
      </c>
      <c r="G594" s="12" t="str">
        <f t="shared" si="12"/>
        <v>702151103106713</v>
      </c>
      <c r="H594" s="12" t="s">
        <v>7639</v>
      </c>
      <c r="I594" s="12">
        <v>1103106713</v>
      </c>
      <c r="J594" s="12" t="s">
        <v>7640</v>
      </c>
      <c r="K594" s="12" t="s">
        <v>44</v>
      </c>
      <c r="L594" s="12">
        <v>3013136011</v>
      </c>
      <c r="M594" s="95" t="s">
        <v>7641</v>
      </c>
      <c r="N594" s="12" t="s">
        <v>432</v>
      </c>
      <c r="O594" s="12" t="s">
        <v>432</v>
      </c>
      <c r="P594" s="88" t="s">
        <v>261</v>
      </c>
      <c r="Q594" s="12" t="s">
        <v>7642</v>
      </c>
      <c r="R594" s="16">
        <v>1</v>
      </c>
      <c r="S594" s="12" t="s">
        <v>210</v>
      </c>
      <c r="T594" s="12" t="s">
        <v>2908</v>
      </c>
      <c r="U594" s="12" t="s">
        <v>2456</v>
      </c>
      <c r="AU594" s="12" t="s">
        <v>53</v>
      </c>
    </row>
    <row r="595" spans="1:52" s="12" customFormat="1" ht="14.4" hidden="1" x14ac:dyDescent="0.3">
      <c r="A595" s="12" t="s">
        <v>505</v>
      </c>
      <c r="B595" s="12" t="s">
        <v>1102</v>
      </c>
      <c r="C595" s="12">
        <v>70</v>
      </c>
      <c r="D595" s="12">
        <v>215</v>
      </c>
      <c r="F595" s="12" t="s">
        <v>7833</v>
      </c>
      <c r="G595" s="12" t="str">
        <f t="shared" si="12"/>
        <v>702151103103503</v>
      </c>
      <c r="H595" s="12" t="s">
        <v>7834</v>
      </c>
      <c r="I595" s="12">
        <v>1103103503</v>
      </c>
      <c r="J595" s="12" t="s">
        <v>7835</v>
      </c>
      <c r="K595" s="12" t="s">
        <v>44</v>
      </c>
      <c r="L595" s="12">
        <v>3107421561</v>
      </c>
      <c r="M595" s="95" t="s">
        <v>7836</v>
      </c>
      <c r="N595" s="12" t="s">
        <v>432</v>
      </c>
      <c r="O595" s="12" t="s">
        <v>432</v>
      </c>
      <c r="P595" s="88" t="s">
        <v>261</v>
      </c>
      <c r="Q595" s="13">
        <v>45947</v>
      </c>
      <c r="R595" s="12" t="s">
        <v>7837</v>
      </c>
      <c r="S595" s="12" t="s">
        <v>49</v>
      </c>
      <c r="U595" s="12" t="s">
        <v>2456</v>
      </c>
      <c r="AU595" s="12" t="s">
        <v>53</v>
      </c>
    </row>
    <row r="596" spans="1:52" s="12" customFormat="1" ht="14.4" hidden="1" x14ac:dyDescent="0.3">
      <c r="A596" s="12" t="s">
        <v>505</v>
      </c>
      <c r="B596" s="12" t="s">
        <v>1102</v>
      </c>
      <c r="C596" s="12">
        <v>70</v>
      </c>
      <c r="D596" s="12">
        <v>215</v>
      </c>
      <c r="F596" s="12" t="s">
        <v>7643</v>
      </c>
      <c r="G596" s="12" t="str">
        <f t="shared" si="12"/>
        <v>702151103113389</v>
      </c>
      <c r="H596" s="12" t="s">
        <v>7644</v>
      </c>
      <c r="I596" s="12">
        <v>1103113389</v>
      </c>
      <c r="J596" s="12" t="s">
        <v>7645</v>
      </c>
      <c r="K596" s="12" t="s">
        <v>44</v>
      </c>
      <c r="L596" s="12">
        <v>3005776948</v>
      </c>
      <c r="M596" s="95" t="s">
        <v>7646</v>
      </c>
      <c r="N596" s="12" t="s">
        <v>432</v>
      </c>
      <c r="O596" s="12" t="s">
        <v>432</v>
      </c>
      <c r="P596" s="88" t="s">
        <v>261</v>
      </c>
      <c r="Q596" s="12" t="s">
        <v>7642</v>
      </c>
      <c r="R596" s="16">
        <v>1</v>
      </c>
      <c r="S596" s="12" t="s">
        <v>210</v>
      </c>
      <c r="T596" s="12" t="s">
        <v>2908</v>
      </c>
      <c r="U596" s="12" t="s">
        <v>2456</v>
      </c>
      <c r="AU596" s="12" t="s">
        <v>53</v>
      </c>
    </row>
    <row r="597" spans="1:52" s="12" customFormat="1" ht="14.4" hidden="1" x14ac:dyDescent="0.3">
      <c r="A597" s="12" t="s">
        <v>505</v>
      </c>
      <c r="B597" s="12" t="s">
        <v>1102</v>
      </c>
      <c r="C597" s="12">
        <v>70</v>
      </c>
      <c r="D597" s="12">
        <v>215</v>
      </c>
      <c r="E597" s="12" t="s">
        <v>2434</v>
      </c>
      <c r="F597" s="275" t="s">
        <v>7654</v>
      </c>
      <c r="G597" s="12" t="str">
        <f t="shared" si="12"/>
        <v>702159004805691</v>
      </c>
      <c r="H597" s="12" t="s">
        <v>1429</v>
      </c>
      <c r="I597" s="12">
        <v>9004805691</v>
      </c>
      <c r="J597" s="12" t="s">
        <v>7655</v>
      </c>
      <c r="K597" s="12" t="s">
        <v>44</v>
      </c>
      <c r="L597" s="12">
        <v>3228838054</v>
      </c>
      <c r="M597" s="17" t="s">
        <v>7656</v>
      </c>
      <c r="N597" s="12" t="s">
        <v>259</v>
      </c>
      <c r="O597" s="12" t="s">
        <v>260</v>
      </c>
      <c r="P597" s="186" t="s">
        <v>80</v>
      </c>
      <c r="Q597" s="13">
        <v>46052</v>
      </c>
      <c r="R597" s="16">
        <v>1</v>
      </c>
      <c r="S597" s="12" t="s">
        <v>210</v>
      </c>
      <c r="T597" s="12" t="s">
        <v>7633</v>
      </c>
      <c r="U597" s="12" t="s">
        <v>2456</v>
      </c>
      <c r="V597" s="13">
        <v>45630</v>
      </c>
      <c r="W597" s="16">
        <v>1</v>
      </c>
      <c r="X597" s="12" t="s">
        <v>210</v>
      </c>
      <c r="Z597" s="12" t="s">
        <v>2456</v>
      </c>
      <c r="AU597" s="12" t="s">
        <v>53</v>
      </c>
    </row>
    <row r="598" spans="1:52" s="12" customFormat="1" ht="14.4" hidden="1" x14ac:dyDescent="0.3">
      <c r="A598" s="12" t="s">
        <v>505</v>
      </c>
      <c r="B598" s="12" t="s">
        <v>1102</v>
      </c>
      <c r="C598" s="12">
        <v>70</v>
      </c>
      <c r="D598" s="12">
        <v>215</v>
      </c>
      <c r="E598" s="12" t="s">
        <v>7669</v>
      </c>
      <c r="F598" s="12" t="s">
        <v>7653</v>
      </c>
      <c r="G598" s="12" t="str">
        <f t="shared" si="12"/>
        <v>702158901074873</v>
      </c>
      <c r="H598" s="12" t="s">
        <v>7670</v>
      </c>
      <c r="I598" s="12">
        <v>8901074873</v>
      </c>
      <c r="J598" s="12" t="s">
        <v>1763</v>
      </c>
      <c r="K598" s="12" t="s">
        <v>44</v>
      </c>
      <c r="L598" s="12">
        <v>3187119919</v>
      </c>
      <c r="M598" s="17" t="s">
        <v>7671</v>
      </c>
      <c r="N598" s="12" t="s">
        <v>8697</v>
      </c>
      <c r="O598" s="12" t="s">
        <v>7653</v>
      </c>
      <c r="P598" s="188" t="s">
        <v>48</v>
      </c>
      <c r="Q598" s="13">
        <v>45996</v>
      </c>
      <c r="R598" s="16">
        <v>0.97</v>
      </c>
      <c r="S598" s="12" t="s">
        <v>210</v>
      </c>
      <c r="T598" s="12" t="s">
        <v>7672</v>
      </c>
      <c r="U598" s="12" t="s">
        <v>60</v>
      </c>
      <c r="V598" s="13">
        <v>45568</v>
      </c>
      <c r="W598" s="16" t="s">
        <v>2002</v>
      </c>
      <c r="X598" s="12" t="s">
        <v>210</v>
      </c>
      <c r="Z598" s="12" t="s">
        <v>60</v>
      </c>
      <c r="AA598" s="12" t="s">
        <v>51</v>
      </c>
      <c r="AB598" s="12" t="s">
        <v>51</v>
      </c>
    </row>
    <row r="599" spans="1:52" s="12" customFormat="1" ht="14.4" hidden="1" x14ac:dyDescent="0.3">
      <c r="A599" s="12" t="s">
        <v>505</v>
      </c>
      <c r="B599" s="12" t="s">
        <v>1102</v>
      </c>
      <c r="C599" s="12">
        <v>70</v>
      </c>
      <c r="D599" s="12">
        <v>215</v>
      </c>
      <c r="F599" s="12" t="s">
        <v>7825</v>
      </c>
      <c r="H599" s="12" t="s">
        <v>7827</v>
      </c>
      <c r="J599" s="12" t="s">
        <v>7829</v>
      </c>
      <c r="K599" s="12" t="s">
        <v>44</v>
      </c>
      <c r="M599" s="17"/>
      <c r="N599" s="12" t="s">
        <v>8697</v>
      </c>
      <c r="O599" s="12" t="s">
        <v>7653</v>
      </c>
      <c r="P599" s="188" t="s">
        <v>48</v>
      </c>
      <c r="Q599" s="13"/>
      <c r="R599" s="16"/>
      <c r="V599" s="13"/>
      <c r="W599" s="16"/>
    </row>
    <row r="600" spans="1:52" s="12" customFormat="1" ht="14.4" hidden="1" x14ac:dyDescent="0.3">
      <c r="A600" s="12" t="s">
        <v>505</v>
      </c>
      <c r="B600" s="12" t="s">
        <v>1102</v>
      </c>
      <c r="C600" s="12">
        <v>70</v>
      </c>
      <c r="D600" s="12">
        <v>215</v>
      </c>
      <c r="F600" s="12" t="s">
        <v>7826</v>
      </c>
      <c r="H600" s="12" t="s">
        <v>7828</v>
      </c>
      <c r="J600" s="12" t="s">
        <v>7830</v>
      </c>
      <c r="K600" s="12" t="s">
        <v>44</v>
      </c>
      <c r="M600" s="17"/>
      <c r="N600" s="12" t="s">
        <v>8697</v>
      </c>
      <c r="O600" s="12" t="s">
        <v>7653</v>
      </c>
      <c r="P600" s="188" t="s">
        <v>48</v>
      </c>
      <c r="Q600" s="13"/>
      <c r="R600" s="16"/>
      <c r="V600" s="13"/>
      <c r="W600" s="16"/>
    </row>
    <row r="601" spans="1:52" s="12" customFormat="1" ht="14.4" hidden="1" x14ac:dyDescent="0.3">
      <c r="A601" s="12" t="s">
        <v>505</v>
      </c>
      <c r="B601" s="12" t="s">
        <v>1102</v>
      </c>
      <c r="C601" s="12">
        <v>70</v>
      </c>
      <c r="D601" s="12">
        <v>215</v>
      </c>
      <c r="E601" s="12" t="s">
        <v>7679</v>
      </c>
      <c r="F601" s="12" t="s">
        <v>7680</v>
      </c>
      <c r="G601" s="12" t="str">
        <f t="shared" ref="G601:G642" si="13">C601&amp;D601&amp;I601</f>
        <v>702158600052246</v>
      </c>
      <c r="H601" s="12" t="s">
        <v>7851</v>
      </c>
      <c r="I601" s="12">
        <v>8600052246</v>
      </c>
      <c r="J601" s="12" t="s">
        <v>7681</v>
      </c>
      <c r="K601" s="12" t="s">
        <v>44</v>
      </c>
      <c r="L601" s="12">
        <v>3017403216</v>
      </c>
      <c r="M601" s="17" t="s">
        <v>7682</v>
      </c>
      <c r="N601" s="12" t="s">
        <v>7684</v>
      </c>
      <c r="O601" s="12" t="s">
        <v>7683</v>
      </c>
      <c r="P601" s="186" t="s">
        <v>80</v>
      </c>
      <c r="Q601" s="13">
        <v>45960</v>
      </c>
      <c r="R601" s="16" t="s">
        <v>6091</v>
      </c>
      <c r="S601" s="12" t="s">
        <v>210</v>
      </c>
      <c r="T601" s="12" t="s">
        <v>7672</v>
      </c>
      <c r="U601" s="12" t="s">
        <v>2456</v>
      </c>
      <c r="V601" s="13">
        <v>45581</v>
      </c>
      <c r="W601" s="16">
        <v>0.87</v>
      </c>
      <c r="X601" s="12" t="s">
        <v>49</v>
      </c>
      <c r="AA601" s="12" t="s">
        <v>51</v>
      </c>
      <c r="AB601" s="12" t="s">
        <v>51</v>
      </c>
      <c r="AU601" s="12" t="s">
        <v>1208</v>
      </c>
    </row>
    <row r="602" spans="1:52" s="12" customFormat="1" ht="14.4" hidden="1" x14ac:dyDescent="0.3">
      <c r="A602" s="12" t="s">
        <v>505</v>
      </c>
      <c r="B602" s="12" t="s">
        <v>1102</v>
      </c>
      <c r="C602" s="12">
        <v>70</v>
      </c>
      <c r="D602" s="12">
        <v>215</v>
      </c>
      <c r="F602" s="12" t="s">
        <v>7838</v>
      </c>
      <c r="G602" s="12" t="str">
        <f t="shared" ref="G602" si="14">C602&amp;D602&amp;I602</f>
        <v>7021511031058912</v>
      </c>
      <c r="H602" s="12" t="s">
        <v>7839</v>
      </c>
      <c r="I602" s="215">
        <v>11031058912</v>
      </c>
      <c r="J602" s="12" t="s">
        <v>7840</v>
      </c>
      <c r="K602" s="12" t="s">
        <v>44</v>
      </c>
      <c r="L602" s="12">
        <v>3005612415</v>
      </c>
      <c r="M602" s="99" t="s">
        <v>7841</v>
      </c>
      <c r="N602" s="12" t="s">
        <v>432</v>
      </c>
      <c r="O602" s="12" t="s">
        <v>432</v>
      </c>
      <c r="P602" s="88" t="s">
        <v>261</v>
      </c>
      <c r="Q602" s="13">
        <v>45979</v>
      </c>
      <c r="R602" s="12" t="s">
        <v>7842</v>
      </c>
      <c r="S602" s="12" t="s">
        <v>49</v>
      </c>
      <c r="U602" s="12" t="s">
        <v>2456</v>
      </c>
      <c r="AU602" s="12" t="s">
        <v>53</v>
      </c>
    </row>
    <row r="603" spans="1:52" s="12" customFormat="1" ht="14.4" hidden="1" x14ac:dyDescent="0.3">
      <c r="A603" s="12" t="s">
        <v>505</v>
      </c>
      <c r="B603" s="12" t="s">
        <v>1102</v>
      </c>
      <c r="C603" s="12">
        <v>70</v>
      </c>
      <c r="D603" s="12">
        <v>215</v>
      </c>
      <c r="F603" s="12" t="s">
        <v>7843</v>
      </c>
      <c r="H603" s="12" t="s">
        <v>7844</v>
      </c>
      <c r="I603" s="12">
        <v>1103110728</v>
      </c>
      <c r="J603" s="12" t="s">
        <v>7845</v>
      </c>
      <c r="K603" s="12" t="s">
        <v>44</v>
      </c>
      <c r="L603" s="12">
        <v>3207025534</v>
      </c>
      <c r="M603" s="99" t="s">
        <v>7846</v>
      </c>
      <c r="N603" s="12" t="s">
        <v>432</v>
      </c>
      <c r="O603" s="12" t="s">
        <v>432</v>
      </c>
      <c r="P603" s="88" t="s">
        <v>261</v>
      </c>
      <c r="Q603" s="13">
        <v>45980</v>
      </c>
      <c r="R603" s="12">
        <v>88</v>
      </c>
      <c r="S603" s="12" t="s">
        <v>49</v>
      </c>
      <c r="U603" s="12" t="s">
        <v>2456</v>
      </c>
      <c r="AU603" s="12" t="s">
        <v>53</v>
      </c>
    </row>
    <row r="604" spans="1:52" s="12" customFormat="1" hidden="1" x14ac:dyDescent="0.3">
      <c r="A604" s="12" t="s">
        <v>505</v>
      </c>
      <c r="B604" s="42" t="s">
        <v>7637</v>
      </c>
      <c r="C604" s="12">
        <v>70</v>
      </c>
      <c r="D604" s="12">
        <v>215</v>
      </c>
      <c r="F604" s="12" t="s">
        <v>7638</v>
      </c>
      <c r="G604" s="12" t="str">
        <f t="shared" ref="G604:G612" si="15">C604&amp;D604&amp;I604</f>
        <v>702151103106713</v>
      </c>
      <c r="H604" s="12" t="s">
        <v>7639</v>
      </c>
      <c r="I604" s="12">
        <v>1103106713</v>
      </c>
      <c r="J604" s="12" t="s">
        <v>7640</v>
      </c>
      <c r="K604" s="12" t="s">
        <v>44</v>
      </c>
      <c r="L604" s="12">
        <v>3013136011</v>
      </c>
      <c r="M604" s="95" t="s">
        <v>7641</v>
      </c>
      <c r="N604" s="12" t="s">
        <v>432</v>
      </c>
      <c r="O604" s="12" t="s">
        <v>432</v>
      </c>
      <c r="P604" s="88" t="s">
        <v>261</v>
      </c>
      <c r="Q604" s="12" t="s">
        <v>7642</v>
      </c>
      <c r="R604" s="16">
        <v>1</v>
      </c>
      <c r="S604" s="12" t="s">
        <v>210</v>
      </c>
      <c r="T604" s="12" t="s">
        <v>2908</v>
      </c>
      <c r="U604" s="12" t="s">
        <v>2456</v>
      </c>
      <c r="AU604" s="12" t="s">
        <v>53</v>
      </c>
    </row>
    <row r="605" spans="1:52" s="12" customFormat="1" x14ac:dyDescent="0.3">
      <c r="A605" s="12" t="s">
        <v>505</v>
      </c>
      <c r="B605" s="42" t="s">
        <v>7637</v>
      </c>
      <c r="C605" s="12">
        <v>70</v>
      </c>
      <c r="D605" s="12">
        <v>215</v>
      </c>
      <c r="E605" s="12" t="s">
        <v>7763</v>
      </c>
      <c r="F605" s="12" t="s">
        <v>7764</v>
      </c>
      <c r="G605" s="12" t="str">
        <f t="shared" si="15"/>
        <v>7021592516097</v>
      </c>
      <c r="H605" s="12" t="s">
        <v>7765</v>
      </c>
      <c r="I605" s="12">
        <v>92516097</v>
      </c>
      <c r="J605" s="12" t="s">
        <v>7766</v>
      </c>
      <c r="K605" s="12" t="s">
        <v>44</v>
      </c>
      <c r="L605" s="12">
        <v>3012317496</v>
      </c>
      <c r="M605" s="17" t="s">
        <v>7767</v>
      </c>
      <c r="N605" s="12" t="s">
        <v>46</v>
      </c>
      <c r="O605" s="12" t="s">
        <v>47</v>
      </c>
      <c r="P605" s="88" t="s">
        <v>48</v>
      </c>
      <c r="Q605" s="13">
        <v>45981</v>
      </c>
      <c r="R605" s="12" t="s">
        <v>201</v>
      </c>
      <c r="S605" s="12" t="s">
        <v>49</v>
      </c>
      <c r="U605" s="12" t="s">
        <v>60</v>
      </c>
      <c r="V605" s="13">
        <v>45770</v>
      </c>
      <c r="W605" s="16" t="s">
        <v>138</v>
      </c>
      <c r="X605" s="12" t="s">
        <v>49</v>
      </c>
      <c r="Z605" s="12" t="s">
        <v>60</v>
      </c>
      <c r="AA605" s="12" t="s">
        <v>51</v>
      </c>
      <c r="AB605" s="12" t="s">
        <v>51</v>
      </c>
      <c r="AC605" s="13">
        <v>45497</v>
      </c>
      <c r="AD605" s="12" t="s">
        <v>1969</v>
      </c>
      <c r="AE605" s="12" t="s">
        <v>49</v>
      </c>
      <c r="AU605" s="12" t="s">
        <v>53</v>
      </c>
      <c r="AX605" s="12" t="s">
        <v>51</v>
      </c>
      <c r="AY605" s="12" t="s">
        <v>51</v>
      </c>
      <c r="AZ605" s="12" t="s">
        <v>1921</v>
      </c>
    </row>
    <row r="606" spans="1:52" s="12" customFormat="1" hidden="1" x14ac:dyDescent="0.3">
      <c r="A606" s="12" t="s">
        <v>505</v>
      </c>
      <c r="B606" s="42" t="s">
        <v>7637</v>
      </c>
      <c r="C606" s="12">
        <v>70</v>
      </c>
      <c r="D606" s="12">
        <v>215</v>
      </c>
      <c r="E606" s="12" t="s">
        <v>7816</v>
      </c>
      <c r="F606" s="12" t="s">
        <v>7817</v>
      </c>
      <c r="G606" s="12" t="str">
        <f t="shared" si="15"/>
        <v>70215</v>
      </c>
      <c r="H606" s="12" t="s">
        <v>7818</v>
      </c>
      <c r="J606" s="12" t="s">
        <v>7819</v>
      </c>
      <c r="K606" s="12" t="s">
        <v>44</v>
      </c>
      <c r="M606" s="17"/>
      <c r="N606" s="12" t="s">
        <v>2901</v>
      </c>
      <c r="O606" s="12" t="s">
        <v>7683</v>
      </c>
      <c r="P606" s="88" t="s">
        <v>261</v>
      </c>
      <c r="Q606" s="13"/>
      <c r="V606" s="13"/>
      <c r="W606" s="16"/>
      <c r="AC606" s="13"/>
    </row>
    <row r="607" spans="1:52" s="12" customFormat="1" hidden="1" x14ac:dyDescent="0.3">
      <c r="A607" s="12" t="s">
        <v>505</v>
      </c>
      <c r="B607" s="42" t="s">
        <v>7637</v>
      </c>
      <c r="C607" s="12">
        <v>70</v>
      </c>
      <c r="D607" s="12">
        <v>215</v>
      </c>
      <c r="E607" s="12" t="s">
        <v>7820</v>
      </c>
      <c r="F607" s="12" t="s">
        <v>7821</v>
      </c>
      <c r="G607" s="12" t="str">
        <f t="shared" si="15"/>
        <v>70215860057756</v>
      </c>
      <c r="H607" s="12" t="s">
        <v>7822</v>
      </c>
      <c r="I607" s="12">
        <v>860057756</v>
      </c>
      <c r="J607" s="12" t="s">
        <v>7823</v>
      </c>
      <c r="K607" s="12" t="s">
        <v>44</v>
      </c>
      <c r="L607" s="12">
        <v>3147121072</v>
      </c>
      <c r="M607" s="17" t="s">
        <v>7824</v>
      </c>
      <c r="N607" s="12" t="s">
        <v>2901</v>
      </c>
      <c r="O607" s="12" t="s">
        <v>7683</v>
      </c>
      <c r="P607" s="88" t="s">
        <v>261</v>
      </c>
      <c r="Q607" s="13">
        <v>45881</v>
      </c>
      <c r="R607" s="16">
        <v>0.98</v>
      </c>
      <c r="S607" s="12" t="s">
        <v>210</v>
      </c>
      <c r="T607" s="12" t="s">
        <v>7672</v>
      </c>
      <c r="U607" s="12" t="s">
        <v>2456</v>
      </c>
      <c r="V607" s="13"/>
      <c r="W607" s="16"/>
      <c r="AC607" s="13"/>
      <c r="AU607" s="12" t="s">
        <v>53</v>
      </c>
    </row>
    <row r="608" spans="1:52" s="12" customFormat="1" hidden="1" x14ac:dyDescent="0.3">
      <c r="A608" s="12" t="s">
        <v>505</v>
      </c>
      <c r="B608" s="42" t="s">
        <v>7637</v>
      </c>
      <c r="C608" s="12">
        <v>70</v>
      </c>
      <c r="D608" s="12">
        <v>215</v>
      </c>
      <c r="E608" s="12" t="s">
        <v>7685</v>
      </c>
      <c r="F608" s="88" t="s">
        <v>7686</v>
      </c>
      <c r="G608" s="12" t="str">
        <f t="shared" si="15"/>
        <v>702159005918456</v>
      </c>
      <c r="H608" s="12" t="s">
        <v>7687</v>
      </c>
      <c r="I608" s="12">
        <v>9005918456</v>
      </c>
      <c r="J608" s="12" t="s">
        <v>7688</v>
      </c>
      <c r="K608" s="12" t="s">
        <v>44</v>
      </c>
      <c r="L608" s="12">
        <v>3225592992</v>
      </c>
      <c r="M608" s="17" t="s">
        <v>1197</v>
      </c>
      <c r="N608" s="12" t="s">
        <v>2906</v>
      </c>
      <c r="O608" s="12" t="s">
        <v>2907</v>
      </c>
      <c r="P608" s="88" t="s">
        <v>80</v>
      </c>
      <c r="Q608" s="13">
        <v>45782</v>
      </c>
      <c r="R608" s="16">
        <v>0.96</v>
      </c>
      <c r="S608" s="12" t="s">
        <v>210</v>
      </c>
      <c r="T608" s="12" t="s">
        <v>7672</v>
      </c>
      <c r="U608" s="12" t="s">
        <v>2456</v>
      </c>
    </row>
    <row r="609" spans="1:52" s="12" customFormat="1" hidden="1" x14ac:dyDescent="0.3">
      <c r="A609" s="12" t="s">
        <v>505</v>
      </c>
      <c r="B609" s="42" t="s">
        <v>7637</v>
      </c>
      <c r="C609" s="12">
        <v>70</v>
      </c>
      <c r="D609" s="12">
        <v>215</v>
      </c>
      <c r="F609" s="275" t="s">
        <v>8400</v>
      </c>
      <c r="G609" s="12" t="str">
        <f t="shared" si="15"/>
        <v>702151103113113</v>
      </c>
      <c r="H609" s="12" t="s">
        <v>8401</v>
      </c>
      <c r="I609" s="12">
        <v>1103113113</v>
      </c>
      <c r="J609" s="12" t="s">
        <v>8402</v>
      </c>
      <c r="K609" s="12" t="s">
        <v>44</v>
      </c>
      <c r="L609" s="12">
        <v>3043480362</v>
      </c>
      <c r="M609" s="17" t="s">
        <v>8403</v>
      </c>
      <c r="N609" s="12" t="s">
        <v>432</v>
      </c>
      <c r="O609" s="12" t="s">
        <v>432</v>
      </c>
      <c r="P609" s="88" t="s">
        <v>261</v>
      </c>
      <c r="Q609" s="13">
        <v>46038</v>
      </c>
      <c r="R609" s="12">
        <v>91</v>
      </c>
      <c r="S609" s="12" t="s">
        <v>210</v>
      </c>
      <c r="U609" s="12" t="s">
        <v>2456</v>
      </c>
      <c r="AU609" s="12" t="s">
        <v>53</v>
      </c>
    </row>
    <row r="610" spans="1:52" s="12" customFormat="1" hidden="1" x14ac:dyDescent="0.3">
      <c r="A610" s="12" t="s">
        <v>505</v>
      </c>
      <c r="B610" s="42" t="s">
        <v>7637</v>
      </c>
      <c r="C610" s="12">
        <v>70</v>
      </c>
      <c r="D610" s="12">
        <v>215</v>
      </c>
      <c r="E610" s="12" t="s">
        <v>1660</v>
      </c>
      <c r="F610" s="12" t="s">
        <v>1659</v>
      </c>
      <c r="G610" s="12" t="str">
        <f t="shared" si="15"/>
        <v>702151063286210</v>
      </c>
      <c r="H610" s="12" t="s">
        <v>1660</v>
      </c>
      <c r="I610" s="12">
        <v>1063286210</v>
      </c>
      <c r="J610" s="12" t="s">
        <v>7893</v>
      </c>
      <c r="K610" s="12" t="s">
        <v>44</v>
      </c>
      <c r="L610" s="12">
        <v>3147438764</v>
      </c>
      <c r="M610" s="17" t="s">
        <v>7894</v>
      </c>
      <c r="N610" s="12" t="s">
        <v>432</v>
      </c>
      <c r="O610" s="12" t="s">
        <v>432</v>
      </c>
      <c r="P610" s="88" t="s">
        <v>261</v>
      </c>
      <c r="Q610" s="13">
        <v>45849</v>
      </c>
      <c r="R610" s="16">
        <v>0.97</v>
      </c>
      <c r="S610" s="12" t="s">
        <v>210</v>
      </c>
      <c r="U610" s="12" t="s">
        <v>2456</v>
      </c>
      <c r="V610" s="13">
        <v>45443</v>
      </c>
      <c r="W610" s="16">
        <v>0.95</v>
      </c>
      <c r="X610" s="12" t="s">
        <v>210</v>
      </c>
      <c r="Z610" s="12" t="s">
        <v>2456</v>
      </c>
    </row>
    <row r="611" spans="1:52" s="12" customFormat="1" hidden="1" x14ac:dyDescent="0.3">
      <c r="A611" s="12" t="s">
        <v>505</v>
      </c>
      <c r="B611" s="42" t="s">
        <v>7637</v>
      </c>
      <c r="C611" s="12">
        <v>70</v>
      </c>
      <c r="D611" s="12">
        <v>215</v>
      </c>
      <c r="E611" s="12" t="s">
        <v>8698</v>
      </c>
      <c r="F611" s="275" t="s">
        <v>8699</v>
      </c>
      <c r="G611" s="12" t="str">
        <f t="shared" si="15"/>
        <v>702159006046361</v>
      </c>
      <c r="H611" s="12" t="s">
        <v>8700</v>
      </c>
      <c r="I611" s="12">
        <v>9006046361</v>
      </c>
      <c r="J611" s="12" t="s">
        <v>8701</v>
      </c>
      <c r="K611" s="12" t="s">
        <v>44</v>
      </c>
      <c r="L611" s="12">
        <v>3217721334</v>
      </c>
      <c r="M611" s="17" t="s">
        <v>8702</v>
      </c>
      <c r="N611" s="12" t="s">
        <v>2906</v>
      </c>
      <c r="O611" s="12" t="s">
        <v>9015</v>
      </c>
      <c r="P611" s="88" t="s">
        <v>80</v>
      </c>
      <c r="Q611" s="13">
        <v>46126</v>
      </c>
      <c r="R611" s="12">
        <v>100</v>
      </c>
      <c r="S611" s="12" t="s">
        <v>210</v>
      </c>
      <c r="T611" s="12" t="s">
        <v>2908</v>
      </c>
      <c r="U611" s="12" t="s">
        <v>2456</v>
      </c>
      <c r="V611" s="13"/>
      <c r="W611" s="16"/>
      <c r="AU611" s="12" t="s">
        <v>53</v>
      </c>
    </row>
    <row r="612" spans="1:52" s="12" customFormat="1" hidden="1" x14ac:dyDescent="0.3">
      <c r="A612" s="12" t="s">
        <v>505</v>
      </c>
      <c r="B612" s="42" t="s">
        <v>7637</v>
      </c>
      <c r="C612" s="12">
        <v>70</v>
      </c>
      <c r="D612" s="12">
        <v>215</v>
      </c>
      <c r="F612" s="12" t="s">
        <v>7643</v>
      </c>
      <c r="G612" s="12" t="str">
        <f t="shared" si="15"/>
        <v>702151103113389</v>
      </c>
      <c r="H612" s="12" t="s">
        <v>7644</v>
      </c>
      <c r="I612" s="12">
        <v>1103113389</v>
      </c>
      <c r="J612" s="12" t="s">
        <v>7645</v>
      </c>
      <c r="K612" s="12" t="s">
        <v>44</v>
      </c>
      <c r="L612" s="12">
        <v>3005776948</v>
      </c>
      <c r="M612" s="95" t="s">
        <v>7646</v>
      </c>
      <c r="N612" s="12" t="s">
        <v>432</v>
      </c>
      <c r="O612" s="12" t="s">
        <v>432</v>
      </c>
      <c r="P612" s="88" t="s">
        <v>261</v>
      </c>
      <c r="Q612" s="12" t="s">
        <v>7642</v>
      </c>
      <c r="R612" s="16">
        <v>1</v>
      </c>
      <c r="S612" s="12" t="s">
        <v>210</v>
      </c>
      <c r="T612" s="12" t="s">
        <v>2908</v>
      </c>
      <c r="U612" s="12" t="s">
        <v>2456</v>
      </c>
      <c r="AU612" s="12" t="s">
        <v>53</v>
      </c>
    </row>
    <row r="613" spans="1:52" s="12" customFormat="1" ht="14.4" hidden="1" x14ac:dyDescent="0.3">
      <c r="A613" s="12" t="s">
        <v>505</v>
      </c>
      <c r="B613" s="12" t="s">
        <v>1899</v>
      </c>
      <c r="C613" s="12">
        <v>70</v>
      </c>
      <c r="D613" s="12">
        <v>221</v>
      </c>
      <c r="F613" s="12" t="s">
        <v>1900</v>
      </c>
      <c r="G613" s="12" t="str">
        <f t="shared" si="13"/>
        <v>70221901898551-9</v>
      </c>
      <c r="H613" s="12" t="s">
        <v>1901</v>
      </c>
      <c r="I613" s="12" t="s">
        <v>1902</v>
      </c>
      <c r="J613" s="12" t="s">
        <v>1903</v>
      </c>
      <c r="K613" s="12" t="s">
        <v>230</v>
      </c>
      <c r="L613" s="12">
        <v>3125114505</v>
      </c>
      <c r="M613" s="12" t="s">
        <v>1904</v>
      </c>
      <c r="N613" s="12" t="s">
        <v>127</v>
      </c>
      <c r="O613" s="12" t="s">
        <v>2822</v>
      </c>
      <c r="P613" s="88" t="s">
        <v>48</v>
      </c>
      <c r="Q613" s="13">
        <v>45853</v>
      </c>
      <c r="R613" s="16">
        <v>0.71</v>
      </c>
      <c r="S613" s="12" t="s">
        <v>49</v>
      </c>
      <c r="T613" s="12" t="s">
        <v>1905</v>
      </c>
      <c r="U613" s="12" t="s">
        <v>60</v>
      </c>
      <c r="V613" s="13">
        <v>44658</v>
      </c>
      <c r="W613" s="9" t="s">
        <v>1906</v>
      </c>
      <c r="X613" s="12" t="s">
        <v>49</v>
      </c>
      <c r="Y613" s="12" t="s">
        <v>1905</v>
      </c>
      <c r="Z613" s="12" t="s">
        <v>60</v>
      </c>
      <c r="AU613" s="12" t="s">
        <v>53</v>
      </c>
    </row>
    <row r="614" spans="1:52" s="12" customFormat="1" ht="14.4" hidden="1" x14ac:dyDescent="0.3">
      <c r="A614" s="12" t="s">
        <v>505</v>
      </c>
      <c r="B614" s="14" t="s">
        <v>1899</v>
      </c>
      <c r="C614" s="12">
        <v>70</v>
      </c>
      <c r="D614" s="12">
        <v>221</v>
      </c>
      <c r="E614" s="12" t="s">
        <v>8544</v>
      </c>
      <c r="F614" s="275" t="s">
        <v>1908</v>
      </c>
      <c r="G614" s="12" t="str">
        <f t="shared" si="13"/>
        <v>702218001443646</v>
      </c>
      <c r="H614" s="12" t="s">
        <v>9082</v>
      </c>
      <c r="I614" s="12">
        <v>8001443646</v>
      </c>
      <c r="J614" s="12" t="s">
        <v>9081</v>
      </c>
      <c r="K614" s="12" t="s">
        <v>230</v>
      </c>
      <c r="L614" s="12">
        <v>3205752428</v>
      </c>
      <c r="M614" s="12" t="s">
        <v>8546</v>
      </c>
      <c r="N614" s="12" t="s">
        <v>127</v>
      </c>
      <c r="O614" s="12" t="s">
        <v>2822</v>
      </c>
      <c r="P614" s="88" t="s">
        <v>48</v>
      </c>
      <c r="Q614" s="13">
        <v>46105</v>
      </c>
      <c r="R614" s="12">
        <v>81</v>
      </c>
      <c r="S614" s="12" t="s">
        <v>49</v>
      </c>
      <c r="T614" s="12" t="s">
        <v>2042</v>
      </c>
      <c r="U614" s="12" t="s">
        <v>60</v>
      </c>
      <c r="V614" s="13">
        <v>45727</v>
      </c>
      <c r="W614" s="16">
        <v>0.93</v>
      </c>
      <c r="X614" s="12" t="s">
        <v>210</v>
      </c>
      <c r="Y614" s="12" t="s">
        <v>1905</v>
      </c>
      <c r="Z614" s="12" t="s">
        <v>60</v>
      </c>
      <c r="AC614" s="13">
        <v>45602</v>
      </c>
      <c r="AD614" s="16">
        <v>0.93</v>
      </c>
      <c r="AE614" s="12" t="s">
        <v>319</v>
      </c>
      <c r="AF614" s="12" t="s">
        <v>50</v>
      </c>
      <c r="AI614" s="13">
        <v>45086</v>
      </c>
      <c r="AJ614" s="55">
        <v>0.79500000000000004</v>
      </c>
      <c r="AK614" s="12" t="s">
        <v>49</v>
      </c>
      <c r="AL614" s="12" t="s">
        <v>50</v>
      </c>
      <c r="AU614" s="12" t="s">
        <v>53</v>
      </c>
    </row>
    <row r="615" spans="1:52" s="12" customFormat="1" ht="14.4" hidden="1" x14ac:dyDescent="0.3">
      <c r="A615" s="12" t="s">
        <v>505</v>
      </c>
      <c r="B615" s="12" t="s">
        <v>1899</v>
      </c>
      <c r="C615" s="12">
        <v>70</v>
      </c>
      <c r="D615" s="12">
        <v>221</v>
      </c>
      <c r="E615" s="12" t="s">
        <v>1913</v>
      </c>
      <c r="F615" s="12" t="s">
        <v>1914</v>
      </c>
      <c r="G615" s="12" t="str">
        <f t="shared" si="13"/>
        <v>70221823002720</v>
      </c>
      <c r="H615" s="12" t="s">
        <v>1915</v>
      </c>
      <c r="I615" s="12">
        <v>823002720</v>
      </c>
      <c r="J615" s="12" t="s">
        <v>1916</v>
      </c>
      <c r="K615" s="12" t="s">
        <v>230</v>
      </c>
      <c r="L615" s="12">
        <v>3126984870</v>
      </c>
      <c r="M615" s="12" t="s">
        <v>1917</v>
      </c>
      <c r="N615" s="12" t="s">
        <v>127</v>
      </c>
      <c r="O615" s="12" t="s">
        <v>2822</v>
      </c>
      <c r="P615" s="88" t="s">
        <v>48</v>
      </c>
      <c r="Q615" s="13">
        <v>45604</v>
      </c>
      <c r="R615" s="59">
        <v>0.625</v>
      </c>
      <c r="S615" s="12" t="s">
        <v>49</v>
      </c>
      <c r="T615" s="12" t="s">
        <v>1918</v>
      </c>
      <c r="U615" s="12" t="s">
        <v>60</v>
      </c>
      <c r="V615" s="13">
        <v>44512</v>
      </c>
      <c r="W615" s="9" t="s">
        <v>146</v>
      </c>
      <c r="X615" s="12" t="s">
        <v>49</v>
      </c>
      <c r="Y615" s="12" t="s">
        <v>1905</v>
      </c>
      <c r="Z615" s="12" t="s">
        <v>60</v>
      </c>
      <c r="AA615" s="12" t="s">
        <v>51</v>
      </c>
      <c r="AB615" s="12" t="s">
        <v>51</v>
      </c>
      <c r="AC615" s="12" t="s">
        <v>1919</v>
      </c>
      <c r="AD615" s="16">
        <v>0.93</v>
      </c>
      <c r="AE615" s="12" t="s">
        <v>210</v>
      </c>
      <c r="AF615" s="12" t="s">
        <v>60</v>
      </c>
      <c r="AG615" s="12" t="s">
        <v>51</v>
      </c>
      <c r="AH615" s="12" t="s">
        <v>51</v>
      </c>
      <c r="AU615" s="12" t="s">
        <v>53</v>
      </c>
      <c r="AX615" s="12" t="s">
        <v>1920</v>
      </c>
      <c r="AY615" s="12" t="s">
        <v>1921</v>
      </c>
      <c r="AZ615" s="12" t="s">
        <v>1922</v>
      </c>
    </row>
    <row r="616" spans="1:52" s="12" customFormat="1" ht="14.4" hidden="1" x14ac:dyDescent="0.3">
      <c r="A616" s="12" t="s">
        <v>505</v>
      </c>
      <c r="B616" s="12" t="s">
        <v>1899</v>
      </c>
      <c r="C616" s="12">
        <v>70</v>
      </c>
      <c r="D616" s="12">
        <v>221</v>
      </c>
      <c r="E616" s="12" t="s">
        <v>1913</v>
      </c>
      <c r="F616" s="12" t="s">
        <v>1923</v>
      </c>
      <c r="G616" s="12" t="str">
        <f t="shared" si="13"/>
        <v>70221823002720</v>
      </c>
      <c r="H616" s="12" t="s">
        <v>1915</v>
      </c>
      <c r="I616" s="12">
        <v>823002720</v>
      </c>
      <c r="J616" s="12" t="s">
        <v>1924</v>
      </c>
      <c r="K616" s="12" t="s">
        <v>230</v>
      </c>
      <c r="L616" s="12">
        <v>3126984870</v>
      </c>
      <c r="M616" s="95" t="s">
        <v>1917</v>
      </c>
      <c r="N616" s="12" t="s">
        <v>127</v>
      </c>
      <c r="O616" s="12" t="s">
        <v>2822</v>
      </c>
      <c r="P616" s="88" t="s">
        <v>48</v>
      </c>
      <c r="Q616" s="13">
        <v>45575</v>
      </c>
      <c r="R616" s="16">
        <v>0.89</v>
      </c>
      <c r="S616" s="12" t="s">
        <v>49</v>
      </c>
      <c r="T616" s="12" t="s">
        <v>1925</v>
      </c>
      <c r="U616" s="12" t="s">
        <v>60</v>
      </c>
      <c r="V616" s="13" t="s">
        <v>1926</v>
      </c>
      <c r="W616" s="55">
        <v>0.84499999999999997</v>
      </c>
      <c r="X616" s="12" t="s">
        <v>49</v>
      </c>
      <c r="Z616" s="12" t="s">
        <v>60</v>
      </c>
      <c r="AA616" s="12" t="s">
        <v>51</v>
      </c>
      <c r="AB616" s="12" t="s">
        <v>51</v>
      </c>
      <c r="AU616" s="12" t="s">
        <v>53</v>
      </c>
    </row>
    <row r="617" spans="1:52" s="12" customFormat="1" ht="14.4" hidden="1" x14ac:dyDescent="0.3">
      <c r="A617" s="12" t="s">
        <v>505</v>
      </c>
      <c r="B617" s="12" t="s">
        <v>1899</v>
      </c>
      <c r="C617" s="12">
        <v>70</v>
      </c>
      <c r="D617" s="12">
        <v>221</v>
      </c>
      <c r="E617" s="12" t="s">
        <v>1907</v>
      </c>
      <c r="F617" s="275" t="s">
        <v>1927</v>
      </c>
      <c r="G617" s="12" t="str">
        <f t="shared" si="13"/>
        <v>70221800144364-6</v>
      </c>
      <c r="H617" s="12" t="s">
        <v>1909</v>
      </c>
      <c r="I617" s="12" t="s">
        <v>1910</v>
      </c>
      <c r="J617" s="12" t="s">
        <v>1928</v>
      </c>
      <c r="K617" s="12" t="s">
        <v>230</v>
      </c>
      <c r="L617" s="12">
        <v>3002994585</v>
      </c>
      <c r="M617" s="12" t="s">
        <v>193</v>
      </c>
      <c r="N617" s="12" t="s">
        <v>127</v>
      </c>
      <c r="O617" s="12" t="s">
        <v>2822</v>
      </c>
      <c r="P617" s="88" t="s">
        <v>48</v>
      </c>
      <c r="Q617" s="13">
        <v>45727</v>
      </c>
      <c r="R617" s="16">
        <v>0.93</v>
      </c>
      <c r="S617" s="12" t="s">
        <v>319</v>
      </c>
      <c r="T617" s="12" t="s">
        <v>1905</v>
      </c>
      <c r="U617" s="12" t="s">
        <v>60</v>
      </c>
      <c r="V617" s="13">
        <v>45455</v>
      </c>
      <c r="W617" s="11">
        <v>0.93</v>
      </c>
      <c r="X617" s="12" t="s">
        <v>319</v>
      </c>
      <c r="Y617" s="12" t="s">
        <v>1905</v>
      </c>
      <c r="Z617" s="12" t="s">
        <v>60</v>
      </c>
      <c r="AU617" s="12" t="s">
        <v>53</v>
      </c>
    </row>
    <row r="618" spans="1:52" s="12" customFormat="1" ht="14.4" hidden="1" x14ac:dyDescent="0.3">
      <c r="A618" s="12" t="s">
        <v>505</v>
      </c>
      <c r="B618" s="12" t="s">
        <v>1899</v>
      </c>
      <c r="C618" s="12">
        <v>70</v>
      </c>
      <c r="D618" s="12">
        <v>221</v>
      </c>
      <c r="E618" s="12" t="s">
        <v>8544</v>
      </c>
      <c r="F618" s="275" t="s">
        <v>1929</v>
      </c>
      <c r="G618" s="12" t="str">
        <f t="shared" si="13"/>
        <v>702218001443646</v>
      </c>
      <c r="H618" s="12" t="s">
        <v>8545</v>
      </c>
      <c r="I618" s="12">
        <v>8001443646</v>
      </c>
      <c r="J618" s="12" t="s">
        <v>1930</v>
      </c>
      <c r="K618" s="12" t="s">
        <v>230</v>
      </c>
      <c r="L618" s="12">
        <v>3205752428</v>
      </c>
      <c r="M618" s="12" t="s">
        <v>8546</v>
      </c>
      <c r="N618" s="12" t="s">
        <v>127</v>
      </c>
      <c r="O618" s="12" t="s">
        <v>2822</v>
      </c>
      <c r="P618" s="88" t="s">
        <v>48</v>
      </c>
      <c r="Q618" s="13">
        <v>46105</v>
      </c>
      <c r="R618" s="12">
        <v>81</v>
      </c>
      <c r="S618" s="12" t="s">
        <v>49</v>
      </c>
      <c r="U618" s="12" t="s">
        <v>50</v>
      </c>
      <c r="V618" s="13">
        <v>45723</v>
      </c>
      <c r="W618" s="16">
        <v>0.82</v>
      </c>
      <c r="X618" s="12" t="s">
        <v>49</v>
      </c>
      <c r="Y618" s="12" t="s">
        <v>1905</v>
      </c>
      <c r="Z618" s="12" t="s">
        <v>60</v>
      </c>
      <c r="AU618" s="12" t="s">
        <v>53</v>
      </c>
    </row>
    <row r="619" spans="1:52" s="12" customFormat="1" ht="14.4" hidden="1" x14ac:dyDescent="0.3">
      <c r="A619" s="12" t="s">
        <v>505</v>
      </c>
      <c r="B619" s="12" t="s">
        <v>1899</v>
      </c>
      <c r="C619" s="12">
        <v>70</v>
      </c>
      <c r="D619" s="12">
        <v>221</v>
      </c>
      <c r="F619" s="12" t="s">
        <v>1932</v>
      </c>
      <c r="G619" s="12" t="str">
        <f t="shared" si="13"/>
        <v>7022115704812</v>
      </c>
      <c r="H619" s="12" t="s">
        <v>1933</v>
      </c>
      <c r="I619" s="12">
        <v>15704812</v>
      </c>
      <c r="J619" s="12" t="s">
        <v>1934</v>
      </c>
      <c r="K619" s="12" t="s">
        <v>230</v>
      </c>
      <c r="M619" s="12" t="s">
        <v>193</v>
      </c>
      <c r="N619" s="12" t="s">
        <v>780</v>
      </c>
      <c r="O619" s="12" t="s">
        <v>260</v>
      </c>
      <c r="P619" s="88" t="s">
        <v>261</v>
      </c>
      <c r="Q619" s="13">
        <v>45624</v>
      </c>
      <c r="R619" s="16" t="s">
        <v>138</v>
      </c>
      <c r="S619" s="12" t="s">
        <v>49</v>
      </c>
      <c r="T619" s="12" t="s">
        <v>1905</v>
      </c>
      <c r="U619" s="12" t="s">
        <v>60</v>
      </c>
      <c r="V619" s="13">
        <v>44396</v>
      </c>
      <c r="W619" s="9" t="s">
        <v>138</v>
      </c>
      <c r="X619" s="12" t="s">
        <v>49</v>
      </c>
      <c r="Y619" s="12" t="s">
        <v>1905</v>
      </c>
      <c r="Z619" s="12" t="s">
        <v>60</v>
      </c>
      <c r="AU619" s="12" t="s">
        <v>53</v>
      </c>
    </row>
    <row r="620" spans="1:52" s="12" customFormat="1" ht="14.4" hidden="1" x14ac:dyDescent="0.3">
      <c r="A620" s="12" t="s">
        <v>505</v>
      </c>
      <c r="B620" s="12" t="s">
        <v>1899</v>
      </c>
      <c r="C620" s="12">
        <v>70</v>
      </c>
      <c r="D620" s="12">
        <v>221</v>
      </c>
      <c r="F620" s="12" t="s">
        <v>302</v>
      </c>
      <c r="G620" s="12" t="str">
        <f t="shared" si="13"/>
        <v>7022111058364</v>
      </c>
      <c r="H620" s="12" t="s">
        <v>1935</v>
      </c>
      <c r="I620" s="12">
        <v>11058364</v>
      </c>
      <c r="J620" s="12" t="s">
        <v>1936</v>
      </c>
      <c r="K620" s="12" t="s">
        <v>230</v>
      </c>
      <c r="M620" s="12" t="s">
        <v>193</v>
      </c>
      <c r="N620" s="12" t="s">
        <v>780</v>
      </c>
      <c r="O620" s="12" t="s">
        <v>260</v>
      </c>
      <c r="P620" s="88" t="s">
        <v>261</v>
      </c>
      <c r="Q620" s="13">
        <v>45637</v>
      </c>
      <c r="R620" s="16">
        <v>0.85</v>
      </c>
      <c r="S620" s="12" t="s">
        <v>49</v>
      </c>
      <c r="T620" s="12" t="s">
        <v>1905</v>
      </c>
      <c r="U620" s="12" t="s">
        <v>60</v>
      </c>
      <c r="V620" s="13">
        <v>44302</v>
      </c>
      <c r="W620" s="9" t="s">
        <v>1937</v>
      </c>
      <c r="X620" s="12" t="s">
        <v>49</v>
      </c>
      <c r="Y620" s="12" t="s">
        <v>1905</v>
      </c>
      <c r="Z620" s="12" t="s">
        <v>60</v>
      </c>
      <c r="AU620" s="12" t="s">
        <v>53</v>
      </c>
    </row>
    <row r="621" spans="1:52" s="12" customFormat="1" ht="14.4" hidden="1" x14ac:dyDescent="0.3">
      <c r="A621" s="12" t="s">
        <v>505</v>
      </c>
      <c r="B621" s="12" t="s">
        <v>1899</v>
      </c>
      <c r="C621" s="12">
        <v>70</v>
      </c>
      <c r="D621" s="12">
        <v>221</v>
      </c>
      <c r="F621" s="12" t="s">
        <v>1938</v>
      </c>
      <c r="G621" s="12" t="str">
        <f t="shared" si="13"/>
        <v>702211131109710</v>
      </c>
      <c r="H621" s="12" t="s">
        <v>1939</v>
      </c>
      <c r="I621" s="12">
        <v>1131109710</v>
      </c>
      <c r="J621" s="12" t="s">
        <v>1940</v>
      </c>
      <c r="K621" s="12" t="s">
        <v>230</v>
      </c>
      <c r="L621" s="12">
        <v>3137689846</v>
      </c>
      <c r="M621" s="12" t="s">
        <v>193</v>
      </c>
      <c r="N621" s="12" t="s">
        <v>780</v>
      </c>
      <c r="O621" s="12" t="s">
        <v>260</v>
      </c>
      <c r="P621" s="88" t="s">
        <v>261</v>
      </c>
      <c r="Q621" s="13">
        <v>45611</v>
      </c>
      <c r="R621" s="16">
        <v>0.85</v>
      </c>
      <c r="S621" s="12" t="s">
        <v>49</v>
      </c>
      <c r="T621" s="12" t="s">
        <v>1905</v>
      </c>
      <c r="U621" s="12" t="s">
        <v>60</v>
      </c>
      <c r="V621" s="13">
        <v>44748</v>
      </c>
      <c r="W621" s="11">
        <v>0.8</v>
      </c>
      <c r="X621" s="12" t="s">
        <v>49</v>
      </c>
      <c r="Y621" s="12" t="s">
        <v>1905</v>
      </c>
      <c r="Z621" s="12" t="s">
        <v>60</v>
      </c>
      <c r="AU621" s="12" t="s">
        <v>53</v>
      </c>
    </row>
    <row r="622" spans="1:52" s="12" customFormat="1" ht="14.4" hidden="1" x14ac:dyDescent="0.3">
      <c r="A622" s="12" t="s">
        <v>505</v>
      </c>
      <c r="B622" s="12" t="s">
        <v>1899</v>
      </c>
      <c r="C622" s="12">
        <v>70</v>
      </c>
      <c r="D622" s="12">
        <v>221</v>
      </c>
      <c r="F622" s="12" t="s">
        <v>1941</v>
      </c>
      <c r="G622" s="12" t="str">
        <f t="shared" si="13"/>
        <v>7022118882348-7</v>
      </c>
      <c r="H622" s="12" t="s">
        <v>1942</v>
      </c>
      <c r="I622" s="12" t="s">
        <v>1943</v>
      </c>
      <c r="J622" s="12" t="s">
        <v>1944</v>
      </c>
      <c r="K622" s="12" t="s">
        <v>230</v>
      </c>
      <c r="L622" s="12">
        <v>3005331887</v>
      </c>
      <c r="M622" s="12" t="s">
        <v>193</v>
      </c>
      <c r="N622" s="12" t="s">
        <v>780</v>
      </c>
      <c r="O622" s="12" t="s">
        <v>260</v>
      </c>
      <c r="P622" s="88" t="s">
        <v>261</v>
      </c>
      <c r="Q622" s="13">
        <v>45602</v>
      </c>
      <c r="R622" s="16">
        <v>0.71</v>
      </c>
      <c r="S622" s="12" t="s">
        <v>49</v>
      </c>
      <c r="T622" s="12" t="s">
        <v>1905</v>
      </c>
      <c r="U622" s="12" t="s">
        <v>60</v>
      </c>
      <c r="V622" s="13">
        <v>45228</v>
      </c>
      <c r="W622" s="10">
        <v>0.84499999999999997</v>
      </c>
      <c r="X622" s="12" t="s">
        <v>49</v>
      </c>
      <c r="Y622" s="12" t="s">
        <v>1905</v>
      </c>
      <c r="Z622" s="12" t="s">
        <v>60</v>
      </c>
      <c r="AU622" s="12" t="s">
        <v>53</v>
      </c>
    </row>
    <row r="623" spans="1:52" s="12" customFormat="1" ht="14.4" hidden="1" x14ac:dyDescent="0.3">
      <c r="A623" s="12" t="s">
        <v>505</v>
      </c>
      <c r="B623" s="12" t="s">
        <v>1899</v>
      </c>
      <c r="C623" s="12">
        <v>70</v>
      </c>
      <c r="D623" s="12">
        <v>221</v>
      </c>
      <c r="F623" s="12" t="s">
        <v>1945</v>
      </c>
      <c r="G623" s="12" t="str">
        <f t="shared" si="13"/>
        <v>7022111039676</v>
      </c>
      <c r="H623" s="12" t="s">
        <v>1946</v>
      </c>
      <c r="I623" s="12">
        <v>11039676</v>
      </c>
      <c r="J623" s="12" t="s">
        <v>1947</v>
      </c>
      <c r="K623" s="12" t="s">
        <v>230</v>
      </c>
      <c r="L623" s="12">
        <v>3157735142</v>
      </c>
      <c r="M623" s="12" t="s">
        <v>193</v>
      </c>
      <c r="N623" s="12" t="s">
        <v>780</v>
      </c>
      <c r="O623" s="12" t="s">
        <v>260</v>
      </c>
      <c r="P623" s="88" t="s">
        <v>261</v>
      </c>
      <c r="Q623" s="13">
        <v>45546</v>
      </c>
      <c r="R623" s="16">
        <v>0.85</v>
      </c>
      <c r="S623" s="12" t="s">
        <v>49</v>
      </c>
      <c r="T623" s="12" t="s">
        <v>1905</v>
      </c>
      <c r="U623" s="12" t="s">
        <v>60</v>
      </c>
      <c r="V623" s="13">
        <v>44132</v>
      </c>
      <c r="W623" s="9" t="s">
        <v>1071</v>
      </c>
      <c r="X623" s="12" t="s">
        <v>49</v>
      </c>
      <c r="Y623" s="12" t="s">
        <v>1905</v>
      </c>
      <c r="Z623" s="12" t="s">
        <v>60</v>
      </c>
      <c r="AU623" s="12" t="s">
        <v>53</v>
      </c>
    </row>
    <row r="624" spans="1:52" s="12" customFormat="1" ht="14.4" hidden="1" x14ac:dyDescent="0.3">
      <c r="A624" s="12" t="s">
        <v>505</v>
      </c>
      <c r="B624" s="12" t="s">
        <v>1899</v>
      </c>
      <c r="C624" s="12">
        <v>70</v>
      </c>
      <c r="D624" s="12">
        <v>221</v>
      </c>
      <c r="F624" s="12" t="s">
        <v>1948</v>
      </c>
      <c r="G624" s="12" t="str">
        <f t="shared" si="13"/>
        <v>7022123043473</v>
      </c>
      <c r="H624" s="12" t="s">
        <v>1949</v>
      </c>
      <c r="I624" s="12">
        <v>23043473</v>
      </c>
      <c r="J624" s="12" t="s">
        <v>1936</v>
      </c>
      <c r="K624" s="12" t="s">
        <v>230</v>
      </c>
      <c r="M624" s="12" t="s">
        <v>193</v>
      </c>
      <c r="N624" s="12" t="s">
        <v>780</v>
      </c>
      <c r="O624" s="12" t="s">
        <v>260</v>
      </c>
      <c r="P624" s="88" t="s">
        <v>261</v>
      </c>
      <c r="Q624" s="13">
        <v>45637</v>
      </c>
      <c r="R624" s="16">
        <v>0.79</v>
      </c>
      <c r="S624" s="12" t="s">
        <v>49</v>
      </c>
      <c r="T624" s="12" t="s">
        <v>1905</v>
      </c>
      <c r="U624" s="12" t="s">
        <v>60</v>
      </c>
      <c r="V624" s="13">
        <v>44820</v>
      </c>
      <c r="W624" s="11">
        <v>0.74</v>
      </c>
      <c r="X624" s="12" t="s">
        <v>49</v>
      </c>
      <c r="Y624" s="12" t="s">
        <v>1905</v>
      </c>
      <c r="Z624" s="12" t="s">
        <v>60</v>
      </c>
      <c r="AU624" s="12" t="s">
        <v>53</v>
      </c>
    </row>
    <row r="625" spans="1:47" s="12" customFormat="1" ht="15" hidden="1" customHeight="1" x14ac:dyDescent="0.3">
      <c r="A625" s="12" t="s">
        <v>505</v>
      </c>
      <c r="B625" s="12" t="s">
        <v>1899</v>
      </c>
      <c r="C625" s="12">
        <v>70</v>
      </c>
      <c r="D625" s="12">
        <v>221</v>
      </c>
      <c r="F625" s="12" t="s">
        <v>1950</v>
      </c>
      <c r="G625" s="12" t="str">
        <f t="shared" si="13"/>
        <v>70221615614863</v>
      </c>
      <c r="H625" s="12" t="s">
        <v>1951</v>
      </c>
      <c r="I625" s="12">
        <v>615614863</v>
      </c>
      <c r="J625" s="12" t="s">
        <v>1952</v>
      </c>
      <c r="K625" s="12" t="s">
        <v>230</v>
      </c>
      <c r="L625" s="12">
        <v>3145259625</v>
      </c>
      <c r="M625" s="12" t="s">
        <v>193</v>
      </c>
      <c r="N625" s="12" t="s">
        <v>780</v>
      </c>
      <c r="O625" s="12" t="s">
        <v>260</v>
      </c>
      <c r="P625" s="88" t="s">
        <v>261</v>
      </c>
      <c r="Q625" s="13">
        <v>45602</v>
      </c>
      <c r="R625" s="16" t="s">
        <v>1071</v>
      </c>
      <c r="S625" s="12" t="s">
        <v>49</v>
      </c>
      <c r="T625" s="12" t="s">
        <v>1905</v>
      </c>
      <c r="U625" s="12" t="s">
        <v>60</v>
      </c>
      <c r="V625" s="13">
        <v>44628</v>
      </c>
      <c r="W625" s="9" t="s">
        <v>203</v>
      </c>
      <c r="X625" s="12" t="s">
        <v>49</v>
      </c>
      <c r="Y625" s="12" t="s">
        <v>1905</v>
      </c>
      <c r="Z625" s="12" t="s">
        <v>60</v>
      </c>
      <c r="AU625" s="12" t="s">
        <v>53</v>
      </c>
    </row>
    <row r="626" spans="1:47" s="12" customFormat="1" ht="14.4" hidden="1" x14ac:dyDescent="0.3">
      <c r="A626" s="12" t="s">
        <v>505</v>
      </c>
      <c r="B626" s="12" t="s">
        <v>1899</v>
      </c>
      <c r="C626" s="12">
        <v>70</v>
      </c>
      <c r="D626" s="12">
        <v>221</v>
      </c>
      <c r="F626" s="12" t="s">
        <v>1953</v>
      </c>
      <c r="G626" s="12" t="str">
        <f t="shared" si="13"/>
        <v>702211070821513-5</v>
      </c>
      <c r="H626" s="12" t="s">
        <v>1954</v>
      </c>
      <c r="I626" s="12" t="s">
        <v>1955</v>
      </c>
      <c r="J626" s="12" t="s">
        <v>1956</v>
      </c>
      <c r="K626" s="12" t="s">
        <v>230</v>
      </c>
      <c r="L626" s="12">
        <v>3008040928</v>
      </c>
      <c r="M626" s="12" t="s">
        <v>193</v>
      </c>
      <c r="N626" s="12" t="s">
        <v>780</v>
      </c>
      <c r="O626" s="12" t="s">
        <v>260</v>
      </c>
      <c r="P626" s="88" t="s">
        <v>261</v>
      </c>
      <c r="Q626" s="13">
        <v>45611</v>
      </c>
      <c r="R626" s="16">
        <v>0.82</v>
      </c>
      <c r="S626" s="12" t="s">
        <v>49</v>
      </c>
      <c r="T626" s="12" t="s">
        <v>1905</v>
      </c>
      <c r="U626" s="12" t="s">
        <v>60</v>
      </c>
      <c r="V626" s="13">
        <v>44915</v>
      </c>
      <c r="W626" s="11">
        <v>0.8</v>
      </c>
      <c r="X626" s="12" t="s">
        <v>49</v>
      </c>
      <c r="Y626" s="12" t="s">
        <v>1905</v>
      </c>
      <c r="Z626" s="12" t="s">
        <v>60</v>
      </c>
      <c r="AU626" s="12" t="s">
        <v>53</v>
      </c>
    </row>
    <row r="627" spans="1:47" s="12" customFormat="1" ht="14.4" hidden="1" x14ac:dyDescent="0.3">
      <c r="A627" s="12" t="s">
        <v>505</v>
      </c>
      <c r="B627" s="12" t="s">
        <v>1899</v>
      </c>
      <c r="C627" s="12">
        <v>70</v>
      </c>
      <c r="D627" s="12">
        <v>221</v>
      </c>
      <c r="F627" s="12" t="s">
        <v>1957</v>
      </c>
      <c r="G627" s="12" t="str">
        <f t="shared" si="13"/>
        <v>702211063142078</v>
      </c>
      <c r="H627" s="12" t="s">
        <v>1958</v>
      </c>
      <c r="I627" s="12">
        <v>1063142078</v>
      </c>
      <c r="J627" s="12" t="s">
        <v>1956</v>
      </c>
      <c r="K627" s="12" t="s">
        <v>230</v>
      </c>
      <c r="L627" s="12">
        <v>3216766856</v>
      </c>
      <c r="M627" s="12" t="s">
        <v>193</v>
      </c>
      <c r="N627" s="12" t="s">
        <v>780</v>
      </c>
      <c r="O627" s="12" t="s">
        <v>260</v>
      </c>
      <c r="P627" s="88" t="s">
        <v>261</v>
      </c>
      <c r="Q627" s="13">
        <v>45609</v>
      </c>
      <c r="R627" s="16">
        <v>0.87</v>
      </c>
      <c r="S627" s="12" t="s">
        <v>49</v>
      </c>
      <c r="T627" s="12" t="s">
        <v>1905</v>
      </c>
      <c r="U627" s="12" t="s">
        <v>60</v>
      </c>
      <c r="V627" s="13">
        <v>44312</v>
      </c>
      <c r="W627" s="9" t="s">
        <v>203</v>
      </c>
      <c r="X627" s="12" t="s">
        <v>49</v>
      </c>
      <c r="Y627" s="12" t="s">
        <v>1905</v>
      </c>
      <c r="Z627" s="12" t="s">
        <v>60</v>
      </c>
      <c r="AU627" s="12" t="s">
        <v>53</v>
      </c>
    </row>
    <row r="628" spans="1:47" s="12" customFormat="1" ht="14.4" hidden="1" x14ac:dyDescent="0.3">
      <c r="A628" s="12" t="s">
        <v>505</v>
      </c>
      <c r="B628" s="12" t="s">
        <v>1899</v>
      </c>
      <c r="C628" s="12">
        <v>70</v>
      </c>
      <c r="D628" s="12">
        <v>221</v>
      </c>
      <c r="E628" s="12" t="s">
        <v>1959</v>
      </c>
      <c r="F628" s="12" t="s">
        <v>1960</v>
      </c>
      <c r="G628" s="12" t="str">
        <f t="shared" si="13"/>
        <v>7022115704766</v>
      </c>
      <c r="H628" s="12" t="s">
        <v>1961</v>
      </c>
      <c r="I628" s="12">
        <v>15704766</v>
      </c>
      <c r="J628" s="12" t="s">
        <v>1962</v>
      </c>
      <c r="K628" s="12" t="s">
        <v>230</v>
      </c>
      <c r="L628" s="12">
        <v>3046373178</v>
      </c>
      <c r="M628" s="12" t="s">
        <v>193</v>
      </c>
      <c r="N628" s="12" t="s">
        <v>780</v>
      </c>
      <c r="O628" s="12" t="s">
        <v>260</v>
      </c>
      <c r="P628" s="88" t="s">
        <v>261</v>
      </c>
      <c r="Q628" s="13">
        <v>45553</v>
      </c>
      <c r="R628" s="16">
        <v>0.8</v>
      </c>
      <c r="S628" s="12" t="s">
        <v>49</v>
      </c>
      <c r="T628" s="12" t="s">
        <v>1905</v>
      </c>
      <c r="U628" s="12" t="s">
        <v>60</v>
      </c>
      <c r="V628" s="13">
        <v>44127</v>
      </c>
      <c r="W628" s="9" t="s">
        <v>1963</v>
      </c>
      <c r="X628" s="12" t="s">
        <v>49</v>
      </c>
      <c r="Y628" s="12" t="s">
        <v>1905</v>
      </c>
      <c r="Z628" s="12" t="s">
        <v>60</v>
      </c>
      <c r="AU628" s="12" t="s">
        <v>53</v>
      </c>
    </row>
    <row r="629" spans="1:47" s="12" customFormat="1" ht="14.4" hidden="1" x14ac:dyDescent="0.3">
      <c r="A629" s="12" t="s">
        <v>505</v>
      </c>
      <c r="B629" s="12" t="s">
        <v>1899</v>
      </c>
      <c r="C629" s="12">
        <v>70</v>
      </c>
      <c r="D629" s="12">
        <v>221</v>
      </c>
      <c r="F629" s="12" t="s">
        <v>1964</v>
      </c>
      <c r="G629" s="12" t="str">
        <f t="shared" si="13"/>
        <v>7022192255052</v>
      </c>
      <c r="H629" s="12" t="s">
        <v>1965</v>
      </c>
      <c r="I629" s="12">
        <v>92255052</v>
      </c>
      <c r="J629" s="12" t="s">
        <v>1936</v>
      </c>
      <c r="K629" s="12" t="s">
        <v>230</v>
      </c>
      <c r="L629" s="12">
        <v>3145604379</v>
      </c>
      <c r="M629" s="12" t="s">
        <v>193</v>
      </c>
      <c r="N629" s="12" t="s">
        <v>780</v>
      </c>
      <c r="O629" s="12" t="s">
        <v>260</v>
      </c>
      <c r="P629" s="88" t="s">
        <v>261</v>
      </c>
      <c r="Q629" s="13">
        <v>45604</v>
      </c>
      <c r="R629" s="16" t="s">
        <v>1071</v>
      </c>
      <c r="S629" s="12" t="s">
        <v>49</v>
      </c>
      <c r="T629" s="12" t="s">
        <v>1905</v>
      </c>
      <c r="U629" s="12" t="s">
        <v>60</v>
      </c>
      <c r="V629" s="13">
        <v>44398</v>
      </c>
      <c r="W629" s="9" t="s">
        <v>203</v>
      </c>
      <c r="X629" s="12" t="s">
        <v>49</v>
      </c>
      <c r="Y629" s="12" t="s">
        <v>1905</v>
      </c>
      <c r="Z629" s="12" t="s">
        <v>60</v>
      </c>
      <c r="AU629" s="12" t="s">
        <v>53</v>
      </c>
    </row>
    <row r="630" spans="1:47" s="12" customFormat="1" ht="14.4" hidden="1" x14ac:dyDescent="0.3">
      <c r="A630" s="12" t="s">
        <v>505</v>
      </c>
      <c r="B630" s="12" t="s">
        <v>1899</v>
      </c>
      <c r="C630" s="12">
        <v>70</v>
      </c>
      <c r="D630" s="12">
        <v>221</v>
      </c>
      <c r="F630" s="12" t="s">
        <v>1966</v>
      </c>
      <c r="G630" s="12" t="str">
        <f t="shared" si="13"/>
        <v>7022130652336</v>
      </c>
      <c r="H630" s="12" t="s">
        <v>1967</v>
      </c>
      <c r="I630" s="12">
        <v>30652336</v>
      </c>
      <c r="J630" s="12" t="s">
        <v>1968</v>
      </c>
      <c r="K630" s="12" t="s">
        <v>230</v>
      </c>
      <c r="L630" s="12">
        <v>3233652963</v>
      </c>
      <c r="M630" s="12" t="s">
        <v>193</v>
      </c>
      <c r="N630" s="12" t="s">
        <v>780</v>
      </c>
      <c r="O630" s="12" t="s">
        <v>260</v>
      </c>
      <c r="P630" s="88" t="s">
        <v>261</v>
      </c>
      <c r="Q630" s="13">
        <v>45602</v>
      </c>
      <c r="R630" s="16" t="s">
        <v>1969</v>
      </c>
      <c r="S630" s="12" t="s">
        <v>49</v>
      </c>
      <c r="T630" s="12" t="s">
        <v>1905</v>
      </c>
      <c r="U630" s="12" t="s">
        <v>60</v>
      </c>
      <c r="V630" s="13">
        <v>44329</v>
      </c>
      <c r="W630" s="9" t="s">
        <v>1071</v>
      </c>
      <c r="X630" s="12" t="s">
        <v>49</v>
      </c>
      <c r="Y630" s="12" t="s">
        <v>1905</v>
      </c>
      <c r="Z630" s="12" t="s">
        <v>60</v>
      </c>
      <c r="AU630" s="12" t="s">
        <v>53</v>
      </c>
    </row>
    <row r="631" spans="1:47" s="12" customFormat="1" ht="14.4" hidden="1" x14ac:dyDescent="0.3">
      <c r="A631" s="12" t="s">
        <v>505</v>
      </c>
      <c r="B631" s="12" t="s">
        <v>1899</v>
      </c>
      <c r="C631" s="12">
        <v>70</v>
      </c>
      <c r="D631" s="12">
        <v>221</v>
      </c>
      <c r="F631" s="12" t="s">
        <v>1970</v>
      </c>
      <c r="G631" s="12" t="str">
        <f t="shared" si="13"/>
        <v>7022150988503</v>
      </c>
      <c r="H631" s="12" t="s">
        <v>1971</v>
      </c>
      <c r="I631" s="12">
        <v>50988503</v>
      </c>
      <c r="J631" s="12" t="s">
        <v>1972</v>
      </c>
      <c r="K631" s="12" t="s">
        <v>230</v>
      </c>
      <c r="L631" s="12">
        <v>3012010357</v>
      </c>
      <c r="M631" s="12" t="s">
        <v>193</v>
      </c>
      <c r="N631" s="12" t="s">
        <v>780</v>
      </c>
      <c r="O631" s="12" t="s">
        <v>260</v>
      </c>
      <c r="P631" s="88" t="s">
        <v>261</v>
      </c>
      <c r="Q631" s="13">
        <v>45594</v>
      </c>
      <c r="R631" s="16">
        <v>0.82</v>
      </c>
      <c r="S631" s="12" t="s">
        <v>49</v>
      </c>
      <c r="T631" s="12" t="s">
        <v>1905</v>
      </c>
      <c r="U631" s="12" t="s">
        <v>60</v>
      </c>
      <c r="V631" s="13">
        <v>44824</v>
      </c>
      <c r="W631" s="10">
        <v>0.82499999999999996</v>
      </c>
      <c r="X631" s="12" t="s">
        <v>49</v>
      </c>
      <c r="Y631" s="12" t="s">
        <v>1905</v>
      </c>
      <c r="Z631" s="12" t="s">
        <v>60</v>
      </c>
      <c r="AU631" s="12" t="s">
        <v>53</v>
      </c>
    </row>
    <row r="632" spans="1:47" s="12" customFormat="1" ht="14.4" hidden="1" x14ac:dyDescent="0.3">
      <c r="A632" s="12" t="s">
        <v>505</v>
      </c>
      <c r="B632" s="12" t="s">
        <v>1899</v>
      </c>
      <c r="C632" s="12">
        <v>70</v>
      </c>
      <c r="D632" s="12">
        <v>221</v>
      </c>
      <c r="F632" s="12" t="s">
        <v>1973</v>
      </c>
      <c r="G632" s="12" t="str">
        <f t="shared" si="13"/>
        <v>7022130662831-1</v>
      </c>
      <c r="H632" s="12" t="s">
        <v>1974</v>
      </c>
      <c r="I632" s="12" t="s">
        <v>1975</v>
      </c>
      <c r="J632" s="12" t="s">
        <v>1976</v>
      </c>
      <c r="K632" s="12" t="s">
        <v>230</v>
      </c>
      <c r="L632" s="12">
        <v>3104181611</v>
      </c>
      <c r="M632" s="12" t="s">
        <v>193</v>
      </c>
      <c r="N632" s="12" t="s">
        <v>780</v>
      </c>
      <c r="O632" s="12" t="s">
        <v>260</v>
      </c>
      <c r="P632" s="88" t="s">
        <v>261</v>
      </c>
      <c r="Q632" s="13">
        <v>45602</v>
      </c>
      <c r="R632" s="16" t="s">
        <v>203</v>
      </c>
      <c r="S632" s="12" t="s">
        <v>49</v>
      </c>
      <c r="T632" s="12" t="s">
        <v>1905</v>
      </c>
      <c r="U632" s="12" t="s">
        <v>60</v>
      </c>
      <c r="V632" s="13">
        <v>44741</v>
      </c>
      <c r="W632" s="11">
        <v>0.85</v>
      </c>
      <c r="X632" s="12" t="s">
        <v>49</v>
      </c>
      <c r="Y632" s="12" t="s">
        <v>1905</v>
      </c>
      <c r="Z632" s="12" t="s">
        <v>60</v>
      </c>
      <c r="AU632" s="12" t="s">
        <v>53</v>
      </c>
    </row>
    <row r="633" spans="1:47" s="12" customFormat="1" ht="14.4" hidden="1" x14ac:dyDescent="0.3">
      <c r="A633" s="12" t="s">
        <v>505</v>
      </c>
      <c r="B633" s="12" t="s">
        <v>1899</v>
      </c>
      <c r="C633" s="12">
        <v>70</v>
      </c>
      <c r="D633" s="12">
        <v>221</v>
      </c>
      <c r="F633" s="12" t="s">
        <v>1977</v>
      </c>
      <c r="G633" s="12" t="str">
        <f t="shared" si="13"/>
        <v>7022143001377-2</v>
      </c>
      <c r="H633" s="12" t="s">
        <v>1978</v>
      </c>
      <c r="I633" s="12" t="s">
        <v>1979</v>
      </c>
      <c r="J633" s="12" t="s">
        <v>1980</v>
      </c>
      <c r="K633" s="12" t="s">
        <v>230</v>
      </c>
      <c r="L633" s="12">
        <v>3004614576</v>
      </c>
      <c r="M633" s="12" t="s">
        <v>193</v>
      </c>
      <c r="N633" s="12" t="s">
        <v>780</v>
      </c>
      <c r="O633" s="12" t="s">
        <v>260</v>
      </c>
      <c r="P633" s="88" t="s">
        <v>261</v>
      </c>
      <c r="Q633" s="13">
        <v>45609</v>
      </c>
      <c r="R633" s="16">
        <v>0.90500000000000003</v>
      </c>
      <c r="S633" s="12" t="s">
        <v>319</v>
      </c>
      <c r="T633" s="12" t="s">
        <v>1905</v>
      </c>
      <c r="U633" s="12" t="s">
        <v>60</v>
      </c>
      <c r="V633" s="13">
        <v>45225</v>
      </c>
      <c r="W633" s="10">
        <v>0.90500000000000003</v>
      </c>
      <c r="X633" s="12" t="s">
        <v>319</v>
      </c>
      <c r="Y633" s="12" t="s">
        <v>1905</v>
      </c>
      <c r="Z633" s="12" t="s">
        <v>60</v>
      </c>
      <c r="AU633" s="12" t="s">
        <v>53</v>
      </c>
    </row>
    <row r="634" spans="1:47" s="12" customFormat="1" ht="14.4" hidden="1" x14ac:dyDescent="0.3">
      <c r="A634" s="12" t="s">
        <v>505</v>
      </c>
      <c r="B634" s="12" t="s">
        <v>1899</v>
      </c>
      <c r="C634" s="12">
        <v>70</v>
      </c>
      <c r="D634" s="12">
        <v>221</v>
      </c>
      <c r="F634" s="12" t="s">
        <v>1981</v>
      </c>
      <c r="G634" s="12" t="str">
        <f t="shared" si="13"/>
        <v>70221901210210-1</v>
      </c>
      <c r="H634" s="12" t="s">
        <v>1982</v>
      </c>
      <c r="I634" s="12" t="s">
        <v>1983</v>
      </c>
      <c r="J634" s="12" t="s">
        <v>1956</v>
      </c>
      <c r="K634" s="12" t="s">
        <v>230</v>
      </c>
      <c r="L634" s="12">
        <v>3015016262</v>
      </c>
      <c r="M634" s="12" t="s">
        <v>193</v>
      </c>
      <c r="N634" s="12" t="s">
        <v>780</v>
      </c>
      <c r="O634" s="12" t="s">
        <v>260</v>
      </c>
      <c r="P634" s="88" t="s">
        <v>261</v>
      </c>
      <c r="Q634" s="13">
        <v>45586</v>
      </c>
      <c r="R634" s="16">
        <v>0.85</v>
      </c>
      <c r="S634" s="12" t="s">
        <v>49</v>
      </c>
      <c r="T634" s="12" t="s">
        <v>1905</v>
      </c>
      <c r="U634" s="12" t="s">
        <v>60</v>
      </c>
      <c r="V634" s="13">
        <v>44887</v>
      </c>
      <c r="W634" s="11">
        <v>0.97</v>
      </c>
      <c r="X634" s="12" t="s">
        <v>319</v>
      </c>
      <c r="Y634" s="12" t="s">
        <v>1905</v>
      </c>
      <c r="Z634" s="12" t="s">
        <v>60</v>
      </c>
      <c r="AU634" s="12" t="s">
        <v>53</v>
      </c>
    </row>
    <row r="635" spans="1:47" s="12" customFormat="1" ht="14.4" hidden="1" x14ac:dyDescent="0.3">
      <c r="A635" s="12" t="s">
        <v>505</v>
      </c>
      <c r="B635" s="12" t="s">
        <v>1899</v>
      </c>
      <c r="C635" s="12">
        <v>70</v>
      </c>
      <c r="D635" s="12">
        <v>221</v>
      </c>
      <c r="F635" s="12" t="s">
        <v>1984</v>
      </c>
      <c r="G635" s="12" t="str">
        <f t="shared" si="13"/>
        <v>702211005708568</v>
      </c>
      <c r="H635" s="12" t="s">
        <v>1985</v>
      </c>
      <c r="I635" s="12">
        <v>1005708568</v>
      </c>
      <c r="J635" s="12" t="s">
        <v>1986</v>
      </c>
      <c r="K635" s="12" t="s">
        <v>230</v>
      </c>
      <c r="L635" s="12">
        <v>3145678780</v>
      </c>
      <c r="M635" s="12" t="s">
        <v>193</v>
      </c>
      <c r="N635" s="12" t="s">
        <v>780</v>
      </c>
      <c r="O635" s="12" t="s">
        <v>260</v>
      </c>
      <c r="P635" s="88" t="s">
        <v>261</v>
      </c>
      <c r="Q635" s="13">
        <v>45602</v>
      </c>
      <c r="R635" s="16">
        <v>0.85</v>
      </c>
      <c r="S635" s="12" t="s">
        <v>49</v>
      </c>
      <c r="T635" s="12" t="s">
        <v>1905</v>
      </c>
      <c r="U635" s="12" t="s">
        <v>60</v>
      </c>
      <c r="V635" s="13">
        <v>44861</v>
      </c>
      <c r="W635" s="11">
        <v>0.88</v>
      </c>
      <c r="X635" s="12" t="s">
        <v>49</v>
      </c>
      <c r="Y635" s="12" t="s">
        <v>1905</v>
      </c>
      <c r="Z635" s="12" t="s">
        <v>60</v>
      </c>
      <c r="AU635" s="12" t="s">
        <v>53</v>
      </c>
    </row>
    <row r="636" spans="1:47" s="12" customFormat="1" ht="14.4" hidden="1" x14ac:dyDescent="0.3">
      <c r="A636" s="12" t="s">
        <v>505</v>
      </c>
      <c r="B636" s="12" t="s">
        <v>1899</v>
      </c>
      <c r="C636" s="12">
        <v>70</v>
      </c>
      <c r="D636" s="12">
        <v>221</v>
      </c>
      <c r="F636" s="12" t="s">
        <v>1987</v>
      </c>
      <c r="G636" s="12" t="str">
        <f t="shared" si="13"/>
        <v>70221105377645</v>
      </c>
      <c r="H636" s="12" t="s">
        <v>1988</v>
      </c>
      <c r="I636" s="12">
        <v>105377645</v>
      </c>
      <c r="J636" s="12" t="s">
        <v>1989</v>
      </c>
      <c r="K636" s="12" t="s">
        <v>230</v>
      </c>
      <c r="M636" s="12" t="s">
        <v>193</v>
      </c>
      <c r="N636" s="12" t="s">
        <v>780</v>
      </c>
      <c r="O636" s="12" t="s">
        <v>260</v>
      </c>
      <c r="P636" s="88" t="s">
        <v>261</v>
      </c>
      <c r="R636" s="16"/>
      <c r="V636" s="13">
        <v>45504</v>
      </c>
      <c r="W636" s="10">
        <v>0.875</v>
      </c>
      <c r="X636" s="12" t="s">
        <v>49</v>
      </c>
      <c r="Y636" s="12" t="s">
        <v>1905</v>
      </c>
      <c r="Z636" s="12" t="s">
        <v>60</v>
      </c>
      <c r="AU636" s="12" t="s">
        <v>53</v>
      </c>
    </row>
    <row r="637" spans="1:47" s="12" customFormat="1" ht="14.4" hidden="1" x14ac:dyDescent="0.3">
      <c r="A637" s="12" t="s">
        <v>505</v>
      </c>
      <c r="B637" s="12" t="s">
        <v>1899</v>
      </c>
      <c r="C637" s="12">
        <v>70</v>
      </c>
      <c r="D637" s="12">
        <v>221</v>
      </c>
      <c r="F637" s="12" t="s">
        <v>1187</v>
      </c>
      <c r="G637" s="12" t="str">
        <f t="shared" si="13"/>
        <v>702211104672823-4</v>
      </c>
      <c r="H637" s="12" t="s">
        <v>1990</v>
      </c>
      <c r="I637" s="12" t="s">
        <v>1991</v>
      </c>
      <c r="J637" s="12" t="s">
        <v>1992</v>
      </c>
      <c r="K637" s="12" t="s">
        <v>230</v>
      </c>
      <c r="L637" s="12">
        <v>3217927787</v>
      </c>
      <c r="M637" s="12" t="s">
        <v>193</v>
      </c>
      <c r="N637" s="12" t="s">
        <v>780</v>
      </c>
      <c r="O637" s="12" t="s">
        <v>260</v>
      </c>
      <c r="P637" s="88" t="s">
        <v>261</v>
      </c>
      <c r="Q637" s="13">
        <v>45611</v>
      </c>
      <c r="R637" s="16" t="s">
        <v>221</v>
      </c>
      <c r="S637" s="12" t="s">
        <v>49</v>
      </c>
      <c r="T637" s="12" t="s">
        <v>1905</v>
      </c>
      <c r="U637" s="12" t="s">
        <v>60</v>
      </c>
      <c r="V637" s="13">
        <v>44741</v>
      </c>
      <c r="W637" s="11">
        <v>0.74</v>
      </c>
      <c r="X637" s="12" t="s">
        <v>49</v>
      </c>
      <c r="Y637" s="12" t="s">
        <v>1905</v>
      </c>
      <c r="Z637" s="12" t="s">
        <v>60</v>
      </c>
      <c r="AU637" s="12" t="s">
        <v>53</v>
      </c>
    </row>
    <row r="638" spans="1:47" s="12" customFormat="1" ht="14.4" hidden="1" x14ac:dyDescent="0.3">
      <c r="A638" s="12" t="s">
        <v>505</v>
      </c>
      <c r="B638" s="12" t="s">
        <v>1899</v>
      </c>
      <c r="C638" s="12">
        <v>70</v>
      </c>
      <c r="D638" s="12">
        <v>221</v>
      </c>
      <c r="F638" s="12" t="s">
        <v>1993</v>
      </c>
      <c r="G638" s="12" t="str">
        <f t="shared" si="13"/>
        <v>702211104874742</v>
      </c>
      <c r="H638" s="12" t="s">
        <v>1994</v>
      </c>
      <c r="I638" s="12">
        <v>1104874742</v>
      </c>
      <c r="J638" s="12" t="s">
        <v>1995</v>
      </c>
      <c r="K638" s="12" t="s">
        <v>230</v>
      </c>
      <c r="L638" s="12">
        <v>3243929840</v>
      </c>
      <c r="M638" s="12" t="s">
        <v>193</v>
      </c>
      <c r="N638" s="12" t="s">
        <v>780</v>
      </c>
      <c r="O638" s="12" t="s">
        <v>260</v>
      </c>
      <c r="P638" s="88" t="s">
        <v>261</v>
      </c>
      <c r="Q638" s="13">
        <v>45608</v>
      </c>
      <c r="R638" s="16">
        <v>0.82</v>
      </c>
      <c r="S638" s="12" t="s">
        <v>49</v>
      </c>
      <c r="T638" s="12" t="s">
        <v>1905</v>
      </c>
      <c r="U638" s="12" t="s">
        <v>60</v>
      </c>
      <c r="V638" s="13">
        <v>44394</v>
      </c>
      <c r="W638" s="9" t="s">
        <v>1996</v>
      </c>
      <c r="X638" s="12" t="s">
        <v>49</v>
      </c>
      <c r="Y638" s="12" t="s">
        <v>1905</v>
      </c>
      <c r="Z638" s="12" t="s">
        <v>60</v>
      </c>
      <c r="AU638" s="12" t="s">
        <v>53</v>
      </c>
    </row>
    <row r="639" spans="1:47" s="12" customFormat="1" ht="14.4" hidden="1" x14ac:dyDescent="0.3">
      <c r="A639" s="12" t="s">
        <v>505</v>
      </c>
      <c r="B639" s="12" t="s">
        <v>1899</v>
      </c>
      <c r="C639" s="12">
        <v>70</v>
      </c>
      <c r="D639" s="12">
        <v>221</v>
      </c>
      <c r="F639" s="12" t="s">
        <v>1997</v>
      </c>
      <c r="G639" s="12" t="str">
        <f t="shared" si="13"/>
        <v>70221890900608-9</v>
      </c>
      <c r="H639" s="12" t="s">
        <v>1998</v>
      </c>
      <c r="I639" s="12" t="s">
        <v>1999</v>
      </c>
      <c r="J639" s="12" t="s">
        <v>2000</v>
      </c>
      <c r="K639" s="12" t="s">
        <v>230</v>
      </c>
      <c r="L639" s="12">
        <v>60574424</v>
      </c>
      <c r="M639" s="12" t="s">
        <v>2001</v>
      </c>
      <c r="N639" s="12" t="s">
        <v>780</v>
      </c>
      <c r="O639" s="12" t="s">
        <v>260</v>
      </c>
      <c r="P639" s="88" t="s">
        <v>261</v>
      </c>
      <c r="Q639" s="13">
        <v>45044</v>
      </c>
      <c r="R639" s="16" t="s">
        <v>2002</v>
      </c>
      <c r="S639" s="13" t="s">
        <v>319</v>
      </c>
      <c r="T639" s="12" t="s">
        <v>1905</v>
      </c>
      <c r="U639" s="12" t="s">
        <v>60</v>
      </c>
      <c r="V639" s="13">
        <v>44679</v>
      </c>
      <c r="W639" s="11">
        <v>0.98</v>
      </c>
      <c r="X639" s="12" t="s">
        <v>319</v>
      </c>
      <c r="Y639" s="12" t="s">
        <v>1905</v>
      </c>
      <c r="Z639" s="12" t="s">
        <v>60</v>
      </c>
      <c r="AU639" s="12" t="s">
        <v>53</v>
      </c>
    </row>
    <row r="640" spans="1:47" s="12" customFormat="1" ht="14.4" hidden="1" x14ac:dyDescent="0.3">
      <c r="A640" s="12" t="s">
        <v>505</v>
      </c>
      <c r="B640" s="12" t="s">
        <v>1899</v>
      </c>
      <c r="C640" s="12">
        <v>70</v>
      </c>
      <c r="D640" s="12">
        <v>221</v>
      </c>
      <c r="F640" s="12" t="s">
        <v>2003</v>
      </c>
      <c r="G640" s="12" t="str">
        <f t="shared" si="13"/>
        <v>70221901775997-1</v>
      </c>
      <c r="H640" s="12" t="s">
        <v>2004</v>
      </c>
      <c r="I640" s="12" t="s">
        <v>2005</v>
      </c>
      <c r="J640" s="12" t="s">
        <v>2006</v>
      </c>
      <c r="K640" s="12" t="s">
        <v>230</v>
      </c>
      <c r="L640" s="12">
        <v>3104847006</v>
      </c>
      <c r="M640" s="12" t="s">
        <v>2007</v>
      </c>
      <c r="N640" s="12" t="s">
        <v>780</v>
      </c>
      <c r="O640" s="12" t="s">
        <v>260</v>
      </c>
      <c r="P640" s="88" t="s">
        <v>261</v>
      </c>
      <c r="Q640" s="13">
        <v>45735</v>
      </c>
      <c r="R640" s="16">
        <v>1</v>
      </c>
      <c r="S640" s="12" t="s">
        <v>210</v>
      </c>
      <c r="T640" s="12" t="s">
        <v>1905</v>
      </c>
      <c r="U640" s="12" t="s">
        <v>60</v>
      </c>
      <c r="W640" s="11"/>
      <c r="Y640" s="12" t="s">
        <v>1905</v>
      </c>
      <c r="AU640" s="12" t="s">
        <v>53</v>
      </c>
    </row>
    <row r="641" spans="1:47" s="12" customFormat="1" ht="14.4" hidden="1" x14ac:dyDescent="0.3">
      <c r="A641" s="12" t="s">
        <v>505</v>
      </c>
      <c r="B641" s="12" t="s">
        <v>1899</v>
      </c>
      <c r="C641" s="12">
        <v>70</v>
      </c>
      <c r="D641" s="12">
        <v>221</v>
      </c>
      <c r="F641" s="14" t="s">
        <v>2008</v>
      </c>
      <c r="G641" s="12" t="str">
        <f t="shared" si="13"/>
        <v>702211052094388</v>
      </c>
      <c r="H641" s="12" t="s">
        <v>2009</v>
      </c>
      <c r="I641" s="12">
        <v>1052094388</v>
      </c>
      <c r="J641" s="12" t="s">
        <v>2010</v>
      </c>
      <c r="K641" s="12" t="s">
        <v>230</v>
      </c>
      <c r="L641" s="12" t="s">
        <v>45</v>
      </c>
      <c r="N641" s="12" t="s">
        <v>432</v>
      </c>
      <c r="O641" s="12" t="s">
        <v>432</v>
      </c>
      <c r="P641" s="88" t="s">
        <v>261</v>
      </c>
      <c r="Q641" s="13">
        <v>45412</v>
      </c>
      <c r="R641" s="16">
        <v>0.77</v>
      </c>
      <c r="S641" s="12" t="s">
        <v>49</v>
      </c>
      <c r="T641" s="12" t="s">
        <v>1905</v>
      </c>
      <c r="U641" s="12" t="s">
        <v>60</v>
      </c>
      <c r="W641" s="11"/>
      <c r="Y641" s="12" t="s">
        <v>1905</v>
      </c>
      <c r="AU641" s="12" t="s">
        <v>53</v>
      </c>
    </row>
    <row r="642" spans="1:47" s="12" customFormat="1" ht="14.4" hidden="1" x14ac:dyDescent="0.3">
      <c r="A642" s="12" t="s">
        <v>505</v>
      </c>
      <c r="B642" s="12" t="s">
        <v>1899</v>
      </c>
      <c r="C642" s="12">
        <v>70</v>
      </c>
      <c r="D642" s="12">
        <v>221</v>
      </c>
      <c r="F642" s="14" t="s">
        <v>2011</v>
      </c>
      <c r="G642" s="12" t="str">
        <f t="shared" si="13"/>
        <v>70221901658682-6</v>
      </c>
      <c r="H642" s="12" t="s">
        <v>2012</v>
      </c>
      <c r="I642" s="12" t="s">
        <v>2013</v>
      </c>
      <c r="J642" s="12" t="s">
        <v>2014</v>
      </c>
      <c r="K642" s="12" t="s">
        <v>230</v>
      </c>
      <c r="L642" s="12">
        <v>30127939087</v>
      </c>
      <c r="N642" s="12" t="s">
        <v>432</v>
      </c>
      <c r="O642" s="12" t="s">
        <v>432</v>
      </c>
      <c r="P642" s="88" t="s">
        <v>261</v>
      </c>
      <c r="Q642" s="13">
        <v>45440</v>
      </c>
      <c r="R642" s="18">
        <v>0.96499999999999997</v>
      </c>
      <c r="S642" s="12" t="s">
        <v>319</v>
      </c>
      <c r="T642" s="12" t="s">
        <v>1905</v>
      </c>
      <c r="U642" s="12" t="s">
        <v>60</v>
      </c>
      <c r="W642" s="11"/>
      <c r="Y642" s="12" t="s">
        <v>1905</v>
      </c>
      <c r="AU642" s="12" t="s">
        <v>53</v>
      </c>
    </row>
    <row r="643" spans="1:47" s="12" customFormat="1" ht="14.4" hidden="1" x14ac:dyDescent="0.3">
      <c r="A643" s="12" t="s">
        <v>505</v>
      </c>
      <c r="B643" s="12" t="s">
        <v>1899</v>
      </c>
      <c r="C643" s="12">
        <v>70</v>
      </c>
      <c r="D643" s="12">
        <v>221</v>
      </c>
      <c r="F643" s="14" t="s">
        <v>2015</v>
      </c>
      <c r="G643" s="12" t="str">
        <f t="shared" ref="G643:G675" si="16">C643&amp;D643&amp;I643</f>
        <v>702211063140499-1</v>
      </c>
      <c r="H643" s="12" t="s">
        <v>2016</v>
      </c>
      <c r="I643" s="12" t="s">
        <v>2017</v>
      </c>
      <c r="J643" s="12" t="s">
        <v>2018</v>
      </c>
      <c r="K643" s="12" t="s">
        <v>230</v>
      </c>
      <c r="L643" s="12">
        <v>3004852087</v>
      </c>
      <c r="N643" s="12" t="s">
        <v>432</v>
      </c>
      <c r="O643" s="12" t="s">
        <v>432</v>
      </c>
      <c r="P643" s="88" t="s">
        <v>261</v>
      </c>
      <c r="Q643" s="13">
        <v>45604</v>
      </c>
      <c r="R643" s="18">
        <v>0.96499999999999997</v>
      </c>
      <c r="S643" s="12" t="s">
        <v>319</v>
      </c>
      <c r="T643" s="12" t="s">
        <v>1905</v>
      </c>
      <c r="U643" s="12" t="s">
        <v>60</v>
      </c>
      <c r="W643" s="11"/>
      <c r="Y643" s="12" t="s">
        <v>1905</v>
      </c>
      <c r="AU643" s="12" t="s">
        <v>53</v>
      </c>
    </row>
    <row r="644" spans="1:47" s="12" customFormat="1" ht="14.4" hidden="1" x14ac:dyDescent="0.3">
      <c r="A644" s="12" t="s">
        <v>505</v>
      </c>
      <c r="B644" s="12" t="s">
        <v>1899</v>
      </c>
      <c r="C644" s="12">
        <v>70</v>
      </c>
      <c r="D644" s="12">
        <v>221</v>
      </c>
      <c r="F644" s="14" t="s">
        <v>2019</v>
      </c>
      <c r="G644" s="12" t="str">
        <f t="shared" si="16"/>
        <v>702211193032390</v>
      </c>
      <c r="H644" s="12" t="s">
        <v>2020</v>
      </c>
      <c r="I644" s="12">
        <v>1193032390</v>
      </c>
      <c r="J644" s="12" t="s">
        <v>2021</v>
      </c>
      <c r="K644" s="12" t="s">
        <v>230</v>
      </c>
      <c r="L644" s="12">
        <v>3128069700</v>
      </c>
      <c r="N644" s="12" t="s">
        <v>432</v>
      </c>
      <c r="O644" s="12" t="s">
        <v>432</v>
      </c>
      <c r="P644" s="88" t="s">
        <v>261</v>
      </c>
      <c r="Q644" s="13">
        <v>45589</v>
      </c>
      <c r="R644" s="18">
        <v>0.96499999999999997</v>
      </c>
      <c r="S644" s="12" t="s">
        <v>319</v>
      </c>
      <c r="T644" s="12" t="s">
        <v>1905</v>
      </c>
      <c r="U644" s="12" t="s">
        <v>60</v>
      </c>
      <c r="W644" s="11"/>
      <c r="Y644" s="12" t="s">
        <v>1905</v>
      </c>
      <c r="AU644" s="12" t="s">
        <v>53</v>
      </c>
    </row>
    <row r="645" spans="1:47" s="12" customFormat="1" ht="14.4" hidden="1" x14ac:dyDescent="0.3">
      <c r="A645" s="12" t="s">
        <v>505</v>
      </c>
      <c r="B645" s="12" t="s">
        <v>1899</v>
      </c>
      <c r="C645" s="12">
        <v>70</v>
      </c>
      <c r="D645" s="12">
        <v>221</v>
      </c>
      <c r="F645" s="14" t="s">
        <v>2022</v>
      </c>
      <c r="G645" s="12" t="str">
        <f t="shared" si="16"/>
        <v>7022164921562</v>
      </c>
      <c r="H645" s="12" t="s">
        <v>2023</v>
      </c>
      <c r="I645" s="12">
        <v>64921562</v>
      </c>
      <c r="J645" s="12" t="s">
        <v>2024</v>
      </c>
      <c r="K645" s="12" t="s">
        <v>230</v>
      </c>
      <c r="L645" s="12">
        <v>3007237498</v>
      </c>
      <c r="M645" s="12" t="s">
        <v>2025</v>
      </c>
      <c r="N645" s="12" t="s">
        <v>432</v>
      </c>
      <c r="O645" s="12" t="s">
        <v>432</v>
      </c>
      <c r="P645" s="88" t="s">
        <v>261</v>
      </c>
      <c r="Q645" s="13">
        <v>45198</v>
      </c>
      <c r="R645" s="16">
        <v>0.97</v>
      </c>
      <c r="S645" s="12" t="s">
        <v>210</v>
      </c>
      <c r="T645" s="12" t="s">
        <v>1905</v>
      </c>
      <c r="U645" s="12" t="s">
        <v>60</v>
      </c>
      <c r="W645" s="11"/>
      <c r="Y645" s="12" t="s">
        <v>1905</v>
      </c>
      <c r="AU645" s="12" t="s">
        <v>53</v>
      </c>
    </row>
    <row r="646" spans="1:47" s="12" customFormat="1" ht="14.4" hidden="1" x14ac:dyDescent="0.3">
      <c r="A646" s="12" t="s">
        <v>505</v>
      </c>
      <c r="B646" s="12" t="s">
        <v>1899</v>
      </c>
      <c r="C646" s="12">
        <v>70</v>
      </c>
      <c r="D646" s="12">
        <v>221</v>
      </c>
      <c r="F646" s="14" t="s">
        <v>2026</v>
      </c>
      <c r="G646" s="12" t="str">
        <f t="shared" si="16"/>
        <v>7022132393369</v>
      </c>
      <c r="H646" s="12" t="s">
        <v>2027</v>
      </c>
      <c r="I646" s="12">
        <v>32393369</v>
      </c>
      <c r="J646" s="12" t="s">
        <v>2028</v>
      </c>
      <c r="K646" s="12" t="s">
        <v>230</v>
      </c>
      <c r="L646" s="12" t="s">
        <v>45</v>
      </c>
      <c r="N646" s="12" t="s">
        <v>432</v>
      </c>
      <c r="O646" s="12" t="s">
        <v>432</v>
      </c>
      <c r="P646" s="88" t="s">
        <v>261</v>
      </c>
      <c r="Q646" s="13">
        <v>45415</v>
      </c>
      <c r="R646" s="18">
        <v>0.81499999999999995</v>
      </c>
      <c r="S646" s="12" t="s">
        <v>49</v>
      </c>
      <c r="T646" s="12" t="s">
        <v>1905</v>
      </c>
      <c r="U646" s="12" t="s">
        <v>60</v>
      </c>
      <c r="W646" s="11"/>
      <c r="Y646" s="12" t="s">
        <v>1905</v>
      </c>
      <c r="AU646" s="12" t="s">
        <v>53</v>
      </c>
    </row>
    <row r="647" spans="1:47" s="12" customFormat="1" ht="14.4" hidden="1" x14ac:dyDescent="0.3">
      <c r="A647" s="12" t="s">
        <v>505</v>
      </c>
      <c r="B647" s="12" t="s">
        <v>1899</v>
      </c>
      <c r="C647" s="12">
        <v>70</v>
      </c>
      <c r="D647" s="12">
        <v>221</v>
      </c>
      <c r="F647" s="14" t="s">
        <v>2029</v>
      </c>
      <c r="G647" s="12" t="str">
        <f t="shared" si="16"/>
        <v>7022192228329</v>
      </c>
      <c r="H647" s="12" t="s">
        <v>2030</v>
      </c>
      <c r="I647" s="12">
        <v>92228329</v>
      </c>
      <c r="J647" s="12" t="s">
        <v>2031</v>
      </c>
      <c r="K647" s="12" t="s">
        <v>230</v>
      </c>
      <c r="L647" s="12">
        <v>3016435270</v>
      </c>
      <c r="M647" s="12" t="s">
        <v>2032</v>
      </c>
      <c r="N647" s="12" t="s">
        <v>432</v>
      </c>
      <c r="O647" s="12" t="s">
        <v>432</v>
      </c>
      <c r="P647" s="88" t="s">
        <v>261</v>
      </c>
      <c r="Q647" s="13">
        <v>45688</v>
      </c>
      <c r="R647" s="18">
        <v>0.96499999999999997</v>
      </c>
      <c r="S647" s="12" t="s">
        <v>319</v>
      </c>
      <c r="T647" s="12" t="s">
        <v>1905</v>
      </c>
      <c r="U647" s="12" t="s">
        <v>60</v>
      </c>
      <c r="W647" s="11"/>
      <c r="Y647" s="12" t="s">
        <v>1905</v>
      </c>
      <c r="AU647" s="12" t="s">
        <v>53</v>
      </c>
    </row>
    <row r="648" spans="1:47" s="12" customFormat="1" ht="14.4" hidden="1" x14ac:dyDescent="0.3">
      <c r="A648" s="12" t="s">
        <v>505</v>
      </c>
      <c r="B648" s="12" t="s">
        <v>1899</v>
      </c>
      <c r="C648" s="12">
        <v>70</v>
      </c>
      <c r="D648" s="12">
        <v>221</v>
      </c>
      <c r="F648" s="276" t="s">
        <v>9131</v>
      </c>
      <c r="G648" s="12" t="str">
        <f t="shared" si="16"/>
        <v>7022110679675471</v>
      </c>
      <c r="H648" s="12" t="s">
        <v>9132</v>
      </c>
      <c r="I648" s="12">
        <v>10679675471</v>
      </c>
      <c r="J648" s="12" t="s">
        <v>9133</v>
      </c>
      <c r="K648" s="12" t="s">
        <v>44</v>
      </c>
      <c r="L648" s="12">
        <v>3113635597</v>
      </c>
      <c r="M648" s="17" t="s">
        <v>9134</v>
      </c>
      <c r="N648" s="12" t="s">
        <v>432</v>
      </c>
      <c r="O648" s="12" t="s">
        <v>432</v>
      </c>
      <c r="P648" s="88" t="s">
        <v>261</v>
      </c>
      <c r="Q648" s="13">
        <v>46190</v>
      </c>
      <c r="R648" s="18" t="s">
        <v>7868</v>
      </c>
      <c r="S648" s="12" t="s">
        <v>210</v>
      </c>
      <c r="T648" s="12" t="s">
        <v>1905</v>
      </c>
      <c r="U648" s="12" t="s">
        <v>2456</v>
      </c>
      <c r="V648" s="13">
        <v>45940</v>
      </c>
      <c r="W648" s="11" t="s">
        <v>7868</v>
      </c>
      <c r="X648" s="12" t="s">
        <v>319</v>
      </c>
      <c r="Y648" s="12" t="s">
        <v>1905</v>
      </c>
      <c r="Z648" s="12" t="s">
        <v>2456</v>
      </c>
      <c r="AU648" s="12" t="s">
        <v>53</v>
      </c>
    </row>
    <row r="649" spans="1:47" s="12" customFormat="1" ht="14.4" x14ac:dyDescent="0.3">
      <c r="A649" s="12" t="s">
        <v>505</v>
      </c>
      <c r="B649" s="12" t="s">
        <v>1899</v>
      </c>
      <c r="C649" s="12">
        <v>70</v>
      </c>
      <c r="D649" s="12">
        <v>221</v>
      </c>
      <c r="F649" s="276" t="s">
        <v>8760</v>
      </c>
      <c r="G649" s="12" t="str">
        <f t="shared" si="16"/>
        <v>70221232156813</v>
      </c>
      <c r="H649" s="12" t="s">
        <v>2039</v>
      </c>
      <c r="I649" s="12">
        <v>232156813</v>
      </c>
      <c r="J649" s="12" t="s">
        <v>8761</v>
      </c>
      <c r="K649" s="12" t="s">
        <v>230</v>
      </c>
      <c r="L649" s="12">
        <v>3007321725</v>
      </c>
      <c r="M649" s="12" t="s">
        <v>8762</v>
      </c>
      <c r="N649" s="12" t="s">
        <v>46</v>
      </c>
      <c r="O649" s="12" t="s">
        <v>47</v>
      </c>
      <c r="P649" s="88" t="s">
        <v>48</v>
      </c>
      <c r="Q649" s="13">
        <v>46127</v>
      </c>
      <c r="R649" s="12" t="s">
        <v>8270</v>
      </c>
      <c r="S649" s="12" t="s">
        <v>49</v>
      </c>
      <c r="T649" s="12" t="s">
        <v>2042</v>
      </c>
      <c r="U649" s="12" t="s">
        <v>60</v>
      </c>
      <c r="V649" s="13">
        <v>45964</v>
      </c>
      <c r="W649" s="16">
        <v>0.85</v>
      </c>
      <c r="X649" s="12" t="s">
        <v>49</v>
      </c>
      <c r="Y649" s="12" t="s">
        <v>1905</v>
      </c>
      <c r="Z649" s="12" t="s">
        <v>60</v>
      </c>
      <c r="AC649" s="13">
        <v>45461</v>
      </c>
      <c r="AD649" s="16">
        <v>0.91</v>
      </c>
      <c r="AE649" s="12" t="s">
        <v>319</v>
      </c>
      <c r="AF649" s="12" t="s">
        <v>60</v>
      </c>
      <c r="AI649" s="13">
        <v>44860</v>
      </c>
      <c r="AJ649" s="11">
        <v>0.78</v>
      </c>
      <c r="AK649" s="12" t="s">
        <v>49</v>
      </c>
      <c r="AL649" s="12" t="s">
        <v>60</v>
      </c>
      <c r="AU649" s="12" t="s">
        <v>53</v>
      </c>
    </row>
    <row r="650" spans="1:47" s="12" customFormat="1" ht="14.4" x14ac:dyDescent="0.3">
      <c r="A650" s="12" t="s">
        <v>505</v>
      </c>
      <c r="B650" s="12" t="s">
        <v>1899</v>
      </c>
      <c r="C650" s="12">
        <v>70</v>
      </c>
      <c r="D650" s="12">
        <v>221</v>
      </c>
      <c r="F650" s="276" t="s">
        <v>9138</v>
      </c>
      <c r="G650" s="12" t="str">
        <f t="shared" si="16"/>
        <v>702219016472449</v>
      </c>
      <c r="H650" s="12" t="s">
        <v>9139</v>
      </c>
      <c r="I650" s="12">
        <v>9016472449</v>
      </c>
      <c r="J650" s="12" t="s">
        <v>2040</v>
      </c>
      <c r="K650" s="12" t="s">
        <v>44</v>
      </c>
      <c r="L650" s="12">
        <v>3001936990</v>
      </c>
      <c r="M650" s="12" t="s">
        <v>2041</v>
      </c>
      <c r="N650" s="12" t="s">
        <v>46</v>
      </c>
      <c r="O650" s="12" t="s">
        <v>47</v>
      </c>
      <c r="P650" s="88" t="s">
        <v>48</v>
      </c>
      <c r="Q650" s="13">
        <v>46189</v>
      </c>
      <c r="R650" s="12" t="s">
        <v>2106</v>
      </c>
      <c r="S650" s="12" t="s">
        <v>210</v>
      </c>
      <c r="T650" s="12" t="s">
        <v>1905</v>
      </c>
      <c r="U650" s="12" t="s">
        <v>60</v>
      </c>
      <c r="V650" s="13">
        <v>45873</v>
      </c>
      <c r="W650" s="18">
        <v>0.83499999999999996</v>
      </c>
      <c r="X650" s="12" t="s">
        <v>139</v>
      </c>
      <c r="Y650" s="12" t="s">
        <v>2042</v>
      </c>
      <c r="Z650" s="12" t="s">
        <v>60</v>
      </c>
      <c r="AC650" s="13">
        <v>45538</v>
      </c>
      <c r="AD650" s="16">
        <v>0.88</v>
      </c>
      <c r="AE650" s="12" t="s">
        <v>319</v>
      </c>
      <c r="AF650" s="12" t="s">
        <v>60</v>
      </c>
      <c r="AI650" s="13">
        <v>44815</v>
      </c>
      <c r="AJ650" s="11">
        <v>0.88</v>
      </c>
      <c r="AK650" s="12" t="s">
        <v>49</v>
      </c>
      <c r="AL650" s="12" t="s">
        <v>60</v>
      </c>
      <c r="AU650" s="12" t="s">
        <v>53</v>
      </c>
    </row>
    <row r="651" spans="1:47" s="12" customFormat="1" ht="14.4" x14ac:dyDescent="0.3">
      <c r="A651" s="12" t="s">
        <v>505</v>
      </c>
      <c r="B651" s="12" t="s">
        <v>1899</v>
      </c>
      <c r="C651" s="12">
        <v>70</v>
      </c>
      <c r="D651" s="12">
        <v>221</v>
      </c>
      <c r="F651" s="276" t="s">
        <v>2043</v>
      </c>
      <c r="G651" s="12" t="str">
        <f t="shared" si="16"/>
        <v>7022178076453-3</v>
      </c>
      <c r="H651" s="12" t="s">
        <v>2044</v>
      </c>
      <c r="I651" s="12" t="s">
        <v>2045</v>
      </c>
      <c r="J651" s="12" t="s">
        <v>2046</v>
      </c>
      <c r="K651" s="12" t="s">
        <v>230</v>
      </c>
      <c r="L651" s="12">
        <v>3218054006</v>
      </c>
      <c r="M651" s="12" t="s">
        <v>2047</v>
      </c>
      <c r="N651" s="12" t="s">
        <v>46</v>
      </c>
      <c r="O651" s="12" t="s">
        <v>47</v>
      </c>
      <c r="P651" s="88" t="s">
        <v>48</v>
      </c>
      <c r="Q651" s="13">
        <v>45881</v>
      </c>
      <c r="R651" s="59">
        <v>0.80500000000000005</v>
      </c>
      <c r="S651" s="12" t="s">
        <v>49</v>
      </c>
      <c r="T651" s="12" t="s">
        <v>1905</v>
      </c>
      <c r="U651" s="12" t="s">
        <v>60</v>
      </c>
      <c r="V651" s="13">
        <v>45253</v>
      </c>
      <c r="W651" s="11"/>
      <c r="Y651" s="12" t="s">
        <v>1905</v>
      </c>
      <c r="AU651" s="12" t="s">
        <v>53</v>
      </c>
    </row>
    <row r="652" spans="1:47" s="12" customFormat="1" ht="14.4" x14ac:dyDescent="0.3">
      <c r="A652" s="12" t="s">
        <v>505</v>
      </c>
      <c r="B652" s="12" t="s">
        <v>1899</v>
      </c>
      <c r="C652" s="12">
        <v>70</v>
      </c>
      <c r="D652" s="12">
        <v>221</v>
      </c>
      <c r="F652" s="276" t="s">
        <v>2048</v>
      </c>
      <c r="G652" s="12" t="str">
        <f t="shared" si="16"/>
        <v>7022110375783651</v>
      </c>
      <c r="H652" s="12" t="s">
        <v>2049</v>
      </c>
      <c r="I652" s="12">
        <v>10375783651</v>
      </c>
      <c r="J652" s="12" t="s">
        <v>2018</v>
      </c>
      <c r="K652" s="12" t="s">
        <v>192</v>
      </c>
      <c r="L652" s="12">
        <v>3107385624</v>
      </c>
      <c r="M652" s="12" t="s">
        <v>8950</v>
      </c>
      <c r="N652" s="12" t="s">
        <v>46</v>
      </c>
      <c r="O652" s="12" t="s">
        <v>47</v>
      </c>
      <c r="P652" s="88" t="s">
        <v>48</v>
      </c>
      <c r="Q652" s="13">
        <v>46157</v>
      </c>
      <c r="R652" s="12">
        <v>76</v>
      </c>
      <c r="S652" s="12" t="s">
        <v>49</v>
      </c>
      <c r="T652" s="12" t="s">
        <v>2042</v>
      </c>
      <c r="U652" s="12" t="s">
        <v>60</v>
      </c>
      <c r="V652" s="13">
        <v>45841</v>
      </c>
      <c r="W652" s="55">
        <v>0.77500000000000002</v>
      </c>
      <c r="X652" s="12" t="s">
        <v>49</v>
      </c>
      <c r="Y652" s="12" t="s">
        <v>2042</v>
      </c>
      <c r="Z652" s="12" t="s">
        <v>60</v>
      </c>
      <c r="AU652" s="12" t="s">
        <v>53</v>
      </c>
    </row>
    <row r="653" spans="1:47" s="12" customFormat="1" ht="14.4" x14ac:dyDescent="0.3">
      <c r="A653" s="12" t="s">
        <v>505</v>
      </c>
      <c r="B653" s="12" t="s">
        <v>1899</v>
      </c>
      <c r="C653" s="12">
        <v>70</v>
      </c>
      <c r="D653" s="12">
        <v>221</v>
      </c>
      <c r="F653" s="276" t="s">
        <v>2050</v>
      </c>
      <c r="G653" s="12" t="str">
        <f t="shared" si="16"/>
        <v>702218110249601</v>
      </c>
      <c r="H653" s="12" t="s">
        <v>8946</v>
      </c>
      <c r="I653" s="12">
        <v>8110249601</v>
      </c>
      <c r="J653" s="12" t="s">
        <v>8947</v>
      </c>
      <c r="K653" s="12" t="s">
        <v>192</v>
      </c>
      <c r="L653" s="12">
        <v>3167442279</v>
      </c>
      <c r="M653" s="12" t="s">
        <v>8948</v>
      </c>
      <c r="N653" s="12" t="s">
        <v>46</v>
      </c>
      <c r="O653" s="12" t="s">
        <v>47</v>
      </c>
      <c r="P653" s="88" t="s">
        <v>48</v>
      </c>
      <c r="Q653" s="13">
        <v>46164</v>
      </c>
      <c r="R653" s="12" t="s">
        <v>1906</v>
      </c>
      <c r="S653" s="12" t="s">
        <v>49</v>
      </c>
      <c r="T653" s="12" t="s">
        <v>2042</v>
      </c>
      <c r="U653" s="12" t="s">
        <v>60</v>
      </c>
      <c r="V653" s="13">
        <v>45841</v>
      </c>
      <c r="W653" s="59">
        <v>0.76500000000000001</v>
      </c>
      <c r="X653" s="12" t="s">
        <v>49</v>
      </c>
      <c r="Y653" s="12" t="s">
        <v>2042</v>
      </c>
      <c r="Z653" s="12" t="s">
        <v>60</v>
      </c>
      <c r="AC653" s="13">
        <v>44993</v>
      </c>
      <c r="AD653" s="11">
        <v>0.79</v>
      </c>
      <c r="AE653" s="12" t="s">
        <v>49</v>
      </c>
      <c r="AF653" s="12" t="s">
        <v>60</v>
      </c>
      <c r="AU653" s="12" t="s">
        <v>53</v>
      </c>
    </row>
    <row r="654" spans="1:47" s="12" customFormat="1" ht="14.4" x14ac:dyDescent="0.3">
      <c r="A654" s="12" t="s">
        <v>505</v>
      </c>
      <c r="B654" s="12" t="s">
        <v>1899</v>
      </c>
      <c r="C654" s="12">
        <v>70</v>
      </c>
      <c r="D654" s="12">
        <v>221</v>
      </c>
      <c r="F654" s="276" t="s">
        <v>2051</v>
      </c>
      <c r="G654" s="12" t="str">
        <f t="shared" si="16"/>
        <v>7022139267757</v>
      </c>
      <c r="H654" s="12" t="s">
        <v>2052</v>
      </c>
      <c r="I654" s="12">
        <v>39267757</v>
      </c>
      <c r="J654" s="12" t="s">
        <v>2053</v>
      </c>
      <c r="K654" s="12" t="s">
        <v>192</v>
      </c>
      <c r="L654" s="12">
        <v>3225288163</v>
      </c>
      <c r="M654" s="12" t="s">
        <v>193</v>
      </c>
      <c r="N654" s="12" t="s">
        <v>46</v>
      </c>
      <c r="O654" s="12" t="s">
        <v>47</v>
      </c>
      <c r="P654" s="88" t="s">
        <v>48</v>
      </c>
      <c r="Q654" s="13">
        <v>46161</v>
      </c>
      <c r="R654" s="12" t="s">
        <v>8949</v>
      </c>
      <c r="S654" s="12" t="s">
        <v>49</v>
      </c>
      <c r="T654" s="12" t="s">
        <v>2042</v>
      </c>
      <c r="U654" s="12" t="s">
        <v>60</v>
      </c>
      <c r="V654" s="13" t="s">
        <v>2054</v>
      </c>
      <c r="W654" s="59">
        <v>0.67500000000000004</v>
      </c>
      <c r="X654" s="12" t="s">
        <v>49</v>
      </c>
      <c r="Y654" s="12" t="s">
        <v>2042</v>
      </c>
      <c r="Z654" s="12" t="s">
        <v>60</v>
      </c>
      <c r="AC654" s="13">
        <v>44779</v>
      </c>
      <c r="AD654" s="11">
        <v>0.8</v>
      </c>
      <c r="AE654" s="12" t="s">
        <v>49</v>
      </c>
      <c r="AF654" s="12" t="s">
        <v>60</v>
      </c>
      <c r="AU654" s="12" t="s">
        <v>53</v>
      </c>
    </row>
    <row r="655" spans="1:47" s="12" customFormat="1" ht="14.4" x14ac:dyDescent="0.3">
      <c r="A655" s="12" t="s">
        <v>505</v>
      </c>
      <c r="B655" s="12" t="s">
        <v>1899</v>
      </c>
      <c r="C655" s="12">
        <v>70</v>
      </c>
      <c r="D655" s="12">
        <v>221</v>
      </c>
      <c r="F655" s="276" t="s">
        <v>2055</v>
      </c>
      <c r="G655" s="12" t="str">
        <f t="shared" si="16"/>
        <v>70221193383511</v>
      </c>
      <c r="H655" s="12" t="s">
        <v>2056</v>
      </c>
      <c r="I655" s="12">
        <v>193383511</v>
      </c>
      <c r="J655" s="12" t="s">
        <v>2057</v>
      </c>
      <c r="K655" s="12" t="s">
        <v>44</v>
      </c>
      <c r="L655" s="12">
        <v>3144324730</v>
      </c>
      <c r="M655" s="12" t="s">
        <v>2058</v>
      </c>
      <c r="N655" s="12" t="s">
        <v>46</v>
      </c>
      <c r="O655" s="12" t="s">
        <v>47</v>
      </c>
      <c r="P655" s="88" t="s">
        <v>48</v>
      </c>
      <c r="Q655" s="13">
        <v>46212</v>
      </c>
      <c r="R655" s="16">
        <v>0.84</v>
      </c>
      <c r="S655" s="12" t="s">
        <v>49</v>
      </c>
      <c r="T655" s="12" t="s">
        <v>1905</v>
      </c>
      <c r="U655" s="12" t="s">
        <v>60</v>
      </c>
      <c r="V655" s="13">
        <v>45818</v>
      </c>
      <c r="W655" s="16">
        <v>0.81</v>
      </c>
      <c r="X655" s="12" t="s">
        <v>49</v>
      </c>
      <c r="Y655" s="12" t="s">
        <v>1905</v>
      </c>
      <c r="Z655" s="12" t="s">
        <v>60</v>
      </c>
      <c r="AC655" s="13" t="s">
        <v>2059</v>
      </c>
      <c r="AD655" s="11">
        <v>0.71</v>
      </c>
      <c r="AE655" s="12" t="s">
        <v>49</v>
      </c>
      <c r="AF655" s="12" t="s">
        <v>60</v>
      </c>
      <c r="AU655" s="12" t="s">
        <v>53</v>
      </c>
    </row>
    <row r="656" spans="1:47" s="12" customFormat="1" ht="14.4" x14ac:dyDescent="0.3">
      <c r="A656" s="12" t="s">
        <v>505</v>
      </c>
      <c r="B656" s="12" t="s">
        <v>1899</v>
      </c>
      <c r="C656" s="12">
        <v>70</v>
      </c>
      <c r="D656" s="12">
        <v>221</v>
      </c>
      <c r="F656" s="276" t="s">
        <v>9146</v>
      </c>
      <c r="G656" s="12" t="str">
        <f t="shared" si="16"/>
        <v>70221112309516</v>
      </c>
      <c r="H656" s="12" t="s">
        <v>9147</v>
      </c>
      <c r="I656" s="12">
        <v>112309516</v>
      </c>
      <c r="J656" s="12" t="s">
        <v>2060</v>
      </c>
      <c r="K656" s="12" t="s">
        <v>44</v>
      </c>
      <c r="L656" s="12">
        <v>3104075213</v>
      </c>
      <c r="M656" s="17" t="s">
        <v>9148</v>
      </c>
      <c r="N656" s="12" t="s">
        <v>46</v>
      </c>
      <c r="O656" s="12" t="s">
        <v>47</v>
      </c>
      <c r="P656" s="88" t="s">
        <v>48</v>
      </c>
      <c r="Q656" s="13">
        <v>46226</v>
      </c>
      <c r="R656" s="12" t="s">
        <v>142</v>
      </c>
      <c r="S656" s="12" t="s">
        <v>49</v>
      </c>
      <c r="T656" s="12" t="s">
        <v>1905</v>
      </c>
      <c r="U656" s="12" t="s">
        <v>60</v>
      </c>
      <c r="V656" s="13">
        <v>45796</v>
      </c>
      <c r="W656" s="16">
        <v>0.91</v>
      </c>
      <c r="X656" s="12" t="s">
        <v>319</v>
      </c>
      <c r="Y656" s="12" t="s">
        <v>1905</v>
      </c>
      <c r="Z656" s="12" t="s">
        <v>60</v>
      </c>
      <c r="AC656" s="13">
        <v>45280</v>
      </c>
      <c r="AD656" s="11">
        <v>0.87</v>
      </c>
      <c r="AE656" s="12" t="s">
        <v>49</v>
      </c>
      <c r="AF656" s="12" t="s">
        <v>60</v>
      </c>
      <c r="AU656" s="12" t="s">
        <v>53</v>
      </c>
    </row>
    <row r="657" spans="1:47" s="12" customFormat="1" ht="14.4" x14ac:dyDescent="0.3">
      <c r="A657" s="12" t="s">
        <v>505</v>
      </c>
      <c r="B657" s="12" t="s">
        <v>1899</v>
      </c>
      <c r="C657" s="12">
        <v>70</v>
      </c>
      <c r="D657" s="12">
        <v>221</v>
      </c>
      <c r="F657" s="276" t="s">
        <v>2061</v>
      </c>
      <c r="G657" s="12" t="str">
        <f t="shared" si="16"/>
        <v>702219016945537</v>
      </c>
      <c r="H657" s="12" t="s">
        <v>2062</v>
      </c>
      <c r="I657" s="12">
        <v>9016945537</v>
      </c>
      <c r="J657" s="12" t="s">
        <v>9087</v>
      </c>
      <c r="K657" s="12" t="s">
        <v>230</v>
      </c>
      <c r="L657" s="12">
        <v>3216599594</v>
      </c>
      <c r="M657" s="12" t="s">
        <v>2063</v>
      </c>
      <c r="N657" s="12" t="s">
        <v>46</v>
      </c>
      <c r="O657" s="12" t="s">
        <v>47</v>
      </c>
      <c r="P657" s="88" t="s">
        <v>48</v>
      </c>
      <c r="Q657" s="13">
        <v>46189</v>
      </c>
      <c r="R657" s="11">
        <v>0.8</v>
      </c>
      <c r="S657" s="12" t="s">
        <v>74</v>
      </c>
      <c r="T657" s="12" t="s">
        <v>9086</v>
      </c>
      <c r="U657" s="12" t="s">
        <v>60</v>
      </c>
      <c r="V657" s="13">
        <v>45803</v>
      </c>
      <c r="W657" s="55">
        <v>0.96499999999999997</v>
      </c>
      <c r="X657" s="12" t="s">
        <v>319</v>
      </c>
      <c r="Y657" s="12" t="s">
        <v>1905</v>
      </c>
      <c r="Z657" s="12" t="s">
        <v>60</v>
      </c>
      <c r="AU657" s="12" t="s">
        <v>53</v>
      </c>
    </row>
    <row r="658" spans="1:47" s="12" customFormat="1" ht="14.4" hidden="1" x14ac:dyDescent="0.3">
      <c r="A658" s="12" t="s">
        <v>505</v>
      </c>
      <c r="B658" s="12" t="s">
        <v>1899</v>
      </c>
      <c r="C658" s="12">
        <v>70</v>
      </c>
      <c r="D658" s="12">
        <v>221</v>
      </c>
      <c r="F658" s="276" t="s">
        <v>2064</v>
      </c>
      <c r="G658" s="12" t="str">
        <f t="shared" si="16"/>
        <v>7022143322276</v>
      </c>
      <c r="H658" s="12" t="s">
        <v>8763</v>
      </c>
      <c r="I658" s="12">
        <v>43322276</v>
      </c>
      <c r="J658" s="12" t="s">
        <v>8764</v>
      </c>
      <c r="K658" s="12" t="s">
        <v>230</v>
      </c>
      <c r="L658" s="12">
        <v>3172875306</v>
      </c>
      <c r="M658" s="12" t="s">
        <v>8765</v>
      </c>
      <c r="N658" s="12" t="s">
        <v>46</v>
      </c>
      <c r="O658" s="12" t="s">
        <v>2797</v>
      </c>
      <c r="P658" s="88" t="s">
        <v>80</v>
      </c>
      <c r="Q658" s="13">
        <v>46127</v>
      </c>
      <c r="R658" s="12" t="s">
        <v>8270</v>
      </c>
      <c r="S658" s="12" t="s">
        <v>49</v>
      </c>
      <c r="T658" s="12" t="s">
        <v>2042</v>
      </c>
      <c r="U658" s="12" t="s">
        <v>60</v>
      </c>
      <c r="V658" s="13">
        <v>45586</v>
      </c>
      <c r="W658" s="16">
        <v>0.95</v>
      </c>
      <c r="X658" s="12" t="s">
        <v>319</v>
      </c>
      <c r="Y658" s="12" t="s">
        <v>1905</v>
      </c>
      <c r="Z658" s="12" t="s">
        <v>60</v>
      </c>
      <c r="AC658" s="13">
        <v>44425</v>
      </c>
      <c r="AD658" s="11">
        <v>0.85</v>
      </c>
      <c r="AE658" s="12" t="s">
        <v>49</v>
      </c>
      <c r="AF658" s="12" t="s">
        <v>60</v>
      </c>
      <c r="AU658" s="12" t="s">
        <v>53</v>
      </c>
    </row>
    <row r="659" spans="1:47" s="12" customFormat="1" ht="14.4" x14ac:dyDescent="0.3">
      <c r="A659" s="12" t="s">
        <v>505</v>
      </c>
      <c r="B659" s="12" t="s">
        <v>1899</v>
      </c>
      <c r="C659" s="12">
        <v>70</v>
      </c>
      <c r="D659" s="12">
        <v>221</v>
      </c>
      <c r="F659" s="276" t="s">
        <v>2065</v>
      </c>
      <c r="G659" s="12" t="str">
        <f t="shared" si="16"/>
        <v>702211131106771-3</v>
      </c>
      <c r="H659" s="12" t="s">
        <v>2066</v>
      </c>
      <c r="I659" s="12" t="s">
        <v>2067</v>
      </c>
      <c r="J659" s="12" t="s">
        <v>1980</v>
      </c>
      <c r="K659" s="12" t="s">
        <v>230</v>
      </c>
      <c r="L659" s="12">
        <v>3045870687</v>
      </c>
      <c r="M659" s="12" t="s">
        <v>2068</v>
      </c>
      <c r="N659" s="12" t="s">
        <v>46</v>
      </c>
      <c r="O659" s="12" t="s">
        <v>47</v>
      </c>
      <c r="P659" s="88" t="s">
        <v>48</v>
      </c>
      <c r="Q659" s="13">
        <v>45771</v>
      </c>
      <c r="R659" s="16" t="s">
        <v>1906</v>
      </c>
      <c r="S659" s="12" t="s">
        <v>49</v>
      </c>
      <c r="T659" s="12" t="s">
        <v>2069</v>
      </c>
      <c r="U659" s="12" t="s">
        <v>60</v>
      </c>
      <c r="V659" s="13">
        <v>45617</v>
      </c>
      <c r="W659" s="16" t="s">
        <v>1906</v>
      </c>
      <c r="X659" s="12" t="s">
        <v>49</v>
      </c>
      <c r="Y659" s="12" t="s">
        <v>1905</v>
      </c>
      <c r="Z659" s="12" t="s">
        <v>60</v>
      </c>
      <c r="AC659" s="13">
        <v>44832</v>
      </c>
      <c r="AD659" s="11">
        <v>0.67</v>
      </c>
      <c r="AE659" s="12" t="s">
        <v>49</v>
      </c>
      <c r="AU659" s="12" t="s">
        <v>53</v>
      </c>
    </row>
    <row r="660" spans="1:47" s="12" customFormat="1" ht="14.4" x14ac:dyDescent="0.3">
      <c r="A660" s="12" t="s">
        <v>505</v>
      </c>
      <c r="B660" s="12" t="s">
        <v>1899</v>
      </c>
      <c r="C660" s="12">
        <v>70</v>
      </c>
      <c r="D660" s="12">
        <v>221</v>
      </c>
      <c r="F660" s="276" t="s">
        <v>8968</v>
      </c>
      <c r="G660" s="12" t="str">
        <f t="shared" si="16"/>
        <v>70221800010792-1</v>
      </c>
      <c r="H660" s="12" t="s">
        <v>2070</v>
      </c>
      <c r="I660" s="12" t="s">
        <v>2071</v>
      </c>
      <c r="J660" s="12" t="s">
        <v>2072</v>
      </c>
      <c r="K660" s="12" t="s">
        <v>230</v>
      </c>
      <c r="L660" s="12">
        <v>3013534111</v>
      </c>
      <c r="M660" s="12" t="s">
        <v>2073</v>
      </c>
      <c r="N660" s="12" t="s">
        <v>46</v>
      </c>
      <c r="O660" s="12" t="s">
        <v>47</v>
      </c>
      <c r="P660" s="88" t="s">
        <v>48</v>
      </c>
      <c r="Q660" s="13">
        <v>46169</v>
      </c>
      <c r="R660" s="16">
        <v>0.81</v>
      </c>
      <c r="S660" s="12" t="s">
        <v>49</v>
      </c>
      <c r="T660" s="12" t="s">
        <v>2069</v>
      </c>
      <c r="U660" s="12" t="s">
        <v>60</v>
      </c>
      <c r="V660" s="13">
        <v>45805</v>
      </c>
      <c r="W660" s="11">
        <v>0.76</v>
      </c>
      <c r="X660" s="12" t="s">
        <v>49</v>
      </c>
      <c r="Y660" s="12" t="s">
        <v>1905</v>
      </c>
      <c r="Z660" s="12" t="s">
        <v>60</v>
      </c>
      <c r="AU660" s="12" t="s">
        <v>53</v>
      </c>
    </row>
    <row r="661" spans="1:47" s="12" customFormat="1" ht="14.4" x14ac:dyDescent="0.3">
      <c r="A661" s="12" t="s">
        <v>505</v>
      </c>
      <c r="B661" s="12" t="s">
        <v>1899</v>
      </c>
      <c r="C661" s="12">
        <v>70</v>
      </c>
      <c r="D661" s="12">
        <v>221</v>
      </c>
      <c r="F661" s="276" t="s">
        <v>2074</v>
      </c>
      <c r="G661" s="12" t="str">
        <f t="shared" si="16"/>
        <v>7022134948215-1</v>
      </c>
      <c r="H661" s="12" t="s">
        <v>9689</v>
      </c>
      <c r="I661" s="12" t="s">
        <v>9690</v>
      </c>
      <c r="J661" s="12" t="s">
        <v>9691</v>
      </c>
      <c r="K661" s="12" t="s">
        <v>133</v>
      </c>
      <c r="L661" s="12">
        <v>3217381078</v>
      </c>
      <c r="M661" s="12" t="s">
        <v>9692</v>
      </c>
      <c r="N661" s="12" t="s">
        <v>46</v>
      </c>
      <c r="O661" s="12" t="s">
        <v>47</v>
      </c>
      <c r="P661" s="88" t="s">
        <v>48</v>
      </c>
      <c r="Q661" s="13">
        <v>45736</v>
      </c>
      <c r="R661" s="12">
        <v>73</v>
      </c>
      <c r="S661" s="12" t="s">
        <v>49</v>
      </c>
      <c r="T661" s="12" t="s">
        <v>2249</v>
      </c>
      <c r="U661" s="12" t="s">
        <v>50</v>
      </c>
      <c r="V661" s="13">
        <v>45462</v>
      </c>
      <c r="W661" s="16">
        <v>0.875</v>
      </c>
      <c r="X661" s="12" t="s">
        <v>49</v>
      </c>
      <c r="Y661" s="12" t="s">
        <v>1905</v>
      </c>
      <c r="Z661" s="12" t="s">
        <v>60</v>
      </c>
      <c r="AC661" s="13">
        <v>44905</v>
      </c>
      <c r="AD661" s="11">
        <v>0.76</v>
      </c>
      <c r="AE661" s="12" t="s">
        <v>49</v>
      </c>
      <c r="AF661" s="12" t="s">
        <v>60</v>
      </c>
      <c r="AU661" s="12" t="s">
        <v>53</v>
      </c>
    </row>
    <row r="662" spans="1:47" s="12" customFormat="1" ht="14.4" x14ac:dyDescent="0.3">
      <c r="A662" s="12" t="s">
        <v>505</v>
      </c>
      <c r="B662" s="12" t="s">
        <v>1899</v>
      </c>
      <c r="C662" s="12">
        <v>70</v>
      </c>
      <c r="D662" s="12">
        <v>221</v>
      </c>
      <c r="F662" s="276" t="s">
        <v>9693</v>
      </c>
      <c r="G662" s="12" t="str">
        <f t="shared" si="16"/>
        <v>70221901736500-9</v>
      </c>
      <c r="H662" s="12" t="s">
        <v>9694</v>
      </c>
      <c r="I662" s="12" t="s">
        <v>9695</v>
      </c>
      <c r="J662" s="12" t="s">
        <v>9696</v>
      </c>
      <c r="K662" s="12" t="s">
        <v>44</v>
      </c>
      <c r="M662" s="12" t="s">
        <v>9697</v>
      </c>
      <c r="N662" s="12" t="s">
        <v>46</v>
      </c>
      <c r="O662" s="12" t="s">
        <v>47</v>
      </c>
      <c r="P662" s="88" t="s">
        <v>48</v>
      </c>
      <c r="Q662" s="13">
        <v>45989</v>
      </c>
      <c r="R662" s="12">
        <v>88</v>
      </c>
      <c r="S662" s="12" t="s">
        <v>49</v>
      </c>
      <c r="T662" s="12" t="s">
        <v>2249</v>
      </c>
      <c r="U662" s="12" t="s">
        <v>50</v>
      </c>
      <c r="V662" s="13"/>
      <c r="W662" s="16"/>
      <c r="AC662" s="13"/>
      <c r="AD662" s="11"/>
      <c r="AU662" s="12" t="s">
        <v>53</v>
      </c>
    </row>
    <row r="663" spans="1:47" s="12" customFormat="1" ht="14.4" x14ac:dyDescent="0.3">
      <c r="A663" s="12" t="s">
        <v>505</v>
      </c>
      <c r="B663" s="12" t="s">
        <v>1899</v>
      </c>
      <c r="C663" s="12">
        <v>70</v>
      </c>
      <c r="D663" s="12">
        <v>221</v>
      </c>
      <c r="F663" s="276" t="s">
        <v>2075</v>
      </c>
      <c r="G663" s="12" t="str">
        <f t="shared" si="16"/>
        <v>70221119342474</v>
      </c>
      <c r="H663" s="12" t="s">
        <v>2076</v>
      </c>
      <c r="I663" s="12">
        <v>119342474</v>
      </c>
      <c r="J663" s="12" t="s">
        <v>2077</v>
      </c>
      <c r="K663" s="12" t="s">
        <v>230</v>
      </c>
      <c r="L663" s="12">
        <v>3008076691</v>
      </c>
      <c r="M663" s="12" t="s">
        <v>2078</v>
      </c>
      <c r="N663" s="12" t="s">
        <v>46</v>
      </c>
      <c r="O663" s="12" t="s">
        <v>47</v>
      </c>
      <c r="P663" s="88" t="s">
        <v>48</v>
      </c>
      <c r="Q663" s="13">
        <v>45737</v>
      </c>
      <c r="R663" s="16">
        <v>0.85</v>
      </c>
      <c r="S663" s="12" t="s">
        <v>49</v>
      </c>
      <c r="T663" s="12" t="s">
        <v>1905</v>
      </c>
      <c r="U663" s="12" t="s">
        <v>60</v>
      </c>
      <c r="V663" s="13">
        <v>45457</v>
      </c>
      <c r="W663" s="16">
        <v>0.875</v>
      </c>
      <c r="X663" s="12" t="s">
        <v>49</v>
      </c>
      <c r="Y663" s="12" t="s">
        <v>1905</v>
      </c>
      <c r="Z663" s="12" t="s">
        <v>60</v>
      </c>
      <c r="AC663" s="13">
        <v>44847</v>
      </c>
      <c r="AD663" s="11">
        <v>0.68</v>
      </c>
      <c r="AE663" s="12" t="s">
        <v>49</v>
      </c>
      <c r="AU663" s="12" t="s">
        <v>53</v>
      </c>
    </row>
    <row r="664" spans="1:47" s="12" customFormat="1" ht="14.4" x14ac:dyDescent="0.3">
      <c r="A664" s="12" t="s">
        <v>505</v>
      </c>
      <c r="B664" s="12" t="s">
        <v>1899</v>
      </c>
      <c r="C664" s="12">
        <v>70</v>
      </c>
      <c r="D664" s="12">
        <v>221</v>
      </c>
      <c r="F664" s="276" t="s">
        <v>2079</v>
      </c>
      <c r="G664" s="12" t="str">
        <f t="shared" si="16"/>
        <v>7022130661957-8</v>
      </c>
      <c r="H664" s="12" t="s">
        <v>2080</v>
      </c>
      <c r="I664" s="12" t="s">
        <v>2081</v>
      </c>
      <c r="J664" s="12" t="s">
        <v>1947</v>
      </c>
      <c r="K664" s="12" t="s">
        <v>230</v>
      </c>
      <c r="L664" s="12">
        <v>3145236037</v>
      </c>
      <c r="M664" s="12" t="s">
        <v>193</v>
      </c>
      <c r="N664" s="12" t="s">
        <v>46</v>
      </c>
      <c r="O664" s="12" t="s">
        <v>47</v>
      </c>
      <c r="P664" s="88" t="s">
        <v>48</v>
      </c>
      <c r="Q664" s="13">
        <v>45799</v>
      </c>
      <c r="R664" s="16">
        <v>0.79</v>
      </c>
      <c r="S664" s="12" t="s">
        <v>49</v>
      </c>
      <c r="T664" s="12" t="s">
        <v>1905</v>
      </c>
      <c r="U664" s="12" t="s">
        <v>60</v>
      </c>
      <c r="V664" s="13">
        <v>45561</v>
      </c>
      <c r="W664" s="55">
        <v>0.89500000000000002</v>
      </c>
      <c r="X664" s="12" t="s">
        <v>49</v>
      </c>
      <c r="Y664" s="12" t="s">
        <v>1905</v>
      </c>
      <c r="Z664" s="12" t="s">
        <v>60</v>
      </c>
      <c r="AU664" s="12" t="s">
        <v>53</v>
      </c>
    </row>
    <row r="665" spans="1:47" s="12" customFormat="1" ht="14.4" x14ac:dyDescent="0.3">
      <c r="A665" s="12" t="s">
        <v>505</v>
      </c>
      <c r="B665" s="12" t="s">
        <v>1899</v>
      </c>
      <c r="C665" s="12">
        <v>70</v>
      </c>
      <c r="D665" s="12">
        <v>221</v>
      </c>
      <c r="F665" s="276" t="s">
        <v>2079</v>
      </c>
      <c r="G665" s="12" t="str">
        <f t="shared" si="16"/>
        <v>7022111311065346</v>
      </c>
      <c r="H665" s="12" t="s">
        <v>2082</v>
      </c>
      <c r="I665" s="12">
        <v>11311065346</v>
      </c>
      <c r="J665" s="12" t="s">
        <v>2083</v>
      </c>
      <c r="K665" s="12" t="s">
        <v>230</v>
      </c>
      <c r="L665" s="12">
        <v>3114079170</v>
      </c>
      <c r="N665" s="12" t="s">
        <v>46</v>
      </c>
      <c r="O665" s="12" t="s">
        <v>47</v>
      </c>
      <c r="P665" s="88" t="s">
        <v>48</v>
      </c>
      <c r="Q665" s="13">
        <v>45604</v>
      </c>
      <c r="R665" s="11">
        <v>0.87</v>
      </c>
      <c r="S665" s="12" t="s">
        <v>49</v>
      </c>
      <c r="T665" s="12" t="s">
        <v>1905</v>
      </c>
      <c r="U665" s="12" t="s">
        <v>60</v>
      </c>
      <c r="W665" s="11"/>
      <c r="AU665" s="12" t="s">
        <v>53</v>
      </c>
    </row>
    <row r="666" spans="1:47" s="12" customFormat="1" ht="14.4" x14ac:dyDescent="0.3">
      <c r="A666" s="12" t="s">
        <v>505</v>
      </c>
      <c r="B666" s="12" t="s">
        <v>1899</v>
      </c>
      <c r="C666" s="12">
        <v>70</v>
      </c>
      <c r="D666" s="12">
        <v>221</v>
      </c>
      <c r="E666" s="12" t="s">
        <v>2084</v>
      </c>
      <c r="F666" s="276" t="s">
        <v>2085</v>
      </c>
      <c r="G666" s="12" t="str">
        <f t="shared" si="16"/>
        <v>70221900725424-6</v>
      </c>
      <c r="H666" s="12" t="s">
        <v>2086</v>
      </c>
      <c r="I666" s="12" t="s">
        <v>2087</v>
      </c>
      <c r="J666" s="12" t="s">
        <v>2088</v>
      </c>
      <c r="K666" s="12" t="s">
        <v>230</v>
      </c>
      <c r="L666" s="12">
        <v>3218139418</v>
      </c>
      <c r="M666" s="12" t="s">
        <v>2089</v>
      </c>
      <c r="N666" s="12" t="s">
        <v>46</v>
      </c>
      <c r="O666" s="12" t="s">
        <v>47</v>
      </c>
      <c r="P666" s="88" t="s">
        <v>48</v>
      </c>
      <c r="Q666" s="13">
        <v>46199</v>
      </c>
      <c r="R666" s="16">
        <v>0.94</v>
      </c>
      <c r="S666" s="12" t="s">
        <v>210</v>
      </c>
      <c r="T666" s="12" t="s">
        <v>9086</v>
      </c>
      <c r="U666" s="12" t="s">
        <v>60</v>
      </c>
      <c r="V666" s="13">
        <v>45853</v>
      </c>
      <c r="W666" s="16">
        <v>1</v>
      </c>
      <c r="X666" s="12" t="s">
        <v>210</v>
      </c>
      <c r="Y666" s="12" t="s">
        <v>7672</v>
      </c>
      <c r="Z666" s="12" t="s">
        <v>60</v>
      </c>
      <c r="AC666" s="13">
        <v>44889</v>
      </c>
      <c r="AD666" s="10">
        <v>0.83499999999999996</v>
      </c>
      <c r="AE666" s="12" t="s">
        <v>49</v>
      </c>
      <c r="AF666" s="12" t="s">
        <v>60</v>
      </c>
      <c r="AU666" s="12" t="s">
        <v>53</v>
      </c>
    </row>
    <row r="667" spans="1:47" s="12" customFormat="1" ht="14.4" x14ac:dyDescent="0.3">
      <c r="A667" s="12" t="s">
        <v>505</v>
      </c>
      <c r="B667" s="12" t="s">
        <v>1899</v>
      </c>
      <c r="C667" s="12">
        <v>70</v>
      </c>
      <c r="D667" s="12">
        <v>221</v>
      </c>
      <c r="F667" s="276" t="s">
        <v>2091</v>
      </c>
      <c r="G667" s="12" t="str">
        <f t="shared" si="16"/>
        <v>7022115030475</v>
      </c>
      <c r="H667" s="12" t="s">
        <v>9083</v>
      </c>
      <c r="I667" s="12">
        <v>15030475</v>
      </c>
      <c r="J667" s="12" t="s">
        <v>9084</v>
      </c>
      <c r="K667" s="12" t="s">
        <v>230</v>
      </c>
      <c r="L667" s="12">
        <v>3008105417</v>
      </c>
      <c r="M667" s="12" t="s">
        <v>45</v>
      </c>
      <c r="N667" s="12" t="s">
        <v>46</v>
      </c>
      <c r="O667" s="12" t="s">
        <v>47</v>
      </c>
      <c r="P667" s="88" t="s">
        <v>48</v>
      </c>
      <c r="Q667" s="13">
        <v>46198</v>
      </c>
      <c r="R667" s="12" t="s">
        <v>8538</v>
      </c>
      <c r="S667" s="12" t="s">
        <v>49</v>
      </c>
      <c r="T667" s="12" t="s">
        <v>2249</v>
      </c>
      <c r="U667" s="12" t="s">
        <v>60</v>
      </c>
      <c r="V667" s="13">
        <v>45734</v>
      </c>
      <c r="W667" s="59">
        <v>0.73499999999999999</v>
      </c>
      <c r="X667" s="12" t="s">
        <v>49</v>
      </c>
      <c r="Y667" s="12" t="s">
        <v>1905</v>
      </c>
      <c r="Z667" s="12" t="s">
        <v>60</v>
      </c>
      <c r="AC667" s="13">
        <v>45384</v>
      </c>
      <c r="AD667" s="16">
        <v>0.93</v>
      </c>
      <c r="AE667" s="12" t="s">
        <v>319</v>
      </c>
      <c r="AF667" s="12" t="s">
        <v>60</v>
      </c>
      <c r="AI667" s="13">
        <v>45278</v>
      </c>
      <c r="AJ667" s="11">
        <v>0.93</v>
      </c>
      <c r="AK667" s="12" t="s">
        <v>319</v>
      </c>
      <c r="AL667" s="12" t="s">
        <v>9085</v>
      </c>
      <c r="AU667" s="12" t="s">
        <v>53</v>
      </c>
    </row>
    <row r="668" spans="1:47" s="12" customFormat="1" ht="14.4" x14ac:dyDescent="0.3">
      <c r="A668" s="12" t="s">
        <v>505</v>
      </c>
      <c r="B668" s="12" t="s">
        <v>1899</v>
      </c>
      <c r="C668" s="12">
        <v>70</v>
      </c>
      <c r="D668" s="12">
        <v>221</v>
      </c>
      <c r="F668" s="14" t="s">
        <v>2092</v>
      </c>
      <c r="G668" s="12" t="str">
        <f t="shared" si="16"/>
        <v>7022150989524</v>
      </c>
      <c r="H668" s="12" t="s">
        <v>2093</v>
      </c>
      <c r="I668" s="12">
        <v>50989524</v>
      </c>
      <c r="J668" s="12" t="s">
        <v>2094</v>
      </c>
      <c r="K668" s="12" t="s">
        <v>230</v>
      </c>
      <c r="N668" s="12" t="s">
        <v>46</v>
      </c>
      <c r="O668" s="12" t="s">
        <v>47</v>
      </c>
      <c r="P668" s="88" t="s">
        <v>48</v>
      </c>
      <c r="Q668" s="13">
        <v>44676</v>
      </c>
      <c r="R668" s="16">
        <v>0.7</v>
      </c>
      <c r="S668" s="12" t="s">
        <v>49</v>
      </c>
      <c r="T668" s="12" t="s">
        <v>1905</v>
      </c>
      <c r="U668" s="12" t="s">
        <v>60</v>
      </c>
      <c r="V668" s="13">
        <v>44419</v>
      </c>
      <c r="W668" s="11">
        <v>0.83</v>
      </c>
      <c r="X668" s="12" t="s">
        <v>49</v>
      </c>
      <c r="Y668" s="12" t="s">
        <v>1905</v>
      </c>
      <c r="Z668" s="12" t="s">
        <v>60</v>
      </c>
      <c r="AU668" s="12" t="s">
        <v>53</v>
      </c>
    </row>
    <row r="669" spans="1:47" s="12" customFormat="1" ht="14.4" x14ac:dyDescent="0.3">
      <c r="A669" s="12" t="s">
        <v>505</v>
      </c>
      <c r="B669" s="12" t="s">
        <v>1899</v>
      </c>
      <c r="C669" s="12">
        <v>70</v>
      </c>
      <c r="D669" s="12">
        <v>221</v>
      </c>
      <c r="F669" s="276" t="s">
        <v>9096</v>
      </c>
      <c r="G669" s="12" t="str">
        <f t="shared" si="16"/>
        <v>702211057690285</v>
      </c>
      <c r="H669" s="12" t="s">
        <v>8766</v>
      </c>
      <c r="I669" s="12">
        <v>1057690285</v>
      </c>
      <c r="J669" s="12" t="s">
        <v>8767</v>
      </c>
      <c r="K669" s="12" t="s">
        <v>230</v>
      </c>
      <c r="L669" s="12">
        <v>3114129436</v>
      </c>
      <c r="M669" s="12" t="s">
        <v>8768</v>
      </c>
      <c r="N669" s="12" t="s">
        <v>46</v>
      </c>
      <c r="O669" s="12" t="s">
        <v>47</v>
      </c>
      <c r="P669" s="88" t="s">
        <v>48</v>
      </c>
      <c r="Q669" s="13">
        <v>46136</v>
      </c>
      <c r="R669" s="12" t="s">
        <v>8588</v>
      </c>
      <c r="S669" s="12" t="s">
        <v>49</v>
      </c>
      <c r="T669" s="12" t="s">
        <v>2042</v>
      </c>
      <c r="U669" s="12" t="s">
        <v>60</v>
      </c>
      <c r="V669" s="13">
        <v>46073</v>
      </c>
      <c r="W669" s="16">
        <v>0.79</v>
      </c>
      <c r="X669" s="12" t="s">
        <v>49</v>
      </c>
      <c r="Y669" s="12" t="s">
        <v>1905</v>
      </c>
      <c r="Z669" s="12" t="s">
        <v>60</v>
      </c>
      <c r="AC669" s="13">
        <v>45722</v>
      </c>
      <c r="AD669" s="16">
        <v>0.82</v>
      </c>
      <c r="AE669" s="12" t="s">
        <v>49</v>
      </c>
      <c r="AF669" s="12" t="s">
        <v>60</v>
      </c>
      <c r="AI669" s="12" t="s">
        <v>2095</v>
      </c>
      <c r="AJ669" s="16">
        <v>0.91</v>
      </c>
      <c r="AK669" s="12" t="s">
        <v>319</v>
      </c>
      <c r="AL669" s="12" t="s">
        <v>60</v>
      </c>
      <c r="AO669" s="13">
        <v>44847</v>
      </c>
      <c r="AP669" s="11">
        <v>0.7</v>
      </c>
      <c r="AQ669" s="12" t="s">
        <v>49</v>
      </c>
      <c r="AR669" s="12" t="s">
        <v>60</v>
      </c>
      <c r="AU669" s="12" t="s">
        <v>53</v>
      </c>
    </row>
    <row r="670" spans="1:47" s="12" customFormat="1" ht="14.4" x14ac:dyDescent="0.3">
      <c r="A670" s="12" t="s">
        <v>505</v>
      </c>
      <c r="B670" s="12" t="s">
        <v>1899</v>
      </c>
      <c r="C670" s="12">
        <v>70</v>
      </c>
      <c r="D670" s="12">
        <v>221</v>
      </c>
      <c r="F670" s="276" t="s">
        <v>9097</v>
      </c>
      <c r="G670" s="12" t="str">
        <f t="shared" si="16"/>
        <v>702211152693824</v>
      </c>
      <c r="H670" s="12" t="s">
        <v>9098</v>
      </c>
      <c r="I670" s="12">
        <v>1152693824</v>
      </c>
      <c r="J670" s="12" t="s">
        <v>9099</v>
      </c>
      <c r="K670" s="12" t="s">
        <v>44</v>
      </c>
      <c r="L670" s="12">
        <v>3218648410</v>
      </c>
      <c r="M670" s="17" t="s">
        <v>9100</v>
      </c>
      <c r="N670" s="12" t="s">
        <v>46</v>
      </c>
      <c r="O670" s="12" t="s">
        <v>47</v>
      </c>
      <c r="P670" s="88" t="s">
        <v>48</v>
      </c>
      <c r="Q670" s="13">
        <v>46078</v>
      </c>
      <c r="R670" s="16">
        <v>0.84</v>
      </c>
      <c r="S670" s="12" t="s">
        <v>49</v>
      </c>
      <c r="T670" s="12" t="s">
        <v>1905</v>
      </c>
      <c r="U670" s="12" t="s">
        <v>60</v>
      </c>
      <c r="V670" s="13">
        <v>45567</v>
      </c>
      <c r="W670" s="16">
        <v>0.92</v>
      </c>
      <c r="X670" s="12" t="s">
        <v>319</v>
      </c>
      <c r="Y670" s="12" t="s">
        <v>1905</v>
      </c>
      <c r="Z670" s="12" t="s">
        <v>60</v>
      </c>
      <c r="AC670" s="13">
        <v>45197</v>
      </c>
      <c r="AD670" s="11">
        <v>0.89</v>
      </c>
      <c r="AE670" s="12" t="s">
        <v>49</v>
      </c>
      <c r="AF670" s="12" t="s">
        <v>60</v>
      </c>
      <c r="AU670" s="12" t="s">
        <v>53</v>
      </c>
    </row>
    <row r="671" spans="1:47" s="12" customFormat="1" ht="14.4" x14ac:dyDescent="0.3">
      <c r="A671" s="12" t="s">
        <v>505</v>
      </c>
      <c r="B671" s="12" t="s">
        <v>1899</v>
      </c>
      <c r="C671" s="12">
        <v>70</v>
      </c>
      <c r="D671" s="12">
        <v>221</v>
      </c>
      <c r="E671" s="12" t="s">
        <v>2096</v>
      </c>
      <c r="F671" s="276" t="s">
        <v>1187</v>
      </c>
      <c r="G671" s="12" t="str">
        <f t="shared" si="16"/>
        <v>702217161823-7</v>
      </c>
      <c r="H671" s="12" t="s">
        <v>2097</v>
      </c>
      <c r="I671" s="12" t="s">
        <v>2098</v>
      </c>
      <c r="J671" s="12" t="s">
        <v>2099</v>
      </c>
      <c r="K671" s="12" t="s">
        <v>230</v>
      </c>
      <c r="L671" s="12">
        <v>3212241060</v>
      </c>
      <c r="M671" s="12" t="s">
        <v>2100</v>
      </c>
      <c r="N671" s="12" t="s">
        <v>46</v>
      </c>
      <c r="O671" s="12" t="s">
        <v>47</v>
      </c>
      <c r="P671" s="88" t="s">
        <v>48</v>
      </c>
      <c r="Q671" s="13">
        <v>45730</v>
      </c>
      <c r="R671" s="59">
        <v>0.68500000000000005</v>
      </c>
      <c r="S671" s="12" t="s">
        <v>49</v>
      </c>
      <c r="T671" s="12" t="s">
        <v>1905</v>
      </c>
      <c r="U671" s="12" t="s">
        <v>60</v>
      </c>
      <c r="V671" s="13">
        <v>45432</v>
      </c>
      <c r="W671" s="11">
        <v>0.81499999999999995</v>
      </c>
      <c r="X671" s="12" t="s">
        <v>49</v>
      </c>
      <c r="Y671" s="12" t="s">
        <v>1905</v>
      </c>
      <c r="Z671" s="12" t="s">
        <v>60</v>
      </c>
      <c r="AU671" s="12" t="s">
        <v>53</v>
      </c>
    </row>
    <row r="672" spans="1:47" s="12" customFormat="1" ht="14.4" hidden="1" x14ac:dyDescent="0.3">
      <c r="A672" s="12" t="s">
        <v>505</v>
      </c>
      <c r="B672" s="12" t="s">
        <v>1899</v>
      </c>
      <c r="C672" s="12">
        <v>70</v>
      </c>
      <c r="D672" s="12">
        <v>221</v>
      </c>
      <c r="F672" s="14" t="s">
        <v>2101</v>
      </c>
      <c r="G672" s="12" t="str">
        <f t="shared" si="16"/>
        <v>702211046932063-1</v>
      </c>
      <c r="H672" s="12" t="s">
        <v>2102</v>
      </c>
      <c r="I672" s="12" t="s">
        <v>2103</v>
      </c>
      <c r="J672" s="12" t="s">
        <v>2104</v>
      </c>
      <c r="K672" s="12" t="s">
        <v>230</v>
      </c>
      <c r="L672" s="12">
        <v>3107001027</v>
      </c>
      <c r="M672" s="12" t="s">
        <v>2105</v>
      </c>
      <c r="N672" s="12" t="s">
        <v>46</v>
      </c>
      <c r="O672" s="12" t="s">
        <v>2797</v>
      </c>
      <c r="P672" s="88" t="s">
        <v>80</v>
      </c>
      <c r="Q672" s="13">
        <v>45853</v>
      </c>
      <c r="R672" s="59">
        <v>0.79500000000000004</v>
      </c>
      <c r="S672" s="12" t="s">
        <v>49</v>
      </c>
      <c r="T672" s="12" t="s">
        <v>2042</v>
      </c>
      <c r="U672" s="12" t="s">
        <v>60</v>
      </c>
      <c r="V672" s="13">
        <v>45596</v>
      </c>
      <c r="W672" s="16">
        <v>0.87</v>
      </c>
      <c r="X672" s="12" t="s">
        <v>49</v>
      </c>
      <c r="Y672" s="12" t="s">
        <v>1905</v>
      </c>
      <c r="Z672" s="12" t="s">
        <v>60</v>
      </c>
      <c r="AC672" s="13">
        <v>44147</v>
      </c>
      <c r="AD672" s="9" t="s">
        <v>2106</v>
      </c>
      <c r="AE672" s="12" t="s">
        <v>319</v>
      </c>
      <c r="AU672" s="12" t="s">
        <v>53</v>
      </c>
    </row>
    <row r="673" spans="1:47" s="12" customFormat="1" ht="14.4" x14ac:dyDescent="0.3">
      <c r="A673" s="12" t="s">
        <v>505</v>
      </c>
      <c r="B673" s="12" t="s">
        <v>1899</v>
      </c>
      <c r="C673" s="12">
        <v>70</v>
      </c>
      <c r="D673" s="12">
        <v>221</v>
      </c>
      <c r="F673" s="14" t="s">
        <v>2107</v>
      </c>
      <c r="G673" s="12" t="str">
        <f t="shared" si="16"/>
        <v>70221901066361-6</v>
      </c>
      <c r="H673" s="12" t="s">
        <v>2108</v>
      </c>
      <c r="I673" s="12" t="s">
        <v>2109</v>
      </c>
      <c r="J673" s="12" t="s">
        <v>2110</v>
      </c>
      <c r="K673" s="12" t="s">
        <v>230</v>
      </c>
      <c r="N673" s="12" t="s">
        <v>46</v>
      </c>
      <c r="O673" s="12" t="s">
        <v>47</v>
      </c>
      <c r="P673" s="88" t="s">
        <v>48</v>
      </c>
      <c r="Q673" s="13">
        <v>45848</v>
      </c>
      <c r="R673" s="16">
        <v>0.91</v>
      </c>
      <c r="S673" s="12" t="s">
        <v>319</v>
      </c>
      <c r="T673" s="12" t="s">
        <v>1905</v>
      </c>
      <c r="U673" s="12" t="s">
        <v>60</v>
      </c>
      <c r="V673" s="13">
        <v>44761</v>
      </c>
      <c r="W673" s="11">
        <v>0.89</v>
      </c>
      <c r="X673" s="12" t="s">
        <v>49</v>
      </c>
      <c r="Y673" s="12" t="s">
        <v>1905</v>
      </c>
      <c r="Z673" s="12" t="s">
        <v>60</v>
      </c>
      <c r="AU673" s="12" t="s">
        <v>53</v>
      </c>
    </row>
    <row r="674" spans="1:47" s="12" customFormat="1" ht="14.4" x14ac:dyDescent="0.3">
      <c r="A674" s="12" t="s">
        <v>505</v>
      </c>
      <c r="B674" s="12" t="s">
        <v>1899</v>
      </c>
      <c r="C674" s="12">
        <v>70</v>
      </c>
      <c r="D674" s="12">
        <v>221</v>
      </c>
      <c r="F674" s="276" t="s">
        <v>2111</v>
      </c>
      <c r="G674" s="12" t="str">
        <f t="shared" si="16"/>
        <v>7022130564595</v>
      </c>
      <c r="H674" s="12" t="s">
        <v>2112</v>
      </c>
      <c r="I674" s="12">
        <v>30564595</v>
      </c>
      <c r="J674" s="12" t="s">
        <v>2113</v>
      </c>
      <c r="K674" s="12" t="s">
        <v>230</v>
      </c>
      <c r="L674" s="12">
        <v>3157078875</v>
      </c>
      <c r="M674" s="12" t="s">
        <v>2114</v>
      </c>
      <c r="N674" s="12" t="s">
        <v>46</v>
      </c>
      <c r="O674" s="12" t="s">
        <v>47</v>
      </c>
      <c r="P674" s="88" t="s">
        <v>48</v>
      </c>
      <c r="Q674" s="13">
        <v>45735</v>
      </c>
      <c r="R674" s="16">
        <v>0.91</v>
      </c>
      <c r="S674" s="12" t="s">
        <v>319</v>
      </c>
      <c r="T674" s="12" t="s">
        <v>1905</v>
      </c>
      <c r="U674" s="12" t="s">
        <v>60</v>
      </c>
      <c r="V674" s="13">
        <v>45414</v>
      </c>
      <c r="W674" s="10">
        <v>0.94499999999999995</v>
      </c>
      <c r="X674" s="12" t="s">
        <v>319</v>
      </c>
      <c r="Y674" s="12" t="s">
        <v>1905</v>
      </c>
      <c r="Z674" s="12" t="s">
        <v>60</v>
      </c>
      <c r="AU674" s="12" t="s">
        <v>53</v>
      </c>
    </row>
    <row r="675" spans="1:47" s="12" customFormat="1" ht="14.4" x14ac:dyDescent="0.3">
      <c r="A675" s="12" t="s">
        <v>505</v>
      </c>
      <c r="B675" s="12" t="s">
        <v>1899</v>
      </c>
      <c r="C675" s="12">
        <v>70</v>
      </c>
      <c r="D675" s="12">
        <v>221</v>
      </c>
      <c r="F675" s="14" t="s">
        <v>2115</v>
      </c>
      <c r="G675" s="12" t="str">
        <f t="shared" si="16"/>
        <v>702211131107705-1</v>
      </c>
      <c r="H675" s="12" t="s">
        <v>2116</v>
      </c>
      <c r="I675" s="12" t="s">
        <v>2117</v>
      </c>
      <c r="J675" s="12" t="s">
        <v>2118</v>
      </c>
      <c r="K675" s="12" t="s">
        <v>230</v>
      </c>
      <c r="L675" s="12">
        <v>3002005063</v>
      </c>
      <c r="M675" s="12" t="s">
        <v>2119</v>
      </c>
      <c r="N675" s="12" t="s">
        <v>46</v>
      </c>
      <c r="O675" s="12" t="s">
        <v>47</v>
      </c>
      <c r="P675" s="88" t="s">
        <v>48</v>
      </c>
      <c r="Q675" s="13">
        <v>45793</v>
      </c>
      <c r="R675" s="59">
        <v>0.81499999999999995</v>
      </c>
      <c r="S675" s="12" t="s">
        <v>49</v>
      </c>
      <c r="T675" s="12" t="s">
        <v>2042</v>
      </c>
      <c r="U675" s="12" t="s">
        <v>60</v>
      </c>
      <c r="V675" s="13">
        <v>45468</v>
      </c>
      <c r="W675" s="11">
        <v>0.91</v>
      </c>
      <c r="X675" s="12" t="s">
        <v>319</v>
      </c>
      <c r="Y675" s="12" t="s">
        <v>1905</v>
      </c>
      <c r="Z675" s="12" t="s">
        <v>60</v>
      </c>
      <c r="AU675" s="12" t="s">
        <v>53</v>
      </c>
    </row>
    <row r="676" spans="1:47" s="12" customFormat="1" ht="14.4" x14ac:dyDescent="0.3">
      <c r="A676" s="12" t="s">
        <v>505</v>
      </c>
      <c r="B676" s="12" t="s">
        <v>1899</v>
      </c>
      <c r="C676" s="12">
        <v>70</v>
      </c>
      <c r="D676" s="12">
        <v>221</v>
      </c>
      <c r="E676" s="12" t="s">
        <v>9126</v>
      </c>
      <c r="F676" s="276" t="s">
        <v>9127</v>
      </c>
      <c r="G676" s="12" t="str">
        <f t="shared" ref="G676:G708" si="17">C676&amp;D676&amp;I676</f>
        <v>702219020377239</v>
      </c>
      <c r="H676" s="12" t="s">
        <v>9128</v>
      </c>
      <c r="I676" s="12">
        <v>9020377239</v>
      </c>
      <c r="J676" s="12" t="s">
        <v>9129</v>
      </c>
      <c r="K676" s="12" t="s">
        <v>4092</v>
      </c>
      <c r="L676" s="12">
        <v>3152365695</v>
      </c>
      <c r="M676" s="17" t="s">
        <v>9130</v>
      </c>
      <c r="N676" s="12" t="s">
        <v>46</v>
      </c>
      <c r="O676" s="12" t="s">
        <v>47</v>
      </c>
      <c r="P676" s="88" t="s">
        <v>48</v>
      </c>
      <c r="Q676" s="13">
        <v>46191</v>
      </c>
      <c r="R676" s="12" t="s">
        <v>4569</v>
      </c>
      <c r="S676" s="12" t="s">
        <v>49</v>
      </c>
      <c r="T676" s="12" t="s">
        <v>1905</v>
      </c>
      <c r="U676" s="12" t="s">
        <v>60</v>
      </c>
      <c r="V676" s="13">
        <v>45840</v>
      </c>
      <c r="W676" s="18">
        <v>0.78500000000000003</v>
      </c>
      <c r="X676" s="12" t="s">
        <v>139</v>
      </c>
      <c r="Y676" s="12" t="s">
        <v>2042</v>
      </c>
      <c r="Z676" s="12" t="s">
        <v>60</v>
      </c>
      <c r="AC676" s="13">
        <v>45567</v>
      </c>
      <c r="AD676" s="16">
        <v>0.89</v>
      </c>
      <c r="AE676" s="12" t="s">
        <v>49</v>
      </c>
      <c r="AF676" s="12" t="s">
        <v>60</v>
      </c>
      <c r="AI676" s="13">
        <v>44700</v>
      </c>
      <c r="AJ676" s="11">
        <v>0.67</v>
      </c>
      <c r="AK676" s="12" t="s">
        <v>49</v>
      </c>
      <c r="AL676" s="12" t="s">
        <v>60</v>
      </c>
      <c r="AU676" s="12" t="s">
        <v>53</v>
      </c>
    </row>
    <row r="677" spans="1:47" s="12" customFormat="1" ht="14.4" x14ac:dyDescent="0.3">
      <c r="A677" s="12" t="s">
        <v>505</v>
      </c>
      <c r="B677" s="12" t="s">
        <v>1899</v>
      </c>
      <c r="C677" s="12">
        <v>70</v>
      </c>
      <c r="D677" s="12">
        <v>221</v>
      </c>
      <c r="F677" s="276" t="s">
        <v>2120</v>
      </c>
      <c r="G677" s="12" t="str">
        <f t="shared" si="17"/>
        <v>702219011417406-6</v>
      </c>
      <c r="H677" s="12" t="s">
        <v>2121</v>
      </c>
      <c r="I677" s="12" t="s">
        <v>2122</v>
      </c>
      <c r="J677" s="12" t="s">
        <v>1956</v>
      </c>
      <c r="K677" s="12" t="s">
        <v>230</v>
      </c>
      <c r="N677" s="12" t="s">
        <v>46</v>
      </c>
      <c r="O677" s="12" t="s">
        <v>47</v>
      </c>
      <c r="P677" s="88" t="s">
        <v>48</v>
      </c>
      <c r="Q677" s="13">
        <v>45502</v>
      </c>
      <c r="R677" s="55">
        <v>0.86499999999999999</v>
      </c>
      <c r="S677" s="12" t="s">
        <v>49</v>
      </c>
      <c r="T677" s="12" t="s">
        <v>1905</v>
      </c>
      <c r="U677" s="12" t="s">
        <v>60</v>
      </c>
      <c r="W677" s="11"/>
      <c r="AU677" s="12" t="s">
        <v>53</v>
      </c>
    </row>
    <row r="678" spans="1:47" s="12" customFormat="1" ht="14.4" x14ac:dyDescent="0.3">
      <c r="A678" s="12" t="s">
        <v>505</v>
      </c>
      <c r="B678" s="12" t="s">
        <v>1899</v>
      </c>
      <c r="C678" s="12">
        <v>70</v>
      </c>
      <c r="D678" s="12">
        <v>221</v>
      </c>
      <c r="F678" s="276" t="s">
        <v>2123</v>
      </c>
      <c r="G678" s="12" t="str">
        <f t="shared" si="17"/>
        <v>7022179145525-5</v>
      </c>
      <c r="H678" s="12" t="s">
        <v>2124</v>
      </c>
      <c r="I678" s="12" t="s">
        <v>2125</v>
      </c>
      <c r="J678" s="12" t="s">
        <v>2126</v>
      </c>
      <c r="K678" s="12" t="s">
        <v>230</v>
      </c>
      <c r="L678" s="12">
        <v>3164965190</v>
      </c>
      <c r="M678" s="12" t="s">
        <v>193</v>
      </c>
      <c r="N678" s="12" t="s">
        <v>46</v>
      </c>
      <c r="O678" s="12" t="s">
        <v>47</v>
      </c>
      <c r="P678" s="88" t="s">
        <v>48</v>
      </c>
      <c r="Q678" s="13">
        <v>45770</v>
      </c>
      <c r="R678" s="59">
        <v>0.88500000000000001</v>
      </c>
      <c r="S678" s="12" t="s">
        <v>49</v>
      </c>
      <c r="T678" s="12" t="s">
        <v>1905</v>
      </c>
      <c r="U678" s="12" t="s">
        <v>60</v>
      </c>
      <c r="V678" s="13">
        <v>45484</v>
      </c>
      <c r="W678" s="11">
        <v>0.75</v>
      </c>
      <c r="X678" s="12" t="s">
        <v>49</v>
      </c>
      <c r="Y678" s="12" t="s">
        <v>1905</v>
      </c>
      <c r="Z678" s="12" t="s">
        <v>60</v>
      </c>
      <c r="AU678" s="12" t="s">
        <v>53</v>
      </c>
    </row>
    <row r="679" spans="1:47" s="12" customFormat="1" ht="14.4" x14ac:dyDescent="0.3">
      <c r="A679" s="12" t="s">
        <v>505</v>
      </c>
      <c r="B679" s="12" t="s">
        <v>1899</v>
      </c>
      <c r="C679" s="12">
        <v>70</v>
      </c>
      <c r="D679" s="12">
        <v>221</v>
      </c>
      <c r="F679" s="276" t="s">
        <v>2127</v>
      </c>
      <c r="G679" s="12" t="str">
        <f t="shared" si="17"/>
        <v>7022170500960-6</v>
      </c>
      <c r="H679" s="12" t="s">
        <v>9698</v>
      </c>
      <c r="I679" s="12" t="s">
        <v>2128</v>
      </c>
      <c r="J679" s="12" t="s">
        <v>9699</v>
      </c>
      <c r="K679" s="12" t="s">
        <v>44</v>
      </c>
      <c r="L679" s="12">
        <v>3008038575</v>
      </c>
      <c r="M679" s="12" t="s">
        <v>9700</v>
      </c>
      <c r="N679" s="12" t="s">
        <v>46</v>
      </c>
      <c r="O679" s="12" t="s">
        <v>47</v>
      </c>
      <c r="P679" s="88" t="s">
        <v>48</v>
      </c>
      <c r="Q679" s="13">
        <v>45755</v>
      </c>
      <c r="R679" s="12">
        <v>78</v>
      </c>
      <c r="S679" s="12" t="s">
        <v>49</v>
      </c>
      <c r="T679" s="12" t="s">
        <v>2249</v>
      </c>
      <c r="U679" s="12" t="s">
        <v>50</v>
      </c>
      <c r="V679" s="13">
        <v>45470</v>
      </c>
      <c r="W679" s="16">
        <v>0.81499999999999995</v>
      </c>
      <c r="X679" s="12" t="s">
        <v>49</v>
      </c>
      <c r="Y679" s="12" t="s">
        <v>1905</v>
      </c>
      <c r="Z679" s="12" t="s">
        <v>60</v>
      </c>
      <c r="AC679" s="13">
        <v>44875</v>
      </c>
      <c r="AD679" s="11">
        <v>0.78</v>
      </c>
      <c r="AE679" s="12" t="s">
        <v>49</v>
      </c>
      <c r="AF679" s="12" t="s">
        <v>60</v>
      </c>
      <c r="AU679" s="12" t="s">
        <v>53</v>
      </c>
    </row>
    <row r="680" spans="1:47" s="12" customFormat="1" ht="14.4" x14ac:dyDescent="0.3">
      <c r="A680" s="12" t="s">
        <v>505</v>
      </c>
      <c r="B680" s="12" t="s">
        <v>1899</v>
      </c>
      <c r="C680" s="12">
        <v>70</v>
      </c>
      <c r="D680" s="12">
        <v>221</v>
      </c>
      <c r="F680" s="276" t="s">
        <v>2129</v>
      </c>
      <c r="G680" s="12" t="str">
        <f t="shared" si="17"/>
        <v>7022141629146-1</v>
      </c>
      <c r="H680" s="12" t="s">
        <v>9701</v>
      </c>
      <c r="I680" s="12" t="s">
        <v>9702</v>
      </c>
      <c r="J680" s="12" t="s">
        <v>9703</v>
      </c>
      <c r="K680" s="12" t="s">
        <v>133</v>
      </c>
      <c r="L680" s="12">
        <v>3112783389</v>
      </c>
      <c r="M680" s="12" t="s">
        <v>9704</v>
      </c>
      <c r="N680" s="12" t="s">
        <v>46</v>
      </c>
      <c r="O680" s="12" t="s">
        <v>47</v>
      </c>
      <c r="P680" s="88" t="s">
        <v>48</v>
      </c>
      <c r="Q680" s="13">
        <v>45989</v>
      </c>
      <c r="R680" s="12" t="s">
        <v>2768</v>
      </c>
      <c r="S680" s="12" t="s">
        <v>49</v>
      </c>
      <c r="T680" s="12" t="s">
        <v>2249</v>
      </c>
      <c r="U680" s="12" t="s">
        <v>50</v>
      </c>
      <c r="V680" s="13">
        <v>45534</v>
      </c>
      <c r="W680" s="11">
        <v>0.86</v>
      </c>
      <c r="X680" s="12" t="s">
        <v>49</v>
      </c>
      <c r="Y680" s="12" t="s">
        <v>1905</v>
      </c>
      <c r="Z680" s="12" t="s">
        <v>60</v>
      </c>
      <c r="AU680" s="12" t="s">
        <v>53</v>
      </c>
    </row>
    <row r="681" spans="1:47" s="12" customFormat="1" ht="14.4" x14ac:dyDescent="0.3">
      <c r="A681" s="12" t="s">
        <v>505</v>
      </c>
      <c r="B681" s="12" t="s">
        <v>1899</v>
      </c>
      <c r="C681" s="12">
        <v>70</v>
      </c>
      <c r="D681" s="12">
        <v>221</v>
      </c>
      <c r="F681" s="276" t="s">
        <v>2130</v>
      </c>
      <c r="G681" s="12" t="str">
        <f t="shared" si="17"/>
        <v>7022164544068-8</v>
      </c>
      <c r="H681" s="12" t="s">
        <v>2131</v>
      </c>
      <c r="I681" s="12" t="s">
        <v>2132</v>
      </c>
      <c r="J681" s="12" t="s">
        <v>2133</v>
      </c>
      <c r="K681" s="12" t="s">
        <v>230</v>
      </c>
      <c r="L681" s="12">
        <v>3006645494</v>
      </c>
      <c r="M681" s="12" t="s">
        <v>2134</v>
      </c>
      <c r="N681" s="12" t="s">
        <v>46</v>
      </c>
      <c r="O681" s="12" t="s">
        <v>47</v>
      </c>
      <c r="P681" s="88" t="s">
        <v>48</v>
      </c>
      <c r="Q681" s="13">
        <v>45853</v>
      </c>
      <c r="R681" s="16">
        <v>0.79</v>
      </c>
      <c r="S681" s="12" t="s">
        <v>49</v>
      </c>
      <c r="T681" s="12" t="s">
        <v>2042</v>
      </c>
      <c r="U681" s="12" t="s">
        <v>60</v>
      </c>
      <c r="V681" s="13">
        <v>45555</v>
      </c>
      <c r="W681" s="16">
        <v>0.86</v>
      </c>
      <c r="X681" s="12" t="s">
        <v>49</v>
      </c>
      <c r="Y681" s="12" t="s">
        <v>1905</v>
      </c>
      <c r="Z681" s="12" t="s">
        <v>60</v>
      </c>
      <c r="AC681" s="13">
        <v>44159</v>
      </c>
      <c r="AD681" s="11">
        <v>0.97</v>
      </c>
      <c r="AE681" s="12" t="s">
        <v>319</v>
      </c>
      <c r="AU681" s="12" t="s">
        <v>53</v>
      </c>
    </row>
    <row r="682" spans="1:47" s="12" customFormat="1" ht="14.4" x14ac:dyDescent="0.3">
      <c r="A682" s="12" t="s">
        <v>505</v>
      </c>
      <c r="B682" s="12" t="s">
        <v>1899</v>
      </c>
      <c r="C682" s="12">
        <v>70</v>
      </c>
      <c r="D682" s="12">
        <v>221</v>
      </c>
      <c r="F682" s="276" t="s">
        <v>2135</v>
      </c>
      <c r="G682" s="12" t="str">
        <f t="shared" si="17"/>
        <v>70221900297767-1</v>
      </c>
      <c r="H682" s="12" t="s">
        <v>2136</v>
      </c>
      <c r="I682" s="12" t="s">
        <v>2137</v>
      </c>
      <c r="J682" s="12" t="s">
        <v>2028</v>
      </c>
      <c r="K682" s="12" t="s">
        <v>230</v>
      </c>
      <c r="L682" s="12">
        <v>3116512151</v>
      </c>
      <c r="M682" s="12" t="s">
        <v>2138</v>
      </c>
      <c r="N682" s="12" t="s">
        <v>46</v>
      </c>
      <c r="O682" s="12" t="s">
        <v>47</v>
      </c>
      <c r="P682" s="88" t="s">
        <v>48</v>
      </c>
      <c r="Q682" s="13">
        <v>45771</v>
      </c>
      <c r="R682" s="59">
        <v>0.89500000000000002</v>
      </c>
      <c r="S682" s="12" t="s">
        <v>49</v>
      </c>
      <c r="T682" s="12" t="s">
        <v>1905</v>
      </c>
      <c r="U682" s="12" t="s">
        <v>60</v>
      </c>
      <c r="V682" s="13">
        <v>45490</v>
      </c>
      <c r="W682" s="11">
        <v>0.84</v>
      </c>
      <c r="X682" s="12" t="s">
        <v>49</v>
      </c>
      <c r="Y682" s="12" t="s">
        <v>1905</v>
      </c>
      <c r="Z682" s="12" t="s">
        <v>60</v>
      </c>
      <c r="AU682" s="12" t="s">
        <v>53</v>
      </c>
    </row>
    <row r="683" spans="1:47" s="12" customFormat="1" ht="14.4" x14ac:dyDescent="0.3">
      <c r="A683" s="12" t="s">
        <v>505</v>
      </c>
      <c r="B683" s="12" t="s">
        <v>1899</v>
      </c>
      <c r="C683" s="12">
        <v>70</v>
      </c>
      <c r="D683" s="12">
        <v>221</v>
      </c>
      <c r="F683" s="276" t="s">
        <v>9117</v>
      </c>
      <c r="G683" s="12" t="str">
        <f t="shared" si="17"/>
        <v>7022175107827</v>
      </c>
      <c r="H683" s="12" t="s">
        <v>9118</v>
      </c>
      <c r="I683" s="12">
        <v>75107827</v>
      </c>
      <c r="J683" s="12" t="s">
        <v>9119</v>
      </c>
      <c r="K683" s="12" t="s">
        <v>4092</v>
      </c>
      <c r="L683" s="12">
        <v>3105081185</v>
      </c>
      <c r="M683" s="17" t="s">
        <v>9120</v>
      </c>
      <c r="N683" s="12" t="s">
        <v>46</v>
      </c>
      <c r="O683" s="12" t="s">
        <v>47</v>
      </c>
      <c r="P683" s="88" t="s">
        <v>48</v>
      </c>
      <c r="Q683" s="13">
        <v>46133</v>
      </c>
      <c r="R683" s="16">
        <v>0.79</v>
      </c>
      <c r="S683" s="12" t="s">
        <v>49</v>
      </c>
      <c r="T683" s="12" t="s">
        <v>1905</v>
      </c>
      <c r="U683" s="12" t="s">
        <v>60</v>
      </c>
      <c r="V683" s="13"/>
      <c r="W683" s="11"/>
      <c r="AU683" s="12" t="s">
        <v>53</v>
      </c>
    </row>
    <row r="684" spans="1:47" s="12" customFormat="1" ht="14.4" x14ac:dyDescent="0.3">
      <c r="A684" s="12" t="s">
        <v>505</v>
      </c>
      <c r="B684" s="12" t="s">
        <v>1899</v>
      </c>
      <c r="C684" s="12">
        <v>70</v>
      </c>
      <c r="D684" s="12">
        <v>221</v>
      </c>
      <c r="E684" s="12" t="s">
        <v>2141</v>
      </c>
      <c r="F684" s="276" t="s">
        <v>8520</v>
      </c>
      <c r="G684" s="12" t="str">
        <f t="shared" si="17"/>
        <v>702219010663616</v>
      </c>
      <c r="H684" s="12" t="s">
        <v>2139</v>
      </c>
      <c r="I684" s="12">
        <v>9010663616</v>
      </c>
      <c r="J684" s="12" t="s">
        <v>2140</v>
      </c>
      <c r="K684" s="12" t="s">
        <v>230</v>
      </c>
      <c r="L684" s="12">
        <v>3136826706</v>
      </c>
      <c r="M684" s="17" t="s">
        <v>2145</v>
      </c>
      <c r="N684" s="12" t="s">
        <v>46</v>
      </c>
      <c r="O684" s="12" t="s">
        <v>47</v>
      </c>
      <c r="P684" s="88" t="s">
        <v>48</v>
      </c>
      <c r="Q684" s="13">
        <v>46107</v>
      </c>
      <c r="R684" s="16" t="s">
        <v>1090</v>
      </c>
      <c r="S684" s="12" t="s">
        <v>49</v>
      </c>
      <c r="T684" s="12" t="s">
        <v>4098</v>
      </c>
      <c r="U684" s="12" t="s">
        <v>60</v>
      </c>
      <c r="V684" s="13">
        <v>45555</v>
      </c>
      <c r="W684" s="16">
        <v>0.89</v>
      </c>
      <c r="X684" s="12" t="s">
        <v>49</v>
      </c>
      <c r="Z684" s="12" t="s">
        <v>60</v>
      </c>
      <c r="AC684" s="13">
        <v>44103</v>
      </c>
      <c r="AD684" s="11">
        <v>0.79</v>
      </c>
      <c r="AE684" s="12" t="s">
        <v>49</v>
      </c>
      <c r="AF684" s="12" t="s">
        <v>60</v>
      </c>
      <c r="AU684" s="12" t="s">
        <v>53</v>
      </c>
    </row>
    <row r="685" spans="1:47" s="12" customFormat="1" ht="14.4" x14ac:dyDescent="0.3">
      <c r="A685" s="12" t="s">
        <v>505</v>
      </c>
      <c r="B685" s="12" t="s">
        <v>1899</v>
      </c>
      <c r="C685" s="12">
        <v>70</v>
      </c>
      <c r="D685" s="12">
        <v>221</v>
      </c>
      <c r="E685" s="12" t="s">
        <v>2141</v>
      </c>
      <c r="F685" s="14" t="s">
        <v>2142</v>
      </c>
      <c r="G685" s="12" t="str">
        <f t="shared" si="17"/>
        <v>7022190166361-6</v>
      </c>
      <c r="H685" s="12" t="s">
        <v>2139</v>
      </c>
      <c r="I685" s="12" t="s">
        <v>2143</v>
      </c>
      <c r="J685" s="12" t="s">
        <v>2144</v>
      </c>
      <c r="K685" s="12" t="s">
        <v>230</v>
      </c>
      <c r="L685" s="12">
        <v>3046302034</v>
      </c>
      <c r="M685" s="12" t="s">
        <v>2145</v>
      </c>
      <c r="N685" s="12" t="s">
        <v>46</v>
      </c>
      <c r="O685" s="12" t="s">
        <v>47</v>
      </c>
      <c r="P685" s="88" t="s">
        <v>48</v>
      </c>
      <c r="Q685" s="13">
        <v>45805</v>
      </c>
      <c r="R685" s="16">
        <v>0.73</v>
      </c>
      <c r="S685" s="12" t="s">
        <v>49</v>
      </c>
      <c r="T685" s="12" t="s">
        <v>2042</v>
      </c>
      <c r="U685" s="12" t="s">
        <v>60</v>
      </c>
      <c r="V685" s="13">
        <v>45539</v>
      </c>
      <c r="W685" s="18">
        <v>0.875</v>
      </c>
      <c r="X685" s="12" t="s">
        <v>49</v>
      </c>
      <c r="Y685" s="12" t="s">
        <v>1905</v>
      </c>
      <c r="Z685" s="12" t="s">
        <v>60</v>
      </c>
      <c r="AC685" s="13">
        <v>44677</v>
      </c>
      <c r="AD685" s="11">
        <v>0.92</v>
      </c>
      <c r="AE685" s="12" t="s">
        <v>319</v>
      </c>
      <c r="AU685" s="12" t="s">
        <v>53</v>
      </c>
    </row>
    <row r="686" spans="1:47" s="12" customFormat="1" ht="14.4" x14ac:dyDescent="0.3">
      <c r="A686" s="12" t="s">
        <v>505</v>
      </c>
      <c r="B686" s="12" t="s">
        <v>1899</v>
      </c>
      <c r="C686" s="12">
        <v>70</v>
      </c>
      <c r="D686" s="12">
        <v>221</v>
      </c>
      <c r="E686" s="12" t="s">
        <v>8548</v>
      </c>
      <c r="F686" s="276" t="s">
        <v>8549</v>
      </c>
      <c r="G686" s="12" t="str">
        <f t="shared" si="17"/>
        <v>702219013717931</v>
      </c>
      <c r="H686" s="12" t="s">
        <v>2220</v>
      </c>
      <c r="I686" s="12">
        <v>9013717931</v>
      </c>
      <c r="J686" s="12" t="s">
        <v>2147</v>
      </c>
      <c r="K686" s="12" t="s">
        <v>230</v>
      </c>
      <c r="L686" s="12">
        <v>30118272066</v>
      </c>
      <c r="M686" s="12" t="s">
        <v>8550</v>
      </c>
      <c r="N686" s="12" t="s">
        <v>46</v>
      </c>
      <c r="O686" s="12" t="s">
        <v>47</v>
      </c>
      <c r="P686" s="88" t="s">
        <v>48</v>
      </c>
      <c r="Q686" s="13">
        <v>46108</v>
      </c>
      <c r="R686" s="12">
        <v>90</v>
      </c>
      <c r="S686" s="12" t="s">
        <v>210</v>
      </c>
      <c r="U686" s="12" t="s">
        <v>50</v>
      </c>
      <c r="V686" s="13">
        <v>45527</v>
      </c>
      <c r="W686" s="16" t="s">
        <v>2148</v>
      </c>
      <c r="X686" s="12" t="s">
        <v>49</v>
      </c>
      <c r="Y686" s="12" t="s">
        <v>1905</v>
      </c>
      <c r="Z686" s="12" t="s">
        <v>60</v>
      </c>
      <c r="AC686" s="13">
        <v>45211</v>
      </c>
      <c r="AD686" s="12" t="s">
        <v>1090</v>
      </c>
      <c r="AE686" s="12" t="s">
        <v>49</v>
      </c>
      <c r="AF686" s="12" t="s">
        <v>60</v>
      </c>
      <c r="AU686" s="12" t="s">
        <v>53</v>
      </c>
    </row>
    <row r="687" spans="1:47" s="12" customFormat="1" ht="14.4" x14ac:dyDescent="0.3">
      <c r="A687" s="12" t="s">
        <v>505</v>
      </c>
      <c r="B687" s="12" t="s">
        <v>1899</v>
      </c>
      <c r="C687" s="12">
        <v>70</v>
      </c>
      <c r="D687" s="12">
        <v>221</v>
      </c>
      <c r="F687" s="14" t="s">
        <v>2149</v>
      </c>
      <c r="G687" s="12" t="str">
        <f t="shared" si="17"/>
        <v>70221700113798-3</v>
      </c>
      <c r="H687" s="12" t="s">
        <v>2150</v>
      </c>
      <c r="I687" s="12" t="s">
        <v>2151</v>
      </c>
      <c r="K687" s="12" t="s">
        <v>230</v>
      </c>
      <c r="N687" s="12" t="s">
        <v>46</v>
      </c>
      <c r="O687" s="12" t="s">
        <v>47</v>
      </c>
      <c r="P687" s="88" t="s">
        <v>48</v>
      </c>
      <c r="Q687" s="13">
        <v>45843</v>
      </c>
      <c r="R687" s="16">
        <v>0.87</v>
      </c>
      <c r="S687" s="12" t="s">
        <v>49</v>
      </c>
      <c r="T687" s="12" t="s">
        <v>1905</v>
      </c>
      <c r="U687" s="12" t="s">
        <v>60</v>
      </c>
      <c r="V687" s="13">
        <v>44751</v>
      </c>
      <c r="W687" s="11">
        <v>0.76</v>
      </c>
      <c r="X687" s="12" t="s">
        <v>49</v>
      </c>
      <c r="Y687" s="12" t="s">
        <v>1905</v>
      </c>
      <c r="Z687" s="12" t="s">
        <v>60</v>
      </c>
      <c r="AU687" s="12" t="s">
        <v>53</v>
      </c>
    </row>
    <row r="688" spans="1:47" s="12" customFormat="1" ht="14.4" x14ac:dyDescent="0.3">
      <c r="A688" s="12" t="s">
        <v>505</v>
      </c>
      <c r="B688" s="12" t="s">
        <v>1899</v>
      </c>
      <c r="C688" s="12">
        <v>70</v>
      </c>
      <c r="D688" s="12">
        <v>221</v>
      </c>
      <c r="F688" s="276" t="s">
        <v>2154</v>
      </c>
      <c r="G688" s="12" t="str">
        <f t="shared" si="17"/>
        <v>7022123214360-1</v>
      </c>
      <c r="H688" s="12" t="s">
        <v>2155</v>
      </c>
      <c r="I688" s="12" t="s">
        <v>2156</v>
      </c>
      <c r="J688" s="12" t="s">
        <v>2157</v>
      </c>
      <c r="K688" s="12" t="s">
        <v>230</v>
      </c>
      <c r="L688" s="12" t="s">
        <v>45</v>
      </c>
      <c r="M688" s="12" t="s">
        <v>2158</v>
      </c>
      <c r="N688" s="12" t="s">
        <v>46</v>
      </c>
      <c r="O688" s="12" t="s">
        <v>47</v>
      </c>
      <c r="P688" s="88" t="s">
        <v>48</v>
      </c>
      <c r="Q688" s="13">
        <v>45825</v>
      </c>
      <c r="R688" s="16">
        <v>0.8</v>
      </c>
      <c r="S688" s="12" t="s">
        <v>49</v>
      </c>
      <c r="T688" s="12" t="s">
        <v>1905</v>
      </c>
      <c r="U688" s="12" t="s">
        <v>60</v>
      </c>
      <c r="V688" s="13">
        <v>45898</v>
      </c>
      <c r="W688" s="11">
        <v>0.82</v>
      </c>
      <c r="X688" s="12" t="s">
        <v>49</v>
      </c>
      <c r="Y688" s="12" t="s">
        <v>1905</v>
      </c>
      <c r="Z688" s="12" t="s">
        <v>60</v>
      </c>
      <c r="AU688" s="12" t="s">
        <v>53</v>
      </c>
    </row>
    <row r="689" spans="1:47" s="12" customFormat="1" ht="14.4" x14ac:dyDescent="0.3">
      <c r="A689" s="12" t="s">
        <v>505</v>
      </c>
      <c r="B689" s="12" t="s">
        <v>1899</v>
      </c>
      <c r="C689" s="12">
        <v>70</v>
      </c>
      <c r="D689" s="12">
        <v>221</v>
      </c>
      <c r="F689" s="276" t="s">
        <v>2159</v>
      </c>
      <c r="G689" s="12" t="str">
        <f t="shared" si="17"/>
        <v>7022115030280-9</v>
      </c>
      <c r="H689" s="12" t="s">
        <v>2160</v>
      </c>
      <c r="I689" s="12" t="s">
        <v>2161</v>
      </c>
      <c r="J689" s="12" t="s">
        <v>2162</v>
      </c>
      <c r="K689" s="12" t="s">
        <v>230</v>
      </c>
      <c r="L689" s="12">
        <v>3013864934</v>
      </c>
      <c r="M689" s="12" t="s">
        <v>2163</v>
      </c>
      <c r="N689" s="12" t="s">
        <v>46</v>
      </c>
      <c r="O689" s="12" t="s">
        <v>47</v>
      </c>
      <c r="P689" s="88" t="s">
        <v>48</v>
      </c>
      <c r="Q689" s="13">
        <v>45813</v>
      </c>
      <c r="R689" s="16">
        <v>0.745</v>
      </c>
      <c r="S689" s="12" t="s">
        <v>49</v>
      </c>
      <c r="T689" s="12" t="s">
        <v>1905</v>
      </c>
      <c r="U689" s="12" t="s">
        <v>60</v>
      </c>
      <c r="V689" s="13">
        <v>45439</v>
      </c>
      <c r="W689" s="10">
        <v>0.875</v>
      </c>
      <c r="X689" s="12" t="s">
        <v>49</v>
      </c>
      <c r="Y689" s="12" t="s">
        <v>1905</v>
      </c>
      <c r="Z689" s="12" t="s">
        <v>60</v>
      </c>
      <c r="AU689" s="12" t="s">
        <v>53</v>
      </c>
    </row>
    <row r="690" spans="1:47" s="12" customFormat="1" ht="14.4" x14ac:dyDescent="0.3">
      <c r="A690" s="12" t="s">
        <v>505</v>
      </c>
      <c r="B690" s="12" t="s">
        <v>1899</v>
      </c>
      <c r="C690" s="12">
        <v>70</v>
      </c>
      <c r="D690" s="12">
        <v>221</v>
      </c>
      <c r="F690" s="365" t="s">
        <v>2043</v>
      </c>
      <c r="G690" s="12" t="str">
        <f t="shared" si="17"/>
        <v>7022178076453</v>
      </c>
      <c r="H690" s="12" t="s">
        <v>9145</v>
      </c>
      <c r="I690" s="12">
        <v>78076453</v>
      </c>
      <c r="J690" s="12" t="s">
        <v>9143</v>
      </c>
      <c r="K690" s="12" t="s">
        <v>44</v>
      </c>
      <c r="L690" s="12">
        <v>3117003696</v>
      </c>
      <c r="M690" s="17" t="s">
        <v>9144</v>
      </c>
      <c r="N690" s="12" t="s">
        <v>46</v>
      </c>
      <c r="O690" s="12" t="s">
        <v>47</v>
      </c>
      <c r="P690" s="88" t="s">
        <v>48</v>
      </c>
      <c r="Q690" s="13">
        <v>46211</v>
      </c>
      <c r="R690" s="16">
        <v>0.78</v>
      </c>
      <c r="S690" s="12" t="s">
        <v>49</v>
      </c>
      <c r="T690" s="12" t="s">
        <v>1905</v>
      </c>
      <c r="U690" s="12" t="s">
        <v>60</v>
      </c>
      <c r="V690" s="13">
        <v>45881</v>
      </c>
      <c r="W690" s="10" t="s">
        <v>167</v>
      </c>
      <c r="X690" s="12" t="s">
        <v>49</v>
      </c>
      <c r="Y690" s="12" t="s">
        <v>1905</v>
      </c>
      <c r="Z690" s="12" t="s">
        <v>60</v>
      </c>
      <c r="AU690" s="12" t="s">
        <v>1208</v>
      </c>
    </row>
    <row r="691" spans="1:47" s="12" customFormat="1" ht="14.4" x14ac:dyDescent="0.3">
      <c r="A691" s="12" t="s">
        <v>505</v>
      </c>
      <c r="B691" s="12" t="s">
        <v>1899</v>
      </c>
      <c r="C691" s="12">
        <v>70</v>
      </c>
      <c r="D691" s="12">
        <v>221</v>
      </c>
      <c r="F691" s="14" t="s">
        <v>2164</v>
      </c>
      <c r="G691" s="12" t="str">
        <f t="shared" si="17"/>
        <v>70221901578010-5</v>
      </c>
      <c r="H691" s="12" t="s">
        <v>2165</v>
      </c>
      <c r="I691" s="12" t="s">
        <v>2166</v>
      </c>
      <c r="J691" s="12" t="s">
        <v>2099</v>
      </c>
      <c r="K691" s="12" t="s">
        <v>230</v>
      </c>
      <c r="L691" s="12">
        <v>3164703130</v>
      </c>
      <c r="N691" s="12" t="s">
        <v>46</v>
      </c>
      <c r="O691" s="12" t="s">
        <v>47</v>
      </c>
      <c r="P691" s="88" t="s">
        <v>48</v>
      </c>
      <c r="Q691" s="13">
        <v>45820</v>
      </c>
      <c r="R691" s="18">
        <v>0.88500000000000001</v>
      </c>
      <c r="S691" s="12" t="s">
        <v>49</v>
      </c>
      <c r="T691" s="12" t="s">
        <v>1905</v>
      </c>
      <c r="U691" s="12" t="s">
        <v>60</v>
      </c>
      <c r="V691" s="13">
        <v>45775</v>
      </c>
      <c r="W691" s="11">
        <v>0.75</v>
      </c>
      <c r="X691" s="12" t="s">
        <v>49</v>
      </c>
      <c r="Y691" s="12" t="s">
        <v>1905</v>
      </c>
      <c r="Z691" s="12" t="s">
        <v>60</v>
      </c>
      <c r="AU691" s="12" t="s">
        <v>53</v>
      </c>
    </row>
    <row r="692" spans="1:47" s="12" customFormat="1" ht="14.4" x14ac:dyDescent="0.3">
      <c r="A692" s="12" t="s">
        <v>505</v>
      </c>
      <c r="B692" s="12" t="s">
        <v>1899</v>
      </c>
      <c r="C692" s="12">
        <v>70</v>
      </c>
      <c r="D692" s="12">
        <v>221</v>
      </c>
      <c r="F692" s="276" t="s">
        <v>2167</v>
      </c>
      <c r="G692" s="12" t="str">
        <f t="shared" si="17"/>
        <v>7022164698057-8</v>
      </c>
      <c r="H692" s="12" t="s">
        <v>2168</v>
      </c>
      <c r="I692" s="12" t="s">
        <v>2169</v>
      </c>
      <c r="J692" s="12" t="s">
        <v>2170</v>
      </c>
      <c r="K692" s="12" t="s">
        <v>230</v>
      </c>
      <c r="L692" s="12">
        <v>3052246789</v>
      </c>
      <c r="M692" s="12" t="s">
        <v>2171</v>
      </c>
      <c r="N692" s="12" t="s">
        <v>46</v>
      </c>
      <c r="O692" s="12" t="s">
        <v>47</v>
      </c>
      <c r="P692" s="88" t="s">
        <v>48</v>
      </c>
      <c r="Q692" s="13">
        <v>45770</v>
      </c>
      <c r="R692" s="18">
        <v>0.86499999999999999</v>
      </c>
      <c r="S692" s="12" t="s">
        <v>139</v>
      </c>
      <c r="T692" s="12" t="s">
        <v>1905</v>
      </c>
      <c r="U692" s="12" t="s">
        <v>60</v>
      </c>
      <c r="V692" s="13">
        <v>45555</v>
      </c>
      <c r="W692" s="16">
        <v>0.92</v>
      </c>
      <c r="X692" s="12" t="s">
        <v>319</v>
      </c>
      <c r="Y692" s="12" t="s">
        <v>1905</v>
      </c>
      <c r="Z692" s="12" t="s">
        <v>60</v>
      </c>
      <c r="AC692" s="13">
        <v>44582</v>
      </c>
      <c r="AD692" s="11">
        <v>0.89</v>
      </c>
      <c r="AE692" s="12" t="s">
        <v>49</v>
      </c>
      <c r="AU692" s="12" t="s">
        <v>53</v>
      </c>
    </row>
    <row r="693" spans="1:47" s="12" customFormat="1" ht="14.4" x14ac:dyDescent="0.3">
      <c r="A693" s="12" t="s">
        <v>505</v>
      </c>
      <c r="B693" s="12" t="s">
        <v>1899</v>
      </c>
      <c r="C693" s="12">
        <v>70</v>
      </c>
      <c r="D693" s="12">
        <v>221</v>
      </c>
      <c r="F693" s="14" t="s">
        <v>2172</v>
      </c>
      <c r="G693" s="12" t="str">
        <f t="shared" si="17"/>
        <v>70221901077098-9</v>
      </c>
      <c r="H693" s="12" t="s">
        <v>2173</v>
      </c>
      <c r="I693" s="12" t="s">
        <v>2174</v>
      </c>
      <c r="J693" s="12" t="s">
        <v>2175</v>
      </c>
      <c r="K693" s="12" t="s">
        <v>230</v>
      </c>
      <c r="L693" s="12">
        <v>3146453452</v>
      </c>
      <c r="M693" s="12" t="s">
        <v>2176</v>
      </c>
      <c r="N693" s="12" t="s">
        <v>46</v>
      </c>
      <c r="O693" s="12" t="s">
        <v>47</v>
      </c>
      <c r="P693" s="88" t="s">
        <v>48</v>
      </c>
      <c r="Q693" s="13">
        <v>45720</v>
      </c>
      <c r="R693" s="18">
        <v>0.80500000000000005</v>
      </c>
      <c r="S693" s="12" t="s">
        <v>139</v>
      </c>
      <c r="T693" s="12" t="s">
        <v>1905</v>
      </c>
      <c r="U693" s="12" t="s">
        <v>60</v>
      </c>
      <c r="V693" s="13">
        <v>45432</v>
      </c>
      <c r="W693" s="11">
        <v>0.82499999999999996</v>
      </c>
      <c r="X693" s="12" t="s">
        <v>49</v>
      </c>
      <c r="Y693" s="12" t="s">
        <v>1905</v>
      </c>
      <c r="Z693" s="12" t="s">
        <v>60</v>
      </c>
      <c r="AC693" s="13">
        <v>44818</v>
      </c>
      <c r="AD693" s="16">
        <v>0.79</v>
      </c>
      <c r="AE693" s="12" t="s">
        <v>49</v>
      </c>
      <c r="AI693" s="13">
        <v>44546</v>
      </c>
      <c r="AJ693" s="9" t="s">
        <v>2148</v>
      </c>
      <c r="AK693" s="12" t="s">
        <v>49</v>
      </c>
      <c r="AU693" s="12" t="s">
        <v>53</v>
      </c>
    </row>
    <row r="694" spans="1:47" s="12" customFormat="1" ht="14.4" x14ac:dyDescent="0.3">
      <c r="A694" s="12" t="s">
        <v>505</v>
      </c>
      <c r="B694" s="12" t="s">
        <v>1899</v>
      </c>
      <c r="C694" s="12">
        <v>70</v>
      </c>
      <c r="D694" s="12">
        <v>221</v>
      </c>
      <c r="F694" s="14" t="s">
        <v>2177</v>
      </c>
      <c r="G694" s="12" t="str">
        <f t="shared" si="17"/>
        <v>702211104872939-1</v>
      </c>
      <c r="H694" s="12" t="s">
        <v>2178</v>
      </c>
      <c r="I694" s="12" t="s">
        <v>2179</v>
      </c>
      <c r="J694" s="12" t="s">
        <v>2180</v>
      </c>
      <c r="K694" s="12" t="s">
        <v>230</v>
      </c>
      <c r="L694" s="12">
        <v>3043521668</v>
      </c>
      <c r="N694" s="12" t="s">
        <v>46</v>
      </c>
      <c r="O694" s="12" t="s">
        <v>47</v>
      </c>
      <c r="P694" s="88" t="s">
        <v>48</v>
      </c>
      <c r="Q694" s="13">
        <v>45585</v>
      </c>
      <c r="R694" s="11">
        <v>0.93</v>
      </c>
      <c r="S694" s="12" t="s">
        <v>319</v>
      </c>
      <c r="T694" s="12" t="s">
        <v>1905</v>
      </c>
      <c r="U694" s="12" t="s">
        <v>60</v>
      </c>
      <c r="W694" s="11"/>
      <c r="AU694" s="12" t="s">
        <v>53</v>
      </c>
    </row>
    <row r="695" spans="1:47" s="12" customFormat="1" ht="14.4" x14ac:dyDescent="0.3">
      <c r="A695" s="12" t="s">
        <v>505</v>
      </c>
      <c r="B695" s="12" t="s">
        <v>1899</v>
      </c>
      <c r="C695" s="12">
        <v>70</v>
      </c>
      <c r="D695" s="12">
        <v>221</v>
      </c>
      <c r="F695" s="276" t="s">
        <v>2181</v>
      </c>
      <c r="G695" s="12" t="str">
        <f t="shared" si="17"/>
        <v>702211041469857</v>
      </c>
      <c r="H695" s="12" t="s">
        <v>2182</v>
      </c>
      <c r="I695" s="12">
        <v>1041469857</v>
      </c>
      <c r="J695" s="12" t="s">
        <v>8547</v>
      </c>
      <c r="K695" s="12" t="s">
        <v>230</v>
      </c>
      <c r="L695" s="12">
        <v>3105122541</v>
      </c>
      <c r="M695" s="12" t="s">
        <v>2183</v>
      </c>
      <c r="N695" s="12" t="s">
        <v>46</v>
      </c>
      <c r="O695" s="12" t="s">
        <v>47</v>
      </c>
      <c r="P695" s="88" t="s">
        <v>48</v>
      </c>
      <c r="Q695" s="13">
        <v>46101</v>
      </c>
      <c r="R695" s="12" t="s">
        <v>4833</v>
      </c>
      <c r="S695" s="12" t="s">
        <v>49</v>
      </c>
      <c r="U695" s="12" t="s">
        <v>60</v>
      </c>
      <c r="V695" s="13">
        <v>45720</v>
      </c>
      <c r="W695" s="18">
        <v>0.84499999999999997</v>
      </c>
      <c r="X695" s="12" t="s">
        <v>49</v>
      </c>
      <c r="Y695" s="12" t="s">
        <v>1905</v>
      </c>
      <c r="Z695" s="12" t="s">
        <v>60</v>
      </c>
      <c r="AC695" s="13">
        <v>45462</v>
      </c>
      <c r="AD695" s="16">
        <v>0.87</v>
      </c>
      <c r="AE695" s="12" t="s">
        <v>49</v>
      </c>
      <c r="AF695" s="12" t="s">
        <v>50</v>
      </c>
      <c r="AI695" s="13">
        <v>44875</v>
      </c>
      <c r="AJ695" s="11">
        <v>0.72</v>
      </c>
      <c r="AK695" s="12" t="s">
        <v>49</v>
      </c>
      <c r="AU695" s="12" t="s">
        <v>53</v>
      </c>
    </row>
    <row r="696" spans="1:47" s="12" customFormat="1" ht="14.4" x14ac:dyDescent="0.3">
      <c r="A696" s="12" t="s">
        <v>505</v>
      </c>
      <c r="B696" s="12" t="s">
        <v>1899</v>
      </c>
      <c r="C696" s="12">
        <v>70</v>
      </c>
      <c r="D696" s="12">
        <v>221</v>
      </c>
      <c r="F696" s="14" t="s">
        <v>2184</v>
      </c>
      <c r="G696" s="12" t="str">
        <f t="shared" si="17"/>
        <v>7022192536039-2</v>
      </c>
      <c r="H696" s="12" t="s">
        <v>2185</v>
      </c>
      <c r="I696" s="12" t="s">
        <v>2186</v>
      </c>
      <c r="J696" s="12" t="s">
        <v>2099</v>
      </c>
      <c r="K696" s="12" t="s">
        <v>230</v>
      </c>
      <c r="L696" s="12">
        <v>3043954919</v>
      </c>
      <c r="M696" s="12" t="s">
        <v>2187</v>
      </c>
      <c r="N696" s="12" t="s">
        <v>46</v>
      </c>
      <c r="O696" s="12" t="s">
        <v>47</v>
      </c>
      <c r="P696" s="88" t="s">
        <v>48</v>
      </c>
      <c r="Q696" s="13">
        <v>45792</v>
      </c>
      <c r="R696" s="18">
        <v>0.79500000000000004</v>
      </c>
      <c r="S696" s="12" t="s">
        <v>49</v>
      </c>
      <c r="T696" s="12" t="s">
        <v>1905</v>
      </c>
      <c r="U696" s="12" t="s">
        <v>60</v>
      </c>
      <c r="V696" s="13">
        <v>45522</v>
      </c>
      <c r="W696" s="11">
        <v>0.85</v>
      </c>
      <c r="X696" s="12" t="s">
        <v>49</v>
      </c>
      <c r="Y696" s="12" t="s">
        <v>1905</v>
      </c>
      <c r="Z696" s="12" t="s">
        <v>60</v>
      </c>
      <c r="AU696" s="12" t="s">
        <v>53</v>
      </c>
    </row>
    <row r="697" spans="1:47" s="12" customFormat="1" ht="14.4" x14ac:dyDescent="0.3">
      <c r="A697" s="12" t="s">
        <v>505</v>
      </c>
      <c r="B697" s="12" t="s">
        <v>1899</v>
      </c>
      <c r="C697" s="12">
        <v>70</v>
      </c>
      <c r="D697" s="12">
        <v>221</v>
      </c>
      <c r="F697" s="14" t="s">
        <v>2188</v>
      </c>
      <c r="G697" s="12" t="str">
        <f t="shared" si="17"/>
        <v>7022111900147</v>
      </c>
      <c r="H697" s="12" t="s">
        <v>2189</v>
      </c>
      <c r="I697" s="12">
        <v>11900147</v>
      </c>
      <c r="J697" s="12" t="s">
        <v>2113</v>
      </c>
      <c r="K697" s="12" t="s">
        <v>230</v>
      </c>
      <c r="N697" s="12" t="s">
        <v>46</v>
      </c>
      <c r="O697" s="12" t="s">
        <v>47</v>
      </c>
      <c r="P697" s="88" t="s">
        <v>48</v>
      </c>
      <c r="Q697" s="13">
        <v>45638</v>
      </c>
      <c r="R697" s="16">
        <v>0.85</v>
      </c>
      <c r="S697" s="12" t="s">
        <v>49</v>
      </c>
      <c r="T697" s="12" t="s">
        <v>1905</v>
      </c>
      <c r="U697" s="12" t="s">
        <v>60</v>
      </c>
      <c r="V697" s="13">
        <v>44285</v>
      </c>
      <c r="W697" s="11">
        <v>0.79</v>
      </c>
      <c r="X697" s="12" t="s">
        <v>49</v>
      </c>
      <c r="Y697" s="12" t="s">
        <v>1905</v>
      </c>
      <c r="Z697" s="12" t="s">
        <v>60</v>
      </c>
      <c r="AU697" s="12" t="s">
        <v>53</v>
      </c>
    </row>
    <row r="698" spans="1:47" s="12" customFormat="1" ht="14.4" x14ac:dyDescent="0.3">
      <c r="A698" s="12" t="s">
        <v>505</v>
      </c>
      <c r="B698" s="12" t="s">
        <v>1899</v>
      </c>
      <c r="C698" s="12">
        <v>70</v>
      </c>
      <c r="D698" s="12">
        <v>221</v>
      </c>
      <c r="E698" s="12" t="s">
        <v>9135</v>
      </c>
      <c r="F698" s="276" t="s">
        <v>9136</v>
      </c>
      <c r="G698" s="12" t="str">
        <f t="shared" si="17"/>
        <v>702219018455994</v>
      </c>
      <c r="H698" s="12" t="s">
        <v>9137</v>
      </c>
      <c r="I698" s="12">
        <v>9018455994</v>
      </c>
      <c r="J698" s="12" t="s">
        <v>2190</v>
      </c>
      <c r="K698" s="12" t="s">
        <v>44</v>
      </c>
      <c r="L698" s="12">
        <v>3168785698</v>
      </c>
      <c r="M698" s="12" t="s">
        <v>2191</v>
      </c>
      <c r="N698" s="12" t="s">
        <v>46</v>
      </c>
      <c r="O698" s="12" t="s">
        <v>47</v>
      </c>
      <c r="P698" s="88" t="s">
        <v>48</v>
      </c>
      <c r="Q698" s="13">
        <v>46203</v>
      </c>
      <c r="R698" s="16">
        <v>0.76</v>
      </c>
      <c r="S698" s="12" t="s">
        <v>49</v>
      </c>
      <c r="T698" s="12" t="s">
        <v>1905</v>
      </c>
      <c r="U698" s="12" t="s">
        <v>60</v>
      </c>
      <c r="V698" s="13">
        <v>45769</v>
      </c>
      <c r="W698" s="16">
        <v>0.79</v>
      </c>
      <c r="X698" s="12" t="s">
        <v>49</v>
      </c>
      <c r="Y698" s="12" t="s">
        <v>1905</v>
      </c>
      <c r="Z698" s="12" t="s">
        <v>60</v>
      </c>
      <c r="AC698" s="13">
        <v>45603</v>
      </c>
      <c r="AD698" s="11">
        <v>0.84</v>
      </c>
      <c r="AE698" s="12" t="s">
        <v>49</v>
      </c>
      <c r="AF698" s="12" t="s">
        <v>60</v>
      </c>
      <c r="AU698" s="12" t="s">
        <v>53</v>
      </c>
    </row>
    <row r="699" spans="1:47" s="12" customFormat="1" ht="14.4" x14ac:dyDescent="0.3">
      <c r="A699" s="12" t="s">
        <v>505</v>
      </c>
      <c r="B699" s="12" t="s">
        <v>1899</v>
      </c>
      <c r="C699" s="12">
        <v>70</v>
      </c>
      <c r="D699" s="12">
        <v>221</v>
      </c>
      <c r="F699" s="14" t="s">
        <v>9107</v>
      </c>
      <c r="G699" s="12" t="str">
        <f t="shared" si="17"/>
        <v>7022179653434</v>
      </c>
      <c r="H699" s="12" t="s">
        <v>2192</v>
      </c>
      <c r="I699" s="12">
        <v>79653434</v>
      </c>
      <c r="J699" s="12" t="s">
        <v>2060</v>
      </c>
      <c r="K699" s="12" t="s">
        <v>192</v>
      </c>
      <c r="M699" s="12" t="s">
        <v>2193</v>
      </c>
      <c r="N699" s="12" t="s">
        <v>46</v>
      </c>
      <c r="O699" s="12" t="s">
        <v>47</v>
      </c>
      <c r="P699" s="88" t="s">
        <v>102</v>
      </c>
      <c r="Q699" s="13">
        <v>45792</v>
      </c>
      <c r="R699" s="18">
        <v>0.79500000000000004</v>
      </c>
      <c r="S699" s="12" t="s">
        <v>74</v>
      </c>
      <c r="T699" s="12" t="s">
        <v>1905</v>
      </c>
      <c r="U699" s="12" t="s">
        <v>50</v>
      </c>
      <c r="V699" s="13">
        <v>45156</v>
      </c>
      <c r="W699" s="11">
        <v>0.85</v>
      </c>
      <c r="X699" s="12" t="s">
        <v>49</v>
      </c>
      <c r="AU699" s="12" t="s">
        <v>53</v>
      </c>
    </row>
    <row r="700" spans="1:47" s="12" customFormat="1" ht="14.4" hidden="1" x14ac:dyDescent="0.3">
      <c r="A700" s="12" t="s">
        <v>505</v>
      </c>
      <c r="B700" s="12" t="s">
        <v>1899</v>
      </c>
      <c r="C700" s="12">
        <v>70</v>
      </c>
      <c r="D700" s="12">
        <v>221</v>
      </c>
      <c r="E700" s="14" t="s">
        <v>2196</v>
      </c>
      <c r="F700" s="14" t="s">
        <v>2196</v>
      </c>
      <c r="G700" s="12" t="str">
        <f t="shared" si="17"/>
        <v>7022178758569-6</v>
      </c>
      <c r="H700" s="12" t="s">
        <v>2197</v>
      </c>
      <c r="I700" s="12" t="s">
        <v>2198</v>
      </c>
      <c r="J700" s="12" t="s">
        <v>2199</v>
      </c>
      <c r="K700" s="12" t="s">
        <v>230</v>
      </c>
      <c r="L700" s="12">
        <v>3145766031</v>
      </c>
      <c r="N700" s="12" t="s">
        <v>259</v>
      </c>
      <c r="O700" s="12" t="s">
        <v>7650</v>
      </c>
      <c r="P700" s="88" t="s">
        <v>102</v>
      </c>
      <c r="W700" s="11"/>
      <c r="AU700" s="12" t="s">
        <v>53</v>
      </c>
    </row>
    <row r="701" spans="1:47" s="12" customFormat="1" ht="14.4" x14ac:dyDescent="0.3">
      <c r="A701" s="12" t="s">
        <v>505</v>
      </c>
      <c r="B701" s="12" t="s">
        <v>1899</v>
      </c>
      <c r="C701" s="12">
        <v>70</v>
      </c>
      <c r="D701" s="12">
        <v>221</v>
      </c>
      <c r="F701" s="14" t="s">
        <v>2200</v>
      </c>
      <c r="G701" s="12" t="str">
        <f t="shared" si="17"/>
        <v>702211131108295</v>
      </c>
      <c r="H701" s="12" t="s">
        <v>2201</v>
      </c>
      <c r="I701" s="12">
        <v>1131108295</v>
      </c>
      <c r="J701" s="12" t="s">
        <v>2202</v>
      </c>
      <c r="K701" s="12" t="s">
        <v>192</v>
      </c>
      <c r="L701" s="12">
        <v>3242582198</v>
      </c>
      <c r="N701" s="12" t="s">
        <v>46</v>
      </c>
      <c r="O701" s="12" t="s">
        <v>47</v>
      </c>
      <c r="P701" s="88" t="s">
        <v>102</v>
      </c>
      <c r="W701" s="11"/>
      <c r="AU701" s="12" t="s">
        <v>53</v>
      </c>
    </row>
    <row r="702" spans="1:47" s="12" customFormat="1" ht="14.4" x14ac:dyDescent="0.3">
      <c r="A702" s="12" t="s">
        <v>505</v>
      </c>
      <c r="B702" s="12" t="s">
        <v>1899</v>
      </c>
      <c r="C702" s="12">
        <v>70</v>
      </c>
      <c r="D702" s="12">
        <v>221</v>
      </c>
      <c r="F702" s="14" t="s">
        <v>2203</v>
      </c>
      <c r="G702" s="12" t="str">
        <f t="shared" si="17"/>
        <v>7022115031554</v>
      </c>
      <c r="H702" s="12" t="s">
        <v>2204</v>
      </c>
      <c r="I702" s="12">
        <v>15031554</v>
      </c>
      <c r="J702" s="12" t="s">
        <v>2195</v>
      </c>
      <c r="K702" s="12" t="s">
        <v>192</v>
      </c>
      <c r="N702" s="12" t="s">
        <v>46</v>
      </c>
      <c r="O702" s="12" t="s">
        <v>47</v>
      </c>
      <c r="P702" s="88" t="s">
        <v>102</v>
      </c>
      <c r="W702" s="11"/>
      <c r="AU702" s="12" t="s">
        <v>53</v>
      </c>
    </row>
    <row r="703" spans="1:47" s="12" customFormat="1" ht="14.4" hidden="1" x14ac:dyDescent="0.3">
      <c r="A703" s="12" t="s">
        <v>505</v>
      </c>
      <c r="B703" s="12" t="s">
        <v>1899</v>
      </c>
      <c r="C703" s="12">
        <v>70</v>
      </c>
      <c r="D703" s="12">
        <v>221</v>
      </c>
      <c r="F703" s="14" t="s">
        <v>2205</v>
      </c>
      <c r="G703" s="12" t="str">
        <f t="shared" si="17"/>
        <v>702211131106434</v>
      </c>
      <c r="H703" s="12" t="s">
        <v>2206</v>
      </c>
      <c r="I703" s="12">
        <v>1131106434</v>
      </c>
      <c r="J703" s="12" t="s">
        <v>2207</v>
      </c>
      <c r="K703" s="12" t="s">
        <v>2208</v>
      </c>
      <c r="N703" s="12" t="s">
        <v>432</v>
      </c>
      <c r="O703" s="12" t="s">
        <v>432</v>
      </c>
      <c r="P703" s="88" t="s">
        <v>261</v>
      </c>
      <c r="W703" s="11"/>
      <c r="AU703" s="12" t="s">
        <v>53</v>
      </c>
    </row>
    <row r="704" spans="1:47" s="12" customFormat="1" ht="14.4" x14ac:dyDescent="0.3">
      <c r="A704" s="12" t="s">
        <v>505</v>
      </c>
      <c r="B704" s="12" t="s">
        <v>1899</v>
      </c>
      <c r="C704" s="12">
        <v>70</v>
      </c>
      <c r="D704" s="12">
        <v>221</v>
      </c>
      <c r="F704" s="14" t="s">
        <v>2015</v>
      </c>
      <c r="G704" s="12" t="str">
        <f t="shared" si="17"/>
        <v>702211063140479</v>
      </c>
      <c r="H704" s="12" t="s">
        <v>2209</v>
      </c>
      <c r="I704" s="12">
        <v>1063140479</v>
      </c>
      <c r="J704" s="12" t="s">
        <v>2210</v>
      </c>
      <c r="K704" s="12" t="s">
        <v>192</v>
      </c>
      <c r="L704" s="12">
        <v>3004852087</v>
      </c>
      <c r="N704" s="12" t="s">
        <v>46</v>
      </c>
      <c r="O704" s="12" t="s">
        <v>47</v>
      </c>
      <c r="P704" s="88" t="s">
        <v>102</v>
      </c>
      <c r="W704" s="11"/>
      <c r="AU704" s="12" t="s">
        <v>53</v>
      </c>
    </row>
    <row r="705" spans="1:47" s="12" customFormat="1" ht="14.4" hidden="1" x14ac:dyDescent="0.3">
      <c r="A705" s="12" t="s">
        <v>505</v>
      </c>
      <c r="B705" s="12" t="s">
        <v>1899</v>
      </c>
      <c r="C705" s="12">
        <v>70</v>
      </c>
      <c r="D705" s="12">
        <v>221</v>
      </c>
      <c r="F705" s="276" t="s">
        <v>9121</v>
      </c>
      <c r="G705" s="12" t="str">
        <f t="shared" si="17"/>
        <v>7022110678867573</v>
      </c>
      <c r="H705" s="12" t="s">
        <v>9122</v>
      </c>
      <c r="I705" s="12">
        <v>10678867573</v>
      </c>
      <c r="J705" s="12" t="s">
        <v>9123</v>
      </c>
      <c r="K705" s="12" t="s">
        <v>44</v>
      </c>
      <c r="L705" s="12">
        <v>3205804404</v>
      </c>
      <c r="M705" s="17" t="s">
        <v>9124</v>
      </c>
      <c r="N705" s="12" t="s">
        <v>432</v>
      </c>
      <c r="O705" s="12" t="s">
        <v>432</v>
      </c>
      <c r="P705" s="88" t="s">
        <v>261</v>
      </c>
      <c r="Q705" s="13">
        <v>46195</v>
      </c>
      <c r="R705" s="12" t="s">
        <v>7868</v>
      </c>
      <c r="S705" s="12" t="s">
        <v>9125</v>
      </c>
      <c r="T705" s="12" t="s">
        <v>1905</v>
      </c>
      <c r="U705" s="12" t="s">
        <v>60</v>
      </c>
      <c r="V705" s="13">
        <v>46002</v>
      </c>
      <c r="W705" s="11" t="s">
        <v>1090</v>
      </c>
      <c r="X705" s="12" t="s">
        <v>49</v>
      </c>
      <c r="AU705" s="12" t="s">
        <v>53</v>
      </c>
    </row>
    <row r="706" spans="1:47" s="12" customFormat="1" ht="14.4" x14ac:dyDescent="0.3">
      <c r="A706" s="12" t="s">
        <v>505</v>
      </c>
      <c r="B706" s="12" t="s">
        <v>1899</v>
      </c>
      <c r="C706" s="12">
        <v>70</v>
      </c>
      <c r="D706" s="12">
        <v>221</v>
      </c>
      <c r="F706" s="14" t="s">
        <v>2211</v>
      </c>
      <c r="G706" s="12" t="str">
        <f t="shared" si="17"/>
        <v>7022192640554</v>
      </c>
      <c r="H706" s="12" t="s">
        <v>2212</v>
      </c>
      <c r="I706" s="12">
        <v>92640554</v>
      </c>
      <c r="J706" s="12" t="s">
        <v>2213</v>
      </c>
      <c r="K706" s="12" t="s">
        <v>192</v>
      </c>
      <c r="L706" s="12">
        <v>3145078535</v>
      </c>
      <c r="N706" s="12" t="s">
        <v>46</v>
      </c>
      <c r="O706" s="12" t="s">
        <v>47</v>
      </c>
      <c r="P706" s="88" t="s">
        <v>102</v>
      </c>
      <c r="W706" s="11"/>
      <c r="AU706" s="12" t="s">
        <v>53</v>
      </c>
    </row>
    <row r="707" spans="1:47" s="12" customFormat="1" ht="14.4" x14ac:dyDescent="0.3">
      <c r="A707" s="12" t="s">
        <v>505</v>
      </c>
      <c r="B707" s="12" t="s">
        <v>1899</v>
      </c>
      <c r="C707" s="12">
        <v>70</v>
      </c>
      <c r="D707" s="12">
        <v>221</v>
      </c>
      <c r="F707" s="14" t="s">
        <v>2214</v>
      </c>
      <c r="G707" s="12" t="str">
        <f t="shared" si="17"/>
        <v>702211131108567</v>
      </c>
      <c r="H707" s="12" t="s">
        <v>2215</v>
      </c>
      <c r="I707" s="12">
        <v>1131108567</v>
      </c>
      <c r="J707" s="12" t="s">
        <v>2216</v>
      </c>
      <c r="K707" s="12" t="s">
        <v>230</v>
      </c>
      <c r="L707" s="12">
        <v>3205008929</v>
      </c>
      <c r="N707" s="12" t="s">
        <v>46</v>
      </c>
      <c r="O707" s="12" t="s">
        <v>47</v>
      </c>
      <c r="P707" s="88" t="s">
        <v>102</v>
      </c>
      <c r="W707" s="11"/>
      <c r="AU707" s="12" t="s">
        <v>53</v>
      </c>
    </row>
    <row r="708" spans="1:47" s="12" customFormat="1" ht="14.4" x14ac:dyDescent="0.3">
      <c r="A708" s="12" t="s">
        <v>505</v>
      </c>
      <c r="B708" s="12" t="s">
        <v>1899</v>
      </c>
      <c r="C708" s="12">
        <v>70</v>
      </c>
      <c r="D708" s="12">
        <v>221</v>
      </c>
      <c r="F708" s="14" t="s">
        <v>2217</v>
      </c>
      <c r="G708" s="12" t="str">
        <f t="shared" si="17"/>
        <v>70221110497205</v>
      </c>
      <c r="H708" s="12" t="s">
        <v>2218</v>
      </c>
      <c r="I708" s="12">
        <v>110497205</v>
      </c>
      <c r="J708" s="12" t="s">
        <v>2113</v>
      </c>
      <c r="K708" s="12" t="s">
        <v>192</v>
      </c>
      <c r="L708" s="12">
        <v>3023309831</v>
      </c>
      <c r="N708" s="12" t="s">
        <v>46</v>
      </c>
      <c r="O708" s="12" t="s">
        <v>47</v>
      </c>
      <c r="P708" s="88" t="s">
        <v>102</v>
      </c>
      <c r="W708" s="11"/>
      <c r="AU708" s="12" t="s">
        <v>53</v>
      </c>
    </row>
    <row r="709" spans="1:47" s="12" customFormat="1" ht="14.4" x14ac:dyDescent="0.3">
      <c r="A709" s="12" t="s">
        <v>505</v>
      </c>
      <c r="B709" s="12" t="s">
        <v>1899</v>
      </c>
      <c r="C709" s="12">
        <v>70</v>
      </c>
      <c r="D709" s="12">
        <v>221</v>
      </c>
      <c r="E709" s="14" t="s">
        <v>2141</v>
      </c>
      <c r="F709" s="14" t="s">
        <v>2219</v>
      </c>
      <c r="G709" s="12" t="str">
        <f t="shared" ref="G709:G739" si="18">C709&amp;D709&amp;I709</f>
        <v>70221901066361-6</v>
      </c>
      <c r="H709" s="12" t="s">
        <v>2220</v>
      </c>
      <c r="I709" s="12" t="s">
        <v>2109</v>
      </c>
      <c r="J709" s="12" t="s">
        <v>2221</v>
      </c>
      <c r="K709" s="12" t="s">
        <v>192</v>
      </c>
      <c r="L709" s="12">
        <v>3242416582</v>
      </c>
      <c r="N709" s="12" t="s">
        <v>46</v>
      </c>
      <c r="O709" s="12" t="s">
        <v>47</v>
      </c>
      <c r="P709" s="88" t="s">
        <v>102</v>
      </c>
      <c r="W709" s="11"/>
      <c r="AU709" s="12" t="s">
        <v>53</v>
      </c>
    </row>
    <row r="710" spans="1:47" s="12" customFormat="1" ht="14.4" x14ac:dyDescent="0.3">
      <c r="A710" s="12" t="s">
        <v>505</v>
      </c>
      <c r="B710" s="12" t="s">
        <v>1899</v>
      </c>
      <c r="C710" s="12">
        <v>70</v>
      </c>
      <c r="D710" s="12">
        <v>221</v>
      </c>
      <c r="F710" s="14" t="s">
        <v>2222</v>
      </c>
      <c r="G710" s="12" t="str">
        <f t="shared" si="18"/>
        <v>702211101813255</v>
      </c>
      <c r="H710" s="12" t="s">
        <v>2223</v>
      </c>
      <c r="I710" s="12">
        <v>1101813255</v>
      </c>
      <c r="J710" s="12" t="s">
        <v>2224</v>
      </c>
      <c r="K710" s="12" t="s">
        <v>192</v>
      </c>
      <c r="L710" s="12">
        <v>3127703701</v>
      </c>
      <c r="N710" s="12" t="s">
        <v>46</v>
      </c>
      <c r="O710" s="12" t="s">
        <v>47</v>
      </c>
      <c r="P710" s="88" t="s">
        <v>102</v>
      </c>
      <c r="W710" s="11"/>
      <c r="AU710" s="12" t="s">
        <v>53</v>
      </c>
    </row>
    <row r="711" spans="1:47" s="12" customFormat="1" ht="14.4" x14ac:dyDescent="0.3">
      <c r="A711" s="12" t="s">
        <v>505</v>
      </c>
      <c r="B711" s="12" t="s">
        <v>1899</v>
      </c>
      <c r="C711" s="12">
        <v>70</v>
      </c>
      <c r="D711" s="12">
        <v>221</v>
      </c>
      <c r="F711" s="276" t="s">
        <v>9108</v>
      </c>
      <c r="G711" s="12" t="str">
        <f t="shared" si="18"/>
        <v>70221430073802</v>
      </c>
      <c r="H711" s="12" t="s">
        <v>9109</v>
      </c>
      <c r="I711" s="12">
        <v>430073802</v>
      </c>
      <c r="J711" s="12" t="s">
        <v>9110</v>
      </c>
      <c r="K711" s="12" t="s">
        <v>44</v>
      </c>
      <c r="L711" s="12">
        <v>3116175434</v>
      </c>
      <c r="M711" s="17" t="s">
        <v>9111</v>
      </c>
      <c r="N711" s="12" t="s">
        <v>46</v>
      </c>
      <c r="O711" s="12" t="s">
        <v>47</v>
      </c>
      <c r="P711" s="88" t="s">
        <v>48</v>
      </c>
      <c r="Q711" s="13">
        <v>46133</v>
      </c>
      <c r="R711" s="16">
        <v>0.83</v>
      </c>
      <c r="S711" s="12" t="s">
        <v>49</v>
      </c>
      <c r="T711" s="12" t="s">
        <v>1905</v>
      </c>
      <c r="U711" s="12" t="s">
        <v>60</v>
      </c>
      <c r="W711" s="11"/>
      <c r="AU711" s="12" t="s">
        <v>53</v>
      </c>
    </row>
    <row r="712" spans="1:47" s="12" customFormat="1" ht="14.4" x14ac:dyDescent="0.3">
      <c r="A712" s="12" t="s">
        <v>505</v>
      </c>
      <c r="B712" s="12" t="s">
        <v>1899</v>
      </c>
      <c r="C712" s="12">
        <v>70</v>
      </c>
      <c r="D712" s="12">
        <v>221</v>
      </c>
      <c r="F712" s="14" t="s">
        <v>2225</v>
      </c>
      <c r="G712" s="12" t="str">
        <f t="shared" si="18"/>
        <v>7022132091170</v>
      </c>
      <c r="H712" s="12" t="s">
        <v>2226</v>
      </c>
      <c r="I712" s="12">
        <v>32091170</v>
      </c>
      <c r="J712" s="12" t="s">
        <v>2227</v>
      </c>
      <c r="K712" s="12" t="s">
        <v>192</v>
      </c>
      <c r="L712" s="12">
        <v>3013356959</v>
      </c>
      <c r="M712" s="12" t="s">
        <v>2228</v>
      </c>
      <c r="N712" s="12" t="s">
        <v>46</v>
      </c>
      <c r="O712" s="12" t="s">
        <v>47</v>
      </c>
      <c r="P712" s="88" t="s">
        <v>102</v>
      </c>
      <c r="W712" s="11"/>
      <c r="AU712" s="12" t="s">
        <v>53</v>
      </c>
    </row>
    <row r="713" spans="1:47" s="12" customFormat="1" ht="14.4" hidden="1" x14ac:dyDescent="0.3">
      <c r="A713" s="12" t="s">
        <v>505</v>
      </c>
      <c r="B713" s="12" t="s">
        <v>1899</v>
      </c>
      <c r="C713" s="12">
        <v>70</v>
      </c>
      <c r="D713" s="12">
        <v>221</v>
      </c>
      <c r="F713" s="12" t="s">
        <v>2229</v>
      </c>
      <c r="G713" s="12" t="str">
        <f t="shared" si="18"/>
        <v>70221331026861</v>
      </c>
      <c r="H713" s="12" t="s">
        <v>2230</v>
      </c>
      <c r="I713" s="12">
        <v>331026861</v>
      </c>
      <c r="J713" s="12" t="s">
        <v>2231</v>
      </c>
      <c r="K713" s="12" t="s">
        <v>230</v>
      </c>
      <c r="N713" s="12" t="s">
        <v>259</v>
      </c>
      <c r="O713" s="12" t="s">
        <v>260</v>
      </c>
      <c r="P713" s="88" t="s">
        <v>261</v>
      </c>
      <c r="Q713" s="13">
        <v>44537</v>
      </c>
      <c r="R713" s="16">
        <v>0.88500000000000001</v>
      </c>
      <c r="S713" s="12" t="s">
        <v>49</v>
      </c>
      <c r="V713" s="13">
        <v>44056</v>
      </c>
      <c r="W713" s="11">
        <v>0.85</v>
      </c>
      <c r="X713" s="12" t="s">
        <v>49</v>
      </c>
      <c r="AU713" s="12" t="s">
        <v>53</v>
      </c>
    </row>
    <row r="714" spans="1:47" s="12" customFormat="1" ht="14.4" hidden="1" x14ac:dyDescent="0.3">
      <c r="A714" s="12" t="s">
        <v>505</v>
      </c>
      <c r="B714" s="12" t="s">
        <v>1899</v>
      </c>
      <c r="C714" s="12">
        <v>70</v>
      </c>
      <c r="D714" s="12">
        <v>221</v>
      </c>
      <c r="F714" s="14" t="s">
        <v>2232</v>
      </c>
      <c r="G714" s="12" t="str">
        <f t="shared" si="18"/>
        <v>702211103950398</v>
      </c>
      <c r="H714" s="12" t="s">
        <v>2233</v>
      </c>
      <c r="I714" s="15">
        <v>1103950398</v>
      </c>
      <c r="J714" s="12" t="s">
        <v>1936</v>
      </c>
      <c r="K714" s="12" t="s">
        <v>230</v>
      </c>
      <c r="L714" s="12" t="s">
        <v>45</v>
      </c>
      <c r="M714" s="12" t="s">
        <v>45</v>
      </c>
      <c r="N714" s="12" t="s">
        <v>780</v>
      </c>
      <c r="O714" s="12" t="s">
        <v>260</v>
      </c>
      <c r="P714" s="88" t="s">
        <v>261</v>
      </c>
      <c r="Q714" s="13">
        <v>44484</v>
      </c>
      <c r="R714" s="16">
        <v>0.85</v>
      </c>
      <c r="S714" s="12" t="s">
        <v>49</v>
      </c>
      <c r="W714" s="11"/>
      <c r="AU714" s="12" t="s">
        <v>53</v>
      </c>
    </row>
    <row r="715" spans="1:47" s="12" customFormat="1" ht="14.4" hidden="1" x14ac:dyDescent="0.3">
      <c r="A715" s="12" t="s">
        <v>505</v>
      </c>
      <c r="B715" s="12" t="s">
        <v>1899</v>
      </c>
      <c r="C715" s="12">
        <v>70</v>
      </c>
      <c r="D715" s="12">
        <v>221</v>
      </c>
      <c r="F715" s="14" t="s">
        <v>2234</v>
      </c>
      <c r="G715" s="12" t="str">
        <f t="shared" si="18"/>
        <v>702211103952567</v>
      </c>
      <c r="H715" s="12" t="s">
        <v>2235</v>
      </c>
      <c r="I715" s="15">
        <v>1103952567</v>
      </c>
      <c r="J715" s="12" t="s">
        <v>2236</v>
      </c>
      <c r="K715" s="12" t="s">
        <v>230</v>
      </c>
      <c r="L715" s="12" t="s">
        <v>45</v>
      </c>
      <c r="M715" s="12" t="s">
        <v>45</v>
      </c>
      <c r="N715" s="12" t="s">
        <v>780</v>
      </c>
      <c r="O715" s="12" t="s">
        <v>260</v>
      </c>
      <c r="P715" s="88" t="s">
        <v>261</v>
      </c>
      <c r="Q715" s="13" t="s">
        <v>2237</v>
      </c>
      <c r="R715" s="16">
        <v>0.90500000000000003</v>
      </c>
      <c r="S715" s="12" t="s">
        <v>210</v>
      </c>
      <c r="V715" s="13">
        <v>44510</v>
      </c>
      <c r="W715" s="11">
        <v>0.82499999999999996</v>
      </c>
      <c r="X715" s="12" t="s">
        <v>49</v>
      </c>
      <c r="AU715" s="12" t="s">
        <v>53</v>
      </c>
    </row>
    <row r="716" spans="1:47" s="12" customFormat="1" ht="14.4" hidden="1" x14ac:dyDescent="0.3">
      <c r="A716" s="12" t="s">
        <v>505</v>
      </c>
      <c r="B716" s="12" t="s">
        <v>1899</v>
      </c>
      <c r="C716" s="12">
        <v>70</v>
      </c>
      <c r="D716" s="12">
        <v>221</v>
      </c>
      <c r="F716" s="14" t="s">
        <v>2238</v>
      </c>
      <c r="G716" s="12" t="str">
        <f t="shared" si="18"/>
        <v>702211193444431-9</v>
      </c>
      <c r="H716" s="12" t="s">
        <v>2239</v>
      </c>
      <c r="I716" s="15" t="s">
        <v>2240</v>
      </c>
      <c r="J716" s="12" t="s">
        <v>2241</v>
      </c>
      <c r="K716" s="12" t="s">
        <v>230</v>
      </c>
      <c r="L716" s="12" t="s">
        <v>45</v>
      </c>
      <c r="M716" s="12" t="s">
        <v>45</v>
      </c>
      <c r="N716" s="12" t="s">
        <v>432</v>
      </c>
      <c r="O716" s="12" t="s">
        <v>432</v>
      </c>
      <c r="P716" s="88" t="s">
        <v>261</v>
      </c>
      <c r="Q716" s="13">
        <v>45061</v>
      </c>
      <c r="R716" s="16">
        <v>0.86499999999999999</v>
      </c>
      <c r="S716" s="12" t="s">
        <v>49</v>
      </c>
      <c r="W716" s="11"/>
      <c r="AU716" s="12" t="s">
        <v>53</v>
      </c>
    </row>
    <row r="717" spans="1:47" s="12" customFormat="1" ht="14.4" hidden="1" x14ac:dyDescent="0.3">
      <c r="A717" s="12" t="s">
        <v>505</v>
      </c>
      <c r="B717" s="12" t="s">
        <v>1899</v>
      </c>
      <c r="C717" s="12">
        <v>70</v>
      </c>
      <c r="D717" s="12">
        <v>221</v>
      </c>
      <c r="F717" s="14" t="s">
        <v>2242</v>
      </c>
      <c r="G717" s="12" t="str">
        <f t="shared" si="18"/>
        <v>702211131110123</v>
      </c>
      <c r="H717" s="12" t="s">
        <v>2243</v>
      </c>
      <c r="I717" s="15">
        <v>1131110123</v>
      </c>
      <c r="J717" s="12" t="s">
        <v>2244</v>
      </c>
      <c r="K717" s="12" t="s">
        <v>230</v>
      </c>
      <c r="L717" s="12" t="s">
        <v>45</v>
      </c>
      <c r="M717" s="12" t="s">
        <v>45</v>
      </c>
      <c r="N717" s="12" t="s">
        <v>780</v>
      </c>
      <c r="O717" s="12" t="s">
        <v>260</v>
      </c>
      <c r="P717" s="88" t="s">
        <v>261</v>
      </c>
      <c r="Q717" s="13" t="s">
        <v>600</v>
      </c>
      <c r="R717" s="16">
        <v>0.72499999999999998</v>
      </c>
      <c r="S717" s="12" t="s">
        <v>49</v>
      </c>
      <c r="W717" s="11"/>
      <c r="AU717" s="12" t="s">
        <v>53</v>
      </c>
    </row>
    <row r="718" spans="1:47" s="12" customFormat="1" ht="14.4" x14ac:dyDescent="0.3">
      <c r="A718" s="12" t="s">
        <v>505</v>
      </c>
      <c r="B718" s="12" t="s">
        <v>1899</v>
      </c>
      <c r="C718" s="12">
        <v>70</v>
      </c>
      <c r="D718" s="12">
        <v>221</v>
      </c>
      <c r="F718" s="14" t="s">
        <v>2245</v>
      </c>
      <c r="G718" s="12" t="str">
        <f t="shared" si="18"/>
        <v>7022139267757</v>
      </c>
      <c r="H718" s="12" t="s">
        <v>2246</v>
      </c>
      <c r="I718" s="15">
        <v>39267757</v>
      </c>
      <c r="J718" s="12" t="s">
        <v>2247</v>
      </c>
      <c r="K718" s="12" t="s">
        <v>230</v>
      </c>
      <c r="L718" s="12" t="s">
        <v>45</v>
      </c>
      <c r="M718" s="12" t="s">
        <v>45</v>
      </c>
      <c r="N718" s="12" t="s">
        <v>46</v>
      </c>
      <c r="O718" s="12" t="s">
        <v>47</v>
      </c>
      <c r="P718" s="88" t="s">
        <v>48</v>
      </c>
      <c r="Q718" s="13">
        <v>44779</v>
      </c>
      <c r="R718" s="16">
        <v>0.8</v>
      </c>
      <c r="S718" s="12" t="s">
        <v>49</v>
      </c>
      <c r="W718" s="11"/>
      <c r="AU718" s="12" t="s">
        <v>53</v>
      </c>
    </row>
    <row r="719" spans="1:47" s="12" customFormat="1" ht="15" hidden="1" customHeight="1" x14ac:dyDescent="0.3">
      <c r="A719" s="12" t="s">
        <v>505</v>
      </c>
      <c r="B719" s="12" t="s">
        <v>1899</v>
      </c>
      <c r="C719" s="12">
        <v>70</v>
      </c>
      <c r="D719" s="12">
        <v>221</v>
      </c>
      <c r="F719" s="14" t="s">
        <v>8362</v>
      </c>
      <c r="G719" s="12" t="str">
        <f t="shared" si="18"/>
        <v>70221800144364-6</v>
      </c>
      <c r="H719" s="12" t="s">
        <v>2248</v>
      </c>
      <c r="I719" s="15" t="s">
        <v>1910</v>
      </c>
      <c r="J719" s="12" t="s">
        <v>45</v>
      </c>
      <c r="K719" s="12" t="s">
        <v>230</v>
      </c>
      <c r="L719" s="12">
        <v>3205752428</v>
      </c>
      <c r="M719" s="12" t="s">
        <v>45</v>
      </c>
      <c r="N719" s="12" t="s">
        <v>127</v>
      </c>
      <c r="O719" s="12" t="s">
        <v>2822</v>
      </c>
      <c r="P719" s="88" t="s">
        <v>48</v>
      </c>
      <c r="Q719" s="13">
        <v>45841</v>
      </c>
      <c r="R719" s="16">
        <v>0.82</v>
      </c>
      <c r="S719" s="12" t="s">
        <v>49</v>
      </c>
      <c r="T719" s="12" t="s">
        <v>2249</v>
      </c>
      <c r="V719" s="12" t="s">
        <v>2250</v>
      </c>
      <c r="W719" s="11">
        <v>0.93</v>
      </c>
      <c r="X719" s="12" t="s">
        <v>210</v>
      </c>
      <c r="AU719" s="12" t="s">
        <v>53</v>
      </c>
    </row>
    <row r="720" spans="1:47" s="12" customFormat="1" ht="14.4" hidden="1" x14ac:dyDescent="0.3">
      <c r="A720" s="12" t="s">
        <v>505</v>
      </c>
      <c r="B720" s="12" t="s">
        <v>1899</v>
      </c>
      <c r="C720" s="12">
        <v>70</v>
      </c>
      <c r="D720" s="12">
        <v>221</v>
      </c>
      <c r="F720" s="14" t="s">
        <v>2251</v>
      </c>
      <c r="G720" s="12" t="str">
        <f t="shared" si="18"/>
        <v>7022126036928</v>
      </c>
      <c r="H720" s="12" t="s">
        <v>2252</v>
      </c>
      <c r="I720" s="15">
        <v>26036928</v>
      </c>
      <c r="J720" s="12" t="s">
        <v>2253</v>
      </c>
      <c r="K720" s="12" t="s">
        <v>230</v>
      </c>
      <c r="L720" s="12" t="s">
        <v>45</v>
      </c>
      <c r="M720" s="12" t="s">
        <v>45</v>
      </c>
      <c r="N720" s="12" t="s">
        <v>780</v>
      </c>
      <c r="O720" s="12" t="s">
        <v>260</v>
      </c>
      <c r="P720" s="88" t="s">
        <v>261</v>
      </c>
      <c r="Q720" s="13" t="s">
        <v>2254</v>
      </c>
      <c r="R720" s="16">
        <v>0.85499999999999998</v>
      </c>
      <c r="S720" s="12" t="s">
        <v>49</v>
      </c>
      <c r="W720" s="11"/>
      <c r="AU720" s="12" t="s">
        <v>164</v>
      </c>
    </row>
    <row r="721" spans="1:47" s="12" customFormat="1" ht="14.4" hidden="1" x14ac:dyDescent="0.3">
      <c r="A721" s="12" t="s">
        <v>505</v>
      </c>
      <c r="B721" s="12" t="s">
        <v>1899</v>
      </c>
      <c r="C721" s="12">
        <v>70</v>
      </c>
      <c r="D721" s="12">
        <v>221</v>
      </c>
      <c r="F721" s="14" t="s">
        <v>2255</v>
      </c>
      <c r="G721" s="12" t="str">
        <f t="shared" si="18"/>
        <v>70221900941160-2</v>
      </c>
      <c r="H721" s="12" t="s">
        <v>2256</v>
      </c>
      <c r="I721" s="15" t="s">
        <v>2257</v>
      </c>
      <c r="J721" s="12" t="s">
        <v>2258</v>
      </c>
      <c r="K721" s="12" t="s">
        <v>230</v>
      </c>
      <c r="L721" s="12" t="s">
        <v>45</v>
      </c>
      <c r="M721" s="12" t="s">
        <v>45</v>
      </c>
      <c r="N721" s="12" t="s">
        <v>780</v>
      </c>
      <c r="O721" s="12" t="s">
        <v>260</v>
      </c>
      <c r="P721" s="88" t="s">
        <v>261</v>
      </c>
      <c r="Q721" s="13">
        <v>45198</v>
      </c>
      <c r="R721" s="16">
        <v>0.96499999999999997</v>
      </c>
      <c r="S721" s="12" t="s">
        <v>210</v>
      </c>
      <c r="W721" s="11"/>
      <c r="AU721" s="12" t="s">
        <v>53</v>
      </c>
    </row>
    <row r="722" spans="1:47" s="12" customFormat="1" ht="14.4" x14ac:dyDescent="0.3">
      <c r="A722" s="12" t="s">
        <v>505</v>
      </c>
      <c r="B722" s="12" t="s">
        <v>1899</v>
      </c>
      <c r="C722" s="12">
        <v>70</v>
      </c>
      <c r="D722" s="12">
        <v>221</v>
      </c>
      <c r="F722" s="14" t="s">
        <v>2259</v>
      </c>
      <c r="G722" s="12" t="str">
        <f t="shared" si="18"/>
        <v>702211013632607-0</v>
      </c>
      <c r="H722" s="12" t="s">
        <v>2260</v>
      </c>
      <c r="I722" s="15" t="s">
        <v>2261</v>
      </c>
      <c r="J722" s="12" t="s">
        <v>1936</v>
      </c>
      <c r="K722" s="12" t="s">
        <v>230</v>
      </c>
      <c r="L722" s="12">
        <v>3506405110</v>
      </c>
      <c r="M722" s="12" t="s">
        <v>2262</v>
      </c>
      <c r="N722" s="12" t="s">
        <v>46</v>
      </c>
      <c r="O722" s="12" t="s">
        <v>47</v>
      </c>
      <c r="P722" s="88" t="s">
        <v>48</v>
      </c>
      <c r="Q722" s="13">
        <v>45133</v>
      </c>
      <c r="R722" s="16">
        <v>0.89</v>
      </c>
      <c r="S722" s="12" t="s">
        <v>49</v>
      </c>
      <c r="W722" s="11"/>
      <c r="AU722" s="12" t="s">
        <v>53</v>
      </c>
    </row>
    <row r="723" spans="1:47" s="12" customFormat="1" ht="14.4" x14ac:dyDescent="0.3">
      <c r="A723" s="12" t="s">
        <v>505</v>
      </c>
      <c r="B723" s="12" t="s">
        <v>1899</v>
      </c>
      <c r="C723" s="12">
        <v>70</v>
      </c>
      <c r="D723" s="12">
        <v>221</v>
      </c>
      <c r="F723" s="14" t="s">
        <v>2263</v>
      </c>
      <c r="G723" s="12" t="str">
        <f t="shared" si="18"/>
        <v>7022123028653</v>
      </c>
      <c r="H723" s="12" t="s">
        <v>2264</v>
      </c>
      <c r="I723" s="15">
        <v>23028653</v>
      </c>
      <c r="J723" s="12" t="s">
        <v>2175</v>
      </c>
      <c r="K723" s="12" t="s">
        <v>230</v>
      </c>
      <c r="L723" s="12" t="s">
        <v>45</v>
      </c>
      <c r="M723" s="12" t="s">
        <v>45</v>
      </c>
      <c r="N723" s="12" t="s">
        <v>46</v>
      </c>
      <c r="O723" s="12" t="s">
        <v>47</v>
      </c>
      <c r="P723" s="88" t="s">
        <v>48</v>
      </c>
      <c r="Q723" s="13">
        <v>44540</v>
      </c>
      <c r="R723" s="16">
        <v>0.85</v>
      </c>
      <c r="S723" s="12" t="s">
        <v>49</v>
      </c>
      <c r="V723" s="13">
        <v>44916</v>
      </c>
      <c r="W723" s="11">
        <v>0.82</v>
      </c>
      <c r="X723" s="12" t="s">
        <v>49</v>
      </c>
      <c r="AU723" s="12" t="s">
        <v>53</v>
      </c>
    </row>
    <row r="724" spans="1:47" s="12" customFormat="1" ht="14.4" hidden="1" x14ac:dyDescent="0.3">
      <c r="A724" s="12" t="s">
        <v>505</v>
      </c>
      <c r="B724" s="12" t="s">
        <v>1899</v>
      </c>
      <c r="C724" s="12">
        <v>70</v>
      </c>
      <c r="D724" s="12">
        <v>221</v>
      </c>
      <c r="F724" s="14" t="s">
        <v>2265</v>
      </c>
      <c r="G724" s="12" t="str">
        <f t="shared" si="18"/>
        <v>7022126116597-9</v>
      </c>
      <c r="H724" s="12" t="s">
        <v>2266</v>
      </c>
      <c r="I724" s="15" t="s">
        <v>2267</v>
      </c>
      <c r="J724" s="12" t="s">
        <v>2268</v>
      </c>
      <c r="K724" s="12" t="s">
        <v>230</v>
      </c>
      <c r="L724" s="12" t="s">
        <v>45</v>
      </c>
      <c r="M724" s="12" t="s">
        <v>45</v>
      </c>
      <c r="N724" s="12" t="s">
        <v>46</v>
      </c>
      <c r="O724" s="12" t="s">
        <v>2797</v>
      </c>
      <c r="P724" s="88" t="s">
        <v>261</v>
      </c>
      <c r="Q724" s="13">
        <v>44655</v>
      </c>
      <c r="R724" s="16">
        <v>0.64500000000000002</v>
      </c>
      <c r="S724" s="12" t="s">
        <v>49</v>
      </c>
      <c r="V724" s="13">
        <v>44810</v>
      </c>
      <c r="W724" s="11">
        <v>0.79</v>
      </c>
      <c r="X724" s="12" t="s">
        <v>49</v>
      </c>
      <c r="AU724" s="12" t="s">
        <v>164</v>
      </c>
    </row>
    <row r="725" spans="1:47" s="12" customFormat="1" ht="14.4" x14ac:dyDescent="0.3">
      <c r="A725" s="12" t="s">
        <v>505</v>
      </c>
      <c r="B725" s="12" t="s">
        <v>1899</v>
      </c>
      <c r="C725" s="12">
        <v>70</v>
      </c>
      <c r="D725" s="12">
        <v>221</v>
      </c>
      <c r="F725" s="276" t="s">
        <v>2269</v>
      </c>
      <c r="G725" s="12" t="str">
        <f t="shared" si="18"/>
        <v>7022164921562-2</v>
      </c>
      <c r="H725" s="12" t="s">
        <v>2270</v>
      </c>
      <c r="I725" s="15" t="s">
        <v>2271</v>
      </c>
      <c r="J725" s="12" t="s">
        <v>2014</v>
      </c>
      <c r="K725" s="12" t="s">
        <v>230</v>
      </c>
      <c r="L725" s="12">
        <v>3007237498</v>
      </c>
      <c r="M725" s="12" t="s">
        <v>45</v>
      </c>
      <c r="N725" s="12" t="s">
        <v>46</v>
      </c>
      <c r="O725" s="12" t="s">
        <v>47</v>
      </c>
      <c r="P725" s="88" t="s">
        <v>48</v>
      </c>
      <c r="Q725" s="13">
        <v>45769</v>
      </c>
      <c r="R725" s="12" t="s">
        <v>81</v>
      </c>
      <c r="S725" s="12" t="s">
        <v>49</v>
      </c>
      <c r="V725" s="13">
        <v>45198</v>
      </c>
      <c r="W725" s="16">
        <v>0.96499999999999997</v>
      </c>
      <c r="X725" s="12" t="s">
        <v>210</v>
      </c>
      <c r="AU725" s="12" t="s">
        <v>53</v>
      </c>
    </row>
    <row r="726" spans="1:47" s="12" customFormat="1" ht="14.4" x14ac:dyDescent="0.3">
      <c r="A726" s="12" t="s">
        <v>505</v>
      </c>
      <c r="B726" s="12" t="s">
        <v>1899</v>
      </c>
      <c r="C726" s="12">
        <v>70</v>
      </c>
      <c r="D726" s="12">
        <v>221</v>
      </c>
      <c r="F726" s="14" t="s">
        <v>2272</v>
      </c>
      <c r="G726" s="12" t="str">
        <f t="shared" si="18"/>
        <v>702211131104929-1</v>
      </c>
      <c r="H726" s="12" t="s">
        <v>2273</v>
      </c>
      <c r="I726" s="15" t="s">
        <v>2274</v>
      </c>
      <c r="J726" s="12" t="s">
        <v>2275</v>
      </c>
      <c r="K726" s="12" t="s">
        <v>230</v>
      </c>
      <c r="L726" s="12" t="s">
        <v>45</v>
      </c>
      <c r="M726" s="12" t="s">
        <v>45</v>
      </c>
      <c r="N726" s="12" t="s">
        <v>46</v>
      </c>
      <c r="O726" s="12" t="s">
        <v>47</v>
      </c>
      <c r="P726" s="88" t="s">
        <v>48</v>
      </c>
      <c r="Q726" s="13">
        <v>45133</v>
      </c>
      <c r="R726" s="16">
        <v>0.84499999999999997</v>
      </c>
      <c r="S726" s="12" t="s">
        <v>49</v>
      </c>
      <c r="W726" s="11"/>
      <c r="AU726" s="12" t="s">
        <v>53</v>
      </c>
    </row>
    <row r="727" spans="1:47" s="12" customFormat="1" ht="14.4" x14ac:dyDescent="0.3">
      <c r="A727" s="12" t="s">
        <v>505</v>
      </c>
      <c r="B727" s="12" t="s">
        <v>1899</v>
      </c>
      <c r="C727" s="12">
        <v>70</v>
      </c>
      <c r="D727" s="12">
        <v>221</v>
      </c>
      <c r="F727" s="14" t="s">
        <v>2276</v>
      </c>
      <c r="G727" s="12" t="str">
        <f t="shared" si="18"/>
        <v>70221901589960-2</v>
      </c>
      <c r="H727" s="12" t="s">
        <v>2277</v>
      </c>
      <c r="I727" s="15" t="s">
        <v>2278</v>
      </c>
      <c r="J727" s="12" t="s">
        <v>2279</v>
      </c>
      <c r="K727" s="12" t="s">
        <v>230</v>
      </c>
      <c r="L727" s="12" t="s">
        <v>45</v>
      </c>
      <c r="M727" s="12" t="s">
        <v>45</v>
      </c>
      <c r="N727" s="12" t="s">
        <v>46</v>
      </c>
      <c r="O727" s="12" t="s">
        <v>47</v>
      </c>
      <c r="P727" s="88" t="s">
        <v>48</v>
      </c>
      <c r="Q727" s="13">
        <v>45104</v>
      </c>
      <c r="R727" s="16">
        <v>0.78500000000000003</v>
      </c>
      <c r="S727" s="12" t="s">
        <v>49</v>
      </c>
      <c r="V727" s="13">
        <v>44147</v>
      </c>
      <c r="W727" s="11">
        <v>0.83</v>
      </c>
      <c r="X727" s="12" t="s">
        <v>49</v>
      </c>
      <c r="AU727" s="12" t="s">
        <v>53</v>
      </c>
    </row>
    <row r="728" spans="1:47" s="12" customFormat="1" ht="14.4" hidden="1" x14ac:dyDescent="0.3">
      <c r="A728" s="12" t="s">
        <v>505</v>
      </c>
      <c r="B728" s="12" t="s">
        <v>1899</v>
      </c>
      <c r="C728" s="12">
        <v>70</v>
      </c>
      <c r="D728" s="12">
        <v>221</v>
      </c>
      <c r="F728" s="14" t="s">
        <v>2280</v>
      </c>
      <c r="G728" s="12" t="str">
        <f t="shared" si="18"/>
        <v>7022170384903</v>
      </c>
      <c r="H728" s="12" t="s">
        <v>2281</v>
      </c>
      <c r="I728" s="15">
        <v>70384903</v>
      </c>
      <c r="J728" s="12" t="s">
        <v>2282</v>
      </c>
      <c r="K728" s="12" t="s">
        <v>230</v>
      </c>
      <c r="L728" s="12" t="s">
        <v>45</v>
      </c>
      <c r="M728" s="12" t="s">
        <v>45</v>
      </c>
      <c r="N728" s="12" t="s">
        <v>780</v>
      </c>
      <c r="O728" s="12" t="s">
        <v>260</v>
      </c>
      <c r="P728" s="88" t="s">
        <v>261</v>
      </c>
      <c r="Q728" s="13">
        <v>45012</v>
      </c>
      <c r="R728" s="16">
        <v>0.92</v>
      </c>
      <c r="S728" s="12" t="s">
        <v>210</v>
      </c>
      <c r="V728" s="13">
        <v>44880</v>
      </c>
      <c r="W728" s="11">
        <v>0.9</v>
      </c>
      <c r="X728" s="12" t="s">
        <v>210</v>
      </c>
      <c r="AU728" s="12" t="s">
        <v>53</v>
      </c>
    </row>
    <row r="729" spans="1:47" s="12" customFormat="1" ht="14.4" hidden="1" x14ac:dyDescent="0.3">
      <c r="A729" s="12" t="s">
        <v>505</v>
      </c>
      <c r="B729" s="12" t="s">
        <v>1899</v>
      </c>
      <c r="C729" s="12">
        <v>70</v>
      </c>
      <c r="D729" s="12">
        <v>221</v>
      </c>
      <c r="F729" s="14" t="s">
        <v>2283</v>
      </c>
      <c r="G729" s="12" t="str">
        <f t="shared" si="18"/>
        <v>70221900171202-9</v>
      </c>
      <c r="H729" s="12" t="s">
        <v>2284</v>
      </c>
      <c r="I729" s="15" t="s">
        <v>2285</v>
      </c>
      <c r="J729" s="12" t="s">
        <v>2286</v>
      </c>
      <c r="K729" s="12" t="s">
        <v>230</v>
      </c>
      <c r="L729" s="12" t="s">
        <v>45</v>
      </c>
      <c r="M729" s="12" t="s">
        <v>45</v>
      </c>
      <c r="N729" s="12" t="s">
        <v>127</v>
      </c>
      <c r="O729" s="12" t="s">
        <v>2822</v>
      </c>
      <c r="P729" s="88" t="s">
        <v>48</v>
      </c>
      <c r="Q729" s="13">
        <v>45219</v>
      </c>
      <c r="R729" s="16">
        <v>0.73499999999999999</v>
      </c>
      <c r="S729" s="12" t="s">
        <v>49</v>
      </c>
      <c r="W729" s="11"/>
      <c r="AU729" s="12" t="s">
        <v>53</v>
      </c>
    </row>
    <row r="730" spans="1:47" s="12" customFormat="1" ht="14.4" hidden="1" x14ac:dyDescent="0.3">
      <c r="A730" s="12" t="s">
        <v>505</v>
      </c>
      <c r="B730" s="12" t="s">
        <v>1899</v>
      </c>
      <c r="C730" s="12">
        <v>70</v>
      </c>
      <c r="D730" s="12">
        <v>221</v>
      </c>
      <c r="F730" s="14" t="s">
        <v>2287</v>
      </c>
      <c r="G730" s="12" t="str">
        <f t="shared" si="18"/>
        <v>70221892280013</v>
      </c>
      <c r="H730" s="12" t="s">
        <v>2288</v>
      </c>
      <c r="I730" s="15">
        <v>892280013</v>
      </c>
      <c r="J730" s="12" t="s">
        <v>2289</v>
      </c>
      <c r="K730" s="12" t="s">
        <v>230</v>
      </c>
      <c r="L730" s="12" t="s">
        <v>45</v>
      </c>
      <c r="M730" s="12" t="s">
        <v>45</v>
      </c>
      <c r="N730" s="12" t="s">
        <v>780</v>
      </c>
      <c r="O730" s="12" t="s">
        <v>260</v>
      </c>
      <c r="P730" s="88" t="s">
        <v>261</v>
      </c>
      <c r="Q730" s="13">
        <v>45087</v>
      </c>
      <c r="R730" s="16">
        <v>0.745</v>
      </c>
      <c r="S730" s="12" t="s">
        <v>49</v>
      </c>
      <c r="V730" s="12" t="s">
        <v>2290</v>
      </c>
      <c r="W730" s="11">
        <v>0.75</v>
      </c>
      <c r="X730" s="12" t="s">
        <v>49</v>
      </c>
      <c r="AU730" s="12" t="s">
        <v>53</v>
      </c>
    </row>
    <row r="731" spans="1:47" s="12" customFormat="1" ht="14.4" x14ac:dyDescent="0.3">
      <c r="A731" s="12" t="s">
        <v>505</v>
      </c>
      <c r="B731" s="12" t="s">
        <v>1899</v>
      </c>
      <c r="C731" s="12">
        <v>70</v>
      </c>
      <c r="D731" s="12">
        <v>221</v>
      </c>
      <c r="F731" s="14" t="s">
        <v>2291</v>
      </c>
      <c r="G731" s="12" t="str">
        <f t="shared" si="18"/>
        <v>702211131107705-1</v>
      </c>
      <c r="H731" s="12" t="s">
        <v>2292</v>
      </c>
      <c r="I731" s="15" t="s">
        <v>2117</v>
      </c>
      <c r="J731" s="12" t="s">
        <v>2293</v>
      </c>
      <c r="K731" s="12" t="s">
        <v>230</v>
      </c>
      <c r="L731" s="12" t="s">
        <v>45</v>
      </c>
      <c r="M731" s="12" t="s">
        <v>45</v>
      </c>
      <c r="N731" s="12" t="s">
        <v>46</v>
      </c>
      <c r="O731" s="12" t="s">
        <v>47</v>
      </c>
      <c r="P731" s="88" t="s">
        <v>48</v>
      </c>
      <c r="Q731" s="13">
        <v>45154</v>
      </c>
      <c r="R731" s="16">
        <v>0.97</v>
      </c>
      <c r="S731" s="12" t="s">
        <v>210</v>
      </c>
      <c r="V731" s="13">
        <v>44425</v>
      </c>
      <c r="W731" s="11">
        <v>0.77749999999999997</v>
      </c>
      <c r="X731" s="12" t="s">
        <v>49</v>
      </c>
      <c r="AC731" s="13">
        <v>44888</v>
      </c>
      <c r="AD731" s="16">
        <v>0.79</v>
      </c>
      <c r="AE731" s="12" t="s">
        <v>49</v>
      </c>
      <c r="AU731" s="12" t="s">
        <v>53</v>
      </c>
    </row>
    <row r="732" spans="1:47" s="12" customFormat="1" ht="14.4" x14ac:dyDescent="0.3">
      <c r="A732" s="12" t="s">
        <v>505</v>
      </c>
      <c r="B732" s="12" t="s">
        <v>1899</v>
      </c>
      <c r="C732" s="12">
        <v>70</v>
      </c>
      <c r="D732" s="12">
        <v>221</v>
      </c>
      <c r="F732" s="14" t="s">
        <v>2294</v>
      </c>
      <c r="G732" s="12" t="str">
        <f t="shared" si="18"/>
        <v>7022115621521-5</v>
      </c>
      <c r="H732" s="12" t="s">
        <v>2295</v>
      </c>
      <c r="I732" s="15" t="s">
        <v>2296</v>
      </c>
      <c r="J732" s="12" t="s">
        <v>2297</v>
      </c>
      <c r="K732" s="12" t="s">
        <v>230</v>
      </c>
      <c r="L732" s="12" t="s">
        <v>45</v>
      </c>
      <c r="M732" s="12" t="s">
        <v>45</v>
      </c>
      <c r="N732" s="12" t="s">
        <v>46</v>
      </c>
      <c r="O732" s="12" t="s">
        <v>47</v>
      </c>
      <c r="P732" s="88" t="s">
        <v>48</v>
      </c>
      <c r="Q732" s="13">
        <v>44832</v>
      </c>
      <c r="R732" s="16">
        <v>0.85</v>
      </c>
      <c r="S732" s="12" t="s">
        <v>49</v>
      </c>
      <c r="W732" s="11"/>
      <c r="AU732" s="12" t="s">
        <v>53</v>
      </c>
    </row>
    <row r="733" spans="1:47" s="12" customFormat="1" ht="14.4" x14ac:dyDescent="0.3">
      <c r="A733" s="12" t="s">
        <v>505</v>
      </c>
      <c r="B733" s="12" t="s">
        <v>1899</v>
      </c>
      <c r="C733" s="12">
        <v>70</v>
      </c>
      <c r="D733" s="12">
        <v>221</v>
      </c>
      <c r="F733" s="14" t="s">
        <v>2298</v>
      </c>
      <c r="G733" s="12" t="str">
        <f t="shared" si="18"/>
        <v>7022179409438</v>
      </c>
      <c r="H733" s="12" t="s">
        <v>2299</v>
      </c>
      <c r="I733" s="15">
        <v>79409438</v>
      </c>
      <c r="J733" s="12" t="s">
        <v>2113</v>
      </c>
      <c r="K733" s="12" t="s">
        <v>230</v>
      </c>
      <c r="L733" s="12" t="s">
        <v>45</v>
      </c>
      <c r="M733" s="12" t="s">
        <v>45</v>
      </c>
      <c r="N733" s="12" t="s">
        <v>46</v>
      </c>
      <c r="O733" s="12" t="s">
        <v>47</v>
      </c>
      <c r="P733" s="88" t="s">
        <v>48</v>
      </c>
      <c r="W733" s="11"/>
      <c r="AU733" s="12" t="s">
        <v>53</v>
      </c>
    </row>
    <row r="734" spans="1:47" s="12" customFormat="1" ht="14.4" hidden="1" x14ac:dyDescent="0.3">
      <c r="A734" s="12" t="s">
        <v>505</v>
      </c>
      <c r="B734" s="12" t="s">
        <v>1899</v>
      </c>
      <c r="C734" s="12">
        <v>70</v>
      </c>
      <c r="D734" s="12">
        <v>221</v>
      </c>
      <c r="F734" s="14" t="s">
        <v>2300</v>
      </c>
      <c r="G734" s="12" t="str">
        <f t="shared" si="18"/>
        <v>702211038409182</v>
      </c>
      <c r="H734" s="12" t="s">
        <v>2301</v>
      </c>
      <c r="I734" s="15">
        <v>1038409182</v>
      </c>
      <c r="J734" s="12" t="s">
        <v>2302</v>
      </c>
      <c r="K734" s="12" t="s">
        <v>230</v>
      </c>
      <c r="L734" s="12" t="s">
        <v>45</v>
      </c>
      <c r="M734" s="12" t="s">
        <v>45</v>
      </c>
      <c r="N734" s="12" t="s">
        <v>780</v>
      </c>
      <c r="O734" s="12" t="s">
        <v>260</v>
      </c>
      <c r="P734" s="88" t="s">
        <v>261</v>
      </c>
      <c r="Q734" s="13">
        <v>44687</v>
      </c>
      <c r="R734" s="16">
        <v>0.88</v>
      </c>
      <c r="S734" s="12" t="s">
        <v>49</v>
      </c>
      <c r="W734" s="11"/>
      <c r="AU734" s="12" t="s">
        <v>53</v>
      </c>
    </row>
    <row r="735" spans="1:47" s="12" customFormat="1" ht="14.4" x14ac:dyDescent="0.3">
      <c r="A735" s="12" t="s">
        <v>505</v>
      </c>
      <c r="B735" s="12" t="s">
        <v>1899</v>
      </c>
      <c r="C735" s="12">
        <v>70</v>
      </c>
      <c r="D735" s="12">
        <v>221</v>
      </c>
      <c r="F735" s="14" t="s">
        <v>2303</v>
      </c>
      <c r="G735" s="12" t="str">
        <f t="shared" si="18"/>
        <v>702211026301551-4</v>
      </c>
      <c r="H735" s="12" t="s">
        <v>2304</v>
      </c>
      <c r="I735" s="15" t="s">
        <v>2305</v>
      </c>
      <c r="J735" s="12" t="s">
        <v>2306</v>
      </c>
      <c r="K735" s="12" t="s">
        <v>230</v>
      </c>
      <c r="L735" s="12" t="s">
        <v>45</v>
      </c>
      <c r="M735" s="12" t="s">
        <v>45</v>
      </c>
      <c r="N735" s="12" t="s">
        <v>46</v>
      </c>
      <c r="O735" s="12" t="s">
        <v>47</v>
      </c>
      <c r="P735" s="88" t="s">
        <v>48</v>
      </c>
      <c r="Q735" s="13">
        <v>44540</v>
      </c>
      <c r="R735" s="16">
        <v>0.85</v>
      </c>
      <c r="S735" s="12" t="s">
        <v>49</v>
      </c>
      <c r="W735" s="11"/>
      <c r="AU735" s="12" t="s">
        <v>53</v>
      </c>
    </row>
    <row r="736" spans="1:47" s="12" customFormat="1" ht="14.4" x14ac:dyDescent="0.3">
      <c r="A736" s="12" t="s">
        <v>505</v>
      </c>
      <c r="B736" s="12" t="s">
        <v>1899</v>
      </c>
      <c r="C736" s="12">
        <v>70</v>
      </c>
      <c r="D736" s="12">
        <v>221</v>
      </c>
      <c r="F736" s="14" t="s">
        <v>2307</v>
      </c>
      <c r="G736" s="12" t="str">
        <f t="shared" si="18"/>
        <v>70221811015054</v>
      </c>
      <c r="H736" s="12" t="s">
        <v>2308</v>
      </c>
      <c r="I736" s="15">
        <v>811015054</v>
      </c>
      <c r="J736" s="12" t="s">
        <v>2309</v>
      </c>
      <c r="K736" s="12" t="s">
        <v>230</v>
      </c>
      <c r="L736" s="12" t="s">
        <v>45</v>
      </c>
      <c r="M736" s="12" t="s">
        <v>45</v>
      </c>
      <c r="N736" s="12" t="s">
        <v>46</v>
      </c>
      <c r="O736" s="12" t="s">
        <v>47</v>
      </c>
      <c r="P736" s="88" t="s">
        <v>48</v>
      </c>
      <c r="R736" s="16"/>
      <c r="W736" s="11"/>
      <c r="AU736" s="12" t="s">
        <v>53</v>
      </c>
    </row>
    <row r="737" spans="1:47" s="12" customFormat="1" ht="14.4" hidden="1" x14ac:dyDescent="0.3">
      <c r="A737" s="12" t="s">
        <v>505</v>
      </c>
      <c r="B737" s="12" t="s">
        <v>1899</v>
      </c>
      <c r="C737" s="12">
        <v>70</v>
      </c>
      <c r="D737" s="12">
        <v>221</v>
      </c>
      <c r="F737" s="14" t="s">
        <v>2310</v>
      </c>
      <c r="G737" s="12" t="str">
        <f t="shared" si="18"/>
        <v>7022133055344</v>
      </c>
      <c r="H737" s="12" t="s">
        <v>2311</v>
      </c>
      <c r="I737" s="15">
        <v>33055344</v>
      </c>
      <c r="J737" s="12" t="s">
        <v>1936</v>
      </c>
      <c r="K737" s="12" t="s">
        <v>230</v>
      </c>
      <c r="L737" s="12" t="s">
        <v>45</v>
      </c>
      <c r="M737" s="12" t="s">
        <v>45</v>
      </c>
      <c r="N737" s="12" t="s">
        <v>780</v>
      </c>
      <c r="O737" s="12" t="s">
        <v>260</v>
      </c>
      <c r="P737" s="88" t="s">
        <v>261</v>
      </c>
      <c r="Q737" s="12" t="s">
        <v>922</v>
      </c>
      <c r="R737" s="16">
        <v>0.78500000000000003</v>
      </c>
      <c r="S737" s="12" t="s">
        <v>49</v>
      </c>
      <c r="W737" s="11"/>
      <c r="AU737" s="12" t="s">
        <v>53</v>
      </c>
    </row>
    <row r="738" spans="1:47" s="12" customFormat="1" ht="14.4" x14ac:dyDescent="0.3">
      <c r="A738" s="12" t="s">
        <v>505</v>
      </c>
      <c r="B738" s="12" t="s">
        <v>1899</v>
      </c>
      <c r="C738" s="12">
        <v>70</v>
      </c>
      <c r="D738" s="12">
        <v>221</v>
      </c>
      <c r="F738" s="14" t="s">
        <v>2312</v>
      </c>
      <c r="G738" s="12" t="str">
        <f t="shared" si="18"/>
        <v>702211039457042-4</v>
      </c>
      <c r="H738" s="12" t="s">
        <v>2313</v>
      </c>
      <c r="I738" s="15" t="s">
        <v>2314</v>
      </c>
      <c r="J738" s="12" t="s">
        <v>2315</v>
      </c>
      <c r="K738" s="12" t="s">
        <v>230</v>
      </c>
      <c r="L738" s="12" t="s">
        <v>45</v>
      </c>
      <c r="M738" s="12" t="s">
        <v>45</v>
      </c>
      <c r="N738" s="12" t="s">
        <v>46</v>
      </c>
      <c r="O738" s="12" t="s">
        <v>47</v>
      </c>
      <c r="P738" s="88" t="s">
        <v>48</v>
      </c>
      <c r="W738" s="11"/>
      <c r="AU738" s="12" t="s">
        <v>53</v>
      </c>
    </row>
    <row r="739" spans="1:47" s="12" customFormat="1" ht="14.4" x14ac:dyDescent="0.3">
      <c r="A739" s="12" t="s">
        <v>505</v>
      </c>
      <c r="B739" s="12" t="s">
        <v>1899</v>
      </c>
      <c r="C739" s="12">
        <v>70</v>
      </c>
      <c r="D739" s="12">
        <v>221</v>
      </c>
      <c r="F739" s="14" t="s">
        <v>2316</v>
      </c>
      <c r="G739" s="12" t="str">
        <f t="shared" si="18"/>
        <v>7022171421694-6</v>
      </c>
      <c r="H739" s="12" t="s">
        <v>2317</v>
      </c>
      <c r="I739" s="15" t="s">
        <v>2318</v>
      </c>
      <c r="J739" s="12" t="s">
        <v>2319</v>
      </c>
      <c r="K739" s="12" t="s">
        <v>230</v>
      </c>
      <c r="L739" s="12" t="s">
        <v>45</v>
      </c>
      <c r="M739" s="12" t="s">
        <v>45</v>
      </c>
      <c r="N739" s="12" t="s">
        <v>46</v>
      </c>
      <c r="O739" s="12" t="s">
        <v>47</v>
      </c>
      <c r="P739" s="88" t="s">
        <v>48</v>
      </c>
      <c r="Q739" s="13">
        <v>44672</v>
      </c>
      <c r="R739" s="16">
        <v>0.85499999999999998</v>
      </c>
      <c r="S739" s="12" t="s">
        <v>49</v>
      </c>
      <c r="V739" s="13">
        <v>44672</v>
      </c>
      <c r="W739" s="11">
        <v>0.85499999999999998</v>
      </c>
      <c r="X739" s="12" t="s">
        <v>49</v>
      </c>
      <c r="AU739" s="12" t="s">
        <v>53</v>
      </c>
    </row>
    <row r="740" spans="1:47" s="12" customFormat="1" ht="14.4" hidden="1" x14ac:dyDescent="0.3">
      <c r="A740" s="12" t="s">
        <v>505</v>
      </c>
      <c r="B740" s="12" t="s">
        <v>1899</v>
      </c>
      <c r="C740" s="12">
        <v>70</v>
      </c>
      <c r="D740" s="12">
        <v>221</v>
      </c>
      <c r="E740" s="12" t="s">
        <v>9093</v>
      </c>
      <c r="F740" s="276" t="s">
        <v>2320</v>
      </c>
      <c r="G740" s="12" t="str">
        <f t="shared" ref="G740:G772" si="19">C740&amp;D740&amp;I740</f>
        <v>7022116138202</v>
      </c>
      <c r="H740" s="12" t="s">
        <v>9093</v>
      </c>
      <c r="I740" s="15">
        <v>16138202</v>
      </c>
      <c r="J740" s="12" t="s">
        <v>9094</v>
      </c>
      <c r="K740" s="12" t="s">
        <v>44</v>
      </c>
      <c r="L740" s="12">
        <v>3246825119</v>
      </c>
      <c r="M740" s="17" t="s">
        <v>9095</v>
      </c>
      <c r="N740" s="12" t="s">
        <v>46</v>
      </c>
      <c r="O740" s="12" t="s">
        <v>2797</v>
      </c>
      <c r="P740" s="88" t="s">
        <v>80</v>
      </c>
      <c r="Q740" s="13">
        <v>46058</v>
      </c>
      <c r="R740" s="16">
        <v>0.77</v>
      </c>
      <c r="S740" s="12" t="s">
        <v>49</v>
      </c>
      <c r="T740" s="12" t="s">
        <v>1905</v>
      </c>
      <c r="U740" s="12" t="s">
        <v>2442</v>
      </c>
      <c r="V740" s="13">
        <v>45853</v>
      </c>
      <c r="W740" s="12" t="s">
        <v>2768</v>
      </c>
      <c r="X740" s="12" t="s">
        <v>49</v>
      </c>
      <c r="Z740" s="12" t="s">
        <v>60</v>
      </c>
      <c r="AC740" s="13" t="s">
        <v>614</v>
      </c>
      <c r="AD740" s="16">
        <v>0.9</v>
      </c>
      <c r="AE740" s="12" t="s">
        <v>210</v>
      </c>
      <c r="AF740" s="12" t="s">
        <v>60</v>
      </c>
      <c r="AU740" s="12" t="s">
        <v>53</v>
      </c>
    </row>
    <row r="741" spans="1:47" s="12" customFormat="1" ht="28.8" hidden="1" x14ac:dyDescent="0.3">
      <c r="A741" s="12" t="s">
        <v>505</v>
      </c>
      <c r="B741" s="12" t="s">
        <v>1899</v>
      </c>
      <c r="C741" s="12">
        <v>70</v>
      </c>
      <c r="D741" s="12">
        <v>221</v>
      </c>
      <c r="E741" s="12" t="s">
        <v>2321</v>
      </c>
      <c r="F741" s="14" t="s">
        <v>7936</v>
      </c>
      <c r="G741" s="12" t="str">
        <f t="shared" si="19"/>
        <v>70221901927661-6</v>
      </c>
      <c r="H741" s="12" t="s">
        <v>2322</v>
      </c>
      <c r="I741" s="15" t="s">
        <v>2323</v>
      </c>
      <c r="J741" s="12" t="s">
        <v>2324</v>
      </c>
      <c r="K741" s="12" t="s">
        <v>230</v>
      </c>
      <c r="L741" s="12">
        <v>3205172513</v>
      </c>
      <c r="M741" s="99" t="s">
        <v>2325</v>
      </c>
      <c r="N741" s="12" t="s">
        <v>127</v>
      </c>
      <c r="O741" s="12" t="s">
        <v>2822</v>
      </c>
      <c r="P741" s="88" t="s">
        <v>48</v>
      </c>
      <c r="Q741" s="13" t="s">
        <v>2326</v>
      </c>
      <c r="R741" s="16">
        <v>0.97</v>
      </c>
      <c r="S741" s="12" t="s">
        <v>319</v>
      </c>
      <c r="T741" s="12" t="s">
        <v>2327</v>
      </c>
      <c r="U741" s="12" t="s">
        <v>4548</v>
      </c>
      <c r="W741" s="11"/>
      <c r="AU741" s="12" t="s">
        <v>53</v>
      </c>
    </row>
    <row r="742" spans="1:47" s="12" customFormat="1" ht="28.8" hidden="1" x14ac:dyDescent="0.3">
      <c r="A742" s="12" t="s">
        <v>505</v>
      </c>
      <c r="B742" s="12" t="s">
        <v>1899</v>
      </c>
      <c r="C742" s="12">
        <v>70</v>
      </c>
      <c r="D742" s="12">
        <v>221</v>
      </c>
      <c r="E742" s="12" t="s">
        <v>2321</v>
      </c>
      <c r="F742" s="14" t="s">
        <v>2328</v>
      </c>
      <c r="G742" s="12" t="str">
        <f t="shared" si="19"/>
        <v>70221901927661-6</v>
      </c>
      <c r="H742" s="12" t="s">
        <v>2322</v>
      </c>
      <c r="I742" s="15" t="s">
        <v>2323</v>
      </c>
      <c r="J742" s="12" t="s">
        <v>2329</v>
      </c>
      <c r="K742" s="12" t="s">
        <v>230</v>
      </c>
      <c r="L742" s="12">
        <v>3205175213</v>
      </c>
      <c r="M742" s="99" t="s">
        <v>2325</v>
      </c>
      <c r="N742" s="12" t="s">
        <v>127</v>
      </c>
      <c r="O742" s="12" t="s">
        <v>2822</v>
      </c>
      <c r="P742" s="88" t="s">
        <v>48</v>
      </c>
      <c r="Q742" s="13" t="s">
        <v>2326</v>
      </c>
      <c r="R742" s="16">
        <v>0.96</v>
      </c>
      <c r="S742" s="12" t="s">
        <v>210</v>
      </c>
      <c r="T742" s="12" t="s">
        <v>2327</v>
      </c>
      <c r="U742" s="12" t="s">
        <v>4548</v>
      </c>
      <c r="W742" s="11"/>
      <c r="AU742" s="12" t="s">
        <v>53</v>
      </c>
    </row>
    <row r="743" spans="1:47" s="12" customFormat="1" ht="28.8" hidden="1" x14ac:dyDescent="0.3">
      <c r="A743" s="12" t="s">
        <v>505</v>
      </c>
      <c r="B743" s="12" t="s">
        <v>1899</v>
      </c>
      <c r="C743" s="12">
        <v>70</v>
      </c>
      <c r="D743" s="12">
        <v>221</v>
      </c>
      <c r="E743" s="12" t="s">
        <v>2321</v>
      </c>
      <c r="F743" s="14" t="s">
        <v>7937</v>
      </c>
      <c r="G743" s="12" t="str">
        <f t="shared" si="19"/>
        <v>70221901927661-6</v>
      </c>
      <c r="H743" s="12" t="s">
        <v>2322</v>
      </c>
      <c r="I743" s="15" t="s">
        <v>2323</v>
      </c>
      <c r="J743" s="12" t="s">
        <v>7938</v>
      </c>
      <c r="K743" s="12" t="s">
        <v>230</v>
      </c>
      <c r="L743" s="12">
        <v>3205175213</v>
      </c>
      <c r="M743" s="99" t="s">
        <v>2325</v>
      </c>
      <c r="N743" s="12" t="s">
        <v>127</v>
      </c>
      <c r="O743" s="12" t="s">
        <v>2822</v>
      </c>
      <c r="P743" s="88" t="s">
        <v>48</v>
      </c>
      <c r="Q743" s="13">
        <v>45974</v>
      </c>
      <c r="R743" s="16">
        <v>0.9</v>
      </c>
      <c r="S743" s="12" t="s">
        <v>49</v>
      </c>
      <c r="T743" s="12" t="s">
        <v>4844</v>
      </c>
      <c r="U743" s="12" t="s">
        <v>4548</v>
      </c>
      <c r="W743" s="11"/>
      <c r="AU743" s="12" t="s">
        <v>53</v>
      </c>
    </row>
    <row r="744" spans="1:47" s="12" customFormat="1" ht="28.8" hidden="1" x14ac:dyDescent="0.3">
      <c r="A744" s="12" t="s">
        <v>505</v>
      </c>
      <c r="B744" s="12" t="s">
        <v>1899</v>
      </c>
      <c r="C744" s="12">
        <v>70</v>
      </c>
      <c r="D744" s="12">
        <v>221</v>
      </c>
      <c r="E744" s="12" t="s">
        <v>2321</v>
      </c>
      <c r="F744" s="14" t="s">
        <v>7939</v>
      </c>
      <c r="G744" s="12" t="str">
        <f t="shared" si="19"/>
        <v>70221901927661-6</v>
      </c>
      <c r="H744" s="12" t="s">
        <v>2322</v>
      </c>
      <c r="I744" s="15" t="s">
        <v>2323</v>
      </c>
      <c r="J744" s="12" t="s">
        <v>7940</v>
      </c>
      <c r="K744" s="12" t="s">
        <v>230</v>
      </c>
      <c r="L744" s="12">
        <v>3205172513</v>
      </c>
      <c r="M744" s="99" t="s">
        <v>2325</v>
      </c>
      <c r="N744" s="12" t="s">
        <v>127</v>
      </c>
      <c r="O744" s="12" t="s">
        <v>2822</v>
      </c>
      <c r="P744" s="88" t="s">
        <v>48</v>
      </c>
      <c r="Q744" s="13">
        <v>45974</v>
      </c>
      <c r="R744" s="16" t="s">
        <v>6091</v>
      </c>
      <c r="S744" s="12" t="s">
        <v>210</v>
      </c>
      <c r="T744" s="12" t="s">
        <v>7941</v>
      </c>
      <c r="U744" s="12" t="s">
        <v>4548</v>
      </c>
      <c r="W744" s="11"/>
      <c r="AU744" s="12" t="s">
        <v>53</v>
      </c>
    </row>
    <row r="745" spans="1:47" s="12" customFormat="1" ht="14.4" hidden="1" x14ac:dyDescent="0.3">
      <c r="A745" s="12" t="s">
        <v>505</v>
      </c>
      <c r="B745" s="12" t="s">
        <v>1899</v>
      </c>
      <c r="C745" s="12">
        <v>70</v>
      </c>
      <c r="D745" s="12">
        <v>221</v>
      </c>
      <c r="E745" s="12" t="s">
        <v>9101</v>
      </c>
      <c r="F745" s="276" t="s">
        <v>9102</v>
      </c>
      <c r="G745" s="12" t="str">
        <f t="shared" si="19"/>
        <v>7022190203390913</v>
      </c>
      <c r="H745" s="12" t="s">
        <v>2322</v>
      </c>
      <c r="I745" s="15">
        <v>90203390913</v>
      </c>
      <c r="J745" s="12" t="s">
        <v>9103</v>
      </c>
      <c r="K745" s="12" t="s">
        <v>4092</v>
      </c>
      <c r="L745" s="12">
        <v>3119273973</v>
      </c>
      <c r="M745" s="17" t="s">
        <v>9104</v>
      </c>
      <c r="N745" s="12" t="s">
        <v>9105</v>
      </c>
      <c r="O745" s="12" t="s">
        <v>9106</v>
      </c>
      <c r="P745" s="88" t="s">
        <v>8022</v>
      </c>
      <c r="Q745" s="13">
        <v>46108</v>
      </c>
      <c r="R745" s="16" t="s">
        <v>2002</v>
      </c>
      <c r="S745" s="12" t="s">
        <v>49</v>
      </c>
      <c r="T745" s="12" t="s">
        <v>1905</v>
      </c>
      <c r="U745" s="12" t="s">
        <v>2456</v>
      </c>
      <c r="W745" s="11"/>
      <c r="AU745" s="12" t="s">
        <v>53</v>
      </c>
    </row>
    <row r="746" spans="1:47" s="12" customFormat="1" ht="14.4" hidden="1" x14ac:dyDescent="0.3">
      <c r="A746" s="12" t="s">
        <v>505</v>
      </c>
      <c r="B746" s="12" t="s">
        <v>1899</v>
      </c>
      <c r="C746" s="12">
        <v>70</v>
      </c>
      <c r="D746" s="12">
        <v>221</v>
      </c>
      <c r="E746" s="12" t="s">
        <v>9101</v>
      </c>
      <c r="F746" s="276" t="s">
        <v>9142</v>
      </c>
      <c r="G746" s="12" t="str">
        <f t="shared" si="19"/>
        <v>7022190203390913</v>
      </c>
      <c r="H746" s="12" t="s">
        <v>2322</v>
      </c>
      <c r="I746" s="15">
        <v>90203390913</v>
      </c>
      <c r="J746" s="12" t="s">
        <v>9140</v>
      </c>
      <c r="K746" s="12" t="s">
        <v>44</v>
      </c>
      <c r="L746" s="12">
        <v>3114273973</v>
      </c>
      <c r="M746" s="17" t="s">
        <v>9104</v>
      </c>
      <c r="N746" s="12" t="s">
        <v>127</v>
      </c>
      <c r="O746" s="12" t="s">
        <v>2822</v>
      </c>
      <c r="P746" s="88" t="s">
        <v>48</v>
      </c>
      <c r="Q746" s="13">
        <v>46225</v>
      </c>
      <c r="R746" s="16" t="s">
        <v>7868</v>
      </c>
      <c r="S746" s="12" t="s">
        <v>210</v>
      </c>
      <c r="T746" s="12" t="s">
        <v>1905</v>
      </c>
      <c r="U746" s="12" t="s">
        <v>2456</v>
      </c>
      <c r="W746" s="11"/>
      <c r="AU746" s="12" t="s">
        <v>53</v>
      </c>
    </row>
    <row r="747" spans="1:47" s="12" customFormat="1" ht="14.4" hidden="1" x14ac:dyDescent="0.3">
      <c r="A747" s="12" t="s">
        <v>505</v>
      </c>
      <c r="B747" s="12" t="s">
        <v>1899</v>
      </c>
      <c r="C747" s="12">
        <v>70</v>
      </c>
      <c r="D747" s="12">
        <v>221</v>
      </c>
      <c r="E747" s="12" t="s">
        <v>9101</v>
      </c>
      <c r="F747" s="276" t="s">
        <v>9141</v>
      </c>
      <c r="G747" s="12" t="str">
        <f t="shared" si="19"/>
        <v>7022190203390913</v>
      </c>
      <c r="H747" s="12" t="s">
        <v>2322</v>
      </c>
      <c r="I747" s="15">
        <v>90203390913</v>
      </c>
      <c r="J747" s="12" t="s">
        <v>2175</v>
      </c>
      <c r="K747" s="12" t="s">
        <v>44</v>
      </c>
      <c r="L747" s="12">
        <v>3114273973</v>
      </c>
      <c r="M747" s="17" t="s">
        <v>9104</v>
      </c>
      <c r="N747" s="12" t="s">
        <v>127</v>
      </c>
      <c r="O747" s="12" t="s">
        <v>2822</v>
      </c>
      <c r="P747" s="88" t="s">
        <v>48</v>
      </c>
      <c r="Q747" s="13">
        <v>46230</v>
      </c>
      <c r="R747" s="16" t="s">
        <v>2106</v>
      </c>
      <c r="S747" s="12" t="s">
        <v>210</v>
      </c>
      <c r="T747" s="12" t="s">
        <v>1905</v>
      </c>
      <c r="U747" s="12" t="s">
        <v>2456</v>
      </c>
      <c r="W747" s="11"/>
      <c r="AU747" s="12" t="s">
        <v>53</v>
      </c>
    </row>
    <row r="748" spans="1:47" s="12" customFormat="1" ht="25.5" hidden="1" customHeight="1" x14ac:dyDescent="0.3">
      <c r="A748" s="12" t="s">
        <v>505</v>
      </c>
      <c r="B748" s="12" t="s">
        <v>1899</v>
      </c>
      <c r="C748" s="12">
        <v>70</v>
      </c>
      <c r="D748" s="12">
        <v>221</v>
      </c>
      <c r="F748" s="14" t="s">
        <v>2330</v>
      </c>
      <c r="G748" s="12" t="str">
        <f t="shared" si="19"/>
        <v>70221900171202-9</v>
      </c>
      <c r="H748" s="12" t="s">
        <v>2284</v>
      </c>
      <c r="I748" s="15" t="s">
        <v>2285</v>
      </c>
      <c r="J748" s="12" t="s">
        <v>2331</v>
      </c>
      <c r="K748" s="12" t="s">
        <v>133</v>
      </c>
      <c r="L748" s="12" t="s">
        <v>45</v>
      </c>
      <c r="M748" s="12" t="s">
        <v>45</v>
      </c>
      <c r="N748" s="12" t="s">
        <v>127</v>
      </c>
      <c r="O748" s="12" t="s">
        <v>2822</v>
      </c>
      <c r="P748" s="88" t="s">
        <v>48</v>
      </c>
      <c r="Q748" s="13">
        <v>44453</v>
      </c>
      <c r="R748" s="16">
        <v>0.76</v>
      </c>
      <c r="S748" s="12" t="s">
        <v>49</v>
      </c>
      <c r="W748" s="11"/>
      <c r="AU748" s="12" t="s">
        <v>164</v>
      </c>
    </row>
    <row r="749" spans="1:47" s="12" customFormat="1" ht="14.4" hidden="1" x14ac:dyDescent="0.3">
      <c r="A749" s="12" t="s">
        <v>505</v>
      </c>
      <c r="B749" s="12" t="s">
        <v>1899</v>
      </c>
      <c r="C749" s="12">
        <v>70</v>
      </c>
      <c r="D749" s="12">
        <v>221</v>
      </c>
      <c r="F749" s="14" t="s">
        <v>2332</v>
      </c>
      <c r="G749" s="12" t="str">
        <f t="shared" si="19"/>
        <v>7022112695198</v>
      </c>
      <c r="H749" s="12" t="s">
        <v>2333</v>
      </c>
      <c r="I749" s="15">
        <v>12695198</v>
      </c>
      <c r="J749" s="12" t="s">
        <v>2331</v>
      </c>
      <c r="K749" s="12" t="s">
        <v>230</v>
      </c>
      <c r="L749" s="12" t="s">
        <v>45</v>
      </c>
      <c r="M749" s="12" t="s">
        <v>45</v>
      </c>
      <c r="N749" s="12" t="s">
        <v>780</v>
      </c>
      <c r="O749" s="12" t="s">
        <v>260</v>
      </c>
      <c r="P749" s="88" t="s">
        <v>261</v>
      </c>
      <c r="Q749" s="13">
        <v>44370</v>
      </c>
      <c r="R749" s="16">
        <v>0.93500000000000005</v>
      </c>
      <c r="S749" s="12" t="s">
        <v>210</v>
      </c>
      <c r="W749" s="11"/>
      <c r="AU749" s="12" t="s">
        <v>1208</v>
      </c>
    </row>
    <row r="750" spans="1:47" s="12" customFormat="1" ht="14.4" hidden="1" x14ac:dyDescent="0.3">
      <c r="A750" s="12" t="s">
        <v>505</v>
      </c>
      <c r="B750" s="12" t="s">
        <v>1899</v>
      </c>
      <c r="C750" s="12">
        <v>70</v>
      </c>
      <c r="D750" s="12">
        <v>221</v>
      </c>
      <c r="F750" s="14" t="s">
        <v>2334</v>
      </c>
      <c r="G750" s="12" t="str">
        <f t="shared" si="19"/>
        <v>702219011023355</v>
      </c>
      <c r="H750" s="12" t="s">
        <v>2335</v>
      </c>
      <c r="I750" s="15">
        <v>9011023355</v>
      </c>
      <c r="J750" s="12" t="s">
        <v>1980</v>
      </c>
      <c r="K750" s="12" t="s">
        <v>230</v>
      </c>
      <c r="L750" s="12" t="s">
        <v>45</v>
      </c>
      <c r="M750" s="12" t="s">
        <v>45</v>
      </c>
      <c r="N750" s="12" t="s">
        <v>780</v>
      </c>
      <c r="O750" s="12" t="s">
        <v>260</v>
      </c>
      <c r="P750" s="88" t="s">
        <v>261</v>
      </c>
      <c r="Q750" s="13">
        <v>45265</v>
      </c>
      <c r="R750" s="16">
        <v>0.90500000000000003</v>
      </c>
      <c r="S750" s="12" t="s">
        <v>210</v>
      </c>
      <c r="W750" s="11"/>
      <c r="AU750" s="12" t="s">
        <v>53</v>
      </c>
    </row>
    <row r="751" spans="1:47" s="12" customFormat="1" ht="14.4" hidden="1" x14ac:dyDescent="0.3">
      <c r="A751" s="12" t="s">
        <v>505</v>
      </c>
      <c r="B751" s="12" t="s">
        <v>1899</v>
      </c>
      <c r="C751" s="12">
        <v>70</v>
      </c>
      <c r="D751" s="12">
        <v>221</v>
      </c>
      <c r="F751" s="14" t="s">
        <v>2336</v>
      </c>
      <c r="G751" s="12" t="str">
        <f t="shared" si="19"/>
        <v>70221901435391-0</v>
      </c>
      <c r="H751" s="12" t="s">
        <v>2337</v>
      </c>
      <c r="I751" s="15" t="s">
        <v>2338</v>
      </c>
      <c r="J751" s="12" t="s">
        <v>2339</v>
      </c>
      <c r="K751" s="12" t="s">
        <v>133</v>
      </c>
      <c r="L751" s="12">
        <v>3205752428</v>
      </c>
      <c r="M751" s="12" t="s">
        <v>1931</v>
      </c>
      <c r="N751" s="12" t="s">
        <v>127</v>
      </c>
      <c r="O751" s="12" t="s">
        <v>2822</v>
      </c>
      <c r="P751" s="88" t="s">
        <v>48</v>
      </c>
      <c r="W751" s="11"/>
      <c r="AU751" s="12" t="s">
        <v>53</v>
      </c>
    </row>
    <row r="752" spans="1:47" s="12" customFormat="1" ht="14.4" x14ac:dyDescent="0.3">
      <c r="A752" s="12" t="s">
        <v>505</v>
      </c>
      <c r="B752" s="12" t="s">
        <v>1899</v>
      </c>
      <c r="C752" s="12">
        <v>70</v>
      </c>
      <c r="D752" s="12">
        <v>221</v>
      </c>
      <c r="F752" s="14" t="s">
        <v>2340</v>
      </c>
      <c r="G752" s="12" t="str">
        <f t="shared" si="19"/>
        <v>7022132552203</v>
      </c>
      <c r="H752" s="12" t="s">
        <v>2341</v>
      </c>
      <c r="I752" s="15">
        <v>32552203</v>
      </c>
      <c r="J752" s="12" t="s">
        <v>1995</v>
      </c>
      <c r="K752" s="12" t="s">
        <v>230</v>
      </c>
      <c r="L752" s="12" t="s">
        <v>45</v>
      </c>
      <c r="M752" s="12" t="s">
        <v>45</v>
      </c>
      <c r="N752" s="12" t="s">
        <v>46</v>
      </c>
      <c r="O752" s="12" t="s">
        <v>47</v>
      </c>
      <c r="P752" s="88" t="s">
        <v>48</v>
      </c>
      <c r="W752" s="11"/>
      <c r="AU752" s="12" t="s">
        <v>53</v>
      </c>
    </row>
    <row r="753" spans="1:47" s="12" customFormat="1" ht="14.4" hidden="1" x14ac:dyDescent="0.3">
      <c r="A753" s="12" t="s">
        <v>505</v>
      </c>
      <c r="B753" s="12" t="s">
        <v>1899</v>
      </c>
      <c r="C753" s="12">
        <v>70</v>
      </c>
      <c r="D753" s="12">
        <v>221</v>
      </c>
      <c r="F753" s="14" t="s">
        <v>826</v>
      </c>
      <c r="G753" s="12" t="str">
        <f t="shared" si="19"/>
        <v>7022173188131</v>
      </c>
      <c r="H753" s="12" t="s">
        <v>2342</v>
      </c>
      <c r="I753" s="15">
        <v>73188131</v>
      </c>
      <c r="J753" s="12" t="s">
        <v>1947</v>
      </c>
      <c r="K753" s="12" t="s">
        <v>230</v>
      </c>
      <c r="L753" s="12" t="s">
        <v>45</v>
      </c>
      <c r="M753" s="12" t="s">
        <v>45</v>
      </c>
      <c r="N753" s="12" t="s">
        <v>780</v>
      </c>
      <c r="O753" s="12" t="s">
        <v>260</v>
      </c>
      <c r="P753" s="88" t="s">
        <v>261</v>
      </c>
      <c r="W753" s="11"/>
      <c r="AU753" s="12" t="s">
        <v>53</v>
      </c>
    </row>
    <row r="754" spans="1:47" s="12" customFormat="1" ht="14.4" hidden="1" x14ac:dyDescent="0.3">
      <c r="A754" s="12" t="s">
        <v>505</v>
      </c>
      <c r="B754" s="12" t="s">
        <v>1899</v>
      </c>
      <c r="C754" s="12">
        <v>70</v>
      </c>
      <c r="D754" s="12">
        <v>221</v>
      </c>
      <c r="F754" s="14" t="s">
        <v>2343</v>
      </c>
      <c r="G754" s="12" t="str">
        <f t="shared" si="19"/>
        <v>70221900593764</v>
      </c>
      <c r="H754" s="12" t="s">
        <v>2344</v>
      </c>
      <c r="I754" s="15">
        <v>900593764</v>
      </c>
      <c r="J754" s="12" t="s">
        <v>2345</v>
      </c>
      <c r="K754" s="12" t="s">
        <v>230</v>
      </c>
      <c r="L754" s="12" t="s">
        <v>45</v>
      </c>
      <c r="M754" s="12" t="s">
        <v>45</v>
      </c>
      <c r="N754" s="12" t="s">
        <v>127</v>
      </c>
      <c r="O754" s="12" t="s">
        <v>2822</v>
      </c>
      <c r="P754" s="88" t="s">
        <v>48</v>
      </c>
      <c r="W754" s="11"/>
      <c r="AU754" s="12" t="s">
        <v>1208</v>
      </c>
    </row>
    <row r="755" spans="1:47" s="12" customFormat="1" ht="14.4" x14ac:dyDescent="0.3">
      <c r="A755" s="12" t="s">
        <v>505</v>
      </c>
      <c r="B755" s="12" t="s">
        <v>1899</v>
      </c>
      <c r="C755" s="12">
        <v>70</v>
      </c>
      <c r="D755" s="12">
        <v>221</v>
      </c>
      <c r="F755" s="14" t="s">
        <v>2346</v>
      </c>
      <c r="G755" s="12" t="str">
        <f t="shared" si="19"/>
        <v>7022151689903</v>
      </c>
      <c r="H755" s="12" t="s">
        <v>2347</v>
      </c>
      <c r="I755" s="15">
        <v>51689903</v>
      </c>
      <c r="J755" s="12" t="s">
        <v>2348</v>
      </c>
      <c r="K755" s="12" t="s">
        <v>230</v>
      </c>
      <c r="L755" s="12" t="s">
        <v>45</v>
      </c>
      <c r="M755" s="12" t="s">
        <v>45</v>
      </c>
      <c r="N755" s="12" t="s">
        <v>46</v>
      </c>
      <c r="O755" s="12" t="s">
        <v>47</v>
      </c>
      <c r="P755" s="88" t="s">
        <v>48</v>
      </c>
      <c r="W755" s="11"/>
      <c r="AU755" s="12" t="s">
        <v>1208</v>
      </c>
    </row>
    <row r="756" spans="1:47" s="12" customFormat="1" ht="14.4" x14ac:dyDescent="0.3">
      <c r="A756" s="12" t="s">
        <v>505</v>
      </c>
      <c r="B756" s="12" t="s">
        <v>1899</v>
      </c>
      <c r="C756" s="12">
        <v>70</v>
      </c>
      <c r="D756" s="12">
        <v>221</v>
      </c>
      <c r="F756" s="14" t="s">
        <v>2349</v>
      </c>
      <c r="G756" s="12" t="str">
        <f t="shared" si="19"/>
        <v>7022133080863-1</v>
      </c>
      <c r="H756" s="12" t="s">
        <v>2350</v>
      </c>
      <c r="I756" s="15" t="s">
        <v>2351</v>
      </c>
      <c r="J756" s="12" t="s">
        <v>1956</v>
      </c>
      <c r="K756" s="12" t="s">
        <v>230</v>
      </c>
      <c r="L756" s="12" t="s">
        <v>45</v>
      </c>
      <c r="M756" s="12" t="s">
        <v>45</v>
      </c>
      <c r="N756" s="12" t="s">
        <v>46</v>
      </c>
      <c r="O756" s="12" t="s">
        <v>47</v>
      </c>
      <c r="P756" s="88" t="s">
        <v>48</v>
      </c>
      <c r="W756" s="11"/>
      <c r="AU756" s="12" t="s">
        <v>164</v>
      </c>
    </row>
    <row r="757" spans="1:47" s="12" customFormat="1" ht="14.4" hidden="1" x14ac:dyDescent="0.3">
      <c r="A757" s="12" t="s">
        <v>505</v>
      </c>
      <c r="B757" s="12" t="s">
        <v>1899</v>
      </c>
      <c r="C757" s="12">
        <v>70</v>
      </c>
      <c r="D757" s="12">
        <v>221</v>
      </c>
      <c r="F757" s="364" t="s">
        <v>2352</v>
      </c>
      <c r="G757" s="12" t="str">
        <f t="shared" si="19"/>
        <v>70221901613496-9</v>
      </c>
      <c r="H757" s="12" t="s">
        <v>2353</v>
      </c>
      <c r="I757" s="15" t="s">
        <v>2354</v>
      </c>
      <c r="J757" s="12" t="s">
        <v>2355</v>
      </c>
      <c r="K757" s="12" t="s">
        <v>230</v>
      </c>
      <c r="L757" s="12">
        <v>3144343890</v>
      </c>
      <c r="M757" s="12" t="s">
        <v>2356</v>
      </c>
      <c r="N757" s="12" t="s">
        <v>780</v>
      </c>
      <c r="O757" s="12" t="s">
        <v>260</v>
      </c>
      <c r="P757" s="88" t="s">
        <v>261</v>
      </c>
      <c r="W757" s="11"/>
      <c r="AU757" s="12" t="s">
        <v>164</v>
      </c>
    </row>
    <row r="758" spans="1:47" s="12" customFormat="1" ht="14.4" hidden="1" x14ac:dyDescent="0.3">
      <c r="A758" s="12" t="s">
        <v>505</v>
      </c>
      <c r="B758" s="12" t="s">
        <v>1899</v>
      </c>
      <c r="C758" s="12">
        <v>70</v>
      </c>
      <c r="D758" s="12">
        <v>221</v>
      </c>
      <c r="F758" s="364" t="s">
        <v>2357</v>
      </c>
      <c r="G758" s="12" t="str">
        <f t="shared" si="19"/>
        <v>702219002769621</v>
      </c>
      <c r="H758" s="12" t="s">
        <v>1309</v>
      </c>
      <c r="I758" s="103">
        <v>9002769621</v>
      </c>
      <c r="J758" s="12" t="s">
        <v>2358</v>
      </c>
      <c r="K758" s="12" t="s">
        <v>230</v>
      </c>
      <c r="L758" s="12" t="s">
        <v>45</v>
      </c>
      <c r="M758" s="12" t="s">
        <v>45</v>
      </c>
      <c r="N758" s="12" t="s">
        <v>780</v>
      </c>
      <c r="O758" s="12" t="s">
        <v>260</v>
      </c>
      <c r="P758" s="88" t="s">
        <v>261</v>
      </c>
      <c r="Q758" s="13">
        <v>44827</v>
      </c>
      <c r="R758" s="16">
        <v>0.93</v>
      </c>
      <c r="S758" s="12" t="s">
        <v>210</v>
      </c>
      <c r="W758" s="11"/>
      <c r="AU758" s="12" t="s">
        <v>164</v>
      </c>
    </row>
    <row r="759" spans="1:47" s="12" customFormat="1" ht="14.4" hidden="1" x14ac:dyDescent="0.3">
      <c r="A759" s="12" t="s">
        <v>505</v>
      </c>
      <c r="B759" s="12" t="s">
        <v>1899</v>
      </c>
      <c r="C759" s="12">
        <v>70</v>
      </c>
      <c r="D759" s="12">
        <v>221</v>
      </c>
      <c r="F759" s="364" t="s">
        <v>2359</v>
      </c>
      <c r="G759" s="12" t="str">
        <f t="shared" si="19"/>
        <v>70221900276962</v>
      </c>
      <c r="H759" s="12" t="s">
        <v>2360</v>
      </c>
      <c r="I759" s="103">
        <v>900276962</v>
      </c>
      <c r="J759" s="12" t="s">
        <v>2361</v>
      </c>
      <c r="K759" s="12" t="s">
        <v>230</v>
      </c>
      <c r="L759" s="12">
        <v>3005862122</v>
      </c>
      <c r="M759" s="12" t="s">
        <v>2362</v>
      </c>
      <c r="N759" s="12" t="s">
        <v>780</v>
      </c>
      <c r="O759" s="12" t="s">
        <v>260</v>
      </c>
      <c r="P759" s="88" t="s">
        <v>261</v>
      </c>
      <c r="Q759" s="13">
        <v>44610</v>
      </c>
      <c r="R759" s="16">
        <v>0.86499999999999999</v>
      </c>
      <c r="S759" s="12" t="s">
        <v>49</v>
      </c>
      <c r="W759" s="11"/>
      <c r="AU759" s="12" t="s">
        <v>164</v>
      </c>
    </row>
    <row r="760" spans="1:47" s="12" customFormat="1" ht="14.4" hidden="1" x14ac:dyDescent="0.3">
      <c r="A760" s="12" t="s">
        <v>505</v>
      </c>
      <c r="B760" s="12" t="s">
        <v>1899</v>
      </c>
      <c r="C760" s="12">
        <v>70</v>
      </c>
      <c r="D760" s="12">
        <v>221</v>
      </c>
      <c r="F760" s="14" t="s">
        <v>2364</v>
      </c>
      <c r="G760" s="12" t="str">
        <f t="shared" si="19"/>
        <v>70221823003023</v>
      </c>
      <c r="H760" s="12" t="s">
        <v>2365</v>
      </c>
      <c r="I760" s="103">
        <v>823003023</v>
      </c>
      <c r="J760" s="12" t="s">
        <v>2366</v>
      </c>
      <c r="K760" s="12" t="s">
        <v>230</v>
      </c>
      <c r="L760" s="12" t="s">
        <v>45</v>
      </c>
      <c r="M760" s="12" t="s">
        <v>45</v>
      </c>
      <c r="N760" s="12" t="s">
        <v>127</v>
      </c>
      <c r="O760" s="12" t="s">
        <v>2822</v>
      </c>
      <c r="P760" s="88" t="s">
        <v>48</v>
      </c>
      <c r="W760" s="11"/>
      <c r="AU760" s="12" t="s">
        <v>164</v>
      </c>
    </row>
    <row r="761" spans="1:47" s="12" customFormat="1" ht="14.4" x14ac:dyDescent="0.3">
      <c r="A761" s="12" t="s">
        <v>505</v>
      </c>
      <c r="B761" s="12" t="s">
        <v>1899</v>
      </c>
      <c r="C761" s="12">
        <v>70</v>
      </c>
      <c r="D761" s="12">
        <v>221</v>
      </c>
      <c r="F761" s="14" t="s">
        <v>2367</v>
      </c>
      <c r="G761" s="12" t="str">
        <f t="shared" si="19"/>
        <v>702219015471090</v>
      </c>
      <c r="H761" s="12" t="s">
        <v>2368</v>
      </c>
      <c r="I761" s="103">
        <v>9015471090</v>
      </c>
      <c r="J761" s="12" t="s">
        <v>2369</v>
      </c>
      <c r="K761" s="12" t="s">
        <v>230</v>
      </c>
      <c r="L761" s="12">
        <v>3157552221</v>
      </c>
      <c r="M761" s="12" t="s">
        <v>2370</v>
      </c>
      <c r="N761" s="12" t="s">
        <v>46</v>
      </c>
      <c r="O761" s="12" t="s">
        <v>47</v>
      </c>
      <c r="P761" s="88" t="s">
        <v>48</v>
      </c>
      <c r="W761" s="11"/>
      <c r="AU761" s="12" t="s">
        <v>53</v>
      </c>
    </row>
    <row r="762" spans="1:47" s="12" customFormat="1" ht="14.4" hidden="1" x14ac:dyDescent="0.3">
      <c r="A762" s="12" t="s">
        <v>505</v>
      </c>
      <c r="B762" s="12" t="s">
        <v>1899</v>
      </c>
      <c r="C762" s="12">
        <v>70</v>
      </c>
      <c r="D762" s="12">
        <v>221</v>
      </c>
      <c r="F762" s="14" t="s">
        <v>2371</v>
      </c>
      <c r="G762" s="12" t="str">
        <f t="shared" si="19"/>
        <v>7022115621057</v>
      </c>
      <c r="H762" s="12" t="s">
        <v>2372</v>
      </c>
      <c r="I762" s="15">
        <v>15621057</v>
      </c>
      <c r="J762" s="12" t="s">
        <v>1947</v>
      </c>
      <c r="K762" s="12" t="s">
        <v>230</v>
      </c>
      <c r="L762" s="12" t="s">
        <v>45</v>
      </c>
      <c r="M762" s="12" t="s">
        <v>45</v>
      </c>
      <c r="N762" s="12" t="s">
        <v>432</v>
      </c>
      <c r="O762" s="12" t="s">
        <v>432</v>
      </c>
      <c r="P762" s="88" t="s">
        <v>261</v>
      </c>
      <c r="W762" s="11"/>
      <c r="AU762" s="12" t="s">
        <v>164</v>
      </c>
    </row>
    <row r="763" spans="1:47" s="12" customFormat="1" ht="14.4" x14ac:dyDescent="0.3">
      <c r="A763" s="12" t="s">
        <v>505</v>
      </c>
      <c r="B763" s="12" t="s">
        <v>1899</v>
      </c>
      <c r="C763" s="12">
        <v>70</v>
      </c>
      <c r="D763" s="12">
        <v>221</v>
      </c>
      <c r="F763" s="14" t="s">
        <v>2373</v>
      </c>
      <c r="G763" s="12" t="str">
        <f t="shared" si="19"/>
        <v>7022111900147</v>
      </c>
      <c r="H763" s="12" t="s">
        <v>2189</v>
      </c>
      <c r="I763" s="15">
        <v>11900147</v>
      </c>
      <c r="J763" s="12" t="s">
        <v>2113</v>
      </c>
      <c r="K763" s="12" t="s">
        <v>230</v>
      </c>
      <c r="L763" s="12" t="s">
        <v>45</v>
      </c>
      <c r="M763" s="12" t="s">
        <v>45</v>
      </c>
      <c r="N763" s="12" t="s">
        <v>46</v>
      </c>
      <c r="O763" s="12" t="s">
        <v>47</v>
      </c>
      <c r="P763" s="88" t="s">
        <v>48</v>
      </c>
      <c r="Q763" s="13">
        <v>44285</v>
      </c>
      <c r="R763" s="16">
        <v>0.79</v>
      </c>
      <c r="S763" s="12" t="s">
        <v>49</v>
      </c>
      <c r="W763" s="11"/>
      <c r="AU763" s="12" t="s">
        <v>53</v>
      </c>
    </row>
    <row r="764" spans="1:47" s="12" customFormat="1" ht="14.4" x14ac:dyDescent="0.3">
      <c r="A764" s="12" t="s">
        <v>505</v>
      </c>
      <c r="B764" s="12" t="s">
        <v>1899</v>
      </c>
      <c r="C764" s="12">
        <v>70</v>
      </c>
      <c r="D764" s="12">
        <v>221</v>
      </c>
      <c r="F764" s="14" t="s">
        <v>2374</v>
      </c>
      <c r="G764" s="12" t="str">
        <f t="shared" si="19"/>
        <v>70221800010792</v>
      </c>
      <c r="H764" s="12" t="s">
        <v>2375</v>
      </c>
      <c r="I764" s="15">
        <v>800010792</v>
      </c>
      <c r="J764" s="12" t="s">
        <v>1936</v>
      </c>
      <c r="K764" s="12" t="s">
        <v>230</v>
      </c>
      <c r="L764" s="12" t="s">
        <v>45</v>
      </c>
      <c r="M764" s="12" t="s">
        <v>45</v>
      </c>
      <c r="N764" s="12" t="s">
        <v>46</v>
      </c>
      <c r="O764" s="12" t="s">
        <v>47</v>
      </c>
      <c r="P764" s="88" t="s">
        <v>48</v>
      </c>
      <c r="Q764" s="13">
        <v>45805</v>
      </c>
      <c r="R764" s="16">
        <v>0.76</v>
      </c>
      <c r="S764" s="12" t="s">
        <v>49</v>
      </c>
      <c r="T764" s="12" t="s">
        <v>2376</v>
      </c>
      <c r="U764" s="12" t="s">
        <v>50</v>
      </c>
      <c r="W764" s="11"/>
      <c r="AU764" s="12" t="s">
        <v>53</v>
      </c>
    </row>
    <row r="765" spans="1:47" s="12" customFormat="1" ht="14.4" x14ac:dyDescent="0.3">
      <c r="A765" s="12" t="s">
        <v>505</v>
      </c>
      <c r="B765" s="12" t="s">
        <v>1899</v>
      </c>
      <c r="C765" s="12">
        <v>70</v>
      </c>
      <c r="D765" s="12">
        <v>221</v>
      </c>
      <c r="F765" s="14" t="s">
        <v>2377</v>
      </c>
      <c r="G765" s="12" t="str">
        <f t="shared" si="19"/>
        <v>7022125773868-3</v>
      </c>
      <c r="H765" s="12" t="s">
        <v>2378</v>
      </c>
      <c r="I765" s="15" t="s">
        <v>2379</v>
      </c>
      <c r="J765" s="12" t="s">
        <v>1956</v>
      </c>
      <c r="K765" s="12" t="s">
        <v>133</v>
      </c>
      <c r="L765" s="12">
        <v>3023023838</v>
      </c>
      <c r="M765" s="12" t="s">
        <v>45</v>
      </c>
      <c r="N765" s="12" t="s">
        <v>46</v>
      </c>
      <c r="O765" s="12" t="s">
        <v>47</v>
      </c>
      <c r="P765" s="88" t="s">
        <v>48</v>
      </c>
      <c r="W765" s="11"/>
      <c r="AU765" s="12" t="s">
        <v>53</v>
      </c>
    </row>
    <row r="766" spans="1:47" s="12" customFormat="1" ht="14.4" hidden="1" x14ac:dyDescent="0.3">
      <c r="A766" s="12" t="s">
        <v>505</v>
      </c>
      <c r="B766" s="12" t="s">
        <v>1899</v>
      </c>
      <c r="C766" s="12">
        <v>70</v>
      </c>
      <c r="D766" s="12">
        <v>221</v>
      </c>
      <c r="F766" s="14" t="s">
        <v>2380</v>
      </c>
      <c r="G766" s="12" t="str">
        <f t="shared" si="19"/>
        <v>7022122949296</v>
      </c>
      <c r="H766" s="12" t="s">
        <v>2381</v>
      </c>
      <c r="I766" s="15">
        <v>22949296</v>
      </c>
      <c r="J766" s="12" t="s">
        <v>2382</v>
      </c>
      <c r="K766" s="12" t="s">
        <v>133</v>
      </c>
      <c r="L766" s="12">
        <v>3225776907</v>
      </c>
      <c r="M766" s="12" t="s">
        <v>45</v>
      </c>
      <c r="N766" s="12" t="s">
        <v>432</v>
      </c>
      <c r="O766" s="12" t="s">
        <v>432</v>
      </c>
      <c r="P766" s="88" t="s">
        <v>261</v>
      </c>
      <c r="W766" s="11"/>
      <c r="AU766" s="12" t="s">
        <v>53</v>
      </c>
    </row>
    <row r="767" spans="1:47" s="12" customFormat="1" ht="14.4" x14ac:dyDescent="0.3">
      <c r="A767" s="12" t="s">
        <v>505</v>
      </c>
      <c r="B767" s="12" t="s">
        <v>1899</v>
      </c>
      <c r="C767" s="12">
        <v>70</v>
      </c>
      <c r="D767" s="12">
        <v>221</v>
      </c>
      <c r="F767" s="14" t="s">
        <v>2383</v>
      </c>
      <c r="G767" s="12" t="str">
        <f t="shared" si="19"/>
        <v>7022118506896</v>
      </c>
      <c r="H767" s="12" t="s">
        <v>2384</v>
      </c>
      <c r="I767" s="12">
        <v>18506896</v>
      </c>
      <c r="J767" s="12" t="s">
        <v>2385</v>
      </c>
      <c r="K767" s="12" t="s">
        <v>133</v>
      </c>
      <c r="L767" s="12">
        <v>3004684329</v>
      </c>
      <c r="M767" s="12" t="s">
        <v>45</v>
      </c>
      <c r="N767" s="12" t="s">
        <v>46</v>
      </c>
      <c r="O767" s="12" t="s">
        <v>47</v>
      </c>
      <c r="P767" s="88" t="s">
        <v>48</v>
      </c>
      <c r="W767" s="11"/>
      <c r="AU767" s="12" t="s">
        <v>53</v>
      </c>
    </row>
    <row r="768" spans="1:47" s="12" customFormat="1" ht="14.4" x14ac:dyDescent="0.3">
      <c r="A768" s="12" t="s">
        <v>505</v>
      </c>
      <c r="B768" s="12" t="s">
        <v>1899</v>
      </c>
      <c r="C768" s="12">
        <v>70</v>
      </c>
      <c r="D768" s="12">
        <v>221</v>
      </c>
      <c r="F768" s="14" t="s">
        <v>2386</v>
      </c>
      <c r="G768" s="12" t="str">
        <f t="shared" si="19"/>
        <v>7022192227850</v>
      </c>
      <c r="H768" s="12" t="s">
        <v>2387</v>
      </c>
      <c r="I768" s="15">
        <v>92227850</v>
      </c>
      <c r="J768" s="12" t="s">
        <v>1980</v>
      </c>
      <c r="K768" s="12" t="s">
        <v>230</v>
      </c>
      <c r="L768" s="12" t="s">
        <v>45</v>
      </c>
      <c r="M768" s="12" t="s">
        <v>45</v>
      </c>
      <c r="N768" s="12" t="s">
        <v>46</v>
      </c>
      <c r="O768" s="12" t="s">
        <v>47</v>
      </c>
      <c r="P768" s="88" t="s">
        <v>48</v>
      </c>
      <c r="W768" s="11"/>
      <c r="AU768" s="12" t="s">
        <v>53</v>
      </c>
    </row>
    <row r="769" spans="1:47" s="12" customFormat="1" ht="14.4" x14ac:dyDescent="0.3">
      <c r="A769" s="12" t="s">
        <v>505</v>
      </c>
      <c r="B769" s="12" t="s">
        <v>1899</v>
      </c>
      <c r="C769" s="12">
        <v>70</v>
      </c>
      <c r="D769" s="12">
        <v>221</v>
      </c>
      <c r="F769" s="14" t="s">
        <v>2388</v>
      </c>
      <c r="G769" s="12" t="str">
        <f t="shared" si="19"/>
        <v>70221150302809</v>
      </c>
      <c r="H769" s="12" t="s">
        <v>2160</v>
      </c>
      <c r="I769" s="15">
        <v>150302809</v>
      </c>
      <c r="J769" s="12" t="s">
        <v>1995</v>
      </c>
      <c r="K769" s="12" t="s">
        <v>230</v>
      </c>
      <c r="L769" s="12" t="s">
        <v>45</v>
      </c>
      <c r="M769" s="12" t="s">
        <v>45</v>
      </c>
      <c r="N769" s="12" t="s">
        <v>46</v>
      </c>
      <c r="O769" s="12" t="s">
        <v>47</v>
      </c>
      <c r="P769" s="88" t="s">
        <v>48</v>
      </c>
      <c r="Q769" s="13">
        <v>44637</v>
      </c>
      <c r="R769" s="16">
        <v>0.755</v>
      </c>
      <c r="S769" s="12" t="s">
        <v>49</v>
      </c>
      <c r="W769" s="11"/>
      <c r="AU769" s="12" t="s">
        <v>53</v>
      </c>
    </row>
    <row r="770" spans="1:47" s="12" customFormat="1" ht="14.4" hidden="1" x14ac:dyDescent="0.3">
      <c r="A770" s="12" t="s">
        <v>505</v>
      </c>
      <c r="B770" s="12" t="s">
        <v>1899</v>
      </c>
      <c r="C770" s="12">
        <v>70</v>
      </c>
      <c r="D770" s="12">
        <v>221</v>
      </c>
      <c r="F770" s="14" t="s">
        <v>2389</v>
      </c>
      <c r="G770" s="12" t="str">
        <f t="shared" si="19"/>
        <v>702211067878115-1</v>
      </c>
      <c r="H770" s="12" t="s">
        <v>2390</v>
      </c>
      <c r="I770" s="15" t="s">
        <v>2391</v>
      </c>
      <c r="J770" s="12" t="s">
        <v>2392</v>
      </c>
      <c r="K770" s="12" t="s">
        <v>230</v>
      </c>
      <c r="L770" s="12" t="s">
        <v>45</v>
      </c>
      <c r="M770" s="12" t="s">
        <v>45</v>
      </c>
      <c r="N770" s="12" t="s">
        <v>780</v>
      </c>
      <c r="O770" s="12" t="s">
        <v>260</v>
      </c>
      <c r="P770" s="88" t="s">
        <v>261</v>
      </c>
      <c r="W770" s="11"/>
      <c r="AU770" s="12" t="s">
        <v>53</v>
      </c>
    </row>
    <row r="771" spans="1:47" s="12" customFormat="1" ht="14.4" hidden="1" x14ac:dyDescent="0.3">
      <c r="A771" s="12" t="s">
        <v>505</v>
      </c>
      <c r="B771" s="12" t="s">
        <v>1899</v>
      </c>
      <c r="C771" s="12">
        <v>70</v>
      </c>
      <c r="D771" s="12">
        <v>221</v>
      </c>
      <c r="F771" s="14" t="s">
        <v>2393</v>
      </c>
      <c r="G771" s="12" t="str">
        <f t="shared" si="19"/>
        <v>702216894074</v>
      </c>
      <c r="H771" s="12" t="s">
        <v>2394</v>
      </c>
      <c r="I771" s="15">
        <v>6894074</v>
      </c>
      <c r="J771" s="12" t="s">
        <v>2395</v>
      </c>
      <c r="K771" s="12" t="s">
        <v>230</v>
      </c>
      <c r="L771" s="12" t="s">
        <v>45</v>
      </c>
      <c r="M771" s="12" t="s">
        <v>45</v>
      </c>
      <c r="N771" s="12" t="s">
        <v>432</v>
      </c>
      <c r="O771" s="12" t="s">
        <v>432</v>
      </c>
      <c r="P771" s="88" t="s">
        <v>261</v>
      </c>
      <c r="W771" s="11"/>
      <c r="AU771" s="12" t="s">
        <v>53</v>
      </c>
    </row>
    <row r="772" spans="1:47" s="12" customFormat="1" ht="14.4" x14ac:dyDescent="0.3">
      <c r="A772" s="12" t="s">
        <v>505</v>
      </c>
      <c r="B772" s="12" t="s">
        <v>1899</v>
      </c>
      <c r="C772" s="12">
        <v>70</v>
      </c>
      <c r="D772" s="12">
        <v>221</v>
      </c>
      <c r="F772" s="14" t="s">
        <v>2396</v>
      </c>
      <c r="G772" s="12" t="str">
        <f t="shared" si="19"/>
        <v>70221900464898</v>
      </c>
      <c r="H772" s="12" t="s">
        <v>2397</v>
      </c>
      <c r="I772" s="15">
        <v>900464898</v>
      </c>
      <c r="J772" s="12" t="s">
        <v>1980</v>
      </c>
      <c r="K772" s="12" t="s">
        <v>230</v>
      </c>
      <c r="L772" s="12" t="s">
        <v>45</v>
      </c>
      <c r="M772" s="12" t="s">
        <v>45</v>
      </c>
      <c r="N772" s="12" t="s">
        <v>46</v>
      </c>
      <c r="O772" s="12" t="s">
        <v>47</v>
      </c>
      <c r="P772" s="88" t="s">
        <v>48</v>
      </c>
      <c r="W772" s="11"/>
      <c r="AU772" s="12" t="s">
        <v>53</v>
      </c>
    </row>
    <row r="773" spans="1:47" s="12" customFormat="1" ht="14.4" x14ac:dyDescent="0.3">
      <c r="A773" s="12" t="s">
        <v>505</v>
      </c>
      <c r="B773" s="12" t="s">
        <v>1899</v>
      </c>
      <c r="C773" s="12">
        <v>70</v>
      </c>
      <c r="D773" s="12">
        <v>221</v>
      </c>
      <c r="F773" s="14" t="s">
        <v>2398</v>
      </c>
      <c r="G773" s="12" t="str">
        <f t="shared" ref="G773:G797" si="20">C773&amp;D773&amp;I773</f>
        <v>7022151814874</v>
      </c>
      <c r="H773" s="12" t="s">
        <v>2399</v>
      </c>
      <c r="I773" s="15">
        <v>51814874</v>
      </c>
      <c r="J773" s="12" t="s">
        <v>1980</v>
      </c>
      <c r="K773" s="12" t="s">
        <v>230</v>
      </c>
      <c r="L773" s="12" t="s">
        <v>45</v>
      </c>
      <c r="M773" s="12" t="s">
        <v>45</v>
      </c>
      <c r="N773" s="12" t="s">
        <v>46</v>
      </c>
      <c r="O773" s="12" t="s">
        <v>47</v>
      </c>
      <c r="P773" s="88" t="s">
        <v>48</v>
      </c>
      <c r="W773" s="11"/>
      <c r="AU773" s="12" t="s">
        <v>53</v>
      </c>
    </row>
    <row r="774" spans="1:47" s="12" customFormat="1" ht="14.4" x14ac:dyDescent="0.3">
      <c r="A774" s="12" t="s">
        <v>505</v>
      </c>
      <c r="B774" s="12" t="s">
        <v>1899</v>
      </c>
      <c r="C774" s="12">
        <v>70</v>
      </c>
      <c r="D774" s="12">
        <v>221</v>
      </c>
      <c r="F774" s="14" t="s">
        <v>590</v>
      </c>
      <c r="G774" s="12" t="str">
        <f t="shared" si="20"/>
        <v>702211038409982</v>
      </c>
      <c r="H774" s="12" t="s">
        <v>2400</v>
      </c>
      <c r="I774" s="15">
        <v>1038409982</v>
      </c>
      <c r="J774" s="12" t="s">
        <v>2401</v>
      </c>
      <c r="K774" s="12" t="s">
        <v>230</v>
      </c>
      <c r="L774" s="12" t="s">
        <v>45</v>
      </c>
      <c r="M774" s="12" t="s">
        <v>45</v>
      </c>
      <c r="N774" s="12" t="s">
        <v>46</v>
      </c>
      <c r="O774" s="12" t="s">
        <v>47</v>
      </c>
      <c r="P774" s="88" t="s">
        <v>48</v>
      </c>
      <c r="W774" s="11"/>
      <c r="AU774" s="12" t="s">
        <v>53</v>
      </c>
    </row>
    <row r="775" spans="1:47" s="12" customFormat="1" ht="14.4" hidden="1" x14ac:dyDescent="0.3">
      <c r="A775" s="12" t="s">
        <v>505</v>
      </c>
      <c r="B775" s="12" t="s">
        <v>1899</v>
      </c>
      <c r="C775" s="12">
        <v>70</v>
      </c>
      <c r="D775" s="12">
        <v>221</v>
      </c>
      <c r="F775" s="14" t="s">
        <v>2402</v>
      </c>
      <c r="G775" s="12" t="str">
        <f t="shared" si="20"/>
        <v>70221901112790</v>
      </c>
      <c r="H775" s="12" t="s">
        <v>2403</v>
      </c>
      <c r="I775" s="15">
        <v>901112790</v>
      </c>
      <c r="J775" s="12" t="s">
        <v>2302</v>
      </c>
      <c r="K775" s="12" t="s">
        <v>230</v>
      </c>
      <c r="L775" s="12">
        <v>3128321282</v>
      </c>
      <c r="M775" s="12" t="s">
        <v>2404</v>
      </c>
      <c r="N775" s="12" t="s">
        <v>780</v>
      </c>
      <c r="O775" s="12" t="s">
        <v>260</v>
      </c>
      <c r="P775" s="88" t="s">
        <v>261</v>
      </c>
      <c r="W775" s="11"/>
      <c r="AU775" s="12" t="s">
        <v>53</v>
      </c>
    </row>
    <row r="776" spans="1:47" s="12" customFormat="1" ht="14.4" x14ac:dyDescent="0.3">
      <c r="A776" s="12" t="s">
        <v>505</v>
      </c>
      <c r="B776" s="12" t="s">
        <v>1899</v>
      </c>
      <c r="C776" s="12">
        <v>70</v>
      </c>
      <c r="D776" s="12">
        <v>221</v>
      </c>
      <c r="F776" s="14" t="s">
        <v>2405</v>
      </c>
      <c r="G776" s="12" t="str">
        <f t="shared" si="20"/>
        <v>7022143564641</v>
      </c>
      <c r="H776" s="12" t="s">
        <v>2406</v>
      </c>
      <c r="I776" s="15">
        <v>43564641</v>
      </c>
      <c r="J776" s="12" t="s">
        <v>2407</v>
      </c>
      <c r="K776" s="12" t="s">
        <v>230</v>
      </c>
      <c r="L776" s="12">
        <v>3004435044</v>
      </c>
      <c r="M776" s="12" t="s">
        <v>2408</v>
      </c>
      <c r="N776" s="12" t="s">
        <v>46</v>
      </c>
      <c r="O776" s="12" t="s">
        <v>47</v>
      </c>
      <c r="P776" s="88" t="s">
        <v>48</v>
      </c>
      <c r="W776" s="11"/>
      <c r="AU776" s="12" t="s">
        <v>53</v>
      </c>
    </row>
    <row r="777" spans="1:47" s="12" customFormat="1" ht="14.4" hidden="1" x14ac:dyDescent="0.3">
      <c r="A777" s="12" t="s">
        <v>505</v>
      </c>
      <c r="B777" s="12" t="s">
        <v>1899</v>
      </c>
      <c r="C777" s="12">
        <v>70</v>
      </c>
      <c r="D777" s="12">
        <v>221</v>
      </c>
      <c r="F777" s="14" t="s">
        <v>2409</v>
      </c>
      <c r="G777" s="12" t="str">
        <f t="shared" si="20"/>
        <v>7022143524231</v>
      </c>
      <c r="H777" s="12" t="s">
        <v>2410</v>
      </c>
      <c r="I777" s="15">
        <v>43524231</v>
      </c>
      <c r="J777" s="12" t="s">
        <v>2411</v>
      </c>
      <c r="K777" s="12" t="s">
        <v>230</v>
      </c>
      <c r="L777" s="12" t="s">
        <v>45</v>
      </c>
      <c r="M777" s="12" t="s">
        <v>45</v>
      </c>
      <c r="N777" s="12" t="s">
        <v>46</v>
      </c>
      <c r="O777" s="12" t="s">
        <v>521</v>
      </c>
      <c r="P777" s="88" t="s">
        <v>48</v>
      </c>
      <c r="W777" s="11"/>
      <c r="AU777" s="12" t="s">
        <v>1208</v>
      </c>
    </row>
    <row r="778" spans="1:47" s="12" customFormat="1" ht="14.4" hidden="1" x14ac:dyDescent="0.3">
      <c r="A778" s="12" t="s">
        <v>505</v>
      </c>
      <c r="B778" s="12" t="s">
        <v>1899</v>
      </c>
      <c r="C778" s="12">
        <v>70</v>
      </c>
      <c r="D778" s="12">
        <v>221</v>
      </c>
      <c r="F778" s="14" t="s">
        <v>2412</v>
      </c>
      <c r="G778" s="12" t="str">
        <f t="shared" si="20"/>
        <v>70221901435391</v>
      </c>
      <c r="H778" s="12" t="s">
        <v>2337</v>
      </c>
      <c r="I778" s="15">
        <v>901435391</v>
      </c>
      <c r="J778" s="12" t="s">
        <v>1928</v>
      </c>
      <c r="K778" s="12" t="s">
        <v>230</v>
      </c>
      <c r="L778" s="12" t="s">
        <v>45</v>
      </c>
      <c r="M778" s="12" t="s">
        <v>45</v>
      </c>
      <c r="N778" s="12" t="s">
        <v>780</v>
      </c>
      <c r="O778" s="12" t="s">
        <v>260</v>
      </c>
      <c r="P778" s="88" t="s">
        <v>261</v>
      </c>
      <c r="Q778" s="13">
        <v>44650</v>
      </c>
      <c r="R778" s="16">
        <v>0.83499999999999996</v>
      </c>
      <c r="S778" s="12" t="s">
        <v>49</v>
      </c>
      <c r="W778" s="11"/>
      <c r="AU778" s="12" t="s">
        <v>53</v>
      </c>
    </row>
    <row r="779" spans="1:47" s="12" customFormat="1" ht="14.4" x14ac:dyDescent="0.3">
      <c r="A779" s="12" t="s">
        <v>505</v>
      </c>
      <c r="B779" s="12" t="s">
        <v>1899</v>
      </c>
      <c r="C779" s="12">
        <v>70</v>
      </c>
      <c r="D779" s="12">
        <v>221</v>
      </c>
      <c r="F779" s="14" t="s">
        <v>2413</v>
      </c>
      <c r="G779" s="12" t="str">
        <f t="shared" si="20"/>
        <v>702216314099</v>
      </c>
      <c r="H779" s="12" t="s">
        <v>2414</v>
      </c>
      <c r="I779" s="15">
        <v>6314099</v>
      </c>
      <c r="J779" s="12" t="s">
        <v>2369</v>
      </c>
      <c r="K779" s="12" t="s">
        <v>230</v>
      </c>
      <c r="L779" s="12" t="s">
        <v>45</v>
      </c>
      <c r="M779" s="12" t="s">
        <v>45</v>
      </c>
      <c r="N779" s="12" t="s">
        <v>46</v>
      </c>
      <c r="O779" s="12" t="s">
        <v>47</v>
      </c>
      <c r="P779" s="88" t="s">
        <v>48</v>
      </c>
      <c r="Q779" s="13">
        <v>44145</v>
      </c>
      <c r="R779" s="16">
        <v>1</v>
      </c>
      <c r="S779" s="12" t="s">
        <v>210</v>
      </c>
      <c r="W779" s="11"/>
      <c r="AU779" s="12" t="s">
        <v>164</v>
      </c>
    </row>
    <row r="780" spans="1:47" s="12" customFormat="1" ht="14.4" x14ac:dyDescent="0.3">
      <c r="A780" s="12" t="s">
        <v>505</v>
      </c>
      <c r="B780" s="12" t="s">
        <v>1899</v>
      </c>
      <c r="C780" s="12">
        <v>70</v>
      </c>
      <c r="D780" s="12">
        <v>221</v>
      </c>
      <c r="F780" s="14" t="s">
        <v>2415</v>
      </c>
      <c r="G780" s="12" t="str">
        <f t="shared" si="20"/>
        <v>7022130566831</v>
      </c>
      <c r="H780" s="12" t="s">
        <v>2416</v>
      </c>
      <c r="I780" s="15">
        <v>30566831</v>
      </c>
      <c r="J780" s="12" t="s">
        <v>1995</v>
      </c>
      <c r="K780" s="12" t="s">
        <v>230</v>
      </c>
      <c r="L780" s="12" t="s">
        <v>45</v>
      </c>
      <c r="M780" s="12" t="s">
        <v>45</v>
      </c>
      <c r="N780" s="12" t="s">
        <v>46</v>
      </c>
      <c r="O780" s="12" t="s">
        <v>47</v>
      </c>
      <c r="P780" s="88" t="s">
        <v>48</v>
      </c>
      <c r="W780" s="11"/>
      <c r="AU780" s="12" t="s">
        <v>53</v>
      </c>
    </row>
    <row r="781" spans="1:47" s="12" customFormat="1" ht="14.4" x14ac:dyDescent="0.3">
      <c r="A781" s="12" t="s">
        <v>505</v>
      </c>
      <c r="B781" s="12" t="s">
        <v>1899</v>
      </c>
      <c r="C781" s="12">
        <v>70</v>
      </c>
      <c r="D781" s="12">
        <v>221</v>
      </c>
      <c r="E781" s="12" t="s">
        <v>9113</v>
      </c>
      <c r="F781" s="276" t="s">
        <v>9112</v>
      </c>
      <c r="G781" s="12" t="str">
        <f t="shared" si="20"/>
        <v>702219014575524</v>
      </c>
      <c r="H781" s="12" t="s">
        <v>2090</v>
      </c>
      <c r="I781" s="15">
        <v>9014575524</v>
      </c>
      <c r="J781" s="12" t="s">
        <v>9114</v>
      </c>
      <c r="K781" s="12" t="s">
        <v>9115</v>
      </c>
      <c r="L781" s="12">
        <v>3007501979</v>
      </c>
      <c r="M781" s="17" t="s">
        <v>9116</v>
      </c>
      <c r="N781" s="12" t="s">
        <v>46</v>
      </c>
      <c r="O781" s="12" t="s">
        <v>47</v>
      </c>
      <c r="P781" s="88" t="s">
        <v>48</v>
      </c>
      <c r="Q781" s="13">
        <v>46128</v>
      </c>
      <c r="R781" s="12" t="s">
        <v>203</v>
      </c>
      <c r="S781" s="12" t="s">
        <v>49</v>
      </c>
      <c r="T781" s="12" t="s">
        <v>1905</v>
      </c>
      <c r="U781" s="12" t="s">
        <v>60</v>
      </c>
      <c r="V781" s="13">
        <v>45477</v>
      </c>
      <c r="W781" s="11">
        <v>0.9</v>
      </c>
      <c r="X781" s="12" t="s">
        <v>210</v>
      </c>
      <c r="Z781" s="12" t="s">
        <v>60</v>
      </c>
      <c r="AU781" s="12" t="s">
        <v>53</v>
      </c>
    </row>
    <row r="782" spans="1:47" s="12" customFormat="1" ht="14.4" hidden="1" x14ac:dyDescent="0.3">
      <c r="A782" s="12" t="s">
        <v>505</v>
      </c>
      <c r="B782" s="12" t="s">
        <v>1899</v>
      </c>
      <c r="C782" s="12">
        <v>70</v>
      </c>
      <c r="D782" s="12">
        <v>221</v>
      </c>
      <c r="F782" s="14" t="s">
        <v>2417</v>
      </c>
      <c r="G782" s="12" t="str">
        <f t="shared" si="20"/>
        <v>702211010019295</v>
      </c>
      <c r="H782" s="12" t="s">
        <v>2418</v>
      </c>
      <c r="I782" s="15">
        <v>1010019295</v>
      </c>
      <c r="J782" s="12" t="s">
        <v>2419</v>
      </c>
      <c r="K782" s="12" t="s">
        <v>230</v>
      </c>
      <c r="L782" s="12" t="s">
        <v>45</v>
      </c>
      <c r="M782" s="12" t="s">
        <v>45</v>
      </c>
      <c r="N782" s="12" t="s">
        <v>780</v>
      </c>
      <c r="O782" s="12" t="s">
        <v>260</v>
      </c>
      <c r="P782" s="88" t="s">
        <v>261</v>
      </c>
      <c r="Q782" s="13">
        <v>44119</v>
      </c>
      <c r="R782" s="16">
        <v>0.84499999999999997</v>
      </c>
      <c r="S782" s="12" t="s">
        <v>49</v>
      </c>
      <c r="W782" s="11"/>
      <c r="AU782" s="12" t="s">
        <v>53</v>
      </c>
    </row>
    <row r="783" spans="1:47" s="12" customFormat="1" ht="14.4" hidden="1" x14ac:dyDescent="0.3">
      <c r="A783" s="12" t="s">
        <v>505</v>
      </c>
      <c r="B783" s="12" t="s">
        <v>1899</v>
      </c>
      <c r="C783" s="12">
        <v>70</v>
      </c>
      <c r="D783" s="12">
        <v>221</v>
      </c>
      <c r="F783" s="14" t="s">
        <v>2420</v>
      </c>
      <c r="G783" s="12" t="str">
        <f t="shared" si="20"/>
        <v>702211010019295</v>
      </c>
      <c r="H783" s="12" t="s">
        <v>2418</v>
      </c>
      <c r="I783" s="15">
        <v>1010019295</v>
      </c>
      <c r="J783" s="12" t="s">
        <v>2421</v>
      </c>
      <c r="K783" s="12" t="s">
        <v>230</v>
      </c>
      <c r="L783" s="12" t="s">
        <v>45</v>
      </c>
      <c r="M783" s="12" t="s">
        <v>45</v>
      </c>
      <c r="N783" s="12" t="s">
        <v>780</v>
      </c>
      <c r="O783" s="12" t="s">
        <v>260</v>
      </c>
      <c r="P783" s="88" t="s">
        <v>261</v>
      </c>
      <c r="Q783" s="13">
        <v>44117</v>
      </c>
      <c r="R783" s="16">
        <v>0.875</v>
      </c>
      <c r="S783" s="12" t="s">
        <v>49</v>
      </c>
      <c r="W783" s="11"/>
      <c r="AU783" s="12" t="s">
        <v>1208</v>
      </c>
    </row>
    <row r="784" spans="1:47" s="12" customFormat="1" ht="14.4" hidden="1" x14ac:dyDescent="0.3">
      <c r="A784" s="12" t="s">
        <v>505</v>
      </c>
      <c r="B784" s="12" t="s">
        <v>1899</v>
      </c>
      <c r="C784" s="12">
        <v>70</v>
      </c>
      <c r="D784" s="12">
        <v>221</v>
      </c>
      <c r="F784" s="14" t="s">
        <v>2422</v>
      </c>
      <c r="G784" s="12" t="str">
        <f t="shared" si="20"/>
        <v>702211063175551</v>
      </c>
      <c r="H784" s="12" t="s">
        <v>2423</v>
      </c>
      <c r="I784" s="15">
        <v>1063175551</v>
      </c>
      <c r="J784" s="12" t="s">
        <v>1995</v>
      </c>
      <c r="K784" s="12" t="s">
        <v>230</v>
      </c>
      <c r="L784" s="12" t="s">
        <v>45</v>
      </c>
      <c r="M784" s="12" t="s">
        <v>45</v>
      </c>
      <c r="N784" s="12" t="s">
        <v>780</v>
      </c>
      <c r="O784" s="12" t="s">
        <v>260</v>
      </c>
      <c r="P784" s="88" t="s">
        <v>261</v>
      </c>
      <c r="Q784" s="13">
        <v>44158</v>
      </c>
      <c r="R784" s="16">
        <v>0.82</v>
      </c>
      <c r="S784" s="12" t="s">
        <v>49</v>
      </c>
      <c r="W784" s="11"/>
      <c r="AU784" s="12" t="s">
        <v>1208</v>
      </c>
    </row>
    <row r="785" spans="1:52" s="12" customFormat="1" ht="14.4" hidden="1" x14ac:dyDescent="0.3">
      <c r="A785" s="12" t="s">
        <v>505</v>
      </c>
      <c r="B785" s="12" t="s">
        <v>1899</v>
      </c>
      <c r="C785" s="12">
        <v>70</v>
      </c>
      <c r="D785" s="12">
        <v>221</v>
      </c>
      <c r="F785" s="14" t="s">
        <v>2424</v>
      </c>
      <c r="G785" s="12" t="str">
        <f t="shared" si="20"/>
        <v>7022130658227</v>
      </c>
      <c r="H785" s="12" t="s">
        <v>2425</v>
      </c>
      <c r="I785" s="15">
        <v>30658227</v>
      </c>
      <c r="J785" s="12" t="s">
        <v>2401</v>
      </c>
      <c r="K785" s="12" t="s">
        <v>230</v>
      </c>
      <c r="L785" s="12">
        <v>3215016745</v>
      </c>
      <c r="M785" s="12" t="s">
        <v>45</v>
      </c>
      <c r="N785" s="12" t="s">
        <v>780</v>
      </c>
      <c r="O785" s="12" t="s">
        <v>260</v>
      </c>
      <c r="P785" s="88" t="s">
        <v>261</v>
      </c>
      <c r="Q785" s="13">
        <v>44645</v>
      </c>
      <c r="R785" s="16">
        <v>0.82499999999999996</v>
      </c>
      <c r="S785" s="12" t="s">
        <v>49</v>
      </c>
      <c r="W785" s="11"/>
      <c r="AU785" s="12" t="s">
        <v>53</v>
      </c>
    </row>
    <row r="786" spans="1:52" s="12" customFormat="1" ht="14.4" hidden="1" x14ac:dyDescent="0.3">
      <c r="A786" s="12" t="s">
        <v>505</v>
      </c>
      <c r="B786" s="12" t="s">
        <v>1899</v>
      </c>
      <c r="C786" s="12">
        <v>70</v>
      </c>
      <c r="D786" s="12">
        <v>221</v>
      </c>
      <c r="F786" s="14" t="s">
        <v>2426</v>
      </c>
      <c r="G786" s="12" t="str">
        <f t="shared" si="20"/>
        <v>702211033372859</v>
      </c>
      <c r="H786" s="12" t="s">
        <v>2427</v>
      </c>
      <c r="I786" s="15">
        <v>1033372859</v>
      </c>
      <c r="J786" s="12" t="s">
        <v>1968</v>
      </c>
      <c r="K786" s="12" t="s">
        <v>230</v>
      </c>
      <c r="L786" s="12" t="s">
        <v>45</v>
      </c>
      <c r="M786" s="12" t="s">
        <v>45</v>
      </c>
      <c r="N786" s="12" t="s">
        <v>780</v>
      </c>
      <c r="O786" s="12" t="s">
        <v>260</v>
      </c>
      <c r="P786" s="88" t="s">
        <v>261</v>
      </c>
      <c r="Q786" s="13">
        <v>43908</v>
      </c>
      <c r="R786" s="16">
        <v>0.86</v>
      </c>
      <c r="S786" s="12" t="s">
        <v>49</v>
      </c>
      <c r="W786" s="11"/>
      <c r="AU786" s="12" t="s">
        <v>1208</v>
      </c>
    </row>
    <row r="787" spans="1:52" s="12" customFormat="1" ht="14.4" hidden="1" x14ac:dyDescent="0.3">
      <c r="A787" s="12" t="s">
        <v>505</v>
      </c>
      <c r="B787" s="12" t="s">
        <v>1899</v>
      </c>
      <c r="C787" s="12">
        <v>70</v>
      </c>
      <c r="D787" s="12">
        <v>221</v>
      </c>
      <c r="F787" s="14" t="s">
        <v>2428</v>
      </c>
      <c r="G787" s="12" t="str">
        <f t="shared" si="20"/>
        <v>702213741678</v>
      </c>
      <c r="H787" s="12" t="s">
        <v>2429</v>
      </c>
      <c r="I787" s="15">
        <v>3741678</v>
      </c>
      <c r="J787" s="12" t="s">
        <v>2430</v>
      </c>
      <c r="K787" s="12" t="s">
        <v>230</v>
      </c>
      <c r="L787" s="12" t="s">
        <v>45</v>
      </c>
      <c r="M787" s="12" t="s">
        <v>45</v>
      </c>
      <c r="N787" s="12" t="s">
        <v>780</v>
      </c>
      <c r="O787" s="12" t="s">
        <v>260</v>
      </c>
      <c r="P787" s="88" t="s">
        <v>261</v>
      </c>
      <c r="W787" s="11"/>
      <c r="AU787" s="12" t="s">
        <v>53</v>
      </c>
    </row>
    <row r="788" spans="1:52" s="12" customFormat="1" ht="14.4" hidden="1" x14ac:dyDescent="0.3">
      <c r="A788" s="12" t="s">
        <v>505</v>
      </c>
      <c r="B788" s="12" t="s">
        <v>1899</v>
      </c>
      <c r="C788" s="12">
        <v>70</v>
      </c>
      <c r="D788" s="12">
        <v>221</v>
      </c>
      <c r="F788" s="14" t="s">
        <v>2431</v>
      </c>
      <c r="G788" s="12" t="str">
        <f t="shared" si="20"/>
        <v>70221901435391-0</v>
      </c>
      <c r="H788" s="12" t="s">
        <v>2337</v>
      </c>
      <c r="I788" s="15" t="s">
        <v>2338</v>
      </c>
      <c r="J788" s="12" t="s">
        <v>1930</v>
      </c>
      <c r="K788" s="12" t="s">
        <v>230</v>
      </c>
      <c r="L788" s="12">
        <v>3205752428</v>
      </c>
      <c r="M788" s="12" t="s">
        <v>1931</v>
      </c>
      <c r="N788" s="12" t="s">
        <v>127</v>
      </c>
      <c r="O788" s="12" t="s">
        <v>2822</v>
      </c>
      <c r="P788" s="88" t="s">
        <v>48</v>
      </c>
      <c r="W788" s="11"/>
      <c r="AU788" s="12" t="s">
        <v>53</v>
      </c>
    </row>
    <row r="789" spans="1:52" s="12" customFormat="1" ht="14.4" hidden="1" x14ac:dyDescent="0.3">
      <c r="A789" s="12" t="s">
        <v>505</v>
      </c>
      <c r="B789" s="12" t="s">
        <v>1899</v>
      </c>
      <c r="C789" s="12">
        <v>70</v>
      </c>
      <c r="D789" s="12">
        <v>221</v>
      </c>
      <c r="F789" s="14" t="s">
        <v>2432</v>
      </c>
      <c r="G789" s="12" t="str">
        <f t="shared" si="20"/>
        <v>7022192507171</v>
      </c>
      <c r="H789" s="12" t="s">
        <v>2433</v>
      </c>
      <c r="I789" s="15">
        <v>92507171</v>
      </c>
      <c r="J789" s="12" t="s">
        <v>2302</v>
      </c>
      <c r="K789" s="12" t="s">
        <v>230</v>
      </c>
      <c r="L789" s="12" t="s">
        <v>45</v>
      </c>
      <c r="M789" s="12" t="s">
        <v>45</v>
      </c>
      <c r="N789" s="12" t="s">
        <v>780</v>
      </c>
      <c r="O789" s="12" t="s">
        <v>260</v>
      </c>
      <c r="P789" s="88" t="s">
        <v>261</v>
      </c>
      <c r="W789" s="11"/>
      <c r="AU789" s="12" t="s">
        <v>53</v>
      </c>
    </row>
    <row r="790" spans="1:52" s="12" customFormat="1" ht="14.4" hidden="1" x14ac:dyDescent="0.3">
      <c r="A790" s="12" t="s">
        <v>505</v>
      </c>
      <c r="B790" s="12" t="s">
        <v>1899</v>
      </c>
      <c r="C790" s="12">
        <v>70</v>
      </c>
      <c r="D790" s="12">
        <v>221</v>
      </c>
      <c r="E790" s="12" t="s">
        <v>2448</v>
      </c>
      <c r="F790" s="14" t="s">
        <v>7873</v>
      </c>
      <c r="G790" s="12" t="str">
        <f t="shared" si="20"/>
        <v>702218901074873</v>
      </c>
      <c r="H790" s="12" t="s">
        <v>2035</v>
      </c>
      <c r="I790" s="15">
        <v>8901074873</v>
      </c>
      <c r="J790" s="12" t="s">
        <v>2450</v>
      </c>
      <c r="K790" s="12" t="s">
        <v>230</v>
      </c>
      <c r="L790" s="12">
        <v>3007315845</v>
      </c>
      <c r="M790" s="17" t="s">
        <v>2036</v>
      </c>
      <c r="N790" s="12" t="s">
        <v>1757</v>
      </c>
      <c r="O790" s="12" t="s">
        <v>1758</v>
      </c>
      <c r="P790" s="88" t="s">
        <v>48</v>
      </c>
      <c r="Q790" s="13">
        <v>45827</v>
      </c>
      <c r="R790" s="16">
        <v>0.85</v>
      </c>
      <c r="S790" s="12" t="s">
        <v>49</v>
      </c>
      <c r="U790" s="12" t="s">
        <v>2442</v>
      </c>
      <c r="V790" s="13">
        <v>44364</v>
      </c>
      <c r="W790" s="11">
        <v>0.95</v>
      </c>
      <c r="X790" s="12" t="s">
        <v>210</v>
      </c>
      <c r="Z790" s="12" t="s">
        <v>60</v>
      </c>
      <c r="AU790" s="12" t="s">
        <v>53</v>
      </c>
      <c r="AX790" s="12" t="s">
        <v>1920</v>
      </c>
      <c r="AZ790" s="12" t="s">
        <v>7874</v>
      </c>
    </row>
    <row r="791" spans="1:52" s="12" customFormat="1" ht="14.4" hidden="1" x14ac:dyDescent="0.3">
      <c r="A791" s="12" t="s">
        <v>505</v>
      </c>
      <c r="B791" s="12" t="s">
        <v>1899</v>
      </c>
      <c r="C791" s="12">
        <v>70</v>
      </c>
      <c r="D791" s="12">
        <v>221</v>
      </c>
      <c r="E791" s="12" t="s">
        <v>2434</v>
      </c>
      <c r="F791" s="14" t="s">
        <v>2435</v>
      </c>
      <c r="G791" s="12" t="str">
        <f t="shared" si="20"/>
        <v>702219004805691</v>
      </c>
      <c r="H791" s="12" t="s">
        <v>2436</v>
      </c>
      <c r="I791" s="15">
        <v>9004805691</v>
      </c>
      <c r="J791" s="12" t="s">
        <v>2437</v>
      </c>
      <c r="K791" s="12" t="s">
        <v>230</v>
      </c>
      <c r="L791" s="12">
        <v>3003774807</v>
      </c>
      <c r="M791" s="95" t="s">
        <v>2438</v>
      </c>
      <c r="N791" s="12" t="s">
        <v>1757</v>
      </c>
      <c r="O791" s="12" t="s">
        <v>1758</v>
      </c>
      <c r="P791" s="88" t="s">
        <v>48</v>
      </c>
      <c r="Q791" s="13">
        <v>45515</v>
      </c>
      <c r="R791" s="16">
        <v>0.96</v>
      </c>
      <c r="S791" s="12" t="s">
        <v>210</v>
      </c>
      <c r="T791" s="12" t="s">
        <v>1198</v>
      </c>
      <c r="U791" s="12" t="s">
        <v>60</v>
      </c>
      <c r="V791" s="13">
        <v>45270</v>
      </c>
      <c r="W791" s="11">
        <v>0.96499999999999997</v>
      </c>
      <c r="X791" s="12" t="s">
        <v>210</v>
      </c>
      <c r="AA791" s="12" t="s">
        <v>51</v>
      </c>
      <c r="AB791" s="12" t="s">
        <v>51</v>
      </c>
      <c r="AU791" s="12" t="s">
        <v>53</v>
      </c>
    </row>
    <row r="792" spans="1:52" s="12" customFormat="1" ht="14.4" hidden="1" x14ac:dyDescent="0.3">
      <c r="A792" s="12" t="s">
        <v>505</v>
      </c>
      <c r="B792" s="12" t="s">
        <v>1899</v>
      </c>
      <c r="C792" s="12">
        <v>70</v>
      </c>
      <c r="D792" s="12">
        <v>221</v>
      </c>
      <c r="E792" s="12" t="s">
        <v>2434</v>
      </c>
      <c r="F792" s="14" t="s">
        <v>2037</v>
      </c>
      <c r="G792" s="12" t="str">
        <f t="shared" si="20"/>
        <v>702219004805691</v>
      </c>
      <c r="H792" s="12" t="s">
        <v>2436</v>
      </c>
      <c r="I792" s="15">
        <v>9004805691</v>
      </c>
      <c r="J792" s="12" t="s">
        <v>2439</v>
      </c>
      <c r="K792" s="12" t="s">
        <v>230</v>
      </c>
      <c r="L792" s="12">
        <v>3228939736</v>
      </c>
      <c r="M792" s="95" t="s">
        <v>2438</v>
      </c>
      <c r="N792" s="12" t="s">
        <v>1757</v>
      </c>
      <c r="O792" s="12" t="s">
        <v>1758</v>
      </c>
      <c r="P792" s="88" t="s">
        <v>48</v>
      </c>
      <c r="Q792" s="13" t="s">
        <v>2440</v>
      </c>
      <c r="R792" s="59">
        <v>0.83499999999999996</v>
      </c>
      <c r="S792" s="12" t="s">
        <v>2441</v>
      </c>
      <c r="T792" s="12" t="s">
        <v>1198</v>
      </c>
      <c r="U792" s="12" t="s">
        <v>2442</v>
      </c>
      <c r="V792" s="13">
        <v>45515</v>
      </c>
      <c r="W792" s="11">
        <v>0.93</v>
      </c>
      <c r="X792" s="12" t="s">
        <v>210</v>
      </c>
      <c r="Z792" s="12" t="s">
        <v>60</v>
      </c>
      <c r="AA792" s="12" t="s">
        <v>51</v>
      </c>
      <c r="AB792" s="12" t="s">
        <v>51</v>
      </c>
      <c r="AU792" s="12" t="s">
        <v>53</v>
      </c>
      <c r="AX792" s="12" t="s">
        <v>1920</v>
      </c>
      <c r="AZ792" s="12" t="s">
        <v>1921</v>
      </c>
    </row>
    <row r="793" spans="1:52" s="12" customFormat="1" ht="14.4" hidden="1" x14ac:dyDescent="0.3">
      <c r="A793" s="12" t="s">
        <v>505</v>
      </c>
      <c r="B793" s="12" t="s">
        <v>1899</v>
      </c>
      <c r="C793" s="12">
        <v>70</v>
      </c>
      <c r="D793" s="12">
        <v>221</v>
      </c>
      <c r="E793" s="12" t="s">
        <v>2363</v>
      </c>
      <c r="F793" s="14" t="s">
        <v>363</v>
      </c>
      <c r="G793" s="12" t="str">
        <f t="shared" si="20"/>
        <v>702219002769621</v>
      </c>
      <c r="H793" s="12" t="s">
        <v>1309</v>
      </c>
      <c r="I793" s="15">
        <v>9002769621</v>
      </c>
      <c r="J793" s="12" t="s">
        <v>2443</v>
      </c>
      <c r="K793" s="12" t="s">
        <v>230</v>
      </c>
      <c r="L793" s="12">
        <v>3212550423</v>
      </c>
      <c r="M793" s="95" t="s">
        <v>2444</v>
      </c>
      <c r="N793" s="12" t="s">
        <v>259</v>
      </c>
      <c r="O793" s="12" t="s">
        <v>260</v>
      </c>
      <c r="P793" s="88" t="s">
        <v>261</v>
      </c>
      <c r="Q793" s="13" t="s">
        <v>2445</v>
      </c>
      <c r="R793" s="18">
        <v>0.83750000000000002</v>
      </c>
      <c r="S793" s="12" t="s">
        <v>49</v>
      </c>
      <c r="T793" s="12" t="s">
        <v>2446</v>
      </c>
      <c r="U793" s="12" t="s">
        <v>2442</v>
      </c>
      <c r="V793" s="13" t="s">
        <v>776</v>
      </c>
      <c r="W793" s="10">
        <v>0.72250000000000003</v>
      </c>
      <c r="X793" s="12" t="s">
        <v>2447</v>
      </c>
      <c r="Z793" s="12" t="s">
        <v>60</v>
      </c>
      <c r="AA793" s="12" t="s">
        <v>51</v>
      </c>
      <c r="AB793" s="12" t="s">
        <v>51</v>
      </c>
      <c r="AU793" s="12" t="s">
        <v>53</v>
      </c>
    </row>
    <row r="794" spans="1:52" s="12" customFormat="1" ht="14.4" hidden="1" x14ac:dyDescent="0.3">
      <c r="A794" s="12" t="s">
        <v>505</v>
      </c>
      <c r="B794" s="12" t="s">
        <v>1899</v>
      </c>
      <c r="C794" s="12">
        <v>70</v>
      </c>
      <c r="D794" s="12">
        <v>221</v>
      </c>
      <c r="E794" s="12" t="s">
        <v>2448</v>
      </c>
      <c r="F794" s="14" t="s">
        <v>2449</v>
      </c>
      <c r="G794" s="12" t="str">
        <f t="shared" si="20"/>
        <v>702218901074873</v>
      </c>
      <c r="H794" s="12" t="s">
        <v>2035</v>
      </c>
      <c r="I794" s="15">
        <v>8901074873</v>
      </c>
      <c r="J794" s="12" t="s">
        <v>2450</v>
      </c>
      <c r="K794" s="12" t="s">
        <v>230</v>
      </c>
      <c r="L794" s="12">
        <v>3007315845</v>
      </c>
      <c r="M794" s="95" t="s">
        <v>2036</v>
      </c>
      <c r="N794" s="12" t="s">
        <v>7648</v>
      </c>
      <c r="O794" s="12" t="s">
        <v>7653</v>
      </c>
      <c r="P794" s="88" t="s">
        <v>48</v>
      </c>
      <c r="Q794" s="13" t="s">
        <v>2440</v>
      </c>
      <c r="R794" s="16">
        <v>0.98</v>
      </c>
      <c r="S794" s="12" t="s">
        <v>210</v>
      </c>
      <c r="T794" s="12" t="s">
        <v>2451</v>
      </c>
      <c r="U794" s="12" t="s">
        <v>2442</v>
      </c>
      <c r="V794" s="13" t="s">
        <v>517</v>
      </c>
      <c r="W794" s="11">
        <v>1</v>
      </c>
      <c r="X794" s="12" t="s">
        <v>210</v>
      </c>
      <c r="Z794" s="12" t="s">
        <v>60</v>
      </c>
      <c r="AA794" s="12" t="s">
        <v>51</v>
      </c>
      <c r="AB794" s="12" t="s">
        <v>51</v>
      </c>
      <c r="AU794" s="12" t="s">
        <v>53</v>
      </c>
    </row>
    <row r="795" spans="1:52" s="12" customFormat="1" ht="14.4" hidden="1" x14ac:dyDescent="0.3">
      <c r="A795" s="12" t="s">
        <v>505</v>
      </c>
      <c r="B795" s="12" t="s">
        <v>1899</v>
      </c>
      <c r="C795" s="12">
        <v>70</v>
      </c>
      <c r="D795" s="12">
        <v>221</v>
      </c>
      <c r="E795" s="12" t="s">
        <v>2452</v>
      </c>
      <c r="F795" s="14" t="s">
        <v>2453</v>
      </c>
      <c r="G795" s="12" t="str">
        <f t="shared" si="20"/>
        <v>702219018985519</v>
      </c>
      <c r="H795" s="12" t="s">
        <v>1901</v>
      </c>
      <c r="I795" s="15">
        <v>9018985519</v>
      </c>
      <c r="J795" s="12" t="s">
        <v>2454</v>
      </c>
      <c r="K795" s="12" t="s">
        <v>230</v>
      </c>
      <c r="L795" s="12">
        <v>3125114505</v>
      </c>
      <c r="M795" s="95" t="s">
        <v>1904</v>
      </c>
      <c r="N795" s="12" t="s">
        <v>127</v>
      </c>
      <c r="O795" s="12" t="s">
        <v>2822</v>
      </c>
      <c r="P795" s="88" t="s">
        <v>48</v>
      </c>
      <c r="Q795" s="13" t="s">
        <v>809</v>
      </c>
      <c r="R795" s="16">
        <v>0.71</v>
      </c>
      <c r="S795" s="12" t="s">
        <v>49</v>
      </c>
      <c r="T795" s="12" t="s">
        <v>2455</v>
      </c>
      <c r="U795" s="12" t="s">
        <v>2456</v>
      </c>
      <c r="V795" s="13"/>
      <c r="W795" s="11"/>
      <c r="AA795" s="12" t="s">
        <v>51</v>
      </c>
      <c r="AB795" s="12" t="s">
        <v>51</v>
      </c>
      <c r="AU795" s="12" t="s">
        <v>53</v>
      </c>
      <c r="AX795" s="12" t="s">
        <v>1920</v>
      </c>
      <c r="AZ795" s="12" t="s">
        <v>7901</v>
      </c>
    </row>
    <row r="796" spans="1:52" s="12" customFormat="1" ht="14.4" hidden="1" x14ac:dyDescent="0.3">
      <c r="A796" s="12" t="s">
        <v>505</v>
      </c>
      <c r="B796" s="12" t="s">
        <v>8945</v>
      </c>
      <c r="C796" s="12">
        <v>70</v>
      </c>
      <c r="D796" s="12">
        <v>233</v>
      </c>
      <c r="F796" s="12" t="s">
        <v>2457</v>
      </c>
      <c r="G796" s="12" t="str">
        <f>C796&amp;D796&amp;I796</f>
        <v>702331099991074</v>
      </c>
      <c r="H796" s="12" t="s">
        <v>2458</v>
      </c>
      <c r="I796" s="15">
        <v>1099991074</v>
      </c>
      <c r="J796" s="12" t="s">
        <v>2459</v>
      </c>
      <c r="K796" s="12" t="s">
        <v>230</v>
      </c>
      <c r="L796" s="12" t="s">
        <v>45</v>
      </c>
      <c r="M796" s="12" t="s">
        <v>45</v>
      </c>
      <c r="N796" s="12" t="s">
        <v>780</v>
      </c>
      <c r="O796" s="12" t="s">
        <v>260</v>
      </c>
      <c r="P796" s="88" t="s">
        <v>261</v>
      </c>
      <c r="Q796" s="12" t="s">
        <v>2460</v>
      </c>
      <c r="R796" s="18">
        <v>0.72499999999999998</v>
      </c>
      <c r="S796" s="12" t="s">
        <v>87</v>
      </c>
      <c r="T796" s="12" t="s">
        <v>2461</v>
      </c>
      <c r="U796" s="12" t="s">
        <v>60</v>
      </c>
      <c r="V796" s="13">
        <v>45132</v>
      </c>
      <c r="W796" s="16">
        <v>0.79</v>
      </c>
      <c r="X796" s="12" t="s">
        <v>49</v>
      </c>
      <c r="AU796" s="12" t="s">
        <v>53</v>
      </c>
    </row>
    <row r="797" spans="1:52" s="12" customFormat="1" ht="14.4" hidden="1" x14ac:dyDescent="0.3">
      <c r="A797" s="12" t="s">
        <v>505</v>
      </c>
      <c r="B797" s="12" t="s">
        <v>1899</v>
      </c>
      <c r="C797" s="12">
        <v>70</v>
      </c>
      <c r="D797" s="12">
        <v>221</v>
      </c>
      <c r="E797" s="12" t="s">
        <v>9090</v>
      </c>
      <c r="F797" s="275" t="s">
        <v>9088</v>
      </c>
      <c r="G797" s="12" t="str">
        <f t="shared" si="20"/>
        <v>702219019616627</v>
      </c>
      <c r="H797" s="12" t="s">
        <v>9089</v>
      </c>
      <c r="I797" s="15">
        <v>9019616627</v>
      </c>
      <c r="J797" s="12" t="s">
        <v>9091</v>
      </c>
      <c r="K797" s="12" t="s">
        <v>230</v>
      </c>
      <c r="L797" s="12">
        <v>3125620827</v>
      </c>
      <c r="M797" s="12" t="s">
        <v>9092</v>
      </c>
      <c r="N797" s="12" t="s">
        <v>432</v>
      </c>
      <c r="O797" s="12" t="s">
        <v>432</v>
      </c>
      <c r="P797" s="88" t="s">
        <v>261</v>
      </c>
      <c r="Q797" s="13">
        <v>46050</v>
      </c>
      <c r="R797" s="18" t="s">
        <v>247</v>
      </c>
      <c r="S797" s="12" t="s">
        <v>49</v>
      </c>
      <c r="T797" s="12" t="s">
        <v>1905</v>
      </c>
      <c r="U797" s="12" t="s">
        <v>2456</v>
      </c>
      <c r="V797" s="13"/>
      <c r="W797" s="16"/>
    </row>
    <row r="798" spans="1:52" s="12" customFormat="1" ht="14.4" hidden="1" x14ac:dyDescent="0.3">
      <c r="A798" s="12" t="s">
        <v>505</v>
      </c>
      <c r="B798" s="12" t="s">
        <v>1899</v>
      </c>
      <c r="C798" s="12">
        <v>70</v>
      </c>
      <c r="D798" s="12">
        <v>221</v>
      </c>
      <c r="F798" s="12" t="s">
        <v>2462</v>
      </c>
      <c r="G798" s="12" t="s">
        <v>2463</v>
      </c>
      <c r="H798" s="12" t="s">
        <v>2464</v>
      </c>
      <c r="I798" s="15">
        <v>92526294</v>
      </c>
      <c r="J798" s="12" t="s">
        <v>2465</v>
      </c>
      <c r="K798" s="12" t="s">
        <v>230</v>
      </c>
      <c r="L798" s="12" t="s">
        <v>45</v>
      </c>
      <c r="M798" s="12" t="s">
        <v>45</v>
      </c>
      <c r="N798" s="12" t="s">
        <v>780</v>
      </c>
      <c r="O798" s="12" t="s">
        <v>260</v>
      </c>
      <c r="P798" s="88" t="s">
        <v>261</v>
      </c>
      <c r="W798" s="16"/>
      <c r="AU798" s="12" t="s">
        <v>164</v>
      </c>
    </row>
    <row r="799" spans="1:52" s="12" customFormat="1" ht="14.4" hidden="1" x14ac:dyDescent="0.3">
      <c r="A799" s="12" t="s">
        <v>505</v>
      </c>
      <c r="B799" s="12" t="s">
        <v>2496</v>
      </c>
      <c r="C799" s="12">
        <v>70</v>
      </c>
      <c r="D799" s="12">
        <v>233</v>
      </c>
      <c r="F799" s="12" t="s">
        <v>2466</v>
      </c>
      <c r="G799" s="12" t="str">
        <f t="shared" ref="G799:G805" si="21">C799&amp;D799&amp;I799</f>
        <v>702331103114130</v>
      </c>
      <c r="H799" s="12" t="s">
        <v>2467</v>
      </c>
      <c r="I799" s="15">
        <v>1103114130</v>
      </c>
      <c r="J799" s="12" t="s">
        <v>2468</v>
      </c>
      <c r="K799" s="12" t="s">
        <v>246</v>
      </c>
      <c r="L799" s="12">
        <v>3123033489</v>
      </c>
      <c r="M799" s="12" t="s">
        <v>45</v>
      </c>
      <c r="N799" s="12" t="s">
        <v>780</v>
      </c>
      <c r="O799" s="12" t="s">
        <v>260</v>
      </c>
      <c r="P799" s="88" t="s">
        <v>261</v>
      </c>
      <c r="Q799" s="12" t="s">
        <v>2469</v>
      </c>
      <c r="R799" s="18">
        <v>0.65749999999999997</v>
      </c>
      <c r="S799" s="12" t="s">
        <v>2470</v>
      </c>
      <c r="T799" s="12" t="s">
        <v>2461</v>
      </c>
      <c r="U799" s="12" t="s">
        <v>50</v>
      </c>
      <c r="V799" s="13">
        <v>45114</v>
      </c>
      <c r="W799" s="16">
        <v>0.79</v>
      </c>
      <c r="X799" s="12" t="s">
        <v>87</v>
      </c>
      <c r="Z799" s="12" t="s">
        <v>50</v>
      </c>
      <c r="AA799" s="12" t="s">
        <v>52</v>
      </c>
      <c r="AB799" s="12" t="s">
        <v>52</v>
      </c>
      <c r="AU799" s="12" t="s">
        <v>1208</v>
      </c>
    </row>
    <row r="800" spans="1:52" s="12" customFormat="1" ht="14.4" hidden="1" x14ac:dyDescent="0.3">
      <c r="A800" s="12" t="s">
        <v>505</v>
      </c>
      <c r="B800" s="12" t="s">
        <v>2496</v>
      </c>
      <c r="C800" s="12">
        <v>70</v>
      </c>
      <c r="D800" s="12">
        <v>233</v>
      </c>
      <c r="F800" s="12" t="s">
        <v>326</v>
      </c>
      <c r="G800" s="12" t="str">
        <f t="shared" si="21"/>
        <v>7023392519799</v>
      </c>
      <c r="H800" s="12" t="s">
        <v>2471</v>
      </c>
      <c r="I800" s="15">
        <v>92519799</v>
      </c>
      <c r="J800" s="12" t="s">
        <v>2472</v>
      </c>
      <c r="K800" s="12" t="s">
        <v>230</v>
      </c>
      <c r="L800" s="12" t="s">
        <v>45</v>
      </c>
      <c r="M800" s="12" t="s">
        <v>45</v>
      </c>
      <c r="N800" s="12" t="s">
        <v>780</v>
      </c>
      <c r="O800" s="12" t="s">
        <v>260</v>
      </c>
      <c r="P800" s="88" t="s">
        <v>261</v>
      </c>
      <c r="Q800" s="13">
        <v>45883</v>
      </c>
      <c r="R800" s="12" t="s">
        <v>1937</v>
      </c>
      <c r="S800" s="12" t="s">
        <v>2470</v>
      </c>
      <c r="T800" s="12" t="s">
        <v>2473</v>
      </c>
      <c r="U800" s="12" t="s">
        <v>50</v>
      </c>
      <c r="V800" s="12" t="s">
        <v>2469</v>
      </c>
      <c r="W800" s="12" t="s">
        <v>2474</v>
      </c>
      <c r="X800" s="12" t="s">
        <v>87</v>
      </c>
      <c r="Z800" s="12" t="s">
        <v>50</v>
      </c>
      <c r="AA800" s="12" t="s">
        <v>52</v>
      </c>
      <c r="AB800" s="12" t="s">
        <v>52</v>
      </c>
      <c r="AC800" s="13">
        <v>44784</v>
      </c>
      <c r="AD800" s="12" t="s">
        <v>2475</v>
      </c>
      <c r="AE800" s="12" t="s">
        <v>87</v>
      </c>
      <c r="AF800" s="12" t="s">
        <v>50</v>
      </c>
      <c r="AG800" s="12" t="s">
        <v>52</v>
      </c>
      <c r="AH800" s="12" t="s">
        <v>52</v>
      </c>
      <c r="AI800" s="13">
        <v>44124</v>
      </c>
      <c r="AJ800" s="16">
        <v>0.875</v>
      </c>
      <c r="AK800" s="12" t="s">
        <v>49</v>
      </c>
      <c r="AL800" s="12" t="s">
        <v>60</v>
      </c>
      <c r="AM800" s="12" t="s">
        <v>51</v>
      </c>
      <c r="AN800" s="12" t="s">
        <v>51</v>
      </c>
      <c r="AU800" s="12" t="s">
        <v>1208</v>
      </c>
    </row>
    <row r="801" spans="1:47" s="12" customFormat="1" ht="14.4" hidden="1" x14ac:dyDescent="0.3">
      <c r="A801" s="12" t="s">
        <v>505</v>
      </c>
      <c r="B801" s="12" t="s">
        <v>2496</v>
      </c>
      <c r="C801" s="12">
        <v>70</v>
      </c>
      <c r="D801" s="12">
        <v>233</v>
      </c>
      <c r="F801" s="12" t="s">
        <v>2476</v>
      </c>
      <c r="G801" s="12" t="str">
        <f t="shared" si="21"/>
        <v>7023378300389</v>
      </c>
      <c r="H801" s="12" t="s">
        <v>2477</v>
      </c>
      <c r="I801" s="15">
        <v>78300389</v>
      </c>
      <c r="J801" s="12" t="s">
        <v>2478</v>
      </c>
      <c r="K801" s="12" t="s">
        <v>230</v>
      </c>
      <c r="L801" s="12">
        <v>3116709144</v>
      </c>
      <c r="M801" s="12" t="s">
        <v>45</v>
      </c>
      <c r="N801" s="12" t="s">
        <v>780</v>
      </c>
      <c r="O801" s="12" t="s">
        <v>260</v>
      </c>
      <c r="P801" s="88" t="s">
        <v>261</v>
      </c>
      <c r="Q801" s="12" t="s">
        <v>1159</v>
      </c>
      <c r="R801" s="16">
        <v>0.66</v>
      </c>
      <c r="S801" s="12" t="s">
        <v>135</v>
      </c>
      <c r="T801" s="12" t="s">
        <v>2461</v>
      </c>
      <c r="U801" s="12" t="s">
        <v>60</v>
      </c>
      <c r="V801" s="12" t="s">
        <v>348</v>
      </c>
      <c r="W801" s="16" t="s">
        <v>2479</v>
      </c>
      <c r="X801" s="12" t="s">
        <v>135</v>
      </c>
      <c r="Z801" s="12" t="s">
        <v>50</v>
      </c>
      <c r="AA801" s="12" t="s">
        <v>52</v>
      </c>
      <c r="AB801" s="12" t="s">
        <v>52</v>
      </c>
      <c r="AU801" s="12" t="s">
        <v>53</v>
      </c>
    </row>
    <row r="802" spans="1:47" s="12" customFormat="1" ht="14.4" hidden="1" x14ac:dyDescent="0.3">
      <c r="A802" s="12" t="s">
        <v>505</v>
      </c>
      <c r="B802" s="12" t="s">
        <v>2496</v>
      </c>
      <c r="C802" s="12">
        <v>70</v>
      </c>
      <c r="D802" s="12">
        <v>233</v>
      </c>
      <c r="F802" s="12" t="s">
        <v>2480</v>
      </c>
      <c r="G802" s="12" t="str">
        <f t="shared" si="21"/>
        <v>7023392690089</v>
      </c>
      <c r="H802" s="12" t="s">
        <v>2481</v>
      </c>
      <c r="I802" s="15">
        <v>92690089</v>
      </c>
      <c r="J802" s="12" t="s">
        <v>2482</v>
      </c>
      <c r="K802" s="12" t="s">
        <v>230</v>
      </c>
      <c r="L802" s="12">
        <v>3135296886</v>
      </c>
      <c r="M802" s="12" t="s">
        <v>45</v>
      </c>
      <c r="N802" s="12" t="s">
        <v>780</v>
      </c>
      <c r="O802" s="12" t="s">
        <v>260</v>
      </c>
      <c r="P802" s="88" t="s">
        <v>261</v>
      </c>
      <c r="Q802" s="12" t="s">
        <v>2483</v>
      </c>
      <c r="R802" s="16">
        <v>0.76</v>
      </c>
      <c r="S802" s="12" t="s">
        <v>87</v>
      </c>
      <c r="T802" s="12" t="s">
        <v>2461</v>
      </c>
      <c r="U802" s="12" t="s">
        <v>60</v>
      </c>
      <c r="V802" s="13">
        <v>44782</v>
      </c>
      <c r="W802" s="16">
        <v>0.84</v>
      </c>
      <c r="X802" s="12" t="s">
        <v>87</v>
      </c>
      <c r="Z802" s="12" t="s">
        <v>60</v>
      </c>
      <c r="AA802" s="12" t="s">
        <v>52</v>
      </c>
      <c r="AB802" s="12" t="s">
        <v>52</v>
      </c>
      <c r="AU802" s="12" t="s">
        <v>53</v>
      </c>
    </row>
    <row r="803" spans="1:47" s="12" customFormat="1" ht="14.4" hidden="1" x14ac:dyDescent="0.3">
      <c r="A803" s="12" t="s">
        <v>505</v>
      </c>
      <c r="B803" s="12" t="s">
        <v>2496</v>
      </c>
      <c r="C803" s="12">
        <v>70</v>
      </c>
      <c r="D803" s="12">
        <v>233</v>
      </c>
      <c r="F803" s="12" t="s">
        <v>2484</v>
      </c>
      <c r="G803" s="12" t="str">
        <f t="shared" si="21"/>
        <v>7023392555861</v>
      </c>
      <c r="H803" s="12" t="s">
        <v>2485</v>
      </c>
      <c r="I803" s="15">
        <v>92555861</v>
      </c>
      <c r="J803" s="12" t="s">
        <v>2486</v>
      </c>
      <c r="K803" s="12" t="s">
        <v>230</v>
      </c>
      <c r="L803" s="12">
        <v>3003857576</v>
      </c>
      <c r="M803" s="12" t="s">
        <v>2487</v>
      </c>
      <c r="N803" s="12" t="s">
        <v>780</v>
      </c>
      <c r="O803" s="12" t="s">
        <v>260</v>
      </c>
      <c r="P803" s="88" t="s">
        <v>261</v>
      </c>
      <c r="W803" s="16"/>
      <c r="AU803" s="12" t="s">
        <v>164</v>
      </c>
    </row>
    <row r="804" spans="1:47" s="12" customFormat="1" ht="14.4" hidden="1" x14ac:dyDescent="0.3">
      <c r="A804" s="12" t="s">
        <v>505</v>
      </c>
      <c r="B804" s="12" t="s">
        <v>2496</v>
      </c>
      <c r="C804" s="12">
        <v>70</v>
      </c>
      <c r="D804" s="12">
        <v>233</v>
      </c>
      <c r="F804" s="12" t="s">
        <v>2488</v>
      </c>
      <c r="G804" s="12" t="str">
        <f t="shared" si="21"/>
        <v>702331099992210</v>
      </c>
      <c r="H804" s="12" t="s">
        <v>2489</v>
      </c>
      <c r="I804" s="15">
        <v>1099992210</v>
      </c>
      <c r="J804" s="12" t="s">
        <v>2490</v>
      </c>
      <c r="K804" s="12" t="s">
        <v>230</v>
      </c>
      <c r="L804" s="12" t="s">
        <v>45</v>
      </c>
      <c r="M804" s="12" t="s">
        <v>45</v>
      </c>
      <c r="N804" s="12" t="s">
        <v>780</v>
      </c>
      <c r="O804" s="12" t="s">
        <v>260</v>
      </c>
      <c r="P804" s="88" t="s">
        <v>261</v>
      </c>
      <c r="Q804" s="12" t="s">
        <v>157</v>
      </c>
      <c r="R804" s="16">
        <v>0.73</v>
      </c>
      <c r="S804" s="12" t="s">
        <v>87</v>
      </c>
      <c r="T804" s="12" t="s">
        <v>2461</v>
      </c>
      <c r="U804" s="12" t="s">
        <v>60</v>
      </c>
      <c r="V804" s="13">
        <v>45117</v>
      </c>
      <c r="W804" s="16" t="s">
        <v>2491</v>
      </c>
      <c r="X804" s="12" t="s">
        <v>87</v>
      </c>
      <c r="Z804" s="12" t="s">
        <v>60</v>
      </c>
      <c r="AA804" s="12" t="s">
        <v>52</v>
      </c>
      <c r="AB804" s="12" t="s">
        <v>52</v>
      </c>
      <c r="AU804" s="12" t="s">
        <v>53</v>
      </c>
    </row>
    <row r="805" spans="1:47" s="12" customFormat="1" ht="14.4" hidden="1" x14ac:dyDescent="0.3">
      <c r="A805" s="12" t="s">
        <v>505</v>
      </c>
      <c r="B805" s="12" t="s">
        <v>2496</v>
      </c>
      <c r="C805" s="12">
        <v>70</v>
      </c>
      <c r="D805" s="12">
        <v>233</v>
      </c>
      <c r="F805" s="12" t="s">
        <v>2493</v>
      </c>
      <c r="G805" s="12" t="str">
        <f t="shared" si="21"/>
        <v>7023364579485</v>
      </c>
      <c r="H805" s="12" t="s">
        <v>2494</v>
      </c>
      <c r="I805" s="15">
        <v>64579485</v>
      </c>
      <c r="J805" s="12" t="s">
        <v>2495</v>
      </c>
      <c r="K805" s="12" t="s">
        <v>230</v>
      </c>
      <c r="L805" s="12">
        <v>3218998915</v>
      </c>
      <c r="M805" s="12" t="s">
        <v>45</v>
      </c>
      <c r="N805" s="12" t="s">
        <v>780</v>
      </c>
      <c r="O805" s="12" t="s">
        <v>260</v>
      </c>
      <c r="P805" s="88" t="s">
        <v>261</v>
      </c>
      <c r="Q805" s="12" t="s">
        <v>1159</v>
      </c>
      <c r="R805" s="18">
        <v>0.69499999999999995</v>
      </c>
      <c r="S805" s="12" t="s">
        <v>87</v>
      </c>
      <c r="T805" s="12" t="s">
        <v>2461</v>
      </c>
      <c r="U805" s="12" t="s">
        <v>60</v>
      </c>
      <c r="V805" s="12" t="s">
        <v>409</v>
      </c>
      <c r="W805" s="16">
        <v>0.76500000000000001</v>
      </c>
      <c r="X805" s="12" t="s">
        <v>87</v>
      </c>
      <c r="Z805" s="12" t="s">
        <v>60</v>
      </c>
      <c r="AA805" s="12" t="s">
        <v>52</v>
      </c>
      <c r="AB805" s="12" t="s">
        <v>52</v>
      </c>
      <c r="AU805" s="12" t="s">
        <v>53</v>
      </c>
    </row>
    <row r="806" spans="1:47" s="12" customFormat="1" ht="14.4" hidden="1" x14ac:dyDescent="0.3">
      <c r="A806" s="12" t="s">
        <v>505</v>
      </c>
      <c r="B806" s="12" t="s">
        <v>2496</v>
      </c>
      <c r="C806" s="12">
        <v>70</v>
      </c>
      <c r="D806" s="12">
        <v>233</v>
      </c>
      <c r="F806" s="12" t="s">
        <v>2497</v>
      </c>
      <c r="G806" s="12" t="str">
        <f>C806&amp;D806&amp;I806</f>
        <v>7023392550359</v>
      </c>
      <c r="H806" s="12" t="s">
        <v>2498</v>
      </c>
      <c r="I806" s="15">
        <v>92550359</v>
      </c>
      <c r="J806" s="12" t="s">
        <v>2499</v>
      </c>
      <c r="K806" s="12" t="s">
        <v>230</v>
      </c>
      <c r="L806" s="12" t="s">
        <v>45</v>
      </c>
      <c r="M806" s="12" t="s">
        <v>45</v>
      </c>
      <c r="N806" s="12" t="s">
        <v>780</v>
      </c>
      <c r="O806" s="12" t="s">
        <v>260</v>
      </c>
      <c r="P806" s="88" t="s">
        <v>261</v>
      </c>
      <c r="W806" s="16"/>
      <c r="AU806" s="12" t="s">
        <v>164</v>
      </c>
    </row>
    <row r="807" spans="1:47" s="12" customFormat="1" ht="14.4" hidden="1" x14ac:dyDescent="0.3">
      <c r="A807" s="12" t="s">
        <v>505</v>
      </c>
      <c r="B807" s="12" t="s">
        <v>2496</v>
      </c>
      <c r="C807" s="12">
        <v>70</v>
      </c>
      <c r="D807" s="12">
        <v>233</v>
      </c>
      <c r="F807" s="12" t="s">
        <v>2500</v>
      </c>
      <c r="G807" s="12" t="str">
        <f t="shared" ref="G807:G871" si="22">C807&amp;D807&amp;I807</f>
        <v>7023392543707</v>
      </c>
      <c r="H807" s="12" t="s">
        <v>2501</v>
      </c>
      <c r="I807" s="12">
        <v>92543707</v>
      </c>
      <c r="J807" s="12" t="s">
        <v>2502</v>
      </c>
      <c r="K807" s="12" t="s">
        <v>230</v>
      </c>
      <c r="L807" s="12" t="s">
        <v>45</v>
      </c>
      <c r="M807" s="12" t="s">
        <v>45</v>
      </c>
      <c r="N807" s="12" t="s">
        <v>780</v>
      </c>
      <c r="O807" s="12" t="s">
        <v>260</v>
      </c>
      <c r="P807" s="88" t="s">
        <v>261</v>
      </c>
      <c r="Q807" s="12" t="s">
        <v>760</v>
      </c>
      <c r="R807" s="16">
        <v>0.73</v>
      </c>
      <c r="S807" s="12" t="s">
        <v>135</v>
      </c>
      <c r="T807" s="12" t="s">
        <v>2461</v>
      </c>
      <c r="U807" s="12" t="s">
        <v>50</v>
      </c>
      <c r="V807" s="13">
        <v>45260</v>
      </c>
      <c r="W807" s="16">
        <v>0.8075</v>
      </c>
      <c r="X807" s="12" t="s">
        <v>49</v>
      </c>
      <c r="Z807" s="12" t="s">
        <v>60</v>
      </c>
      <c r="AA807" s="12" t="s">
        <v>51</v>
      </c>
      <c r="AB807" s="12" t="s">
        <v>51</v>
      </c>
      <c r="AU807" s="12" t="s">
        <v>53</v>
      </c>
    </row>
    <row r="808" spans="1:47" s="12" customFormat="1" ht="14.4" hidden="1" x14ac:dyDescent="0.3">
      <c r="A808" s="12" t="s">
        <v>505</v>
      </c>
      <c r="B808" s="12" t="s">
        <v>2496</v>
      </c>
      <c r="C808" s="12">
        <v>70</v>
      </c>
      <c r="D808" s="12">
        <v>233</v>
      </c>
      <c r="F808" s="12" t="s">
        <v>2503</v>
      </c>
      <c r="G808" s="12" t="str">
        <f t="shared" si="22"/>
        <v>7023352367257</v>
      </c>
      <c r="H808" s="12" t="s">
        <v>2504</v>
      </c>
      <c r="I808" s="12">
        <v>52367257</v>
      </c>
      <c r="J808" s="12" t="s">
        <v>2505</v>
      </c>
      <c r="K808" s="12" t="s">
        <v>230</v>
      </c>
      <c r="L808" s="12" t="s">
        <v>45</v>
      </c>
      <c r="M808" s="12" t="s">
        <v>45</v>
      </c>
      <c r="N808" s="12" t="s">
        <v>780</v>
      </c>
      <c r="O808" s="12" t="s">
        <v>260</v>
      </c>
      <c r="P808" s="88" t="s">
        <v>261</v>
      </c>
      <c r="W808" s="16"/>
      <c r="AU808" s="12" t="s">
        <v>164</v>
      </c>
    </row>
    <row r="809" spans="1:47" s="12" customFormat="1" ht="14.4" hidden="1" x14ac:dyDescent="0.3">
      <c r="A809" s="12" t="s">
        <v>505</v>
      </c>
      <c r="B809" s="12" t="s">
        <v>2496</v>
      </c>
      <c r="C809" s="12">
        <v>70</v>
      </c>
      <c r="D809" s="12">
        <v>233</v>
      </c>
      <c r="F809" s="12" t="s">
        <v>2506</v>
      </c>
      <c r="G809" s="12" t="str">
        <f t="shared" si="22"/>
        <v>7023392553998</v>
      </c>
      <c r="H809" s="12" t="s">
        <v>2507</v>
      </c>
      <c r="I809" s="12">
        <v>92553998</v>
      </c>
      <c r="J809" s="12" t="s">
        <v>2508</v>
      </c>
      <c r="K809" s="12" t="s">
        <v>230</v>
      </c>
      <c r="L809" s="12" t="s">
        <v>45</v>
      </c>
      <c r="M809" s="12" t="s">
        <v>45</v>
      </c>
      <c r="N809" s="12" t="s">
        <v>780</v>
      </c>
      <c r="O809" s="12" t="s">
        <v>260</v>
      </c>
      <c r="P809" s="88" t="s">
        <v>261</v>
      </c>
      <c r="V809" s="13">
        <v>43809</v>
      </c>
      <c r="W809" s="16">
        <v>0.85</v>
      </c>
      <c r="X809" s="12" t="s">
        <v>49</v>
      </c>
      <c r="Z809" s="12" t="s">
        <v>60</v>
      </c>
      <c r="AA809" s="12" t="s">
        <v>51</v>
      </c>
      <c r="AB809" s="12" t="s">
        <v>51</v>
      </c>
      <c r="AU809" s="12" t="s">
        <v>164</v>
      </c>
    </row>
    <row r="810" spans="1:47" s="12" customFormat="1" ht="14.4" hidden="1" x14ac:dyDescent="0.3">
      <c r="A810" s="12" t="s">
        <v>505</v>
      </c>
      <c r="B810" s="12" t="s">
        <v>2496</v>
      </c>
      <c r="C810" s="12">
        <v>70</v>
      </c>
      <c r="D810" s="12">
        <v>233</v>
      </c>
      <c r="F810" s="12" t="s">
        <v>2509</v>
      </c>
      <c r="G810" s="12" t="str">
        <f t="shared" si="22"/>
        <v>702331005150245-1</v>
      </c>
      <c r="H810" s="12" t="s">
        <v>2510</v>
      </c>
      <c r="I810" s="12" t="s">
        <v>2511</v>
      </c>
      <c r="J810" s="12" t="s">
        <v>2512</v>
      </c>
      <c r="K810" s="12" t="s">
        <v>230</v>
      </c>
      <c r="L810" s="12">
        <v>3217168208</v>
      </c>
      <c r="M810" s="12" t="s">
        <v>45</v>
      </c>
      <c r="N810" s="12" t="s">
        <v>780</v>
      </c>
      <c r="O810" s="12" t="s">
        <v>260</v>
      </c>
      <c r="P810" s="88" t="s">
        <v>261</v>
      </c>
      <c r="Q810" s="13">
        <v>45605</v>
      </c>
      <c r="R810" s="16">
        <v>0.91</v>
      </c>
      <c r="S810" s="12" t="s">
        <v>173</v>
      </c>
      <c r="T810" s="12" t="s">
        <v>2461</v>
      </c>
      <c r="U810" s="12" t="s">
        <v>60</v>
      </c>
      <c r="V810" s="13">
        <v>44875</v>
      </c>
      <c r="W810" s="16">
        <v>0.9</v>
      </c>
      <c r="X810" s="12" t="s">
        <v>210</v>
      </c>
      <c r="Z810" s="12" t="s">
        <v>60</v>
      </c>
      <c r="AA810" s="12" t="s">
        <v>51</v>
      </c>
      <c r="AB810" s="12" t="s">
        <v>51</v>
      </c>
      <c r="AU810" s="12" t="s">
        <v>53</v>
      </c>
    </row>
    <row r="811" spans="1:47" s="12" customFormat="1" ht="14.4" hidden="1" x14ac:dyDescent="0.3">
      <c r="A811" s="12" t="s">
        <v>505</v>
      </c>
      <c r="B811" s="12" t="s">
        <v>2496</v>
      </c>
      <c r="C811" s="12">
        <v>70</v>
      </c>
      <c r="D811" s="12">
        <v>233</v>
      </c>
      <c r="F811" s="12" t="s">
        <v>2513</v>
      </c>
      <c r="G811" s="12" t="str">
        <f t="shared" si="22"/>
        <v>7023364570616</v>
      </c>
      <c r="H811" s="12" t="s">
        <v>2514</v>
      </c>
      <c r="I811" s="15">
        <v>64570616</v>
      </c>
      <c r="J811" s="12" t="s">
        <v>2515</v>
      </c>
      <c r="K811" s="12" t="s">
        <v>230</v>
      </c>
      <c r="L811" s="12">
        <v>3106332733</v>
      </c>
      <c r="M811" s="12" t="s">
        <v>45</v>
      </c>
      <c r="N811" s="12" t="s">
        <v>780</v>
      </c>
      <c r="O811" s="12" t="s">
        <v>260</v>
      </c>
      <c r="P811" s="88" t="s">
        <v>261</v>
      </c>
      <c r="Q811" s="12" t="s">
        <v>2516</v>
      </c>
      <c r="R811" s="16">
        <v>0.73</v>
      </c>
      <c r="S811" s="12" t="s">
        <v>87</v>
      </c>
      <c r="T811" s="12" t="s">
        <v>2461</v>
      </c>
      <c r="U811" s="12" t="s">
        <v>50</v>
      </c>
      <c r="V811" s="13">
        <v>44603</v>
      </c>
      <c r="W811" s="16">
        <v>0.82750000000000001</v>
      </c>
      <c r="X811" s="12" t="s">
        <v>49</v>
      </c>
      <c r="Z811" s="12" t="s">
        <v>60</v>
      </c>
      <c r="AA811" s="12" t="s">
        <v>51</v>
      </c>
      <c r="AB811" s="12" t="s">
        <v>51</v>
      </c>
      <c r="AU811" s="12" t="s">
        <v>53</v>
      </c>
    </row>
    <row r="812" spans="1:47" s="12" customFormat="1" ht="14.4" hidden="1" x14ac:dyDescent="0.3">
      <c r="A812" s="12" t="s">
        <v>505</v>
      </c>
      <c r="B812" s="12" t="s">
        <v>2496</v>
      </c>
      <c r="C812" s="12">
        <v>70</v>
      </c>
      <c r="D812" s="12">
        <v>233</v>
      </c>
      <c r="F812" s="12" t="s">
        <v>2517</v>
      </c>
      <c r="G812" s="12" t="str">
        <f t="shared" si="22"/>
        <v>7023392527490</v>
      </c>
      <c r="H812" s="12" t="s">
        <v>2518</v>
      </c>
      <c r="I812" s="15">
        <v>92527490</v>
      </c>
      <c r="J812" s="12" t="s">
        <v>2519</v>
      </c>
      <c r="K812" s="12" t="s">
        <v>230</v>
      </c>
      <c r="L812" s="12">
        <v>3127482205</v>
      </c>
      <c r="M812" s="12" t="s">
        <v>45</v>
      </c>
      <c r="N812" s="12" t="s">
        <v>780</v>
      </c>
      <c r="O812" s="12" t="s">
        <v>260</v>
      </c>
      <c r="P812" s="88" t="s">
        <v>261</v>
      </c>
      <c r="W812" s="16"/>
      <c r="AU812" s="12" t="s">
        <v>164</v>
      </c>
    </row>
    <row r="813" spans="1:47" s="12" customFormat="1" ht="14.4" hidden="1" x14ac:dyDescent="0.3">
      <c r="A813" s="12" t="s">
        <v>505</v>
      </c>
      <c r="B813" s="12" t="s">
        <v>2496</v>
      </c>
      <c r="C813" s="12">
        <v>70</v>
      </c>
      <c r="D813" s="12">
        <v>223</v>
      </c>
      <c r="F813" s="12" t="s">
        <v>2520</v>
      </c>
      <c r="G813" s="12" t="str">
        <f t="shared" si="22"/>
        <v>7022392543645</v>
      </c>
      <c r="H813" s="12" t="s">
        <v>2521</v>
      </c>
      <c r="I813" s="15">
        <v>92543645</v>
      </c>
      <c r="J813" s="12" t="s">
        <v>2522</v>
      </c>
      <c r="K813" s="12" t="s">
        <v>230</v>
      </c>
      <c r="L813" s="12" t="s">
        <v>45</v>
      </c>
      <c r="M813" s="12" t="s">
        <v>45</v>
      </c>
      <c r="N813" s="12" t="s">
        <v>780</v>
      </c>
      <c r="O813" s="12" t="s">
        <v>260</v>
      </c>
      <c r="P813" s="88" t="s">
        <v>261</v>
      </c>
      <c r="W813" s="16"/>
      <c r="AU813" s="12" t="s">
        <v>164</v>
      </c>
    </row>
    <row r="814" spans="1:47" s="12" customFormat="1" ht="14.4" hidden="1" x14ac:dyDescent="0.3">
      <c r="A814" s="12" t="s">
        <v>505</v>
      </c>
      <c r="B814" s="12" t="s">
        <v>2496</v>
      </c>
      <c r="C814" s="12">
        <v>70</v>
      </c>
      <c r="D814" s="12">
        <v>233</v>
      </c>
      <c r="F814" s="12" t="s">
        <v>2523</v>
      </c>
      <c r="G814" s="12" t="str">
        <f t="shared" si="22"/>
        <v>7023315645230</v>
      </c>
      <c r="H814" s="12" t="s">
        <v>2524</v>
      </c>
      <c r="I814" s="15">
        <v>15645230</v>
      </c>
      <c r="J814" s="12" t="s">
        <v>2525</v>
      </c>
      <c r="K814" s="12" t="s">
        <v>230</v>
      </c>
      <c r="L814" s="12" t="s">
        <v>45</v>
      </c>
      <c r="M814" s="12" t="s">
        <v>45</v>
      </c>
      <c r="N814" s="12" t="s">
        <v>780</v>
      </c>
      <c r="O814" s="12" t="s">
        <v>260</v>
      </c>
      <c r="P814" s="88" t="s">
        <v>261</v>
      </c>
      <c r="W814" s="16"/>
      <c r="AU814" s="12" t="s">
        <v>164</v>
      </c>
    </row>
    <row r="815" spans="1:47" s="12" customFormat="1" ht="14.4" hidden="1" x14ac:dyDescent="0.3">
      <c r="A815" s="12" t="s">
        <v>505</v>
      </c>
      <c r="B815" s="12" t="s">
        <v>2496</v>
      </c>
      <c r="C815" s="12">
        <v>70</v>
      </c>
      <c r="D815" s="12">
        <v>233</v>
      </c>
      <c r="F815" s="12" t="s">
        <v>2526</v>
      </c>
      <c r="G815" s="12" t="str">
        <f t="shared" si="22"/>
        <v>702333843959</v>
      </c>
      <c r="H815" s="12" t="s">
        <v>2527</v>
      </c>
      <c r="I815" s="15">
        <v>3843959</v>
      </c>
      <c r="J815" s="12" t="s">
        <v>2528</v>
      </c>
      <c r="K815" s="12" t="s">
        <v>230</v>
      </c>
      <c r="L815" s="12" t="s">
        <v>45</v>
      </c>
      <c r="M815" s="12" t="s">
        <v>45</v>
      </c>
      <c r="N815" s="12" t="s">
        <v>780</v>
      </c>
      <c r="O815" s="12" t="s">
        <v>260</v>
      </c>
      <c r="P815" s="88" t="s">
        <v>261</v>
      </c>
      <c r="W815" s="16"/>
      <c r="AU815" s="12" t="s">
        <v>164</v>
      </c>
    </row>
    <row r="816" spans="1:47" s="12" customFormat="1" ht="14.4" hidden="1" x14ac:dyDescent="0.3">
      <c r="A816" s="12" t="s">
        <v>505</v>
      </c>
      <c r="B816" s="12" t="s">
        <v>2496</v>
      </c>
      <c r="C816" s="12">
        <v>70</v>
      </c>
      <c r="D816" s="12">
        <v>233</v>
      </c>
      <c r="F816" s="12" t="s">
        <v>2529</v>
      </c>
      <c r="G816" s="12" t="str">
        <f t="shared" si="22"/>
        <v>7023392526642</v>
      </c>
      <c r="H816" s="12" t="s">
        <v>2530</v>
      </c>
      <c r="I816" s="15">
        <v>92526642</v>
      </c>
      <c r="J816" s="12" t="s">
        <v>2531</v>
      </c>
      <c r="K816" s="12" t="s">
        <v>230</v>
      </c>
      <c r="L816" s="12" t="s">
        <v>45</v>
      </c>
      <c r="M816" s="12" t="s">
        <v>45</v>
      </c>
      <c r="N816" s="12" t="s">
        <v>780</v>
      </c>
      <c r="O816" s="12" t="s">
        <v>260</v>
      </c>
      <c r="P816" s="88" t="s">
        <v>261</v>
      </c>
      <c r="W816" s="16"/>
      <c r="AU816" s="12" t="s">
        <v>164</v>
      </c>
    </row>
    <row r="817" spans="1:47" s="12" customFormat="1" ht="14.4" hidden="1" x14ac:dyDescent="0.3">
      <c r="A817" s="12" t="s">
        <v>505</v>
      </c>
      <c r="B817" s="12" t="s">
        <v>2496</v>
      </c>
      <c r="C817" s="12">
        <v>70</v>
      </c>
      <c r="D817" s="12">
        <v>233</v>
      </c>
      <c r="F817" s="12" t="s">
        <v>2532</v>
      </c>
      <c r="G817" s="12" t="str">
        <f t="shared" si="22"/>
        <v>702331099991098</v>
      </c>
      <c r="H817" s="12" t="s">
        <v>2533</v>
      </c>
      <c r="I817" s="15">
        <v>1099991098</v>
      </c>
      <c r="J817" s="12" t="s">
        <v>2534</v>
      </c>
      <c r="K817" s="12" t="s">
        <v>230</v>
      </c>
      <c r="L817" s="12" t="s">
        <v>45</v>
      </c>
      <c r="M817" s="12" t="s">
        <v>45</v>
      </c>
      <c r="N817" s="12" t="s">
        <v>780</v>
      </c>
      <c r="O817" s="12" t="s">
        <v>260</v>
      </c>
      <c r="P817" s="88" t="s">
        <v>261</v>
      </c>
      <c r="V817" s="13">
        <v>44510</v>
      </c>
      <c r="W817" s="16">
        <v>0.8175</v>
      </c>
      <c r="X817" s="12" t="s">
        <v>49</v>
      </c>
      <c r="Z817" s="12" t="s">
        <v>60</v>
      </c>
      <c r="AA817" s="12" t="s">
        <v>51</v>
      </c>
      <c r="AB817" s="12" t="s">
        <v>51</v>
      </c>
      <c r="AU817" s="12" t="s">
        <v>164</v>
      </c>
    </row>
    <row r="818" spans="1:47" s="12" customFormat="1" ht="14.4" hidden="1" x14ac:dyDescent="0.3">
      <c r="A818" s="12" t="s">
        <v>505</v>
      </c>
      <c r="B818" s="12" t="s">
        <v>2496</v>
      </c>
      <c r="C818" s="12">
        <v>70</v>
      </c>
      <c r="D818" s="12">
        <v>233</v>
      </c>
      <c r="F818" s="12" t="s">
        <v>2535</v>
      </c>
      <c r="G818" s="12" t="str">
        <f t="shared" si="22"/>
        <v>7023392535426</v>
      </c>
      <c r="H818" s="12" t="s">
        <v>2536</v>
      </c>
      <c r="I818" s="15">
        <v>92535426</v>
      </c>
      <c r="J818" s="12" t="s">
        <v>2537</v>
      </c>
      <c r="K818" s="12" t="s">
        <v>230</v>
      </c>
      <c r="L818" s="12">
        <v>3135942308</v>
      </c>
      <c r="M818" s="12" t="s">
        <v>45</v>
      </c>
      <c r="N818" s="12" t="s">
        <v>780</v>
      </c>
      <c r="O818" s="12" t="s">
        <v>260</v>
      </c>
      <c r="P818" s="88" t="s">
        <v>261</v>
      </c>
      <c r="Q818" s="13">
        <v>45605</v>
      </c>
      <c r="R818" s="16">
        <v>0.73</v>
      </c>
      <c r="S818" s="12" t="s">
        <v>135</v>
      </c>
      <c r="T818" s="12" t="s">
        <v>2461</v>
      </c>
      <c r="U818" s="12" t="s">
        <v>50</v>
      </c>
      <c r="V818" s="12" t="s">
        <v>2538</v>
      </c>
      <c r="W818" s="16">
        <v>0.76</v>
      </c>
      <c r="X818" s="12" t="s">
        <v>135</v>
      </c>
      <c r="Z818" s="12" t="s">
        <v>60</v>
      </c>
      <c r="AA818" s="12" t="s">
        <v>52</v>
      </c>
      <c r="AB818" s="12" t="s">
        <v>52</v>
      </c>
      <c r="AC818" s="13">
        <v>44844</v>
      </c>
      <c r="AD818" s="16">
        <v>0.89</v>
      </c>
      <c r="AE818" s="12" t="s">
        <v>49</v>
      </c>
      <c r="AG818" s="12" t="s">
        <v>60</v>
      </c>
      <c r="AH818" s="12" t="s">
        <v>51</v>
      </c>
      <c r="AI818" s="12" t="s">
        <v>51</v>
      </c>
      <c r="AU818" s="12" t="s">
        <v>164</v>
      </c>
    </row>
    <row r="819" spans="1:47" s="12" customFormat="1" ht="14.4" hidden="1" x14ac:dyDescent="0.3">
      <c r="A819" s="12" t="s">
        <v>505</v>
      </c>
      <c r="B819" s="12" t="s">
        <v>2496</v>
      </c>
      <c r="C819" s="12">
        <v>70</v>
      </c>
      <c r="D819" s="12">
        <v>233</v>
      </c>
      <c r="F819" s="12" t="s">
        <v>2539</v>
      </c>
      <c r="G819" s="12" t="str">
        <f t="shared" si="22"/>
        <v>7023392505428</v>
      </c>
      <c r="H819" s="12" t="s">
        <v>2540</v>
      </c>
      <c r="I819" s="15">
        <v>92505428</v>
      </c>
      <c r="J819" s="12" t="s">
        <v>2541</v>
      </c>
      <c r="K819" s="12" t="s">
        <v>133</v>
      </c>
      <c r="L819" s="12">
        <v>3205581303</v>
      </c>
      <c r="M819" s="12" t="s">
        <v>45</v>
      </c>
      <c r="N819" s="12" t="s">
        <v>780</v>
      </c>
      <c r="O819" s="12" t="s">
        <v>260</v>
      </c>
      <c r="P819" s="88" t="s">
        <v>261</v>
      </c>
      <c r="Q819" s="13">
        <v>45574</v>
      </c>
      <c r="R819" s="16" t="s">
        <v>2542</v>
      </c>
      <c r="S819" s="12" t="s">
        <v>135</v>
      </c>
      <c r="T819" s="12" t="s">
        <v>2461</v>
      </c>
      <c r="U819" s="12" t="s">
        <v>50</v>
      </c>
      <c r="V819" s="13">
        <v>44837</v>
      </c>
      <c r="W819" s="16" t="s">
        <v>2543</v>
      </c>
      <c r="X819" s="12" t="s">
        <v>135</v>
      </c>
      <c r="Z819" s="12" t="s">
        <v>60</v>
      </c>
      <c r="AA819" s="12" t="s">
        <v>52</v>
      </c>
      <c r="AB819" s="12" t="s">
        <v>52</v>
      </c>
      <c r="AC819" s="13"/>
      <c r="AD819" s="16"/>
      <c r="AU819" s="12" t="s">
        <v>53</v>
      </c>
    </row>
    <row r="820" spans="1:47" s="12" customFormat="1" ht="14.4" hidden="1" x14ac:dyDescent="0.3">
      <c r="A820" s="12" t="s">
        <v>505</v>
      </c>
      <c r="B820" s="12" t="s">
        <v>2496</v>
      </c>
      <c r="C820" s="12">
        <v>70</v>
      </c>
      <c r="D820" s="12">
        <v>233</v>
      </c>
      <c r="F820" s="12" t="s">
        <v>2544</v>
      </c>
      <c r="G820" s="12" t="str">
        <f t="shared" si="22"/>
        <v>702332600084</v>
      </c>
      <c r="H820" s="12" t="s">
        <v>2545</v>
      </c>
      <c r="I820" s="15">
        <v>2600084</v>
      </c>
      <c r="J820" s="12" t="s">
        <v>2546</v>
      </c>
      <c r="K820" s="12" t="s">
        <v>230</v>
      </c>
      <c r="L820" s="12">
        <v>3013147463</v>
      </c>
      <c r="M820" s="12" t="s">
        <v>45</v>
      </c>
      <c r="N820" s="12" t="s">
        <v>780</v>
      </c>
      <c r="O820" s="12" t="s">
        <v>260</v>
      </c>
      <c r="P820" s="88" t="s">
        <v>261</v>
      </c>
      <c r="Q820" s="13" t="s">
        <v>2547</v>
      </c>
      <c r="R820" s="16">
        <v>0.73</v>
      </c>
      <c r="S820" s="12" t="s">
        <v>135</v>
      </c>
      <c r="T820" s="12" t="s">
        <v>2461</v>
      </c>
      <c r="U820" s="12" t="s">
        <v>50</v>
      </c>
      <c r="V820" s="13"/>
      <c r="W820" s="16"/>
      <c r="AC820" s="13"/>
      <c r="AD820" s="16"/>
      <c r="AU820" s="12" t="s">
        <v>53</v>
      </c>
    </row>
    <row r="821" spans="1:47" s="12" customFormat="1" ht="14.4" hidden="1" x14ac:dyDescent="0.3">
      <c r="A821" s="12" t="s">
        <v>505</v>
      </c>
      <c r="B821" s="12" t="s">
        <v>2496</v>
      </c>
      <c r="C821" s="12">
        <v>70</v>
      </c>
      <c r="D821" s="12">
        <v>233</v>
      </c>
      <c r="F821" s="12" t="s">
        <v>973</v>
      </c>
      <c r="G821" s="12" t="str">
        <f t="shared" si="22"/>
        <v>7023364837528</v>
      </c>
      <c r="H821" s="12" t="s">
        <v>2548</v>
      </c>
      <c r="I821" s="15">
        <v>64837528</v>
      </c>
      <c r="J821" s="12" t="s">
        <v>2549</v>
      </c>
      <c r="K821" s="12" t="s">
        <v>230</v>
      </c>
      <c r="L821" s="12" t="s">
        <v>45</v>
      </c>
      <c r="M821" s="12" t="s">
        <v>45</v>
      </c>
      <c r="N821" s="12" t="s">
        <v>780</v>
      </c>
      <c r="O821" s="12" t="s">
        <v>260</v>
      </c>
      <c r="P821" s="88" t="s">
        <v>261</v>
      </c>
      <c r="V821" s="13">
        <v>44478</v>
      </c>
      <c r="W821" s="16">
        <v>0.82750000000000001</v>
      </c>
      <c r="X821" s="12" t="s">
        <v>49</v>
      </c>
      <c r="Z821" s="12" t="s">
        <v>60</v>
      </c>
      <c r="AA821" s="12" t="s">
        <v>51</v>
      </c>
      <c r="AB821" s="12" t="s">
        <v>51</v>
      </c>
      <c r="AU821" s="12" t="s">
        <v>164</v>
      </c>
    </row>
    <row r="822" spans="1:47" s="12" customFormat="1" ht="14.4" hidden="1" x14ac:dyDescent="0.3">
      <c r="A822" s="12" t="s">
        <v>505</v>
      </c>
      <c r="B822" s="12" t="s">
        <v>2496</v>
      </c>
      <c r="C822" s="12">
        <v>70</v>
      </c>
      <c r="D822" s="12">
        <v>233</v>
      </c>
      <c r="F822" s="12" t="s">
        <v>2550</v>
      </c>
      <c r="G822" s="12" t="str">
        <f t="shared" si="22"/>
        <v>702331193304632</v>
      </c>
      <c r="H822" s="12" t="s">
        <v>2551</v>
      </c>
      <c r="I822" s="15">
        <v>1193304632</v>
      </c>
      <c r="J822" s="12" t="s">
        <v>2552</v>
      </c>
      <c r="K822" s="12" t="s">
        <v>230</v>
      </c>
      <c r="L822" s="12">
        <v>3022441561</v>
      </c>
      <c r="M822" s="12" t="s">
        <v>45</v>
      </c>
      <c r="N822" s="12" t="s">
        <v>780</v>
      </c>
      <c r="O822" s="12" t="s">
        <v>260</v>
      </c>
      <c r="P822" s="88" t="s">
        <v>261</v>
      </c>
      <c r="Q822" s="13">
        <v>45505</v>
      </c>
      <c r="R822" s="18">
        <v>0.70699999999999996</v>
      </c>
      <c r="S822" s="12" t="s">
        <v>87</v>
      </c>
      <c r="T822" s="12" t="s">
        <v>2461</v>
      </c>
      <c r="U822" s="12" t="s">
        <v>50</v>
      </c>
      <c r="V822" s="13">
        <v>45266</v>
      </c>
      <c r="W822" s="16">
        <v>0.76500000000000001</v>
      </c>
      <c r="X822" s="12" t="s">
        <v>49</v>
      </c>
      <c r="Z822" s="12" t="s">
        <v>60</v>
      </c>
      <c r="AA822" s="12" t="s">
        <v>51</v>
      </c>
      <c r="AB822" s="12" t="s">
        <v>51</v>
      </c>
      <c r="AU822" s="12" t="s">
        <v>53</v>
      </c>
    </row>
    <row r="823" spans="1:47" s="12" customFormat="1" ht="14.4" hidden="1" x14ac:dyDescent="0.3">
      <c r="A823" s="12" t="s">
        <v>505</v>
      </c>
      <c r="B823" s="12" t="s">
        <v>2496</v>
      </c>
      <c r="C823" s="12">
        <v>70</v>
      </c>
      <c r="D823" s="12">
        <v>233</v>
      </c>
      <c r="F823" s="12" t="s">
        <v>2553</v>
      </c>
      <c r="G823" s="12" t="str">
        <f t="shared" si="22"/>
        <v>7023392521551</v>
      </c>
      <c r="H823" s="12" t="s">
        <v>2554</v>
      </c>
      <c r="I823" s="15">
        <v>92521551</v>
      </c>
      <c r="J823" s="12" t="s">
        <v>2555</v>
      </c>
      <c r="K823" s="12" t="s">
        <v>230</v>
      </c>
      <c r="L823" s="12">
        <v>312661215</v>
      </c>
      <c r="M823" s="12" t="s">
        <v>45</v>
      </c>
      <c r="N823" s="12" t="s">
        <v>780</v>
      </c>
      <c r="O823" s="12" t="s">
        <v>260</v>
      </c>
      <c r="P823" s="88" t="s">
        <v>261</v>
      </c>
      <c r="Q823" s="12" t="s">
        <v>2556</v>
      </c>
      <c r="R823" s="16">
        <v>0.67</v>
      </c>
      <c r="S823" s="12" t="s">
        <v>87</v>
      </c>
      <c r="T823" s="12" t="s">
        <v>2461</v>
      </c>
      <c r="U823" s="12" t="s">
        <v>60</v>
      </c>
      <c r="V823" s="13">
        <v>45274</v>
      </c>
      <c r="W823" s="16">
        <v>0.78500000000000003</v>
      </c>
      <c r="X823" s="12" t="s">
        <v>49</v>
      </c>
      <c r="Z823" s="12" t="s">
        <v>60</v>
      </c>
      <c r="AA823" s="12" t="s">
        <v>51</v>
      </c>
      <c r="AB823" s="12" t="s">
        <v>51</v>
      </c>
      <c r="AU823" s="12" t="s">
        <v>53</v>
      </c>
    </row>
    <row r="824" spans="1:47" s="12" customFormat="1" ht="14.4" hidden="1" x14ac:dyDescent="0.3">
      <c r="A824" s="12" t="s">
        <v>505</v>
      </c>
      <c r="B824" s="12" t="s">
        <v>2496</v>
      </c>
      <c r="C824" s="12">
        <v>70</v>
      </c>
      <c r="D824" s="12">
        <v>233</v>
      </c>
      <c r="F824" s="12" t="s">
        <v>2557</v>
      </c>
      <c r="G824" s="12" t="str">
        <f t="shared" si="22"/>
        <v>7023392544152</v>
      </c>
      <c r="H824" s="12" t="s">
        <v>2558</v>
      </c>
      <c r="I824" s="15">
        <v>92544152</v>
      </c>
      <c r="J824" s="12" t="s">
        <v>2559</v>
      </c>
      <c r="K824" s="12" t="s">
        <v>230</v>
      </c>
      <c r="L824" s="12">
        <v>3127975710</v>
      </c>
      <c r="M824" s="12" t="s">
        <v>45</v>
      </c>
      <c r="N824" s="12" t="s">
        <v>780</v>
      </c>
      <c r="O824" s="12" t="s">
        <v>260</v>
      </c>
      <c r="P824" s="88" t="s">
        <v>261</v>
      </c>
      <c r="Q824" s="13">
        <v>45484</v>
      </c>
      <c r="R824" s="16">
        <v>0.67</v>
      </c>
      <c r="S824" s="12" t="s">
        <v>135</v>
      </c>
      <c r="T824" s="12" t="s">
        <v>2461</v>
      </c>
      <c r="U824" s="12" t="s">
        <v>50</v>
      </c>
      <c r="V824" s="13" t="s">
        <v>2560</v>
      </c>
      <c r="W824" s="16">
        <v>0.82</v>
      </c>
      <c r="X824" s="12" t="s">
        <v>49</v>
      </c>
      <c r="Z824" s="12" t="s">
        <v>60</v>
      </c>
      <c r="AA824" s="12" t="s">
        <v>51</v>
      </c>
      <c r="AB824" s="12" t="s">
        <v>51</v>
      </c>
      <c r="AU824" s="12" t="s">
        <v>1208</v>
      </c>
    </row>
    <row r="825" spans="1:47" s="12" customFormat="1" ht="14.4" hidden="1" x14ac:dyDescent="0.3">
      <c r="A825" s="12" t="s">
        <v>505</v>
      </c>
      <c r="B825" s="12" t="s">
        <v>2496</v>
      </c>
      <c r="C825" s="12">
        <v>70</v>
      </c>
      <c r="D825" s="12">
        <v>233</v>
      </c>
      <c r="F825" s="12" t="s">
        <v>2561</v>
      </c>
      <c r="G825" s="12" t="str">
        <f t="shared" si="22"/>
        <v>7023392555637</v>
      </c>
      <c r="H825" s="12" t="s">
        <v>2562</v>
      </c>
      <c r="I825" s="15">
        <v>92555637</v>
      </c>
      <c r="J825" s="12" t="s">
        <v>2563</v>
      </c>
      <c r="K825" s="12" t="s">
        <v>230</v>
      </c>
      <c r="L825" s="12" t="s">
        <v>45</v>
      </c>
      <c r="M825" s="12" t="s">
        <v>45</v>
      </c>
      <c r="N825" s="12" t="s">
        <v>780</v>
      </c>
      <c r="O825" s="12" t="s">
        <v>260</v>
      </c>
      <c r="P825" s="88" t="s">
        <v>261</v>
      </c>
      <c r="V825" s="13">
        <v>44426</v>
      </c>
      <c r="W825" s="16">
        <v>0.80249999999999999</v>
      </c>
      <c r="X825" s="12" t="s">
        <v>49</v>
      </c>
      <c r="Z825" s="12" t="s">
        <v>60</v>
      </c>
      <c r="AA825" s="12" t="s">
        <v>51</v>
      </c>
      <c r="AB825" s="12" t="s">
        <v>51</v>
      </c>
      <c r="AU825" s="12" t="s">
        <v>164</v>
      </c>
    </row>
    <row r="826" spans="1:47" s="12" customFormat="1" ht="14.4" hidden="1" x14ac:dyDescent="0.3">
      <c r="A826" s="12" t="s">
        <v>505</v>
      </c>
      <c r="B826" s="12" t="s">
        <v>2496</v>
      </c>
      <c r="C826" s="12">
        <v>70</v>
      </c>
      <c r="D826" s="12">
        <v>233</v>
      </c>
      <c r="F826" s="12" t="s">
        <v>2564</v>
      </c>
      <c r="G826" s="12" t="str">
        <f t="shared" si="22"/>
        <v>7023392550359</v>
      </c>
      <c r="H826" s="12" t="s">
        <v>2498</v>
      </c>
      <c r="I826" s="15">
        <v>92550359</v>
      </c>
      <c r="J826" s="12" t="s">
        <v>2565</v>
      </c>
      <c r="K826" s="12" t="s">
        <v>230</v>
      </c>
      <c r="L826" s="12" t="s">
        <v>45</v>
      </c>
      <c r="M826" s="12" t="s">
        <v>45</v>
      </c>
      <c r="N826" s="12" t="s">
        <v>780</v>
      </c>
      <c r="O826" s="12" t="s">
        <v>260</v>
      </c>
      <c r="P826" s="88" t="s">
        <v>261</v>
      </c>
      <c r="W826" s="16"/>
      <c r="AU826" s="12" t="s">
        <v>164</v>
      </c>
    </row>
    <row r="827" spans="1:47" s="12" customFormat="1" ht="14.4" hidden="1" x14ac:dyDescent="0.3">
      <c r="A827" s="12" t="s">
        <v>505</v>
      </c>
      <c r="B827" s="12" t="s">
        <v>2496</v>
      </c>
      <c r="C827" s="12">
        <v>70</v>
      </c>
      <c r="D827" s="12">
        <v>233</v>
      </c>
      <c r="F827" s="12" t="s">
        <v>2566</v>
      </c>
      <c r="G827" s="12" t="str">
        <f t="shared" si="22"/>
        <v>7023364744089-0</v>
      </c>
      <c r="H827" s="12" t="s">
        <v>2567</v>
      </c>
      <c r="I827" s="12" t="s">
        <v>2568</v>
      </c>
      <c r="J827" s="12" t="s">
        <v>2569</v>
      </c>
      <c r="K827" s="12" t="s">
        <v>230</v>
      </c>
      <c r="L827" s="12">
        <v>3003857576</v>
      </c>
      <c r="M827" s="12" t="s">
        <v>45</v>
      </c>
      <c r="N827" s="12" t="s">
        <v>780</v>
      </c>
      <c r="O827" s="12" t="s">
        <v>260</v>
      </c>
      <c r="P827" s="88" t="s">
        <v>261</v>
      </c>
      <c r="Q827" s="13">
        <v>45526</v>
      </c>
      <c r="R827" s="16">
        <v>0.76</v>
      </c>
      <c r="S827" s="12" t="s">
        <v>87</v>
      </c>
      <c r="T827" s="12" t="s">
        <v>2461</v>
      </c>
      <c r="U827" s="12" t="s">
        <v>50</v>
      </c>
      <c r="V827" s="12" t="s">
        <v>315</v>
      </c>
      <c r="W827" s="18">
        <v>0.76500000000000001</v>
      </c>
      <c r="X827" s="12" t="s">
        <v>87</v>
      </c>
      <c r="Z827" s="12" t="s">
        <v>60</v>
      </c>
      <c r="AA827" s="12" t="s">
        <v>51</v>
      </c>
      <c r="AB827" s="12" t="s">
        <v>51</v>
      </c>
      <c r="AU827" s="12" t="s">
        <v>53</v>
      </c>
    </row>
    <row r="828" spans="1:47" s="12" customFormat="1" ht="14.4" hidden="1" x14ac:dyDescent="0.3">
      <c r="A828" s="12" t="s">
        <v>505</v>
      </c>
      <c r="B828" s="12" t="s">
        <v>2496</v>
      </c>
      <c r="C828" s="12">
        <v>70</v>
      </c>
      <c r="D828" s="12">
        <v>233</v>
      </c>
      <c r="F828" s="12" t="s">
        <v>2570</v>
      </c>
      <c r="G828" s="12" t="str">
        <f t="shared" si="22"/>
        <v>702331099992366</v>
      </c>
      <c r="H828" s="12" t="s">
        <v>2571</v>
      </c>
      <c r="I828" s="12">
        <v>1099992366</v>
      </c>
      <c r="J828" s="12" t="s">
        <v>2572</v>
      </c>
      <c r="K828" s="12" t="s">
        <v>230</v>
      </c>
      <c r="L828" s="12">
        <v>3235913291</v>
      </c>
      <c r="M828" s="12" t="s">
        <v>45</v>
      </c>
      <c r="N828" s="12" t="s">
        <v>780</v>
      </c>
      <c r="O828" s="12" t="s">
        <v>260</v>
      </c>
      <c r="P828" s="88" t="s">
        <v>261</v>
      </c>
      <c r="Q828" s="13">
        <v>45421</v>
      </c>
      <c r="R828" s="16">
        <v>0.73</v>
      </c>
      <c r="S828" s="12" t="s">
        <v>49</v>
      </c>
      <c r="T828" s="12" t="s">
        <v>2461</v>
      </c>
      <c r="U828" s="12" t="s">
        <v>60</v>
      </c>
      <c r="AU828" s="12" t="s">
        <v>53</v>
      </c>
    </row>
    <row r="829" spans="1:47" s="12" customFormat="1" ht="14.4" hidden="1" x14ac:dyDescent="0.3">
      <c r="A829" s="12" t="s">
        <v>39</v>
      </c>
      <c r="B829" s="12" t="s">
        <v>2496</v>
      </c>
      <c r="C829" s="12">
        <v>70</v>
      </c>
      <c r="D829" s="12">
        <v>233</v>
      </c>
      <c r="F829" s="12" t="s">
        <v>2573</v>
      </c>
      <c r="G829" s="12" t="str">
        <f t="shared" si="22"/>
        <v>702332600084</v>
      </c>
      <c r="H829" s="12" t="s">
        <v>2574</v>
      </c>
      <c r="I829" s="12">
        <v>2600084</v>
      </c>
      <c r="J829" s="12" t="s">
        <v>2544</v>
      </c>
      <c r="K829" s="12" t="s">
        <v>230</v>
      </c>
      <c r="L829" s="12">
        <v>3013147463</v>
      </c>
      <c r="M829" s="12" t="s">
        <v>45</v>
      </c>
      <c r="N829" s="12" t="s">
        <v>780</v>
      </c>
      <c r="O829" s="12" t="s">
        <v>260</v>
      </c>
      <c r="P829" s="88" t="s">
        <v>261</v>
      </c>
      <c r="V829" s="13">
        <v>45552</v>
      </c>
      <c r="W829" s="16">
        <v>0.73</v>
      </c>
      <c r="X829" s="12" t="s">
        <v>49</v>
      </c>
      <c r="Z829" s="12" t="s">
        <v>60</v>
      </c>
      <c r="AA829" s="12" t="s">
        <v>51</v>
      </c>
      <c r="AB829" s="12" t="s">
        <v>51</v>
      </c>
      <c r="AU829" s="12" t="s">
        <v>53</v>
      </c>
    </row>
    <row r="830" spans="1:47" s="12" customFormat="1" ht="14.4" hidden="1" x14ac:dyDescent="0.3">
      <c r="A830" s="12" t="s">
        <v>39</v>
      </c>
      <c r="B830" s="12" t="s">
        <v>2496</v>
      </c>
      <c r="C830" s="12">
        <v>70</v>
      </c>
      <c r="D830" s="12">
        <v>233</v>
      </c>
      <c r="F830" s="12" t="s">
        <v>2575</v>
      </c>
      <c r="G830" s="12" t="str">
        <f t="shared" si="22"/>
        <v>70233. 3004066413</v>
      </c>
      <c r="H830" s="12" t="s">
        <v>2576</v>
      </c>
      <c r="I830" s="12" t="s">
        <v>2577</v>
      </c>
      <c r="J830" s="12" t="s">
        <v>2578</v>
      </c>
      <c r="K830" s="12" t="s">
        <v>230</v>
      </c>
      <c r="L830" s="12" t="s">
        <v>45</v>
      </c>
      <c r="M830" s="12" t="s">
        <v>45</v>
      </c>
      <c r="N830" s="12" t="s">
        <v>780</v>
      </c>
      <c r="O830" s="12" t="s">
        <v>260</v>
      </c>
      <c r="P830" s="88" t="s">
        <v>261</v>
      </c>
      <c r="W830" s="16"/>
      <c r="AU830" s="12" t="s">
        <v>164</v>
      </c>
    </row>
    <row r="831" spans="1:47" s="12" customFormat="1" ht="14.4" hidden="1" x14ac:dyDescent="0.3">
      <c r="A831" s="12" t="s">
        <v>39</v>
      </c>
      <c r="B831" s="12" t="s">
        <v>2496</v>
      </c>
      <c r="C831" s="12">
        <v>70</v>
      </c>
      <c r="D831" s="12">
        <v>233</v>
      </c>
      <c r="F831" s="12" t="s">
        <v>2579</v>
      </c>
      <c r="G831" s="12" t="str">
        <f t="shared" si="22"/>
        <v>70233.3022441561</v>
      </c>
      <c r="H831" s="12" t="s">
        <v>2580</v>
      </c>
      <c r="I831" s="12" t="s">
        <v>2581</v>
      </c>
      <c r="J831" s="12" t="s">
        <v>2578</v>
      </c>
      <c r="K831" s="12" t="s">
        <v>230</v>
      </c>
      <c r="L831" s="12" t="s">
        <v>45</v>
      </c>
      <c r="M831" s="12" t="s">
        <v>45</v>
      </c>
      <c r="N831" s="12" t="s">
        <v>780</v>
      </c>
      <c r="O831" s="12" t="s">
        <v>260</v>
      </c>
      <c r="P831" s="88" t="s">
        <v>261</v>
      </c>
      <c r="W831" s="16"/>
      <c r="AU831" s="12" t="s">
        <v>164</v>
      </c>
    </row>
    <row r="832" spans="1:47" s="12" customFormat="1" ht="14.4" hidden="1" x14ac:dyDescent="0.3">
      <c r="A832" s="12" t="s">
        <v>39</v>
      </c>
      <c r="B832" s="12" t="s">
        <v>2496</v>
      </c>
      <c r="C832" s="12">
        <v>70</v>
      </c>
      <c r="D832" s="12">
        <v>233</v>
      </c>
      <c r="F832" s="12" t="s">
        <v>2484</v>
      </c>
      <c r="G832" s="12" t="str">
        <f t="shared" si="22"/>
        <v>70233</v>
      </c>
      <c r="H832" s="12" t="s">
        <v>2582</v>
      </c>
      <c r="I832" s="15"/>
      <c r="J832" s="12" t="s">
        <v>2583</v>
      </c>
      <c r="K832" s="12" t="s">
        <v>230</v>
      </c>
      <c r="L832" s="12" t="s">
        <v>45</v>
      </c>
      <c r="M832" s="12" t="s">
        <v>45</v>
      </c>
      <c r="N832" s="12" t="s">
        <v>780</v>
      </c>
      <c r="O832" s="12" t="s">
        <v>260</v>
      </c>
      <c r="P832" s="88" t="s">
        <v>261</v>
      </c>
      <c r="W832" s="16"/>
      <c r="AU832" s="12" t="s">
        <v>164</v>
      </c>
    </row>
    <row r="833" spans="1:47" s="12" customFormat="1" ht="14.4" hidden="1" x14ac:dyDescent="0.3">
      <c r="A833" s="12" t="s">
        <v>505</v>
      </c>
      <c r="B833" s="12" t="s">
        <v>2496</v>
      </c>
      <c r="C833" s="12">
        <v>70</v>
      </c>
      <c r="D833" s="12">
        <v>233</v>
      </c>
      <c r="F833" s="12" t="s">
        <v>2584</v>
      </c>
      <c r="G833" s="12" t="str">
        <f t="shared" si="22"/>
        <v>702333125049458</v>
      </c>
      <c r="H833" s="12" t="s">
        <v>2585</v>
      </c>
      <c r="I833" s="15">
        <v>3125049458</v>
      </c>
      <c r="J833" s="12" t="s">
        <v>2586</v>
      </c>
      <c r="K833" s="12" t="s">
        <v>230</v>
      </c>
      <c r="L833" s="12" t="s">
        <v>45</v>
      </c>
      <c r="M833" s="12" t="s">
        <v>45</v>
      </c>
      <c r="N833" s="12" t="s">
        <v>780</v>
      </c>
      <c r="O833" s="12" t="s">
        <v>260</v>
      </c>
      <c r="P833" s="88" t="s">
        <v>261</v>
      </c>
      <c r="W833" s="16"/>
      <c r="AU833" s="12" t="s">
        <v>164</v>
      </c>
    </row>
    <row r="834" spans="1:47" s="12" customFormat="1" ht="14.4" hidden="1" x14ac:dyDescent="0.3">
      <c r="A834" s="12" t="s">
        <v>39</v>
      </c>
      <c r="B834" s="12" t="s">
        <v>2496</v>
      </c>
      <c r="C834" s="12">
        <v>70</v>
      </c>
      <c r="D834" s="12">
        <v>233</v>
      </c>
      <c r="F834" s="12" t="s">
        <v>2587</v>
      </c>
      <c r="G834" s="12" t="str">
        <f t="shared" si="22"/>
        <v>70233</v>
      </c>
      <c r="H834" s="12" t="s">
        <v>2588</v>
      </c>
      <c r="I834" s="15"/>
      <c r="J834" s="12" t="s">
        <v>45</v>
      </c>
      <c r="K834" s="12" t="s">
        <v>230</v>
      </c>
      <c r="L834" s="12" t="s">
        <v>45</v>
      </c>
      <c r="M834" s="12" t="s">
        <v>45</v>
      </c>
      <c r="N834" s="12" t="s">
        <v>780</v>
      </c>
      <c r="O834" s="12" t="s">
        <v>260</v>
      </c>
      <c r="P834" s="88" t="s">
        <v>261</v>
      </c>
      <c r="W834" s="16"/>
      <c r="AU834" s="12" t="s">
        <v>164</v>
      </c>
    </row>
    <row r="835" spans="1:47" s="12" customFormat="1" ht="14.4" hidden="1" x14ac:dyDescent="0.3">
      <c r="A835" s="12" t="s">
        <v>39</v>
      </c>
      <c r="B835" s="12" t="s">
        <v>2496</v>
      </c>
      <c r="C835" s="12">
        <v>70</v>
      </c>
      <c r="D835" s="12">
        <v>233</v>
      </c>
      <c r="F835" s="12" t="s">
        <v>2589</v>
      </c>
      <c r="G835" s="12" t="str">
        <f t="shared" si="22"/>
        <v>70233</v>
      </c>
      <c r="H835" s="12" t="s">
        <v>2590</v>
      </c>
      <c r="I835" s="15"/>
      <c r="J835" s="12" t="s">
        <v>2591</v>
      </c>
      <c r="K835" s="12" t="s">
        <v>230</v>
      </c>
      <c r="L835" s="12" t="s">
        <v>45</v>
      </c>
      <c r="M835" s="12" t="s">
        <v>45</v>
      </c>
      <c r="N835" s="12" t="s">
        <v>780</v>
      </c>
      <c r="O835" s="12" t="s">
        <v>260</v>
      </c>
      <c r="P835" s="88" t="s">
        <v>261</v>
      </c>
      <c r="W835" s="16"/>
      <c r="AU835" s="12" t="s">
        <v>164</v>
      </c>
    </row>
    <row r="836" spans="1:47" s="12" customFormat="1" ht="14.4" hidden="1" x14ac:dyDescent="0.3">
      <c r="A836" s="12" t="s">
        <v>505</v>
      </c>
      <c r="B836" s="12" t="s">
        <v>2496</v>
      </c>
      <c r="C836" s="12">
        <v>70</v>
      </c>
      <c r="D836" s="12">
        <v>233</v>
      </c>
      <c r="F836" s="12" t="s">
        <v>2592</v>
      </c>
      <c r="G836" s="12" t="str">
        <f t="shared" si="22"/>
        <v>702333122395507</v>
      </c>
      <c r="H836" s="12" t="s">
        <v>2593</v>
      </c>
      <c r="I836" s="15">
        <v>3122395507</v>
      </c>
      <c r="J836" s="12" t="s">
        <v>45</v>
      </c>
      <c r="K836" s="12" t="s">
        <v>230</v>
      </c>
      <c r="L836" s="12" t="s">
        <v>45</v>
      </c>
      <c r="M836" s="12" t="s">
        <v>45</v>
      </c>
      <c r="N836" s="12" t="s">
        <v>780</v>
      </c>
      <c r="O836" s="12" t="s">
        <v>260</v>
      </c>
      <c r="P836" s="88" t="s">
        <v>261</v>
      </c>
      <c r="W836" s="16"/>
      <c r="AU836" s="12" t="s">
        <v>164</v>
      </c>
    </row>
    <row r="837" spans="1:47" s="12" customFormat="1" ht="14.4" hidden="1" x14ac:dyDescent="0.3">
      <c r="A837" s="12" t="s">
        <v>39</v>
      </c>
      <c r="B837" s="12" t="s">
        <v>2496</v>
      </c>
      <c r="C837" s="12">
        <v>70</v>
      </c>
      <c r="D837" s="12">
        <v>233</v>
      </c>
      <c r="F837" s="12" t="s">
        <v>2594</v>
      </c>
      <c r="G837" s="12" t="str">
        <f t="shared" si="22"/>
        <v>702331045145081-4</v>
      </c>
      <c r="H837" s="12" t="s">
        <v>2595</v>
      </c>
      <c r="I837" s="15" t="s">
        <v>2596</v>
      </c>
      <c r="J837" s="12" t="s">
        <v>2597</v>
      </c>
      <c r="K837" s="12" t="s">
        <v>230</v>
      </c>
      <c r="L837" s="12">
        <v>3104588277</v>
      </c>
      <c r="M837" s="12" t="s">
        <v>2598</v>
      </c>
      <c r="N837" s="12" t="s">
        <v>780</v>
      </c>
      <c r="O837" s="12" t="s">
        <v>260</v>
      </c>
      <c r="P837" s="88" t="s">
        <v>261</v>
      </c>
      <c r="Q837" s="12" t="s">
        <v>2599</v>
      </c>
      <c r="R837" s="18">
        <v>0.745</v>
      </c>
      <c r="S837" s="12" t="s">
        <v>87</v>
      </c>
      <c r="T837" s="12" t="s">
        <v>2461</v>
      </c>
      <c r="U837" s="12" t="s">
        <v>2600</v>
      </c>
      <c r="V837" s="12" t="s">
        <v>330</v>
      </c>
      <c r="W837" s="16" t="s">
        <v>2601</v>
      </c>
      <c r="X837" s="12" t="s">
        <v>135</v>
      </c>
      <c r="Z837" s="12" t="s">
        <v>60</v>
      </c>
      <c r="AA837" s="12" t="s">
        <v>52</v>
      </c>
      <c r="AB837" s="12" t="s">
        <v>52</v>
      </c>
      <c r="AU837" s="12" t="s">
        <v>53</v>
      </c>
    </row>
    <row r="838" spans="1:47" s="12" customFormat="1" ht="17.100000000000001" hidden="1" customHeight="1" x14ac:dyDescent="0.3">
      <c r="A838" s="12" t="s">
        <v>39</v>
      </c>
      <c r="B838" s="12" t="s">
        <v>2496</v>
      </c>
      <c r="C838" s="12">
        <v>70</v>
      </c>
      <c r="D838" s="12">
        <v>233</v>
      </c>
      <c r="F838" s="43" t="s">
        <v>962</v>
      </c>
      <c r="G838" s="12" t="str">
        <f t="shared" si="22"/>
        <v>70233800247681-9</v>
      </c>
      <c r="H838" s="4" t="s">
        <v>963</v>
      </c>
      <c r="I838" s="15" t="s">
        <v>2602</v>
      </c>
      <c r="J838" s="4" t="s">
        <v>45</v>
      </c>
      <c r="K838" s="44" t="s">
        <v>230</v>
      </c>
      <c r="L838" s="44" t="s">
        <v>45</v>
      </c>
      <c r="M838" s="7" t="s">
        <v>45</v>
      </c>
      <c r="N838" s="12" t="s">
        <v>7648</v>
      </c>
      <c r="O838" s="12" t="s">
        <v>7653</v>
      </c>
      <c r="P838" s="88" t="s">
        <v>102</v>
      </c>
      <c r="V838" s="13">
        <v>45232</v>
      </c>
      <c r="W838" s="16">
        <v>0.8</v>
      </c>
      <c r="X838" s="13" t="s">
        <v>49</v>
      </c>
      <c r="Z838" s="12" t="s">
        <v>60</v>
      </c>
      <c r="AA838" s="12" t="s">
        <v>51</v>
      </c>
      <c r="AB838" s="12" t="s">
        <v>51</v>
      </c>
      <c r="AU838" s="12" t="s">
        <v>53</v>
      </c>
    </row>
    <row r="839" spans="1:47" s="12" customFormat="1" ht="14.4" hidden="1" x14ac:dyDescent="0.3">
      <c r="A839" s="12" t="s">
        <v>39</v>
      </c>
      <c r="B839" s="12" t="s">
        <v>2496</v>
      </c>
      <c r="C839" s="12">
        <v>70</v>
      </c>
      <c r="D839" s="12">
        <v>233</v>
      </c>
      <c r="F839" s="12" t="s">
        <v>2603</v>
      </c>
      <c r="G839" s="12" t="str">
        <f t="shared" si="22"/>
        <v>7023364741595</v>
      </c>
      <c r="H839" s="12" t="s">
        <v>2604</v>
      </c>
      <c r="I839" s="12">
        <v>64741595</v>
      </c>
      <c r="J839" s="12" t="s">
        <v>2605</v>
      </c>
      <c r="K839" s="12" t="s">
        <v>230</v>
      </c>
      <c r="L839" s="12">
        <v>3126920454</v>
      </c>
      <c r="M839" s="12" t="s">
        <v>45</v>
      </c>
      <c r="N839" s="12" t="s">
        <v>432</v>
      </c>
      <c r="O839" s="12" t="s">
        <v>432</v>
      </c>
      <c r="P839" s="88" t="s">
        <v>261</v>
      </c>
      <c r="Q839" s="13">
        <v>45577</v>
      </c>
      <c r="R839" s="16">
        <v>0.89</v>
      </c>
      <c r="S839" s="12" t="s">
        <v>87</v>
      </c>
      <c r="T839" s="12" t="s">
        <v>2461</v>
      </c>
      <c r="U839" s="12" t="s">
        <v>60</v>
      </c>
      <c r="AU839" s="12" t="s">
        <v>53</v>
      </c>
    </row>
    <row r="840" spans="1:47" s="12" customFormat="1" ht="14.4" hidden="1" x14ac:dyDescent="0.3">
      <c r="A840" s="12" t="s">
        <v>505</v>
      </c>
      <c r="B840" s="12" t="s">
        <v>2496</v>
      </c>
      <c r="C840" s="12">
        <v>70</v>
      </c>
      <c r="D840" s="12">
        <v>233</v>
      </c>
      <c r="F840" s="12" t="s">
        <v>2606</v>
      </c>
      <c r="G840" s="12" t="str">
        <f t="shared" si="22"/>
        <v>7023390690206</v>
      </c>
      <c r="H840" s="12" t="s">
        <v>2607</v>
      </c>
      <c r="I840" s="15">
        <v>90690206</v>
      </c>
      <c r="J840" s="12" t="s">
        <v>2608</v>
      </c>
      <c r="K840" s="12" t="s">
        <v>230</v>
      </c>
      <c r="L840" s="12" t="s">
        <v>45</v>
      </c>
      <c r="M840" s="12" t="s">
        <v>45</v>
      </c>
      <c r="N840" s="12" t="s">
        <v>432</v>
      </c>
      <c r="O840" s="12" t="s">
        <v>432</v>
      </c>
      <c r="P840" s="88" t="s">
        <v>261</v>
      </c>
      <c r="AU840" s="12" t="s">
        <v>164</v>
      </c>
    </row>
    <row r="841" spans="1:47" s="12" customFormat="1" ht="14.4" hidden="1" x14ac:dyDescent="0.3">
      <c r="A841" s="12" t="s">
        <v>39</v>
      </c>
      <c r="B841" s="12" t="s">
        <v>2496</v>
      </c>
      <c r="C841" s="12">
        <v>70</v>
      </c>
      <c r="D841" s="12">
        <v>233</v>
      </c>
      <c r="F841" s="12" t="s">
        <v>2609</v>
      </c>
      <c r="G841" s="12" t="str">
        <f t="shared" si="22"/>
        <v>7023392554144</v>
      </c>
      <c r="H841" s="12" t="s">
        <v>2610</v>
      </c>
      <c r="I841" s="15">
        <v>92554144</v>
      </c>
      <c r="J841" s="12" t="s">
        <v>2611</v>
      </c>
      <c r="K841" s="12" t="s">
        <v>230</v>
      </c>
      <c r="L841" s="12" t="s">
        <v>45</v>
      </c>
      <c r="M841" s="12" t="s">
        <v>45</v>
      </c>
      <c r="N841" s="12" t="s">
        <v>432</v>
      </c>
      <c r="O841" s="12" t="s">
        <v>432</v>
      </c>
      <c r="P841" s="88" t="s">
        <v>261</v>
      </c>
      <c r="AU841" s="12" t="s">
        <v>164</v>
      </c>
    </row>
    <row r="842" spans="1:47" s="12" customFormat="1" ht="14.4" hidden="1" x14ac:dyDescent="0.3">
      <c r="A842" s="12" t="s">
        <v>505</v>
      </c>
      <c r="B842" s="12" t="s">
        <v>2496</v>
      </c>
      <c r="C842" s="12">
        <v>70</v>
      </c>
      <c r="D842" s="12">
        <v>233</v>
      </c>
      <c r="F842" s="12" t="s">
        <v>2612</v>
      </c>
      <c r="G842" s="12" t="str">
        <f t="shared" si="22"/>
        <v>7023392690113</v>
      </c>
      <c r="H842" s="12" t="s">
        <v>2613</v>
      </c>
      <c r="I842" s="15">
        <v>92690113</v>
      </c>
      <c r="J842" s="12" t="s">
        <v>2614</v>
      </c>
      <c r="K842" s="12" t="s">
        <v>230</v>
      </c>
      <c r="L842" s="12" t="s">
        <v>45</v>
      </c>
      <c r="M842" s="12" t="s">
        <v>45</v>
      </c>
      <c r="N842" s="12" t="s">
        <v>432</v>
      </c>
      <c r="O842" s="12" t="s">
        <v>432</v>
      </c>
      <c r="P842" s="88" t="s">
        <v>261</v>
      </c>
      <c r="AU842" s="12" t="s">
        <v>164</v>
      </c>
    </row>
    <row r="843" spans="1:47" s="12" customFormat="1" ht="14.4" hidden="1" x14ac:dyDescent="0.3">
      <c r="A843" s="12" t="s">
        <v>39</v>
      </c>
      <c r="B843" s="12" t="s">
        <v>2496</v>
      </c>
      <c r="C843" s="12">
        <v>70</v>
      </c>
      <c r="D843" s="12">
        <v>233</v>
      </c>
      <c r="F843" s="12" t="s">
        <v>2615</v>
      </c>
      <c r="G843" s="12" t="str">
        <f t="shared" si="22"/>
        <v>702339313617</v>
      </c>
      <c r="H843" s="12" t="s">
        <v>2616</v>
      </c>
      <c r="I843" s="15">
        <v>9313617</v>
      </c>
      <c r="J843" s="12" t="s">
        <v>2617</v>
      </c>
      <c r="K843" s="12" t="s">
        <v>230</v>
      </c>
      <c r="L843" s="12">
        <v>3106447119</v>
      </c>
      <c r="M843" s="12" t="s">
        <v>45</v>
      </c>
      <c r="N843" s="12" t="s">
        <v>432</v>
      </c>
      <c r="O843" s="12" t="s">
        <v>432</v>
      </c>
      <c r="P843" s="88" t="s">
        <v>261</v>
      </c>
      <c r="Q843" s="13">
        <v>45455</v>
      </c>
      <c r="R843" s="16">
        <v>0.87</v>
      </c>
      <c r="S843" s="12" t="s">
        <v>87</v>
      </c>
      <c r="T843" s="12" t="s">
        <v>2461</v>
      </c>
      <c r="U843" s="12" t="s">
        <v>50</v>
      </c>
      <c r="AU843" s="12" t="s">
        <v>53</v>
      </c>
    </row>
    <row r="844" spans="1:47" s="12" customFormat="1" ht="14.4" hidden="1" x14ac:dyDescent="0.3">
      <c r="A844" s="12" t="s">
        <v>39</v>
      </c>
      <c r="B844" s="12" t="s">
        <v>2496</v>
      </c>
      <c r="C844" s="12">
        <v>70</v>
      </c>
      <c r="D844" s="12">
        <v>233</v>
      </c>
      <c r="E844" s="12" t="s">
        <v>2618</v>
      </c>
      <c r="F844" s="12" t="s">
        <v>2619</v>
      </c>
      <c r="G844" s="12" t="str">
        <f t="shared" si="22"/>
        <v>7023311022850263</v>
      </c>
      <c r="H844" s="12" t="s">
        <v>2620</v>
      </c>
      <c r="I844" s="15">
        <v>11022850263</v>
      </c>
      <c r="J844" s="12" t="s">
        <v>2621</v>
      </c>
      <c r="K844" s="12" t="s">
        <v>133</v>
      </c>
      <c r="L844" s="12">
        <v>3145640941</v>
      </c>
      <c r="M844" s="95" t="s">
        <v>2622</v>
      </c>
      <c r="N844" s="12" t="s">
        <v>432</v>
      </c>
      <c r="O844" s="12" t="s">
        <v>432</v>
      </c>
      <c r="P844" s="88" t="s">
        <v>261</v>
      </c>
      <c r="Q844" s="13">
        <v>45638</v>
      </c>
      <c r="R844" s="16">
        <v>0.84</v>
      </c>
      <c r="S844" s="12" t="s">
        <v>87</v>
      </c>
      <c r="T844" s="12" t="s">
        <v>2461</v>
      </c>
      <c r="U844" s="12" t="s">
        <v>50</v>
      </c>
      <c r="AU844" s="12" t="s">
        <v>53</v>
      </c>
    </row>
    <row r="845" spans="1:47" s="12" customFormat="1" ht="14.4" hidden="1" x14ac:dyDescent="0.3">
      <c r="A845" s="12" t="s">
        <v>39</v>
      </c>
      <c r="B845" s="12" t="s">
        <v>2496</v>
      </c>
      <c r="C845" s="12">
        <v>70</v>
      </c>
      <c r="D845" s="12">
        <v>233</v>
      </c>
      <c r="F845" s="12" t="s">
        <v>2623</v>
      </c>
      <c r="G845" s="12" t="str">
        <f t="shared" si="22"/>
        <v>7023345542865-3</v>
      </c>
      <c r="H845" s="12" t="s">
        <v>2624</v>
      </c>
      <c r="I845" s="15" t="s">
        <v>2625</v>
      </c>
      <c r="J845" s="12" t="s">
        <v>2626</v>
      </c>
      <c r="K845" s="12" t="s">
        <v>246</v>
      </c>
      <c r="L845" s="12">
        <v>3023047723</v>
      </c>
      <c r="M845" s="95" t="s">
        <v>2627</v>
      </c>
      <c r="N845" s="12" t="s">
        <v>432</v>
      </c>
      <c r="O845" s="12" t="s">
        <v>432</v>
      </c>
      <c r="P845" s="88" t="s">
        <v>261</v>
      </c>
      <c r="Q845" s="13">
        <v>45455</v>
      </c>
      <c r="R845" s="16">
        <v>0.86</v>
      </c>
      <c r="S845" s="12" t="s">
        <v>87</v>
      </c>
      <c r="T845" s="12" t="s">
        <v>2461</v>
      </c>
      <c r="U845" s="12" t="s">
        <v>50</v>
      </c>
      <c r="AU845" s="12" t="s">
        <v>53</v>
      </c>
    </row>
    <row r="846" spans="1:47" s="12" customFormat="1" ht="14.4" hidden="1" x14ac:dyDescent="0.3">
      <c r="A846" s="12" t="s">
        <v>39</v>
      </c>
      <c r="B846" s="12" t="s">
        <v>2496</v>
      </c>
      <c r="C846" s="12">
        <v>70</v>
      </c>
      <c r="D846" s="12">
        <v>233</v>
      </c>
      <c r="F846" s="12" t="s">
        <v>2628</v>
      </c>
      <c r="G846" s="12" t="str">
        <f t="shared" si="22"/>
        <v>702333843887-4</v>
      </c>
      <c r="H846" s="12" t="s">
        <v>2629</v>
      </c>
      <c r="I846" s="15" t="s">
        <v>2630</v>
      </c>
      <c r="J846" s="12" t="s">
        <v>2631</v>
      </c>
      <c r="K846" s="12" t="s">
        <v>230</v>
      </c>
      <c r="L846" s="12">
        <v>3135394082</v>
      </c>
      <c r="M846" s="12" t="s">
        <v>45</v>
      </c>
      <c r="N846" s="12" t="s">
        <v>432</v>
      </c>
      <c r="O846" s="12" t="s">
        <v>432</v>
      </c>
      <c r="P846" s="88" t="s">
        <v>261</v>
      </c>
      <c r="Q846" s="13">
        <v>45598</v>
      </c>
      <c r="R846" s="16">
        <v>0.81</v>
      </c>
      <c r="S846" s="12" t="s">
        <v>87</v>
      </c>
      <c r="T846" s="12" t="s">
        <v>2461</v>
      </c>
      <c r="U846" s="12" t="s">
        <v>50</v>
      </c>
      <c r="V846" s="13">
        <v>45098</v>
      </c>
      <c r="W846" s="16">
        <v>0.81</v>
      </c>
      <c r="X846" s="13" t="s">
        <v>49</v>
      </c>
      <c r="Z846" s="12" t="s">
        <v>60</v>
      </c>
      <c r="AA846" s="12" t="s">
        <v>51</v>
      </c>
      <c r="AB846" s="12" t="s">
        <v>51</v>
      </c>
      <c r="AU846" s="12" t="s">
        <v>53</v>
      </c>
    </row>
    <row r="847" spans="1:47" s="12" customFormat="1" ht="14.4" hidden="1" x14ac:dyDescent="0.3">
      <c r="A847" s="12" t="s">
        <v>39</v>
      </c>
      <c r="B847" s="12" t="s">
        <v>2496</v>
      </c>
      <c r="C847" s="12">
        <v>70</v>
      </c>
      <c r="D847" s="12">
        <v>233</v>
      </c>
      <c r="F847" s="12" t="s">
        <v>2632</v>
      </c>
      <c r="G847" s="12" t="str">
        <f t="shared" si="22"/>
        <v>7023392555647</v>
      </c>
      <c r="H847" s="12" t="s">
        <v>2633</v>
      </c>
      <c r="I847" s="15">
        <v>92555647</v>
      </c>
      <c r="J847" s="12" t="s">
        <v>2634</v>
      </c>
      <c r="K847" s="12" t="s">
        <v>230</v>
      </c>
      <c r="L847" s="12">
        <v>3215862518</v>
      </c>
      <c r="M847" s="12" t="s">
        <v>45</v>
      </c>
      <c r="N847" s="12" t="s">
        <v>432</v>
      </c>
      <c r="O847" s="12" t="s">
        <v>432</v>
      </c>
      <c r="P847" s="88" t="s">
        <v>261</v>
      </c>
      <c r="Q847" s="13">
        <v>45547</v>
      </c>
      <c r="R847" s="16">
        <v>0.88</v>
      </c>
      <c r="S847" s="12" t="s">
        <v>87</v>
      </c>
      <c r="T847" s="12" t="s">
        <v>87</v>
      </c>
      <c r="U847" s="12" t="s">
        <v>50</v>
      </c>
      <c r="V847" s="13">
        <v>45211</v>
      </c>
      <c r="W847" s="16">
        <v>0.8</v>
      </c>
      <c r="X847" s="13" t="s">
        <v>49</v>
      </c>
      <c r="Z847" s="12" t="s">
        <v>60</v>
      </c>
      <c r="AA847" s="12" t="s">
        <v>51</v>
      </c>
      <c r="AB847" s="12" t="s">
        <v>51</v>
      </c>
      <c r="AU847" s="12" t="s">
        <v>53</v>
      </c>
    </row>
    <row r="848" spans="1:47" s="12" customFormat="1" ht="14.4" hidden="1" x14ac:dyDescent="0.3">
      <c r="A848" s="12" t="s">
        <v>39</v>
      </c>
      <c r="B848" s="12" t="s">
        <v>2496</v>
      </c>
      <c r="C848" s="12">
        <v>70</v>
      </c>
      <c r="D848" s="12">
        <v>233</v>
      </c>
      <c r="F848" s="12" t="s">
        <v>2635</v>
      </c>
      <c r="G848" s="12" t="str">
        <f t="shared" si="22"/>
        <v>7023364584508</v>
      </c>
      <c r="H848" s="12" t="s">
        <v>2636</v>
      </c>
      <c r="I848" s="15">
        <v>64584508</v>
      </c>
      <c r="J848" s="12" t="s">
        <v>2637</v>
      </c>
      <c r="K848" s="12" t="s">
        <v>230</v>
      </c>
      <c r="L848" s="12" t="s">
        <v>45</v>
      </c>
      <c r="M848" s="12" t="s">
        <v>45</v>
      </c>
      <c r="N848" s="12" t="s">
        <v>432</v>
      </c>
      <c r="O848" s="12" t="s">
        <v>432</v>
      </c>
      <c r="P848" s="88" t="s">
        <v>261</v>
      </c>
      <c r="AU848" s="12" t="s">
        <v>164</v>
      </c>
    </row>
    <row r="849" spans="1:47" s="12" customFormat="1" ht="14.4" hidden="1" x14ac:dyDescent="0.3">
      <c r="A849" s="12" t="s">
        <v>39</v>
      </c>
      <c r="B849" s="12" t="s">
        <v>2496</v>
      </c>
      <c r="C849" s="12">
        <v>70</v>
      </c>
      <c r="D849" s="12">
        <v>233</v>
      </c>
      <c r="F849" s="12" t="s">
        <v>2638</v>
      </c>
      <c r="G849" s="12" t="str">
        <f t="shared" si="22"/>
        <v>70233NO REGISTRA</v>
      </c>
      <c r="H849" s="12" t="s">
        <v>2639</v>
      </c>
      <c r="I849" s="15" t="s">
        <v>45</v>
      </c>
      <c r="J849" s="12" t="s">
        <v>45</v>
      </c>
      <c r="K849" s="12" t="s">
        <v>230</v>
      </c>
      <c r="L849" s="12" t="s">
        <v>45</v>
      </c>
      <c r="M849" s="12" t="s">
        <v>45</v>
      </c>
      <c r="N849" s="12" t="s">
        <v>432</v>
      </c>
      <c r="O849" s="12" t="s">
        <v>432</v>
      </c>
      <c r="P849" s="88" t="s">
        <v>261</v>
      </c>
      <c r="AU849" s="12" t="s">
        <v>164</v>
      </c>
    </row>
    <row r="850" spans="1:47" s="12" customFormat="1" ht="14.4" hidden="1" x14ac:dyDescent="0.3">
      <c r="A850" s="12" t="s">
        <v>39</v>
      </c>
      <c r="B850" s="12" t="s">
        <v>2496</v>
      </c>
      <c r="C850" s="12">
        <v>70</v>
      </c>
      <c r="D850" s="12">
        <v>233</v>
      </c>
      <c r="F850" s="12" t="s">
        <v>2640</v>
      </c>
      <c r="G850" s="12" t="str">
        <f t="shared" si="22"/>
        <v>702331067958741-6</v>
      </c>
      <c r="H850" s="12" t="s">
        <v>2641</v>
      </c>
      <c r="I850" s="15" t="s">
        <v>2642</v>
      </c>
      <c r="J850" s="12" t="s">
        <v>2643</v>
      </c>
      <c r="K850" s="12" t="s">
        <v>230</v>
      </c>
      <c r="L850" s="12">
        <v>3126920454</v>
      </c>
      <c r="M850" s="12" t="s">
        <v>45</v>
      </c>
      <c r="N850" s="12" t="s">
        <v>432</v>
      </c>
      <c r="O850" s="12" t="s">
        <v>432</v>
      </c>
      <c r="P850" s="88" t="s">
        <v>261</v>
      </c>
      <c r="AU850" s="12" t="s">
        <v>164</v>
      </c>
    </row>
    <row r="851" spans="1:47" s="12" customFormat="1" ht="14.4" hidden="1" x14ac:dyDescent="0.3">
      <c r="A851" s="12" t="s">
        <v>39</v>
      </c>
      <c r="B851" s="12" t="s">
        <v>2496</v>
      </c>
      <c r="C851" s="12">
        <v>70</v>
      </c>
      <c r="D851" s="12">
        <v>233</v>
      </c>
      <c r="F851" s="12" t="s">
        <v>2644</v>
      </c>
      <c r="G851" s="12" t="str">
        <f t="shared" si="22"/>
        <v>7023323181682</v>
      </c>
      <c r="H851" s="12" t="s">
        <v>2645</v>
      </c>
      <c r="I851" s="15">
        <v>23181682</v>
      </c>
      <c r="J851" s="12" t="s">
        <v>2646</v>
      </c>
      <c r="K851" s="12" t="s">
        <v>230</v>
      </c>
      <c r="L851" s="12" t="s">
        <v>45</v>
      </c>
      <c r="M851" s="12" t="s">
        <v>45</v>
      </c>
      <c r="N851" s="12" t="s">
        <v>432</v>
      </c>
      <c r="O851" s="12" t="s">
        <v>432</v>
      </c>
      <c r="P851" s="88" t="s">
        <v>261</v>
      </c>
      <c r="AU851" s="12" t="s">
        <v>164</v>
      </c>
    </row>
    <row r="852" spans="1:47" s="12" customFormat="1" ht="14.4" hidden="1" x14ac:dyDescent="0.3">
      <c r="A852" s="12" t="s">
        <v>39</v>
      </c>
      <c r="B852" s="12" t="s">
        <v>2496</v>
      </c>
      <c r="C852" s="12">
        <v>70</v>
      </c>
      <c r="D852" s="12">
        <v>233</v>
      </c>
      <c r="F852" s="12" t="s">
        <v>2647</v>
      </c>
      <c r="G852" s="12" t="str">
        <f t="shared" si="22"/>
        <v>702333843887</v>
      </c>
      <c r="H852" s="12" t="s">
        <v>2648</v>
      </c>
      <c r="I852" s="15">
        <v>3843887</v>
      </c>
      <c r="J852" s="12" t="s">
        <v>2649</v>
      </c>
      <c r="K852" s="12" t="s">
        <v>230</v>
      </c>
      <c r="L852" s="12" t="s">
        <v>45</v>
      </c>
      <c r="M852" s="12" t="s">
        <v>45</v>
      </c>
      <c r="N852" s="12" t="s">
        <v>432</v>
      </c>
      <c r="O852" s="12" t="s">
        <v>432</v>
      </c>
      <c r="P852" s="88" t="s">
        <v>261</v>
      </c>
      <c r="AU852" s="12" t="s">
        <v>164</v>
      </c>
    </row>
    <row r="853" spans="1:47" s="12" customFormat="1" ht="14.4" hidden="1" x14ac:dyDescent="0.3">
      <c r="A853" s="12" t="s">
        <v>39</v>
      </c>
      <c r="B853" s="12" t="s">
        <v>2496</v>
      </c>
      <c r="C853" s="12">
        <v>70</v>
      </c>
      <c r="D853" s="12">
        <v>233</v>
      </c>
      <c r="F853" s="12" t="s">
        <v>2650</v>
      </c>
      <c r="G853" s="12" t="str">
        <f t="shared" si="22"/>
        <v>702331099990349-2</v>
      </c>
      <c r="H853" s="12" t="s">
        <v>2651</v>
      </c>
      <c r="I853" s="15" t="s">
        <v>2652</v>
      </c>
      <c r="J853" s="12" t="s">
        <v>1007</v>
      </c>
      <c r="K853" s="12" t="s">
        <v>246</v>
      </c>
      <c r="L853" s="12">
        <v>3103589515</v>
      </c>
      <c r="M853" s="17" t="s">
        <v>2653</v>
      </c>
      <c r="N853" s="12" t="s">
        <v>432</v>
      </c>
      <c r="O853" s="12" t="s">
        <v>432</v>
      </c>
      <c r="P853" s="88" t="s">
        <v>276</v>
      </c>
      <c r="Q853" s="13">
        <v>45779</v>
      </c>
      <c r="R853" s="12" t="s">
        <v>167</v>
      </c>
      <c r="S853" s="12" t="s">
        <v>49</v>
      </c>
      <c r="T853" s="12" t="s">
        <v>2473</v>
      </c>
      <c r="U853" s="12" t="s">
        <v>50</v>
      </c>
      <c r="AA853" s="12" t="s">
        <v>51</v>
      </c>
      <c r="AB853" s="12" t="s">
        <v>51</v>
      </c>
      <c r="AU853" s="12" t="s">
        <v>53</v>
      </c>
    </row>
    <row r="854" spans="1:47" s="12" customFormat="1" ht="14.4" hidden="1" x14ac:dyDescent="0.3">
      <c r="A854" s="12" t="s">
        <v>39</v>
      </c>
      <c r="B854" s="12" t="s">
        <v>2496</v>
      </c>
      <c r="C854" s="12">
        <v>70</v>
      </c>
      <c r="D854" s="12">
        <v>233</v>
      </c>
      <c r="F854" s="12" t="s">
        <v>2654</v>
      </c>
      <c r="G854" s="12" t="str">
        <f t="shared" si="22"/>
        <v>7023330839024</v>
      </c>
      <c r="H854" s="12" t="s">
        <v>2655</v>
      </c>
      <c r="I854" s="15">
        <v>30839024</v>
      </c>
      <c r="J854" s="12" t="s">
        <v>2656</v>
      </c>
      <c r="K854" s="12" t="s">
        <v>230</v>
      </c>
      <c r="L854" s="12" t="s">
        <v>45</v>
      </c>
      <c r="M854" s="12" t="s">
        <v>45</v>
      </c>
      <c r="N854" s="12" t="s">
        <v>432</v>
      </c>
      <c r="O854" s="12" t="s">
        <v>432</v>
      </c>
      <c r="P854" s="88" t="s">
        <v>261</v>
      </c>
      <c r="Q854" s="13">
        <v>45608</v>
      </c>
      <c r="R854" s="16">
        <v>0.87</v>
      </c>
      <c r="S854" s="12" t="s">
        <v>87</v>
      </c>
      <c r="T854" s="12" t="s">
        <v>2461</v>
      </c>
      <c r="U854" s="12" t="s">
        <v>50</v>
      </c>
      <c r="AU854" s="12" t="s">
        <v>53</v>
      </c>
    </row>
    <row r="855" spans="1:47" s="12" customFormat="1" ht="14.4" hidden="1" x14ac:dyDescent="0.3">
      <c r="A855" s="12" t="s">
        <v>39</v>
      </c>
      <c r="B855" s="12" t="s">
        <v>2496</v>
      </c>
      <c r="C855" s="12">
        <v>70</v>
      </c>
      <c r="D855" s="12">
        <v>233</v>
      </c>
      <c r="F855" s="12" t="s">
        <v>2657</v>
      </c>
      <c r="G855" s="12" t="str">
        <f t="shared" si="22"/>
        <v>7023392551084</v>
      </c>
      <c r="H855" s="12" t="s">
        <v>2658</v>
      </c>
      <c r="I855" s="15">
        <v>92551084</v>
      </c>
      <c r="J855" s="12" t="s">
        <v>2659</v>
      </c>
      <c r="K855" s="12" t="s">
        <v>230</v>
      </c>
      <c r="L855" s="12" t="s">
        <v>45</v>
      </c>
      <c r="M855" s="12" t="s">
        <v>45</v>
      </c>
      <c r="N855" s="12" t="s">
        <v>432</v>
      </c>
      <c r="O855" s="12" t="s">
        <v>432</v>
      </c>
      <c r="P855" s="88" t="s">
        <v>261</v>
      </c>
      <c r="AU855" s="12" t="s">
        <v>164</v>
      </c>
    </row>
    <row r="856" spans="1:47" s="12" customFormat="1" ht="14.4" hidden="1" x14ac:dyDescent="0.3">
      <c r="A856" s="12" t="s">
        <v>39</v>
      </c>
      <c r="B856" s="12" t="s">
        <v>2496</v>
      </c>
      <c r="C856" s="12">
        <v>70</v>
      </c>
      <c r="D856" s="12">
        <v>233</v>
      </c>
      <c r="F856" s="12" t="s">
        <v>2660</v>
      </c>
      <c r="G856" s="12" t="str">
        <f t="shared" si="22"/>
        <v>702336471813</v>
      </c>
      <c r="H856" s="12" t="s">
        <v>2661</v>
      </c>
      <c r="I856" s="15">
        <v>6471813</v>
      </c>
      <c r="J856" s="12" t="s">
        <v>2662</v>
      </c>
      <c r="K856" s="12" t="s">
        <v>230</v>
      </c>
      <c r="L856" s="12" t="s">
        <v>45</v>
      </c>
      <c r="M856" s="12" t="s">
        <v>45</v>
      </c>
      <c r="N856" s="12" t="s">
        <v>432</v>
      </c>
      <c r="O856" s="12" t="s">
        <v>432</v>
      </c>
      <c r="P856" s="88" t="s">
        <v>261</v>
      </c>
      <c r="AU856" s="12" t="s">
        <v>164</v>
      </c>
    </row>
    <row r="857" spans="1:47" s="12" customFormat="1" ht="14.4" hidden="1" x14ac:dyDescent="0.3">
      <c r="A857" s="12" t="s">
        <v>39</v>
      </c>
      <c r="B857" s="12" t="s">
        <v>2496</v>
      </c>
      <c r="C857" s="12">
        <v>70</v>
      </c>
      <c r="D857" s="12">
        <v>233</v>
      </c>
      <c r="F857" s="12" t="s">
        <v>2663</v>
      </c>
      <c r="G857" s="12" t="str">
        <f t="shared" si="22"/>
        <v>7023322876247</v>
      </c>
      <c r="H857" s="12" t="s">
        <v>2664</v>
      </c>
      <c r="I857" s="15">
        <v>22876247</v>
      </c>
      <c r="J857" s="12" t="s">
        <v>2665</v>
      </c>
      <c r="K857" s="12" t="s">
        <v>230</v>
      </c>
      <c r="L857" s="12" t="s">
        <v>45</v>
      </c>
      <c r="M857" s="12" t="s">
        <v>45</v>
      </c>
      <c r="N857" s="12" t="s">
        <v>432</v>
      </c>
      <c r="O857" s="12" t="s">
        <v>432</v>
      </c>
      <c r="P857" s="88" t="s">
        <v>261</v>
      </c>
      <c r="AU857" s="12" t="s">
        <v>164</v>
      </c>
    </row>
    <row r="858" spans="1:47" s="12" customFormat="1" ht="14.4" hidden="1" x14ac:dyDescent="0.3">
      <c r="A858" s="12" t="s">
        <v>39</v>
      </c>
      <c r="B858" s="12" t="s">
        <v>2496</v>
      </c>
      <c r="C858" s="12">
        <v>70</v>
      </c>
      <c r="D858" s="12">
        <v>233</v>
      </c>
      <c r="F858" s="12" t="s">
        <v>2666</v>
      </c>
      <c r="G858" s="12" t="str">
        <f t="shared" si="22"/>
        <v>7023343895139</v>
      </c>
      <c r="H858" s="12" t="s">
        <v>2667</v>
      </c>
      <c r="I858" s="15">
        <v>43895139</v>
      </c>
      <c r="J858" s="12" t="s">
        <v>2668</v>
      </c>
      <c r="K858" s="12" t="s">
        <v>230</v>
      </c>
      <c r="L858" s="12" t="s">
        <v>45</v>
      </c>
      <c r="M858" s="12" t="s">
        <v>45</v>
      </c>
      <c r="N858" s="12" t="s">
        <v>432</v>
      </c>
      <c r="O858" s="12" t="s">
        <v>432</v>
      </c>
      <c r="P858" s="88" t="s">
        <v>261</v>
      </c>
      <c r="AU858" s="12" t="s">
        <v>164</v>
      </c>
    </row>
    <row r="859" spans="1:47" s="12" customFormat="1" ht="14.4" hidden="1" x14ac:dyDescent="0.3">
      <c r="A859" s="12" t="s">
        <v>39</v>
      </c>
      <c r="B859" s="12" t="s">
        <v>2496</v>
      </c>
      <c r="C859" s="12">
        <v>70</v>
      </c>
      <c r="D859" s="12">
        <v>233</v>
      </c>
      <c r="F859" s="12" t="s">
        <v>2669</v>
      </c>
      <c r="G859" s="12" t="str">
        <f t="shared" si="22"/>
        <v>702331099990406</v>
      </c>
      <c r="H859" s="12" t="s">
        <v>2670</v>
      </c>
      <c r="I859" s="15">
        <v>1099990406</v>
      </c>
      <c r="J859" s="12" t="s">
        <v>2671</v>
      </c>
      <c r="K859" s="12" t="s">
        <v>230</v>
      </c>
      <c r="L859" s="12" t="s">
        <v>45</v>
      </c>
      <c r="M859" s="12" t="s">
        <v>45</v>
      </c>
      <c r="N859" s="12" t="s">
        <v>432</v>
      </c>
      <c r="O859" s="12" t="s">
        <v>432</v>
      </c>
      <c r="P859" s="88" t="s">
        <v>261</v>
      </c>
      <c r="Q859" s="13">
        <v>45638</v>
      </c>
      <c r="R859" s="16">
        <v>0.84</v>
      </c>
      <c r="S859" s="12" t="s">
        <v>87</v>
      </c>
      <c r="T859" s="12" t="s">
        <v>2461</v>
      </c>
      <c r="U859" s="12" t="s">
        <v>50</v>
      </c>
      <c r="AU859" s="12" t="s">
        <v>53</v>
      </c>
    </row>
    <row r="860" spans="1:47" s="12" customFormat="1" ht="14.4" hidden="1" x14ac:dyDescent="0.3">
      <c r="A860" s="12" t="s">
        <v>39</v>
      </c>
      <c r="B860" s="12" t="s">
        <v>2496</v>
      </c>
      <c r="C860" s="12">
        <v>70</v>
      </c>
      <c r="D860" s="12">
        <v>233</v>
      </c>
      <c r="F860" s="12" t="s">
        <v>2672</v>
      </c>
      <c r="G860" s="12" t="str">
        <f t="shared" si="22"/>
        <v>70233</v>
      </c>
      <c r="H860" s="12" t="s">
        <v>2673</v>
      </c>
      <c r="I860" s="15"/>
      <c r="J860" s="12" t="s">
        <v>2674</v>
      </c>
      <c r="K860" s="12" t="s">
        <v>230</v>
      </c>
      <c r="L860" s="12" t="s">
        <v>45</v>
      </c>
      <c r="M860" s="12" t="s">
        <v>45</v>
      </c>
      <c r="N860" s="12" t="s">
        <v>432</v>
      </c>
      <c r="O860" s="12" t="s">
        <v>432</v>
      </c>
      <c r="P860" s="88" t="s">
        <v>261</v>
      </c>
      <c r="AU860" s="12" t="s">
        <v>164</v>
      </c>
    </row>
    <row r="861" spans="1:47" s="12" customFormat="1" ht="14.4" hidden="1" x14ac:dyDescent="0.3">
      <c r="A861" s="12" t="s">
        <v>505</v>
      </c>
      <c r="B861" s="12" t="s">
        <v>2496</v>
      </c>
      <c r="C861" s="12">
        <v>70</v>
      </c>
      <c r="D861" s="12">
        <v>233</v>
      </c>
      <c r="F861" s="12" t="s">
        <v>2675</v>
      </c>
      <c r="G861" s="12" t="str">
        <f t="shared" si="22"/>
        <v>70233</v>
      </c>
      <c r="H861" s="12" t="s">
        <v>2676</v>
      </c>
      <c r="I861" s="15"/>
      <c r="J861" s="12" t="s">
        <v>2674</v>
      </c>
      <c r="K861" s="12" t="s">
        <v>230</v>
      </c>
      <c r="L861" s="12" t="s">
        <v>45</v>
      </c>
      <c r="M861" s="12" t="s">
        <v>45</v>
      </c>
      <c r="N861" s="12" t="s">
        <v>432</v>
      </c>
      <c r="O861" s="12" t="s">
        <v>432</v>
      </c>
      <c r="P861" s="88" t="s">
        <v>261</v>
      </c>
      <c r="AU861" s="12" t="s">
        <v>164</v>
      </c>
    </row>
    <row r="862" spans="1:47" s="12" customFormat="1" ht="14.4" hidden="1" x14ac:dyDescent="0.3">
      <c r="A862" s="12" t="s">
        <v>39</v>
      </c>
      <c r="B862" s="12" t="s">
        <v>2496</v>
      </c>
      <c r="C862" s="12">
        <v>70</v>
      </c>
      <c r="D862" s="12">
        <v>233</v>
      </c>
      <c r="F862" s="12" t="s">
        <v>2677</v>
      </c>
      <c r="G862" s="12" t="str">
        <f t="shared" si="22"/>
        <v>70233</v>
      </c>
      <c r="H862" s="12" t="s">
        <v>2678</v>
      </c>
      <c r="I862" s="15"/>
      <c r="J862" s="12" t="s">
        <v>2674</v>
      </c>
      <c r="K862" s="12" t="s">
        <v>230</v>
      </c>
      <c r="L862" s="12" t="s">
        <v>45</v>
      </c>
      <c r="M862" s="12" t="s">
        <v>45</v>
      </c>
      <c r="N862" s="12" t="s">
        <v>432</v>
      </c>
      <c r="O862" s="12" t="s">
        <v>432</v>
      </c>
      <c r="P862" s="88" t="s">
        <v>261</v>
      </c>
      <c r="AU862" s="12" t="s">
        <v>164</v>
      </c>
    </row>
    <row r="863" spans="1:47" s="12" customFormat="1" ht="14.4" hidden="1" x14ac:dyDescent="0.3">
      <c r="A863" s="12" t="s">
        <v>39</v>
      </c>
      <c r="B863" s="12" t="s">
        <v>2496</v>
      </c>
      <c r="C863" s="12">
        <v>70</v>
      </c>
      <c r="D863" s="12">
        <v>233</v>
      </c>
      <c r="F863" s="12" t="s">
        <v>2679</v>
      </c>
      <c r="G863" s="12" t="str">
        <f t="shared" si="22"/>
        <v>70233</v>
      </c>
      <c r="H863" s="12" t="s">
        <v>2680</v>
      </c>
      <c r="I863" s="15"/>
      <c r="J863" s="12" t="s">
        <v>45</v>
      </c>
      <c r="K863" s="12" t="s">
        <v>230</v>
      </c>
      <c r="L863" s="12" t="s">
        <v>45</v>
      </c>
      <c r="M863" s="12" t="s">
        <v>45</v>
      </c>
      <c r="N863" s="12" t="s">
        <v>432</v>
      </c>
      <c r="O863" s="12" t="s">
        <v>432</v>
      </c>
      <c r="P863" s="88" t="s">
        <v>261</v>
      </c>
      <c r="AU863" s="12" t="s">
        <v>164</v>
      </c>
    </row>
    <row r="864" spans="1:47" s="12" customFormat="1" ht="14.4" hidden="1" x14ac:dyDescent="0.3">
      <c r="A864" s="12" t="s">
        <v>39</v>
      </c>
      <c r="B864" s="12" t="s">
        <v>2496</v>
      </c>
      <c r="C864" s="12">
        <v>70</v>
      </c>
      <c r="D864" s="12">
        <v>233</v>
      </c>
      <c r="F864" s="12" t="s">
        <v>2681</v>
      </c>
      <c r="G864" s="12" t="str">
        <f t="shared" si="22"/>
        <v>702331007299473</v>
      </c>
      <c r="H864" s="12" t="s">
        <v>2682</v>
      </c>
      <c r="I864" s="12">
        <v>1007299473</v>
      </c>
      <c r="J864" s="12" t="s">
        <v>2683</v>
      </c>
      <c r="K864" s="12" t="s">
        <v>230</v>
      </c>
      <c r="L864" s="12">
        <v>3127421016</v>
      </c>
      <c r="M864" s="12" t="s">
        <v>45</v>
      </c>
      <c r="N864" s="12" t="s">
        <v>432</v>
      </c>
      <c r="O864" s="12" t="s">
        <v>432</v>
      </c>
      <c r="P864" s="88" t="s">
        <v>261</v>
      </c>
      <c r="Q864" s="12" t="s">
        <v>644</v>
      </c>
      <c r="R864" s="18">
        <v>0.78500000000000003</v>
      </c>
      <c r="S864" s="12" t="s">
        <v>135</v>
      </c>
      <c r="T864" s="12" t="s">
        <v>2461</v>
      </c>
      <c r="U864" s="12" t="s">
        <v>50</v>
      </c>
      <c r="AU864" s="12" t="s">
        <v>53</v>
      </c>
    </row>
    <row r="865" spans="1:47" s="12" customFormat="1" ht="19.5" hidden="1" customHeight="1" x14ac:dyDescent="0.3">
      <c r="A865" s="12" t="s">
        <v>39</v>
      </c>
      <c r="B865" s="12" t="s">
        <v>2496</v>
      </c>
      <c r="C865" s="12">
        <v>70</v>
      </c>
      <c r="D865" s="12">
        <v>233</v>
      </c>
      <c r="F865" s="43" t="s">
        <v>2684</v>
      </c>
      <c r="G865" s="12" t="str">
        <f t="shared" si="22"/>
        <v>7023333084702</v>
      </c>
      <c r="H865" s="4" t="s">
        <v>2685</v>
      </c>
      <c r="I865" s="45">
        <v>33084702</v>
      </c>
      <c r="J865" s="4" t="s">
        <v>2686</v>
      </c>
      <c r="K865" s="12" t="s">
        <v>230</v>
      </c>
      <c r="L865" s="12">
        <v>3127352244</v>
      </c>
      <c r="M865" s="12" t="s">
        <v>45</v>
      </c>
      <c r="N865" s="12" t="s">
        <v>46</v>
      </c>
      <c r="O865" s="12" t="s">
        <v>2797</v>
      </c>
      <c r="P865" s="88" t="s">
        <v>261</v>
      </c>
      <c r="Q865" s="13">
        <v>45854</v>
      </c>
      <c r="R865" s="12" t="s">
        <v>146</v>
      </c>
      <c r="S865" s="12" t="s">
        <v>2470</v>
      </c>
      <c r="T865" s="12" t="s">
        <v>2473</v>
      </c>
      <c r="U865" s="12" t="s">
        <v>50</v>
      </c>
      <c r="V865" s="12" t="s">
        <v>2687</v>
      </c>
      <c r="W865" s="16">
        <v>0.87</v>
      </c>
      <c r="X865" s="12" t="s">
        <v>87</v>
      </c>
      <c r="Y865" s="12" t="s">
        <v>2461</v>
      </c>
      <c r="Z865" s="12" t="s">
        <v>2688</v>
      </c>
      <c r="AA865" s="12" t="s">
        <v>51</v>
      </c>
      <c r="AB865" s="12" t="s">
        <v>51</v>
      </c>
      <c r="AC865" s="13">
        <v>45145</v>
      </c>
      <c r="AD865" s="18">
        <v>0.80500000000000005</v>
      </c>
      <c r="AE865" s="12" t="s">
        <v>87</v>
      </c>
      <c r="AF865" s="12" t="s">
        <v>2689</v>
      </c>
      <c r="AG865" s="12" t="s">
        <v>52</v>
      </c>
      <c r="AH865" s="12" t="s">
        <v>52</v>
      </c>
      <c r="AU865" s="12" t="s">
        <v>2690</v>
      </c>
    </row>
    <row r="866" spans="1:47" s="12" customFormat="1" ht="18.75" hidden="1" customHeight="1" x14ac:dyDescent="0.3">
      <c r="A866" s="12" t="s">
        <v>39</v>
      </c>
      <c r="B866" s="12" t="s">
        <v>2496</v>
      </c>
      <c r="C866" s="12">
        <v>70</v>
      </c>
      <c r="D866" s="12">
        <v>233</v>
      </c>
      <c r="F866" s="43" t="s">
        <v>2691</v>
      </c>
      <c r="G866" s="12" t="str">
        <f t="shared" si="22"/>
        <v>7023372328002</v>
      </c>
      <c r="H866" s="4" t="s">
        <v>2692</v>
      </c>
      <c r="I866" s="45">
        <v>72328002</v>
      </c>
      <c r="J866" s="4" t="s">
        <v>2621</v>
      </c>
      <c r="K866" s="12" t="s">
        <v>192</v>
      </c>
      <c r="L866" s="12">
        <v>3217927328</v>
      </c>
      <c r="M866" s="12" t="s">
        <v>45</v>
      </c>
      <c r="N866" s="12" t="s">
        <v>432</v>
      </c>
      <c r="O866" s="12" t="s">
        <v>432</v>
      </c>
      <c r="P866" s="88" t="s">
        <v>276</v>
      </c>
      <c r="Q866" s="13">
        <v>45547</v>
      </c>
      <c r="R866" s="16">
        <v>0.87</v>
      </c>
      <c r="S866" s="12" t="s">
        <v>87</v>
      </c>
      <c r="T866" s="12" t="s">
        <v>2461</v>
      </c>
      <c r="U866" s="12" t="s">
        <v>50</v>
      </c>
      <c r="AU866" s="12" t="s">
        <v>53</v>
      </c>
    </row>
    <row r="867" spans="1:47" s="12" customFormat="1" ht="18.75" hidden="1" customHeight="1" x14ac:dyDescent="0.3">
      <c r="A867" s="12" t="s">
        <v>39</v>
      </c>
      <c r="B867" s="12" t="s">
        <v>2496</v>
      </c>
      <c r="C867" s="12">
        <v>70</v>
      </c>
      <c r="D867" s="12">
        <v>233</v>
      </c>
      <c r="E867" s="12" t="s">
        <v>9152</v>
      </c>
      <c r="F867" s="43" t="s">
        <v>9154</v>
      </c>
      <c r="G867" s="12" t="str">
        <f t="shared" si="22"/>
        <v>702338002470819</v>
      </c>
      <c r="H867" s="4" t="s">
        <v>2694</v>
      </c>
      <c r="I867" s="15">
        <v>8002470819</v>
      </c>
      <c r="J867" s="4" t="s">
        <v>9155</v>
      </c>
      <c r="K867" s="12" t="s">
        <v>44</v>
      </c>
      <c r="L867" s="12">
        <v>3135350401</v>
      </c>
      <c r="M867" s="12" t="s">
        <v>45</v>
      </c>
      <c r="N867" s="12" t="s">
        <v>127</v>
      </c>
      <c r="O867" s="12" t="s">
        <v>2822</v>
      </c>
      <c r="P867" s="88" t="s">
        <v>48</v>
      </c>
      <c r="Q867" s="13">
        <v>45792</v>
      </c>
      <c r="R867" s="12">
        <v>86</v>
      </c>
      <c r="S867" s="12" t="s">
        <v>74</v>
      </c>
      <c r="T867" s="12" t="s">
        <v>8954</v>
      </c>
      <c r="U867" s="12" t="s">
        <v>60</v>
      </c>
      <c r="AU867" s="12" t="s">
        <v>53</v>
      </c>
    </row>
    <row r="868" spans="1:47" s="12" customFormat="1" ht="19.5" hidden="1" customHeight="1" x14ac:dyDescent="0.3">
      <c r="A868" s="12" t="s">
        <v>39</v>
      </c>
      <c r="B868" s="12" t="s">
        <v>2496</v>
      </c>
      <c r="C868" s="12">
        <v>70</v>
      </c>
      <c r="D868" s="12">
        <v>233</v>
      </c>
      <c r="E868" s="12" t="s">
        <v>9152</v>
      </c>
      <c r="F868" s="283" t="s">
        <v>2693</v>
      </c>
      <c r="G868" s="12" t="str">
        <f t="shared" si="22"/>
        <v>702338002470819</v>
      </c>
      <c r="H868" s="12" t="s">
        <v>2694</v>
      </c>
      <c r="I868" s="15">
        <v>8002470819</v>
      </c>
      <c r="J868" s="12" t="s">
        <v>9149</v>
      </c>
      <c r="K868" s="12" t="s">
        <v>9058</v>
      </c>
      <c r="L868" s="12">
        <v>3107426022</v>
      </c>
      <c r="M868" s="17" t="s">
        <v>9150</v>
      </c>
      <c r="N868" s="12" t="s">
        <v>127</v>
      </c>
      <c r="O868" s="12" t="s">
        <v>2822</v>
      </c>
      <c r="P868" s="88" t="s">
        <v>48</v>
      </c>
      <c r="Q868" s="13">
        <v>46163</v>
      </c>
      <c r="R868" s="12" t="s">
        <v>4654</v>
      </c>
      <c r="S868" s="12" t="s">
        <v>319</v>
      </c>
      <c r="T868" s="12" t="s">
        <v>8954</v>
      </c>
      <c r="U868" s="12" t="s">
        <v>9151</v>
      </c>
      <c r="V868" s="13">
        <v>45805</v>
      </c>
      <c r="W868" s="16">
        <v>0.81</v>
      </c>
      <c r="X868" s="12" t="s">
        <v>49</v>
      </c>
      <c r="Y868" s="12" t="s">
        <v>2473</v>
      </c>
      <c r="Z868" s="12" t="s">
        <v>50</v>
      </c>
      <c r="AA868" s="12" t="s">
        <v>52</v>
      </c>
      <c r="AB868" s="12" t="s">
        <v>52</v>
      </c>
      <c r="AC868" s="12" t="s">
        <v>696</v>
      </c>
      <c r="AD868" s="18">
        <v>0.88500000000000001</v>
      </c>
      <c r="AE868" s="12" t="s">
        <v>7696</v>
      </c>
      <c r="AF868" s="12" t="s">
        <v>60</v>
      </c>
      <c r="AG868" s="12" t="s">
        <v>51</v>
      </c>
      <c r="AH868" s="12" t="s">
        <v>51</v>
      </c>
      <c r="AI868" s="13">
        <v>45099</v>
      </c>
      <c r="AJ868" s="16">
        <v>0.86</v>
      </c>
      <c r="AK868" s="13" t="s">
        <v>49</v>
      </c>
      <c r="AL868" s="12" t="s">
        <v>60</v>
      </c>
      <c r="AU868" s="12" t="s">
        <v>53</v>
      </c>
    </row>
    <row r="869" spans="1:47" s="12" customFormat="1" ht="20.25" customHeight="1" x14ac:dyDescent="0.3">
      <c r="A869" s="12" t="s">
        <v>39</v>
      </c>
      <c r="B869" s="12" t="s">
        <v>2496</v>
      </c>
      <c r="C869" s="12">
        <v>70</v>
      </c>
      <c r="D869" s="12">
        <v>233</v>
      </c>
      <c r="E869" s="12" t="s">
        <v>7869</v>
      </c>
      <c r="F869" s="1" t="s">
        <v>7864</v>
      </c>
      <c r="G869" s="12" t="str">
        <f t="shared" si="22"/>
        <v>702339011964011</v>
      </c>
      <c r="H869" s="12" t="s">
        <v>7865</v>
      </c>
      <c r="I869" s="15">
        <v>9011964011</v>
      </c>
      <c r="J869" s="12" t="s">
        <v>7866</v>
      </c>
      <c r="K869" s="12" t="s">
        <v>133</v>
      </c>
      <c r="L869" s="12">
        <v>3123826237</v>
      </c>
      <c r="M869" s="17" t="s">
        <v>7867</v>
      </c>
      <c r="N869" s="12" t="s">
        <v>46</v>
      </c>
      <c r="O869" s="12" t="s">
        <v>47</v>
      </c>
      <c r="P869" s="88" t="s">
        <v>48</v>
      </c>
      <c r="Q869" s="13">
        <v>45791</v>
      </c>
      <c r="R869" s="16" t="s">
        <v>7868</v>
      </c>
      <c r="S869" s="12" t="s">
        <v>210</v>
      </c>
      <c r="T869" s="12" t="s">
        <v>7672</v>
      </c>
      <c r="U869" s="12" t="s">
        <v>2456</v>
      </c>
      <c r="W869" s="18"/>
      <c r="AC869" s="13"/>
      <c r="AD869" s="16"/>
      <c r="AE869" s="13"/>
      <c r="AU869" s="12" t="s">
        <v>164</v>
      </c>
    </row>
    <row r="870" spans="1:47" s="12" customFormat="1" ht="23.1" hidden="1" customHeight="1" x14ac:dyDescent="0.3">
      <c r="A870" s="12" t="s">
        <v>39</v>
      </c>
      <c r="B870" s="12" t="s">
        <v>2496</v>
      </c>
      <c r="C870" s="12">
        <v>70</v>
      </c>
      <c r="D870" s="12">
        <v>233</v>
      </c>
      <c r="E870" s="12" t="s">
        <v>8551</v>
      </c>
      <c r="F870" s="283" t="s">
        <v>8952</v>
      </c>
      <c r="G870" s="12" t="str">
        <f t="shared" si="22"/>
        <v>70233902024774</v>
      </c>
      <c r="H870" s="12" t="s">
        <v>710</v>
      </c>
      <c r="I870" s="15">
        <v>902024774</v>
      </c>
      <c r="J870" s="12" t="s">
        <v>8953</v>
      </c>
      <c r="K870" s="12" t="s">
        <v>133</v>
      </c>
      <c r="L870" s="12">
        <v>3224971977</v>
      </c>
      <c r="M870" s="12" t="s">
        <v>8335</v>
      </c>
      <c r="N870" s="12" t="s">
        <v>127</v>
      </c>
      <c r="O870" s="12" t="s">
        <v>2822</v>
      </c>
      <c r="P870" s="88" t="s">
        <v>48</v>
      </c>
      <c r="Q870" s="13">
        <v>46136</v>
      </c>
      <c r="R870" s="18" t="s">
        <v>8595</v>
      </c>
      <c r="S870" s="12" t="s">
        <v>49</v>
      </c>
      <c r="T870" s="12" t="s">
        <v>8954</v>
      </c>
      <c r="U870" s="12" t="s">
        <v>60</v>
      </c>
      <c r="V870" s="13">
        <v>45633</v>
      </c>
      <c r="W870" s="18">
        <v>0.84499999999999997</v>
      </c>
      <c r="X870" s="12" t="s">
        <v>87</v>
      </c>
      <c r="Y870" s="12" t="s">
        <v>2461</v>
      </c>
      <c r="Z870" s="12" t="s">
        <v>60</v>
      </c>
      <c r="AA870" s="12" t="s">
        <v>52</v>
      </c>
      <c r="AB870" s="12" t="s">
        <v>52</v>
      </c>
      <c r="AC870" s="12" t="s">
        <v>730</v>
      </c>
      <c r="AD870" s="16">
        <v>0.85</v>
      </c>
      <c r="AE870" s="12" t="s">
        <v>87</v>
      </c>
      <c r="AF870" s="12" t="s">
        <v>50</v>
      </c>
      <c r="AU870" s="12" t="s">
        <v>53</v>
      </c>
    </row>
    <row r="871" spans="1:47" s="12" customFormat="1" ht="23.1" hidden="1" customHeight="1" x14ac:dyDescent="0.3">
      <c r="A871" s="12" t="s">
        <v>39</v>
      </c>
      <c r="B871" s="12" t="s">
        <v>2496</v>
      </c>
      <c r="C871" s="12">
        <v>70</v>
      </c>
      <c r="D871" s="12">
        <v>233</v>
      </c>
      <c r="E871" s="12" t="s">
        <v>2696</v>
      </c>
      <c r="F871" s="283" t="s">
        <v>2697</v>
      </c>
      <c r="G871" s="12" t="str">
        <f t="shared" si="22"/>
        <v>70233823000732-9</v>
      </c>
      <c r="H871" s="12" t="s">
        <v>150</v>
      </c>
      <c r="I871" s="15" t="s">
        <v>180</v>
      </c>
      <c r="J871" s="12" t="s">
        <v>2698</v>
      </c>
      <c r="K871" s="12" t="s">
        <v>246</v>
      </c>
      <c r="L871" s="12">
        <v>3216115460</v>
      </c>
      <c r="M871" s="12" t="s">
        <v>45</v>
      </c>
      <c r="N871" s="12" t="s">
        <v>127</v>
      </c>
      <c r="O871" s="12" t="s">
        <v>2822</v>
      </c>
      <c r="P871" s="88" t="s">
        <v>102</v>
      </c>
      <c r="Q871" s="13" t="s">
        <v>2699</v>
      </c>
      <c r="R871" s="18">
        <v>0.86</v>
      </c>
      <c r="S871" s="12" t="s">
        <v>135</v>
      </c>
      <c r="T871" s="12" t="s">
        <v>2461</v>
      </c>
      <c r="U871" s="12" t="s">
        <v>60</v>
      </c>
      <c r="V871" s="12" t="s">
        <v>2700</v>
      </c>
      <c r="W871" s="16">
        <v>0.85499999999999998</v>
      </c>
      <c r="X871" s="12" t="s">
        <v>135</v>
      </c>
      <c r="Z871" s="12" t="s">
        <v>50</v>
      </c>
      <c r="AA871" s="12" t="s">
        <v>52</v>
      </c>
      <c r="AB871" s="12" t="s">
        <v>52</v>
      </c>
      <c r="AU871" s="12" t="s">
        <v>1208</v>
      </c>
    </row>
    <row r="872" spans="1:47" s="12" customFormat="1" ht="30.75" hidden="1" customHeight="1" x14ac:dyDescent="0.3">
      <c r="A872" s="12" t="s">
        <v>39</v>
      </c>
      <c r="B872" s="12" t="s">
        <v>2496</v>
      </c>
      <c r="C872" s="12">
        <v>70</v>
      </c>
      <c r="D872" s="12">
        <v>233</v>
      </c>
      <c r="E872" s="12" t="s">
        <v>2703</v>
      </c>
      <c r="F872" s="283" t="s">
        <v>8738</v>
      </c>
      <c r="G872" s="12" t="str">
        <f t="shared" ref="G872:G898" si="23">C872&amp;D872&amp;I872</f>
        <v>70233800247681-9</v>
      </c>
      <c r="H872" s="12" t="s">
        <v>2704</v>
      </c>
      <c r="I872" s="15" t="s">
        <v>2602</v>
      </c>
      <c r="J872" s="12" t="s">
        <v>2705</v>
      </c>
      <c r="K872" s="12" t="s">
        <v>230</v>
      </c>
      <c r="L872" s="12">
        <v>3147707442</v>
      </c>
      <c r="M872" s="12" t="s">
        <v>2706</v>
      </c>
      <c r="N872" s="12" t="s">
        <v>127</v>
      </c>
      <c r="O872" s="12" t="s">
        <v>2822</v>
      </c>
      <c r="P872" s="88" t="s">
        <v>48</v>
      </c>
      <c r="Q872" s="13">
        <v>45786</v>
      </c>
      <c r="R872" s="16">
        <v>0.85</v>
      </c>
      <c r="S872" s="12" t="s">
        <v>49</v>
      </c>
      <c r="T872" s="12" t="s">
        <v>2473</v>
      </c>
      <c r="U872" s="12" t="s">
        <v>50</v>
      </c>
      <c r="V872" s="13">
        <v>45387</v>
      </c>
      <c r="W872" s="18">
        <v>0.88500000000000001</v>
      </c>
      <c r="X872" s="12" t="s">
        <v>7696</v>
      </c>
      <c r="Y872" s="12" t="s">
        <v>2461</v>
      </c>
      <c r="Z872" s="12" t="s">
        <v>2688</v>
      </c>
      <c r="AA872" s="12" t="s">
        <v>52</v>
      </c>
      <c r="AB872" s="12" t="s">
        <v>52</v>
      </c>
      <c r="AC872" s="12" t="s">
        <v>919</v>
      </c>
      <c r="AD872" s="16">
        <v>0.83</v>
      </c>
      <c r="AE872" s="12" t="s">
        <v>87</v>
      </c>
      <c r="AF872" s="12" t="s">
        <v>60</v>
      </c>
      <c r="AG872" s="12" t="s">
        <v>52</v>
      </c>
      <c r="AH872" s="12" t="s">
        <v>52</v>
      </c>
      <c r="AU872" s="12" t="s">
        <v>53</v>
      </c>
    </row>
    <row r="873" spans="1:47" s="12" customFormat="1" ht="27.9" hidden="1" customHeight="1" x14ac:dyDescent="0.3">
      <c r="A873" s="12" t="s">
        <v>39</v>
      </c>
      <c r="B873" s="12" t="s">
        <v>2496</v>
      </c>
      <c r="C873" s="12">
        <v>70</v>
      </c>
      <c r="D873" s="12">
        <v>233</v>
      </c>
      <c r="E873" s="12" t="s">
        <v>2707</v>
      </c>
      <c r="F873" s="1" t="s">
        <v>2708</v>
      </c>
      <c r="G873" s="12" t="str">
        <f t="shared" si="23"/>
        <v>70233823000723-9</v>
      </c>
      <c r="H873" s="12" t="s">
        <v>131</v>
      </c>
      <c r="I873" s="15" t="s">
        <v>2709</v>
      </c>
      <c r="J873" s="12" t="s">
        <v>2710</v>
      </c>
      <c r="K873" s="12" t="s">
        <v>133</v>
      </c>
      <c r="L873" s="12">
        <v>3215858336</v>
      </c>
      <c r="M873" s="12" t="s">
        <v>45</v>
      </c>
      <c r="N873" s="12" t="s">
        <v>127</v>
      </c>
      <c r="O873" s="12" t="s">
        <v>2822</v>
      </c>
      <c r="P873" s="88" t="s">
        <v>48</v>
      </c>
      <c r="Q873" s="13" t="s">
        <v>696</v>
      </c>
      <c r="R873" s="16">
        <v>0.90500000000000003</v>
      </c>
      <c r="S873" s="12" t="s">
        <v>173</v>
      </c>
      <c r="T873" s="12" t="s">
        <v>2461</v>
      </c>
      <c r="U873" s="12" t="s">
        <v>50</v>
      </c>
      <c r="V873" s="13" t="s">
        <v>2711</v>
      </c>
      <c r="W873" s="18">
        <v>0.84499999999999997</v>
      </c>
      <c r="X873" s="12" t="s">
        <v>87</v>
      </c>
      <c r="Z873" s="12" t="s">
        <v>2688</v>
      </c>
      <c r="AA873" s="12" t="s">
        <v>52</v>
      </c>
      <c r="AB873" s="12" t="s">
        <v>52</v>
      </c>
      <c r="AD873" s="16"/>
      <c r="AU873" s="12" t="s">
        <v>53</v>
      </c>
    </row>
    <row r="874" spans="1:47" s="12" customFormat="1" ht="27.9" hidden="1" customHeight="1" x14ac:dyDescent="0.3">
      <c r="A874" s="12" t="s">
        <v>505</v>
      </c>
      <c r="B874" s="12" t="s">
        <v>2496</v>
      </c>
      <c r="C874" s="12">
        <v>70</v>
      </c>
      <c r="D874" s="12">
        <v>233</v>
      </c>
      <c r="E874" s="12" t="s">
        <v>2696</v>
      </c>
      <c r="F874" s="1" t="s">
        <v>2712</v>
      </c>
      <c r="G874" s="12" t="str">
        <f t="shared" si="23"/>
        <v>70233823000732-9</v>
      </c>
      <c r="H874" s="12" t="s">
        <v>2713</v>
      </c>
      <c r="I874" s="15" t="s">
        <v>180</v>
      </c>
      <c r="J874" s="12" t="s">
        <v>2714</v>
      </c>
      <c r="K874" s="12" t="s">
        <v>230</v>
      </c>
      <c r="L874" s="12">
        <v>3232290226</v>
      </c>
      <c r="M874" s="12" t="s">
        <v>45</v>
      </c>
      <c r="N874" s="12" t="s">
        <v>127</v>
      </c>
      <c r="O874" s="12" t="s">
        <v>2822</v>
      </c>
      <c r="P874" s="88" t="s">
        <v>102</v>
      </c>
      <c r="Q874" s="13" t="s">
        <v>2715</v>
      </c>
      <c r="R874" s="16">
        <v>0.76500000000000001</v>
      </c>
      <c r="S874" s="12" t="s">
        <v>2470</v>
      </c>
      <c r="T874" s="12" t="s">
        <v>2461</v>
      </c>
      <c r="U874" s="12" t="s">
        <v>60</v>
      </c>
      <c r="V874" s="13">
        <v>44839</v>
      </c>
      <c r="W874" s="16">
        <v>0.88</v>
      </c>
      <c r="X874" s="12" t="s">
        <v>135</v>
      </c>
      <c r="Z874" s="12" t="s">
        <v>60</v>
      </c>
      <c r="AA874" s="12" t="s">
        <v>52</v>
      </c>
      <c r="AB874" s="12" t="s">
        <v>52</v>
      </c>
      <c r="AU874" s="12" t="s">
        <v>53</v>
      </c>
    </row>
    <row r="875" spans="1:47" s="12" customFormat="1" ht="27.9" hidden="1" customHeight="1" x14ac:dyDescent="0.3">
      <c r="A875" s="12" t="s">
        <v>505</v>
      </c>
      <c r="B875" s="12" t="s">
        <v>2496</v>
      </c>
      <c r="C875" s="12">
        <v>70</v>
      </c>
      <c r="D875" s="12">
        <v>233</v>
      </c>
      <c r="E875" s="12" t="s">
        <v>9156</v>
      </c>
      <c r="F875" s="283" t="s">
        <v>9158</v>
      </c>
      <c r="G875" s="12" t="str">
        <f t="shared" si="23"/>
        <v>702338002476819</v>
      </c>
      <c r="H875" s="12" t="s">
        <v>2694</v>
      </c>
      <c r="I875" s="15">
        <v>8002476819</v>
      </c>
      <c r="J875" s="12" t="s">
        <v>2621</v>
      </c>
      <c r="K875" s="12" t="s">
        <v>133</v>
      </c>
      <c r="L875" s="12">
        <v>3228858868</v>
      </c>
      <c r="M875" s="12" t="s">
        <v>9159</v>
      </c>
      <c r="N875" s="12" t="s">
        <v>127</v>
      </c>
      <c r="O875" s="12" t="s">
        <v>2822</v>
      </c>
      <c r="P875" s="88" t="s">
        <v>48</v>
      </c>
      <c r="Q875" s="13">
        <v>46164</v>
      </c>
      <c r="R875" s="12">
        <v>88</v>
      </c>
      <c r="S875" s="12" t="s">
        <v>49</v>
      </c>
      <c r="T875" s="12" t="s">
        <v>8954</v>
      </c>
      <c r="U875" s="12" t="s">
        <v>60</v>
      </c>
      <c r="V875" s="13"/>
      <c r="W875" s="16"/>
      <c r="AU875" s="12" t="s">
        <v>53</v>
      </c>
    </row>
    <row r="876" spans="1:47" s="12" customFormat="1" ht="20.25" hidden="1" customHeight="1" x14ac:dyDescent="0.3">
      <c r="A876" s="12" t="s">
        <v>39</v>
      </c>
      <c r="B876" s="12" t="s">
        <v>2496</v>
      </c>
      <c r="C876" s="12">
        <v>70</v>
      </c>
      <c r="D876" s="12">
        <v>233</v>
      </c>
      <c r="E876" s="12" t="s">
        <v>9156</v>
      </c>
      <c r="F876" s="283" t="s">
        <v>2716</v>
      </c>
      <c r="G876" s="12" t="str">
        <f t="shared" si="23"/>
        <v>702338002476819</v>
      </c>
      <c r="H876" s="12" t="s">
        <v>2694</v>
      </c>
      <c r="I876" s="15">
        <v>8002476819</v>
      </c>
      <c r="J876" s="12" t="s">
        <v>2702</v>
      </c>
      <c r="K876" s="12" t="s">
        <v>133</v>
      </c>
      <c r="L876" s="12">
        <v>3136999079</v>
      </c>
      <c r="M876" s="17" t="s">
        <v>9157</v>
      </c>
      <c r="N876" s="12" t="s">
        <v>127</v>
      </c>
      <c r="O876" s="12" t="s">
        <v>2822</v>
      </c>
      <c r="P876" s="88" t="s">
        <v>102</v>
      </c>
      <c r="Q876" s="13">
        <v>46177</v>
      </c>
      <c r="R876" s="12">
        <v>85</v>
      </c>
      <c r="S876" s="12" t="s">
        <v>49</v>
      </c>
      <c r="T876" s="12" t="s">
        <v>8954</v>
      </c>
      <c r="U876" s="12" t="s">
        <v>60</v>
      </c>
      <c r="V876" s="13">
        <v>45826</v>
      </c>
      <c r="W876" s="16">
        <v>0.82499999999999996</v>
      </c>
      <c r="X876" s="12" t="s">
        <v>49</v>
      </c>
      <c r="Y876" s="12" t="s">
        <v>2473</v>
      </c>
      <c r="Z876" s="12" t="s">
        <v>50</v>
      </c>
      <c r="AA876" s="12" t="s">
        <v>52</v>
      </c>
      <c r="AB876" s="12" t="s">
        <v>52</v>
      </c>
      <c r="AC876" s="12" t="s">
        <v>2717</v>
      </c>
      <c r="AD876" s="16">
        <v>0.92</v>
      </c>
      <c r="AE876" s="12" t="s">
        <v>7696</v>
      </c>
      <c r="AF876" s="12" t="s">
        <v>60</v>
      </c>
      <c r="AU876" s="12" t="s">
        <v>53</v>
      </c>
    </row>
    <row r="877" spans="1:47" s="12" customFormat="1" ht="21.75" hidden="1" customHeight="1" x14ac:dyDescent="0.3">
      <c r="A877" s="12" t="s">
        <v>39</v>
      </c>
      <c r="B877" s="12" t="s">
        <v>2496</v>
      </c>
      <c r="C877" s="12">
        <v>70</v>
      </c>
      <c r="D877" s="12">
        <v>233</v>
      </c>
      <c r="E877" s="12" t="s">
        <v>9152</v>
      </c>
      <c r="F877" s="283" t="s">
        <v>8739</v>
      </c>
      <c r="G877" s="12" t="str">
        <f t="shared" si="23"/>
        <v>702338002470819</v>
      </c>
      <c r="H877" s="12" t="s">
        <v>2694</v>
      </c>
      <c r="I877" s="12">
        <v>8002470819</v>
      </c>
      <c r="J877" s="12" t="s">
        <v>2718</v>
      </c>
      <c r="K877" s="12" t="s">
        <v>246</v>
      </c>
      <c r="L877" s="12">
        <v>3205348359</v>
      </c>
      <c r="M877" s="17" t="s">
        <v>9153</v>
      </c>
      <c r="N877" s="12" t="s">
        <v>127</v>
      </c>
      <c r="O877" s="12" t="s">
        <v>2822</v>
      </c>
      <c r="P877" s="88" t="s">
        <v>48</v>
      </c>
      <c r="Q877" s="13">
        <v>46150</v>
      </c>
      <c r="R877" s="12" t="s">
        <v>8595</v>
      </c>
      <c r="S877" s="12" t="s">
        <v>49</v>
      </c>
      <c r="T877" s="12" t="s">
        <v>8954</v>
      </c>
      <c r="U877" s="12" t="s">
        <v>60</v>
      </c>
      <c r="V877" s="13">
        <v>45785</v>
      </c>
      <c r="W877" s="16">
        <v>0.86</v>
      </c>
      <c r="X877" s="12" t="s">
        <v>49</v>
      </c>
      <c r="Y877" s="12" t="s">
        <v>2473</v>
      </c>
      <c r="Z877" s="12" t="s">
        <v>50</v>
      </c>
      <c r="AA877" s="12" t="s">
        <v>51</v>
      </c>
      <c r="AB877" s="12" t="s">
        <v>51</v>
      </c>
      <c r="AU877" s="12" t="s">
        <v>53</v>
      </c>
    </row>
    <row r="878" spans="1:47" s="12" customFormat="1" ht="21" hidden="1" customHeight="1" x14ac:dyDescent="0.3">
      <c r="A878" s="12" t="s">
        <v>39</v>
      </c>
      <c r="B878" s="12" t="s">
        <v>2496</v>
      </c>
      <c r="C878" s="12">
        <v>70</v>
      </c>
      <c r="D878" s="12">
        <v>233</v>
      </c>
      <c r="E878" s="12" t="s">
        <v>2703</v>
      </c>
      <c r="F878" s="283" t="s">
        <v>8553</v>
      </c>
      <c r="G878" s="12" t="str">
        <f t="shared" si="23"/>
        <v>702338002470819</v>
      </c>
      <c r="H878" s="12" t="s">
        <v>2694</v>
      </c>
      <c r="I878" s="12">
        <v>8002470819</v>
      </c>
      <c r="J878" s="12" t="s">
        <v>8552</v>
      </c>
      <c r="K878" s="12" t="s">
        <v>230</v>
      </c>
      <c r="L878" s="12">
        <v>3107449765</v>
      </c>
      <c r="M878" s="12" t="s">
        <v>2695</v>
      </c>
      <c r="N878" s="12" t="s">
        <v>127</v>
      </c>
      <c r="O878" s="12" t="s">
        <v>2822</v>
      </c>
      <c r="P878" s="88" t="s">
        <v>48</v>
      </c>
      <c r="Q878" s="13">
        <v>46085</v>
      </c>
      <c r="R878" s="12">
        <v>73</v>
      </c>
      <c r="S878" s="12" t="s">
        <v>49</v>
      </c>
      <c r="U878" s="12" t="s">
        <v>50</v>
      </c>
      <c r="V878" s="13">
        <v>45856</v>
      </c>
      <c r="W878" s="16">
        <v>0.82</v>
      </c>
      <c r="X878" s="12" t="s">
        <v>2470</v>
      </c>
      <c r="Z878" s="12" t="s">
        <v>60</v>
      </c>
      <c r="AA878" s="12" t="s">
        <v>51</v>
      </c>
      <c r="AB878" s="12" t="s">
        <v>51</v>
      </c>
      <c r="AC878" s="13">
        <v>43706</v>
      </c>
      <c r="AD878" s="16">
        <v>0.8</v>
      </c>
      <c r="AE878" s="13" t="s">
        <v>49</v>
      </c>
      <c r="AU878" s="12" t="s">
        <v>164</v>
      </c>
    </row>
    <row r="879" spans="1:47" s="12" customFormat="1" ht="21.75" hidden="1" customHeight="1" x14ac:dyDescent="0.3">
      <c r="A879" s="12" t="s">
        <v>39</v>
      </c>
      <c r="B879" s="12" t="s">
        <v>2496</v>
      </c>
      <c r="C879" s="12">
        <v>70</v>
      </c>
      <c r="D879" s="12">
        <v>233</v>
      </c>
      <c r="F879" s="43" t="s">
        <v>2719</v>
      </c>
      <c r="G879" s="12" t="str">
        <f t="shared" si="23"/>
        <v>70233900214836</v>
      </c>
      <c r="H879" s="12" t="s">
        <v>2720</v>
      </c>
      <c r="I879" s="12">
        <v>900214836</v>
      </c>
      <c r="J879" s="12" t="s">
        <v>2721</v>
      </c>
      <c r="K879" s="12" t="s">
        <v>230</v>
      </c>
      <c r="L879" s="12" t="s">
        <v>45</v>
      </c>
      <c r="M879" s="12" t="s">
        <v>45</v>
      </c>
      <c r="N879" s="12" t="s">
        <v>127</v>
      </c>
      <c r="O879" s="12" t="s">
        <v>2822</v>
      </c>
      <c r="P879" s="88" t="s">
        <v>48</v>
      </c>
      <c r="V879" s="13">
        <v>44523</v>
      </c>
      <c r="W879" s="16">
        <v>0.77500000000000002</v>
      </c>
      <c r="X879" s="13" t="s">
        <v>49</v>
      </c>
      <c r="Z879" s="12" t="s">
        <v>60</v>
      </c>
      <c r="AA879" s="12" t="s">
        <v>51</v>
      </c>
      <c r="AB879" s="12" t="s">
        <v>51</v>
      </c>
      <c r="AU879" s="12" t="s">
        <v>164</v>
      </c>
    </row>
    <row r="880" spans="1:47" s="12" customFormat="1" ht="19.5" hidden="1" customHeight="1" x14ac:dyDescent="0.3">
      <c r="A880" s="12" t="s">
        <v>39</v>
      </c>
      <c r="B880" s="12" t="s">
        <v>2496</v>
      </c>
      <c r="C880" s="12">
        <v>70</v>
      </c>
      <c r="D880" s="12">
        <v>233</v>
      </c>
      <c r="E880" s="12" t="s">
        <v>2703</v>
      </c>
      <c r="F880" s="43" t="s">
        <v>2722</v>
      </c>
      <c r="G880" s="12" t="str">
        <f t="shared" si="23"/>
        <v>70233800247681-9</v>
      </c>
      <c r="H880" s="12" t="s">
        <v>2694</v>
      </c>
      <c r="I880" s="15" t="s">
        <v>2602</v>
      </c>
      <c r="J880" s="12" t="s">
        <v>2723</v>
      </c>
      <c r="K880" s="12" t="s">
        <v>230</v>
      </c>
      <c r="L880" s="12">
        <v>3016401928</v>
      </c>
      <c r="M880" s="17" t="s">
        <v>2695</v>
      </c>
      <c r="N880" s="12" t="s">
        <v>127</v>
      </c>
      <c r="O880" s="12" t="s">
        <v>2822</v>
      </c>
      <c r="P880" s="88" t="s">
        <v>48</v>
      </c>
      <c r="Q880" s="12" t="s">
        <v>2724</v>
      </c>
      <c r="R880" s="16">
        <v>0.83</v>
      </c>
      <c r="S880" s="12" t="s">
        <v>2470</v>
      </c>
      <c r="T880" s="12" t="s">
        <v>2473</v>
      </c>
      <c r="U880" s="12" t="s">
        <v>50</v>
      </c>
      <c r="V880" s="13"/>
      <c r="W880" s="16"/>
      <c r="X880" s="13"/>
      <c r="AA880" s="12" t="s">
        <v>51</v>
      </c>
      <c r="AB880" s="12" t="s">
        <v>51</v>
      </c>
      <c r="AU880" s="12" t="s">
        <v>53</v>
      </c>
    </row>
    <row r="881" spans="1:47" s="12" customFormat="1" ht="23.4" hidden="1" customHeight="1" x14ac:dyDescent="0.3">
      <c r="A881" s="12" t="s">
        <v>39</v>
      </c>
      <c r="B881" s="12" t="s">
        <v>2496</v>
      </c>
      <c r="C881" s="12">
        <v>70</v>
      </c>
      <c r="D881" s="12">
        <v>233</v>
      </c>
      <c r="E881" s="12" t="s">
        <v>8551</v>
      </c>
      <c r="F881" s="283" t="s">
        <v>8770</v>
      </c>
      <c r="G881" s="12" t="str">
        <f t="shared" si="23"/>
        <v>70233902024779</v>
      </c>
      <c r="H881" s="12" t="s">
        <v>710</v>
      </c>
      <c r="I881" s="12">
        <v>902024779</v>
      </c>
      <c r="J881" s="12" t="s">
        <v>2725</v>
      </c>
      <c r="K881" s="12" t="s">
        <v>192</v>
      </c>
      <c r="L881" s="12">
        <v>3103155698</v>
      </c>
      <c r="M881" s="17" t="s">
        <v>8335</v>
      </c>
      <c r="N881" s="12" t="s">
        <v>127</v>
      </c>
      <c r="O881" s="12" t="s">
        <v>2822</v>
      </c>
      <c r="P881" s="88" t="s">
        <v>48</v>
      </c>
      <c r="Q881" s="13">
        <v>46098</v>
      </c>
      <c r="R881" s="12">
        <v>83</v>
      </c>
      <c r="S881" s="12" t="s">
        <v>49</v>
      </c>
      <c r="U881" s="12" t="s">
        <v>50</v>
      </c>
      <c r="V881" s="13">
        <v>45737</v>
      </c>
      <c r="W881" s="18">
        <v>0.86499999999999999</v>
      </c>
      <c r="X881" s="12" t="s">
        <v>49</v>
      </c>
      <c r="Z881" s="12" t="s">
        <v>50</v>
      </c>
      <c r="AA881" s="12" t="s">
        <v>51</v>
      </c>
      <c r="AB881" s="12" t="s">
        <v>51</v>
      </c>
      <c r="AC881" s="13" t="s">
        <v>2726</v>
      </c>
      <c r="AD881" s="16">
        <v>0.79</v>
      </c>
      <c r="AE881" s="13" t="s">
        <v>7696</v>
      </c>
      <c r="AF881" s="12" t="s">
        <v>50</v>
      </c>
      <c r="AI881" s="12" t="s">
        <v>593</v>
      </c>
      <c r="AJ881" s="18">
        <v>0.86499999999999999</v>
      </c>
      <c r="AK881" s="12" t="s">
        <v>87</v>
      </c>
      <c r="AL881" s="12" t="s">
        <v>60</v>
      </c>
      <c r="AM881" s="12" t="s">
        <v>52</v>
      </c>
      <c r="AN881" s="12" t="s">
        <v>52</v>
      </c>
      <c r="AU881" s="12" t="s">
        <v>53</v>
      </c>
    </row>
    <row r="882" spans="1:47" s="12" customFormat="1" ht="23.4" hidden="1" customHeight="1" x14ac:dyDescent="0.3">
      <c r="A882" s="12" t="s">
        <v>39</v>
      </c>
      <c r="B882" s="12" t="s">
        <v>2496</v>
      </c>
      <c r="C882" s="12">
        <v>70</v>
      </c>
      <c r="D882" s="12">
        <v>233</v>
      </c>
      <c r="E882" s="12" t="s">
        <v>8551</v>
      </c>
      <c r="F882" s="283" t="s">
        <v>8287</v>
      </c>
      <c r="G882" s="12" t="str">
        <f t="shared" si="23"/>
        <v>70233902024779</v>
      </c>
      <c r="H882" s="12" t="s">
        <v>710</v>
      </c>
      <c r="I882" s="12">
        <v>902024779</v>
      </c>
      <c r="J882" s="12" t="s">
        <v>2621</v>
      </c>
      <c r="K882" s="12" t="s">
        <v>133</v>
      </c>
      <c r="L882" s="12">
        <v>3103155698</v>
      </c>
      <c r="M882" s="17" t="s">
        <v>8335</v>
      </c>
      <c r="N882" s="12" t="s">
        <v>127</v>
      </c>
      <c r="O882" s="12" t="s">
        <v>2822</v>
      </c>
      <c r="P882" s="88" t="s">
        <v>48</v>
      </c>
      <c r="Q882" s="13">
        <v>46080</v>
      </c>
      <c r="R882" s="12" t="s">
        <v>8405</v>
      </c>
      <c r="S882" s="12" t="s">
        <v>49</v>
      </c>
      <c r="U882" s="12" t="s">
        <v>50</v>
      </c>
      <c r="V882" s="13">
        <v>45733</v>
      </c>
      <c r="W882" s="18" t="s">
        <v>203</v>
      </c>
      <c r="X882" s="12" t="s">
        <v>49</v>
      </c>
      <c r="Z882" s="12" t="s">
        <v>2881</v>
      </c>
      <c r="AC882" s="13">
        <v>45540</v>
      </c>
      <c r="AD882" s="16">
        <v>0.81</v>
      </c>
      <c r="AE882" s="13" t="s">
        <v>7696</v>
      </c>
      <c r="AU882" s="12" t="s">
        <v>53</v>
      </c>
    </row>
    <row r="883" spans="1:47" s="12" customFormat="1" ht="23.4" hidden="1" customHeight="1" x14ac:dyDescent="0.3">
      <c r="A883" s="12" t="s">
        <v>39</v>
      </c>
      <c r="B883" s="12" t="s">
        <v>2496</v>
      </c>
      <c r="C883" s="12">
        <v>70</v>
      </c>
      <c r="D883" s="12">
        <v>233</v>
      </c>
      <c r="E883" s="12" t="s">
        <v>8551</v>
      </c>
      <c r="F883" s="283" t="s">
        <v>8288</v>
      </c>
      <c r="G883" s="12" t="str">
        <f t="shared" si="23"/>
        <v>70233902024774</v>
      </c>
      <c r="H883" s="12" t="s">
        <v>710</v>
      </c>
      <c r="I883" s="12">
        <v>902024774</v>
      </c>
      <c r="J883" s="12" t="s">
        <v>8951</v>
      </c>
      <c r="K883" s="12" t="s">
        <v>133</v>
      </c>
      <c r="L883" s="12">
        <v>3234695363</v>
      </c>
      <c r="M883" s="17" t="s">
        <v>8335</v>
      </c>
      <c r="N883" s="12" t="s">
        <v>127</v>
      </c>
      <c r="O883" s="12" t="s">
        <v>2822</v>
      </c>
      <c r="P883" s="88" t="s">
        <v>48</v>
      </c>
      <c r="Q883" s="13">
        <v>46119</v>
      </c>
      <c r="R883" s="12">
        <v>85</v>
      </c>
      <c r="S883" s="12" t="s">
        <v>49</v>
      </c>
      <c r="U883" s="12" t="s">
        <v>60</v>
      </c>
      <c r="V883" s="13">
        <v>45729</v>
      </c>
      <c r="W883" s="18" t="s">
        <v>247</v>
      </c>
      <c r="X883" s="12" t="s">
        <v>49</v>
      </c>
      <c r="Z883" s="12" t="s">
        <v>2881</v>
      </c>
      <c r="AC883" s="13">
        <v>45483</v>
      </c>
      <c r="AD883" s="16">
        <v>0.86</v>
      </c>
      <c r="AE883" s="13" t="s">
        <v>7696</v>
      </c>
      <c r="AF883" s="12" t="s">
        <v>60</v>
      </c>
      <c r="AU883" s="12" t="s">
        <v>53</v>
      </c>
    </row>
    <row r="884" spans="1:47" s="12" customFormat="1" ht="23.4" hidden="1" customHeight="1" x14ac:dyDescent="0.3">
      <c r="A884" s="12" t="s">
        <v>39</v>
      </c>
      <c r="B884" s="12" t="s">
        <v>2496</v>
      </c>
      <c r="C884" s="12">
        <v>70</v>
      </c>
      <c r="D884" s="12">
        <v>233</v>
      </c>
      <c r="E884" s="12" t="s">
        <v>8551</v>
      </c>
      <c r="F884" s="283" t="s">
        <v>8289</v>
      </c>
      <c r="G884" s="12" t="str">
        <f t="shared" si="23"/>
        <v>70233902024779</v>
      </c>
      <c r="H884" s="12" t="s">
        <v>710</v>
      </c>
      <c r="I884" s="12">
        <v>902024779</v>
      </c>
      <c r="J884" s="12" t="s">
        <v>8290</v>
      </c>
      <c r="K884" s="12" t="s">
        <v>133</v>
      </c>
      <c r="L884" s="12">
        <v>3216903105</v>
      </c>
      <c r="M884" s="17" t="s">
        <v>8335</v>
      </c>
      <c r="N884" s="12" t="s">
        <v>127</v>
      </c>
      <c r="O884" s="12" t="s">
        <v>2822</v>
      </c>
      <c r="P884" s="88" t="s">
        <v>48</v>
      </c>
      <c r="Q884" s="13">
        <v>46105</v>
      </c>
      <c r="R884" s="12" t="s">
        <v>8405</v>
      </c>
      <c r="S884" s="12" t="s">
        <v>49</v>
      </c>
      <c r="U884" s="12" t="s">
        <v>60</v>
      </c>
      <c r="V884" s="13">
        <v>45735</v>
      </c>
      <c r="W884" s="18" t="s">
        <v>201</v>
      </c>
      <c r="X884" s="12" t="s">
        <v>49</v>
      </c>
      <c r="Z884" s="12" t="s">
        <v>2881</v>
      </c>
      <c r="AC884" s="13">
        <v>45483</v>
      </c>
      <c r="AD884" s="16" t="s">
        <v>1906</v>
      </c>
      <c r="AE884" s="13" t="s">
        <v>7696</v>
      </c>
      <c r="AU884" s="12" t="s">
        <v>53</v>
      </c>
    </row>
    <row r="885" spans="1:47" s="12" customFormat="1" ht="23.4" hidden="1" customHeight="1" x14ac:dyDescent="0.3">
      <c r="A885" s="12" t="s">
        <v>39</v>
      </c>
      <c r="B885" s="12" t="s">
        <v>2496</v>
      </c>
      <c r="C885" s="12">
        <v>70</v>
      </c>
      <c r="D885" s="12">
        <v>233</v>
      </c>
      <c r="E885" s="12" t="s">
        <v>8551</v>
      </c>
      <c r="F885" s="283" t="s">
        <v>8291</v>
      </c>
      <c r="G885" s="12" t="str">
        <f t="shared" si="23"/>
        <v>70233902024779</v>
      </c>
      <c r="H885" s="12" t="s">
        <v>710</v>
      </c>
      <c r="I885" s="12">
        <v>902024779</v>
      </c>
      <c r="J885" s="12" t="s">
        <v>8292</v>
      </c>
      <c r="K885" s="12" t="s">
        <v>133</v>
      </c>
      <c r="L885" s="12">
        <v>3207457058</v>
      </c>
      <c r="M885" s="17" t="s">
        <v>8335</v>
      </c>
      <c r="N885" s="12" t="s">
        <v>127</v>
      </c>
      <c r="O885" s="12" t="s">
        <v>2822</v>
      </c>
      <c r="P885" s="88" t="s">
        <v>48</v>
      </c>
      <c r="Q885" s="13">
        <v>46093</v>
      </c>
      <c r="R885" s="12">
        <v>80</v>
      </c>
      <c r="S885" s="12" t="s">
        <v>49</v>
      </c>
      <c r="U885" s="12" t="s">
        <v>50</v>
      </c>
      <c r="V885" s="13">
        <v>45754</v>
      </c>
      <c r="W885" s="16">
        <v>0.83</v>
      </c>
      <c r="X885" s="12" t="s">
        <v>49</v>
      </c>
      <c r="AD885" s="18"/>
    </row>
    <row r="886" spans="1:47" s="12" customFormat="1" ht="23.4" hidden="1" customHeight="1" x14ac:dyDescent="0.3">
      <c r="A886" s="12" t="s">
        <v>39</v>
      </c>
      <c r="B886" s="12" t="s">
        <v>2496</v>
      </c>
      <c r="C886" s="12">
        <v>70</v>
      </c>
      <c r="D886" s="12">
        <v>233</v>
      </c>
      <c r="E886" s="12" t="s">
        <v>8551</v>
      </c>
      <c r="F886" s="283" t="s">
        <v>8285</v>
      </c>
      <c r="G886" s="12" t="str">
        <f t="shared" si="23"/>
        <v>702339020247794</v>
      </c>
      <c r="H886" s="12" t="s">
        <v>710</v>
      </c>
      <c r="I886" s="12">
        <v>9020247794</v>
      </c>
      <c r="J886" s="12" t="s">
        <v>8286</v>
      </c>
      <c r="K886" s="12" t="s">
        <v>133</v>
      </c>
      <c r="L886" s="12">
        <v>3216903105</v>
      </c>
      <c r="M886" s="17" t="s">
        <v>8335</v>
      </c>
      <c r="N886" s="12" t="s">
        <v>127</v>
      </c>
      <c r="O886" s="12" t="s">
        <v>2822</v>
      </c>
      <c r="P886" s="88" t="s">
        <v>48</v>
      </c>
      <c r="Q886" s="13">
        <v>46105</v>
      </c>
      <c r="R886" s="12" t="s">
        <v>8405</v>
      </c>
      <c r="S886" s="12" t="s">
        <v>49</v>
      </c>
      <c r="U886" s="12" t="s">
        <v>50</v>
      </c>
      <c r="V886" s="13">
        <v>45734</v>
      </c>
      <c r="W886" s="18" t="s">
        <v>1996</v>
      </c>
      <c r="X886" s="12" t="s">
        <v>49</v>
      </c>
      <c r="Z886" s="12" t="s">
        <v>2881</v>
      </c>
      <c r="AC886" s="13">
        <v>45484</v>
      </c>
      <c r="AD886" s="16" t="s">
        <v>146</v>
      </c>
      <c r="AE886" s="13" t="s">
        <v>7696</v>
      </c>
      <c r="AF886" s="12" t="s">
        <v>60</v>
      </c>
      <c r="AU886" s="12" t="s">
        <v>53</v>
      </c>
    </row>
    <row r="887" spans="1:47" s="12" customFormat="1" ht="21.6" hidden="1" customHeight="1" x14ac:dyDescent="0.3">
      <c r="A887" s="12" t="s">
        <v>39</v>
      </c>
      <c r="B887" s="12" t="s">
        <v>2496</v>
      </c>
      <c r="C887" s="12">
        <v>70</v>
      </c>
      <c r="D887" s="12">
        <v>233</v>
      </c>
      <c r="E887" s="12" t="s">
        <v>2703</v>
      </c>
      <c r="F887" s="1" t="s">
        <v>2727</v>
      </c>
      <c r="G887" s="12" t="str">
        <f t="shared" si="23"/>
        <v>70233800247681-9</v>
      </c>
      <c r="H887" s="12" t="s">
        <v>2694</v>
      </c>
      <c r="I887" s="15" t="s">
        <v>2602</v>
      </c>
      <c r="J887" s="12" t="s">
        <v>2728</v>
      </c>
      <c r="K887" s="12" t="s">
        <v>230</v>
      </c>
      <c r="L887" s="12">
        <v>3006371809</v>
      </c>
      <c r="M887" s="17" t="s">
        <v>2695</v>
      </c>
      <c r="N887" s="12" t="s">
        <v>127</v>
      </c>
      <c r="O887" s="12" t="s">
        <v>2822</v>
      </c>
      <c r="P887" s="88" t="s">
        <v>48</v>
      </c>
      <c r="Q887" s="13">
        <v>45820</v>
      </c>
      <c r="R887" s="16">
        <v>0.87</v>
      </c>
      <c r="S887" s="12" t="s">
        <v>49</v>
      </c>
      <c r="T887" s="12" t="s">
        <v>2473</v>
      </c>
      <c r="U887" s="12" t="s">
        <v>50</v>
      </c>
      <c r="AA887" s="12" t="s">
        <v>51</v>
      </c>
      <c r="AB887" s="12" t="s">
        <v>51</v>
      </c>
      <c r="AU887" s="12" t="s">
        <v>53</v>
      </c>
    </row>
    <row r="888" spans="1:47" s="12" customFormat="1" ht="21.6" hidden="1" customHeight="1" x14ac:dyDescent="0.3">
      <c r="A888" s="12" t="s">
        <v>39</v>
      </c>
      <c r="B888" s="12" t="s">
        <v>2496</v>
      </c>
      <c r="C888" s="12">
        <v>70</v>
      </c>
      <c r="D888" s="12">
        <v>233</v>
      </c>
      <c r="E888" s="12" t="s">
        <v>232</v>
      </c>
      <c r="F888" s="1" t="s">
        <v>2729</v>
      </c>
      <c r="G888" s="12" t="str">
        <f t="shared" si="23"/>
        <v>70233823000723-9</v>
      </c>
      <c r="H888" s="12" t="s">
        <v>2730</v>
      </c>
      <c r="I888" s="15" t="s">
        <v>2709</v>
      </c>
      <c r="J888" s="12" t="s">
        <v>2731</v>
      </c>
      <c r="K888" s="12" t="s">
        <v>246</v>
      </c>
      <c r="L888" s="12">
        <v>3006371809</v>
      </c>
      <c r="M888" s="17" t="s">
        <v>45</v>
      </c>
      <c r="N888" s="12" t="s">
        <v>127</v>
      </c>
      <c r="O888" s="12" t="s">
        <v>2822</v>
      </c>
      <c r="P888" s="88" t="s">
        <v>48</v>
      </c>
      <c r="Q888" s="13" t="s">
        <v>2715</v>
      </c>
      <c r="R888" s="16">
        <v>0.76</v>
      </c>
      <c r="S888" s="12" t="s">
        <v>2470</v>
      </c>
      <c r="T888" s="12" t="s">
        <v>2461</v>
      </c>
      <c r="U888" s="12" t="s">
        <v>50</v>
      </c>
      <c r="V888" s="12" t="s">
        <v>919</v>
      </c>
      <c r="W888" s="18">
        <v>0.83499999999999996</v>
      </c>
      <c r="X888" s="12" t="s">
        <v>87</v>
      </c>
      <c r="Z888" s="12" t="s">
        <v>50</v>
      </c>
      <c r="AA888" s="12" t="s">
        <v>52</v>
      </c>
      <c r="AB888" s="12" t="s">
        <v>52</v>
      </c>
      <c r="AU888" s="12" t="s">
        <v>53</v>
      </c>
    </row>
    <row r="889" spans="1:47" s="12" customFormat="1" ht="21.6" hidden="1" customHeight="1" x14ac:dyDescent="0.3">
      <c r="A889" s="12" t="s">
        <v>39</v>
      </c>
      <c r="B889" s="12" t="s">
        <v>2496</v>
      </c>
      <c r="C889" s="12">
        <v>70</v>
      </c>
      <c r="D889" s="12">
        <v>233</v>
      </c>
      <c r="E889" s="12" t="s">
        <v>2696</v>
      </c>
      <c r="F889" s="1" t="s">
        <v>2732</v>
      </c>
      <c r="G889" s="12" t="str">
        <f t="shared" si="23"/>
        <v>70233823000732-9</v>
      </c>
      <c r="H889" s="12" t="s">
        <v>2733</v>
      </c>
      <c r="I889" s="15" t="s">
        <v>180</v>
      </c>
      <c r="J889" s="12" t="s">
        <v>2734</v>
      </c>
      <c r="K889" s="12" t="s">
        <v>246</v>
      </c>
      <c r="L889" s="12">
        <v>3233289646</v>
      </c>
      <c r="M889" s="17" t="s">
        <v>45</v>
      </c>
      <c r="N889" s="12" t="s">
        <v>127</v>
      </c>
      <c r="O889" s="12" t="s">
        <v>2822</v>
      </c>
      <c r="P889" s="88" t="s">
        <v>102</v>
      </c>
      <c r="Q889" s="13">
        <v>45477</v>
      </c>
      <c r="R889" s="16">
        <v>0.88</v>
      </c>
      <c r="S889" s="12" t="s">
        <v>87</v>
      </c>
      <c r="T889" s="12" t="s">
        <v>2461</v>
      </c>
      <c r="U889" s="12" t="s">
        <v>50</v>
      </c>
      <c r="AU889" s="12" t="s">
        <v>53</v>
      </c>
    </row>
    <row r="890" spans="1:47" s="12" customFormat="1" ht="15.75" hidden="1" customHeight="1" x14ac:dyDescent="0.3">
      <c r="A890" s="12" t="s">
        <v>39</v>
      </c>
      <c r="B890" s="12" t="s">
        <v>2496</v>
      </c>
      <c r="C890" s="12">
        <v>70</v>
      </c>
      <c r="D890" s="12">
        <v>233</v>
      </c>
      <c r="F890" s="1" t="s">
        <v>2735</v>
      </c>
      <c r="G890" s="12" t="str">
        <f t="shared" si="23"/>
        <v>70233823000732-9</v>
      </c>
      <c r="H890" s="12" t="s">
        <v>131</v>
      </c>
      <c r="I890" s="15" t="s">
        <v>180</v>
      </c>
      <c r="J890" s="12" t="s">
        <v>2736</v>
      </c>
      <c r="K890" s="12" t="s">
        <v>230</v>
      </c>
      <c r="L890" s="12">
        <v>3008716195</v>
      </c>
      <c r="M890" s="12" t="s">
        <v>45</v>
      </c>
      <c r="N890" s="12" t="s">
        <v>127</v>
      </c>
      <c r="O890" s="12" t="s">
        <v>2822</v>
      </c>
      <c r="P890" s="88" t="s">
        <v>48</v>
      </c>
      <c r="Q890" s="12" t="s">
        <v>2737</v>
      </c>
      <c r="R890" s="16">
        <v>0.94</v>
      </c>
      <c r="S890" s="12" t="s">
        <v>87</v>
      </c>
      <c r="T890" s="12" t="s">
        <v>2461</v>
      </c>
      <c r="U890" s="12" t="s">
        <v>50</v>
      </c>
      <c r="V890" s="13" t="s">
        <v>2738</v>
      </c>
      <c r="W890" s="16">
        <v>0.84</v>
      </c>
      <c r="X890" s="13" t="s">
        <v>69</v>
      </c>
      <c r="Z890" s="12" t="s">
        <v>60</v>
      </c>
      <c r="AA890" s="12" t="s">
        <v>51</v>
      </c>
      <c r="AB890" s="12" t="s">
        <v>51</v>
      </c>
      <c r="AU890" s="12" t="s">
        <v>53</v>
      </c>
    </row>
    <row r="891" spans="1:47" s="12" customFormat="1" ht="21" hidden="1" customHeight="1" x14ac:dyDescent="0.3">
      <c r="A891" s="12" t="s">
        <v>39</v>
      </c>
      <c r="B891" s="12" t="s">
        <v>2496</v>
      </c>
      <c r="C891" s="12">
        <v>70</v>
      </c>
      <c r="D891" s="12">
        <v>233</v>
      </c>
      <c r="F891" s="43" t="s">
        <v>2739</v>
      </c>
      <c r="G891" s="12" t="str">
        <f t="shared" si="23"/>
        <v>70233901820624-2</v>
      </c>
      <c r="H891" s="12" t="s">
        <v>2740</v>
      </c>
      <c r="I891" s="12" t="s">
        <v>2701</v>
      </c>
      <c r="J891" s="12" t="s">
        <v>2741</v>
      </c>
      <c r="K891" s="12" t="s">
        <v>230</v>
      </c>
      <c r="L891" s="12">
        <v>3106454841</v>
      </c>
      <c r="M891" s="12" t="s">
        <v>45</v>
      </c>
      <c r="N891" s="12" t="s">
        <v>127</v>
      </c>
      <c r="O891" s="12" t="s">
        <v>2822</v>
      </c>
      <c r="P891" s="88" t="s">
        <v>48</v>
      </c>
      <c r="Q891" s="13">
        <v>45421</v>
      </c>
      <c r="R891" s="16">
        <v>0.81</v>
      </c>
      <c r="S891" s="13" t="s">
        <v>49</v>
      </c>
      <c r="U891" s="12" t="s">
        <v>60</v>
      </c>
      <c r="AU891" s="12" t="s">
        <v>53</v>
      </c>
    </row>
    <row r="892" spans="1:47" s="12" customFormat="1" ht="21" hidden="1" customHeight="1" x14ac:dyDescent="0.3">
      <c r="A892" s="12" t="s">
        <v>39</v>
      </c>
      <c r="B892" s="12" t="s">
        <v>2496</v>
      </c>
      <c r="C892" s="12">
        <v>70</v>
      </c>
      <c r="D892" s="12">
        <v>233</v>
      </c>
      <c r="E892" s="12" t="s">
        <v>8493</v>
      </c>
      <c r="F892" s="43" t="s">
        <v>8494</v>
      </c>
      <c r="G892" s="12" t="str">
        <f t="shared" si="23"/>
        <v>702338230030329</v>
      </c>
      <c r="H892" s="12" t="s">
        <v>2365</v>
      </c>
      <c r="I892" s="12">
        <v>8230030329</v>
      </c>
      <c r="J892" s="12" t="s">
        <v>8495</v>
      </c>
      <c r="K892" s="12" t="s">
        <v>230</v>
      </c>
      <c r="L892" s="12">
        <v>3218858467</v>
      </c>
      <c r="N892" s="12" t="s">
        <v>127</v>
      </c>
      <c r="O892" s="12" t="s">
        <v>2822</v>
      </c>
      <c r="P892" s="88" t="s">
        <v>48</v>
      </c>
      <c r="Q892" s="13">
        <v>45944</v>
      </c>
      <c r="R892" s="16">
        <v>0.82</v>
      </c>
      <c r="S892" s="13" t="s">
        <v>49</v>
      </c>
      <c r="U892" s="12" t="s">
        <v>60</v>
      </c>
      <c r="AU892" s="12" t="s">
        <v>1208</v>
      </c>
    </row>
    <row r="893" spans="1:47" s="12" customFormat="1" ht="14.4" x14ac:dyDescent="0.3">
      <c r="A893" s="12" t="s">
        <v>39</v>
      </c>
      <c r="B893" s="12" t="s">
        <v>2496</v>
      </c>
      <c r="C893" s="12">
        <v>70</v>
      </c>
      <c r="D893" s="12">
        <v>233</v>
      </c>
      <c r="F893" s="12" t="s">
        <v>2742</v>
      </c>
      <c r="G893" s="12" t="str">
        <f t="shared" si="23"/>
        <v>7023332520171</v>
      </c>
      <c r="H893" s="12" t="s">
        <v>2743</v>
      </c>
      <c r="I893" s="12">
        <v>32520171</v>
      </c>
      <c r="J893" s="12" t="s">
        <v>2744</v>
      </c>
      <c r="K893" s="12" t="s">
        <v>230</v>
      </c>
      <c r="L893" s="12" t="s">
        <v>45</v>
      </c>
      <c r="M893" s="12" t="s">
        <v>45</v>
      </c>
      <c r="N893" s="12" t="s">
        <v>46</v>
      </c>
      <c r="O893" s="12" t="s">
        <v>47</v>
      </c>
      <c r="P893" s="88" t="s">
        <v>48</v>
      </c>
      <c r="AU893" s="12" t="s">
        <v>164</v>
      </c>
    </row>
    <row r="894" spans="1:47" s="12" customFormat="1" ht="14.4" x14ac:dyDescent="0.3">
      <c r="A894" s="12" t="s">
        <v>39</v>
      </c>
      <c r="B894" s="12" t="s">
        <v>2496</v>
      </c>
      <c r="C894" s="12">
        <v>70</v>
      </c>
      <c r="D894" s="12">
        <v>233</v>
      </c>
      <c r="F894" s="275" t="s">
        <v>2745</v>
      </c>
      <c r="G894" s="12" t="str">
        <f t="shared" si="23"/>
        <v>7023364578374</v>
      </c>
      <c r="H894" s="12" t="s">
        <v>2746</v>
      </c>
      <c r="I894" s="12">
        <v>64578374</v>
      </c>
      <c r="J894" s="12" t="s">
        <v>2747</v>
      </c>
      <c r="K894" s="12" t="s">
        <v>230</v>
      </c>
      <c r="L894" s="12" t="s">
        <v>45</v>
      </c>
      <c r="M894" s="12" t="s">
        <v>45</v>
      </c>
      <c r="N894" s="12" t="s">
        <v>46</v>
      </c>
      <c r="O894" s="12" t="s">
        <v>47</v>
      </c>
      <c r="P894" s="88" t="s">
        <v>48</v>
      </c>
      <c r="AU894" s="12" t="s">
        <v>164</v>
      </c>
    </row>
    <row r="895" spans="1:47" s="12" customFormat="1" ht="14.4" x14ac:dyDescent="0.3">
      <c r="A895" s="12" t="s">
        <v>39</v>
      </c>
      <c r="B895" s="12" t="s">
        <v>2496</v>
      </c>
      <c r="C895" s="12">
        <v>70</v>
      </c>
      <c r="D895" s="12">
        <v>233</v>
      </c>
      <c r="F895" s="275" t="s">
        <v>2748</v>
      </c>
      <c r="G895" s="12" t="str">
        <f t="shared" si="23"/>
        <v>7023322876240</v>
      </c>
      <c r="H895" s="12" t="s">
        <v>9161</v>
      </c>
      <c r="I895" s="12">
        <v>22876240</v>
      </c>
      <c r="J895" s="12" t="s">
        <v>2508</v>
      </c>
      <c r="K895" s="12" t="s">
        <v>230</v>
      </c>
      <c r="L895" s="12">
        <v>3235395081</v>
      </c>
      <c r="M895" s="12" t="s">
        <v>9162</v>
      </c>
      <c r="N895" s="12" t="s">
        <v>46</v>
      </c>
      <c r="O895" s="12" t="s">
        <v>47</v>
      </c>
      <c r="P895" s="88" t="s">
        <v>48</v>
      </c>
      <c r="Q895" s="13">
        <v>46216</v>
      </c>
      <c r="R895" s="12">
        <v>60</v>
      </c>
      <c r="S895" s="12" t="s">
        <v>49</v>
      </c>
      <c r="T895" s="12" t="s">
        <v>8954</v>
      </c>
      <c r="U895" s="12" t="s">
        <v>60</v>
      </c>
      <c r="V895" s="13">
        <v>45757</v>
      </c>
      <c r="W895" s="12" t="s">
        <v>2749</v>
      </c>
      <c r="X895" s="12" t="s">
        <v>49</v>
      </c>
      <c r="Y895" s="12" t="s">
        <v>2473</v>
      </c>
      <c r="Z895" s="12" t="s">
        <v>50</v>
      </c>
      <c r="AA895" s="12" t="s">
        <v>51</v>
      </c>
      <c r="AB895" s="12" t="s">
        <v>51</v>
      </c>
      <c r="AC895" s="13">
        <v>45387</v>
      </c>
      <c r="AD895" s="16">
        <v>0.75</v>
      </c>
      <c r="AE895" s="12" t="s">
        <v>7696</v>
      </c>
      <c r="AF895" s="12" t="s">
        <v>60</v>
      </c>
      <c r="AG895" s="12" t="s">
        <v>51</v>
      </c>
      <c r="AH895" s="12" t="s">
        <v>2750</v>
      </c>
      <c r="AI895" s="13">
        <v>45057</v>
      </c>
      <c r="AJ895" s="16">
        <v>0.82</v>
      </c>
      <c r="AK895" s="12" t="s">
        <v>87</v>
      </c>
      <c r="AL895" s="12" t="s">
        <v>50</v>
      </c>
      <c r="AM895" s="12" t="s">
        <v>52</v>
      </c>
      <c r="AN895" s="12" t="s">
        <v>52</v>
      </c>
      <c r="AO895" s="13">
        <v>44634</v>
      </c>
      <c r="AP895" s="16">
        <v>0.79500000000000004</v>
      </c>
      <c r="AQ895" s="13" t="s">
        <v>49</v>
      </c>
      <c r="AR895" s="12" t="s">
        <v>50</v>
      </c>
      <c r="AU895" s="12" t="s">
        <v>53</v>
      </c>
    </row>
    <row r="896" spans="1:47" s="12" customFormat="1" ht="14.4" x14ac:dyDescent="0.3">
      <c r="A896" s="12" t="s">
        <v>505</v>
      </c>
      <c r="B896" s="12" t="s">
        <v>2496</v>
      </c>
      <c r="C896" s="12">
        <v>70</v>
      </c>
      <c r="D896" s="12">
        <v>233</v>
      </c>
      <c r="F896" s="275" t="s">
        <v>2751</v>
      </c>
      <c r="G896" s="12" t="str">
        <f t="shared" si="23"/>
        <v>702333843939</v>
      </c>
      <c r="H896" s="12" t="s">
        <v>2752</v>
      </c>
      <c r="I896" s="15">
        <v>3843939</v>
      </c>
      <c r="J896" s="12" t="s">
        <v>2753</v>
      </c>
      <c r="K896" s="12" t="s">
        <v>230</v>
      </c>
      <c r="L896" s="12">
        <v>3137116993</v>
      </c>
      <c r="M896" s="17" t="s">
        <v>9160</v>
      </c>
      <c r="N896" s="12" t="s">
        <v>46</v>
      </c>
      <c r="O896" s="12" t="s">
        <v>47</v>
      </c>
      <c r="P896" s="88" t="s">
        <v>48</v>
      </c>
      <c r="Q896" s="13">
        <v>46227</v>
      </c>
      <c r="R896" s="12">
        <v>64</v>
      </c>
      <c r="S896" s="12" t="s">
        <v>74</v>
      </c>
      <c r="T896" s="12" t="s">
        <v>8954</v>
      </c>
      <c r="U896" s="12" t="s">
        <v>50</v>
      </c>
      <c r="V896" s="13">
        <v>45875</v>
      </c>
      <c r="W896" s="16" t="s">
        <v>167</v>
      </c>
      <c r="X896" s="12" t="s">
        <v>49</v>
      </c>
      <c r="Y896" s="12" t="s">
        <v>2473</v>
      </c>
      <c r="Z896" s="12" t="s">
        <v>50</v>
      </c>
      <c r="AA896" s="12" t="s">
        <v>51</v>
      </c>
      <c r="AB896" s="12" t="s">
        <v>51</v>
      </c>
      <c r="AC896" s="12" t="s">
        <v>516</v>
      </c>
      <c r="AD896" s="18">
        <v>0.78500000000000003</v>
      </c>
      <c r="AE896" s="12" t="s">
        <v>7696</v>
      </c>
      <c r="AF896" s="12" t="s">
        <v>60</v>
      </c>
      <c r="AG896" s="12" t="s">
        <v>52</v>
      </c>
      <c r="AH896" s="12" t="s">
        <v>52</v>
      </c>
      <c r="AI896" s="12" t="s">
        <v>2754</v>
      </c>
      <c r="AJ896" s="16">
        <v>0.89</v>
      </c>
      <c r="AK896" s="12" t="s">
        <v>87</v>
      </c>
      <c r="AL896" s="12" t="s">
        <v>60</v>
      </c>
      <c r="AU896" s="12" t="s">
        <v>53</v>
      </c>
    </row>
    <row r="897" spans="1:47" s="12" customFormat="1" ht="14.4" hidden="1" x14ac:dyDescent="0.3">
      <c r="A897" s="12" t="s">
        <v>505</v>
      </c>
      <c r="B897" s="12" t="s">
        <v>2496</v>
      </c>
      <c r="C897" s="12">
        <v>70</v>
      </c>
      <c r="D897" s="12">
        <v>233</v>
      </c>
      <c r="F897" s="275" t="s">
        <v>9016</v>
      </c>
      <c r="G897" s="12" t="str">
        <f t="shared" si="23"/>
        <v>7023392541586</v>
      </c>
      <c r="H897" s="12" t="s">
        <v>9017</v>
      </c>
      <c r="I897" s="15">
        <v>92541586</v>
      </c>
      <c r="J897" s="12" t="s">
        <v>9018</v>
      </c>
      <c r="K897" s="12" t="s">
        <v>230</v>
      </c>
      <c r="M897" s="17"/>
      <c r="N897" s="12" t="s">
        <v>46</v>
      </c>
      <c r="O897" s="12" t="s">
        <v>101</v>
      </c>
      <c r="P897" s="88" t="s">
        <v>48</v>
      </c>
      <c r="Q897" s="13"/>
      <c r="R897" s="16"/>
      <c r="W897" s="18"/>
      <c r="AD897" s="16"/>
    </row>
    <row r="898" spans="1:47" s="12" customFormat="1" ht="14.4" hidden="1" x14ac:dyDescent="0.3">
      <c r="A898" s="12" t="s">
        <v>39</v>
      </c>
      <c r="B898" s="12" t="s">
        <v>2496</v>
      </c>
      <c r="C898" s="12">
        <v>70</v>
      </c>
      <c r="D898" s="12">
        <v>233</v>
      </c>
      <c r="F898" s="12" t="s">
        <v>2755</v>
      </c>
      <c r="G898" s="12" t="str">
        <f t="shared" si="23"/>
        <v>702337023364919360</v>
      </c>
      <c r="H898" s="12" t="s">
        <v>2756</v>
      </c>
      <c r="I898" s="15">
        <v>7023364919360</v>
      </c>
      <c r="J898" s="12" t="s">
        <v>2757</v>
      </c>
      <c r="K898" s="12" t="s">
        <v>246</v>
      </c>
      <c r="L898" s="12">
        <v>3203228405</v>
      </c>
      <c r="M898" s="17" t="s">
        <v>45</v>
      </c>
      <c r="N898" s="12" t="s">
        <v>46</v>
      </c>
      <c r="O898" s="12" t="s">
        <v>101</v>
      </c>
      <c r="P898" s="88" t="s">
        <v>48</v>
      </c>
      <c r="Q898" s="13" t="s">
        <v>2699</v>
      </c>
      <c r="R898" s="16">
        <v>0.72</v>
      </c>
      <c r="S898" s="12" t="s">
        <v>135</v>
      </c>
      <c r="T898" s="12" t="s">
        <v>2461</v>
      </c>
      <c r="U898" s="12" t="s">
        <v>60</v>
      </c>
      <c r="V898" s="13">
        <v>45261</v>
      </c>
      <c r="W898" s="18">
        <v>0.78</v>
      </c>
      <c r="X898" s="12" t="s">
        <v>87</v>
      </c>
      <c r="Z898" s="12" t="s">
        <v>60</v>
      </c>
      <c r="AA898" s="12" t="s">
        <v>52</v>
      </c>
      <c r="AB898" s="12" t="s">
        <v>52</v>
      </c>
      <c r="AD898" s="16"/>
      <c r="AU898" s="12" t="s">
        <v>53</v>
      </c>
    </row>
    <row r="899" spans="1:47" s="12" customFormat="1" ht="15" customHeight="1" x14ac:dyDescent="0.3">
      <c r="A899" s="12" t="s">
        <v>39</v>
      </c>
      <c r="B899" s="12" t="s">
        <v>2787</v>
      </c>
      <c r="C899" s="12">
        <v>70</v>
      </c>
      <c r="D899" s="12">
        <v>235</v>
      </c>
      <c r="F899" s="12" t="s">
        <v>2758</v>
      </c>
      <c r="G899" s="12" t="str">
        <f t="shared" ref="G899:G933" si="24">C899&amp;D899&amp;I899</f>
        <v>702351100543975</v>
      </c>
      <c r="H899" s="12" t="s">
        <v>2759</v>
      </c>
      <c r="I899" s="12">
        <v>1100543975</v>
      </c>
      <c r="J899" s="12" t="s">
        <v>2760</v>
      </c>
      <c r="K899" s="12" t="s">
        <v>230</v>
      </c>
      <c r="L899" s="12" t="s">
        <v>45</v>
      </c>
      <c r="M899" s="17" t="s">
        <v>45</v>
      </c>
      <c r="N899" s="12" t="s">
        <v>46</v>
      </c>
      <c r="O899" s="12" t="s">
        <v>47</v>
      </c>
      <c r="P899" s="88" t="s">
        <v>102</v>
      </c>
      <c r="Q899" s="13">
        <v>45260</v>
      </c>
      <c r="R899" s="16">
        <v>0.88500000000000001</v>
      </c>
      <c r="S899" s="12" t="s">
        <v>49</v>
      </c>
      <c r="U899" s="12" t="s">
        <v>50</v>
      </c>
      <c r="AU899" s="12" t="s">
        <v>1208</v>
      </c>
    </row>
    <row r="900" spans="1:47" s="12" customFormat="1" ht="14.4" x14ac:dyDescent="0.3">
      <c r="A900" s="12" t="s">
        <v>39</v>
      </c>
      <c r="B900" s="12" t="s">
        <v>2787</v>
      </c>
      <c r="C900" s="12">
        <v>70</v>
      </c>
      <c r="D900" s="12">
        <v>235</v>
      </c>
      <c r="F900" s="12" t="s">
        <v>2761</v>
      </c>
      <c r="G900" s="12" t="str">
        <f t="shared" si="24"/>
        <v>7023592095969</v>
      </c>
      <c r="H900" s="12" t="s">
        <v>2762</v>
      </c>
      <c r="I900" s="12">
        <v>92095969</v>
      </c>
      <c r="J900" s="12" t="s">
        <v>2763</v>
      </c>
      <c r="K900" s="12" t="s">
        <v>230</v>
      </c>
      <c r="L900" s="12" t="s">
        <v>45</v>
      </c>
      <c r="M900" s="17" t="s">
        <v>45</v>
      </c>
      <c r="N900" s="12" t="s">
        <v>46</v>
      </c>
      <c r="O900" s="12" t="s">
        <v>47</v>
      </c>
      <c r="P900" s="88" t="s">
        <v>102</v>
      </c>
      <c r="Q900" s="13">
        <v>45079</v>
      </c>
      <c r="R900" s="16">
        <v>0.85499999999999998</v>
      </c>
      <c r="S900" s="12" t="s">
        <v>49</v>
      </c>
      <c r="U900" s="12" t="s">
        <v>50</v>
      </c>
      <c r="V900" s="13"/>
      <c r="W900" s="16"/>
      <c r="AC900" s="13"/>
      <c r="AD900" s="16"/>
      <c r="AU900" s="12" t="s">
        <v>1208</v>
      </c>
    </row>
    <row r="901" spans="1:47" s="12" customFormat="1" ht="14.4" x14ac:dyDescent="0.3">
      <c r="A901" s="12" t="s">
        <v>39</v>
      </c>
      <c r="B901" s="12" t="s">
        <v>2787</v>
      </c>
      <c r="C901" s="12">
        <v>70</v>
      </c>
      <c r="D901" s="12">
        <v>235</v>
      </c>
      <c r="F901" s="12" t="s">
        <v>2764</v>
      </c>
      <c r="G901" s="12" t="str">
        <f t="shared" si="24"/>
        <v>7023533084342</v>
      </c>
      <c r="H901" s="12" t="s">
        <v>2765</v>
      </c>
      <c r="I901" s="12">
        <v>33084342</v>
      </c>
      <c r="J901" s="12" t="s">
        <v>2766</v>
      </c>
      <c r="K901" s="12" t="s">
        <v>230</v>
      </c>
      <c r="L901" s="12">
        <v>3164912778</v>
      </c>
      <c r="M901" s="12" t="s">
        <v>2767</v>
      </c>
      <c r="N901" s="12" t="s">
        <v>46</v>
      </c>
      <c r="O901" s="12" t="s">
        <v>47</v>
      </c>
      <c r="P901" s="88" t="s">
        <v>102</v>
      </c>
      <c r="Q901" s="13">
        <v>45758</v>
      </c>
      <c r="R901" s="12" t="s">
        <v>2768</v>
      </c>
      <c r="S901" s="12" t="s">
        <v>49</v>
      </c>
      <c r="U901" s="12" t="s">
        <v>50</v>
      </c>
      <c r="V901" s="13"/>
      <c r="W901" s="16"/>
      <c r="AC901" s="13"/>
      <c r="AD901" s="16"/>
      <c r="AU901" s="12" t="s">
        <v>1208</v>
      </c>
    </row>
    <row r="902" spans="1:47" s="12" customFormat="1" ht="14.4" x14ac:dyDescent="0.3">
      <c r="A902" s="12" t="s">
        <v>39</v>
      </c>
      <c r="B902" s="12" t="s">
        <v>2787</v>
      </c>
      <c r="C902" s="12">
        <v>70</v>
      </c>
      <c r="D902" s="12">
        <v>235</v>
      </c>
      <c r="F902" s="12" t="s">
        <v>2769</v>
      </c>
      <c r="G902" s="12" t="str">
        <f t="shared" si="24"/>
        <v>7023533083749</v>
      </c>
      <c r="H902" s="12" t="s">
        <v>2770</v>
      </c>
      <c r="I902" s="12">
        <v>33083749</v>
      </c>
      <c r="J902" s="12" t="s">
        <v>2771</v>
      </c>
      <c r="K902" s="12" t="s">
        <v>230</v>
      </c>
      <c r="L902" s="12">
        <v>3006872390</v>
      </c>
      <c r="M902" s="12" t="s">
        <v>45</v>
      </c>
      <c r="N902" s="12" t="s">
        <v>46</v>
      </c>
      <c r="O902" s="12" t="s">
        <v>47</v>
      </c>
      <c r="P902" s="88" t="s">
        <v>102</v>
      </c>
      <c r="R902" s="16"/>
      <c r="V902" s="13"/>
      <c r="W902" s="16"/>
      <c r="AC902" s="13"/>
      <c r="AD902" s="16"/>
      <c r="AU902" s="12" t="s">
        <v>1208</v>
      </c>
    </row>
    <row r="903" spans="1:47" s="12" customFormat="1" ht="14.4" x14ac:dyDescent="0.3">
      <c r="A903" s="12" t="s">
        <v>39</v>
      </c>
      <c r="B903" s="12" t="s">
        <v>2787</v>
      </c>
      <c r="C903" s="12">
        <v>70</v>
      </c>
      <c r="D903" s="12">
        <v>235</v>
      </c>
      <c r="F903" s="12" t="s">
        <v>55</v>
      </c>
      <c r="G903" s="12" t="str">
        <f t="shared" si="24"/>
        <v>70235920971325</v>
      </c>
      <c r="H903" s="12" t="s">
        <v>2772</v>
      </c>
      <c r="I903" s="12">
        <v>920971325</v>
      </c>
      <c r="J903" s="12" t="s">
        <v>2773</v>
      </c>
      <c r="K903" s="12" t="s">
        <v>230</v>
      </c>
      <c r="L903" s="12">
        <v>3235373656</v>
      </c>
      <c r="M903" s="12" t="s">
        <v>45</v>
      </c>
      <c r="N903" s="12" t="s">
        <v>46</v>
      </c>
      <c r="O903" s="12" t="s">
        <v>47</v>
      </c>
      <c r="P903" s="88" t="s">
        <v>102</v>
      </c>
      <c r="R903" s="16"/>
      <c r="V903" s="13"/>
      <c r="W903" s="16"/>
      <c r="AC903" s="13"/>
      <c r="AD903" s="16"/>
      <c r="AU903" s="12" t="s">
        <v>1208</v>
      </c>
    </row>
    <row r="904" spans="1:47" s="12" customFormat="1" ht="14.4" x14ac:dyDescent="0.3">
      <c r="A904" s="12" t="s">
        <v>39</v>
      </c>
      <c r="B904" s="12" t="s">
        <v>2787</v>
      </c>
      <c r="C904" s="12">
        <v>70</v>
      </c>
      <c r="D904" s="12">
        <v>235</v>
      </c>
      <c r="F904" s="275" t="s">
        <v>9172</v>
      </c>
      <c r="G904" s="12" t="str">
        <f t="shared" si="24"/>
        <v>702351100543478</v>
      </c>
      <c r="H904" s="12" t="s">
        <v>2893</v>
      </c>
      <c r="I904" s="12">
        <v>1100543478</v>
      </c>
      <c r="J904" s="12" t="s">
        <v>9173</v>
      </c>
      <c r="K904" s="12" t="s">
        <v>44</v>
      </c>
      <c r="L904" s="12">
        <v>3218988874</v>
      </c>
      <c r="M904" s="12" t="s">
        <v>9174</v>
      </c>
      <c r="N904" s="12" t="s">
        <v>46</v>
      </c>
      <c r="O904" s="12" t="s">
        <v>47</v>
      </c>
      <c r="P904" s="88" t="s">
        <v>48</v>
      </c>
      <c r="Q904" s="13">
        <v>46213</v>
      </c>
      <c r="R904" s="12" t="s">
        <v>8270</v>
      </c>
      <c r="S904" s="12" t="s">
        <v>49</v>
      </c>
      <c r="T904" s="12" t="s">
        <v>8776</v>
      </c>
      <c r="U904" s="12" t="s">
        <v>2456</v>
      </c>
      <c r="V904" s="13"/>
      <c r="W904" s="16"/>
      <c r="AC904" s="13"/>
      <c r="AD904" s="16"/>
      <c r="AU904" s="12" t="s">
        <v>53</v>
      </c>
    </row>
    <row r="905" spans="1:47" s="12" customFormat="1" ht="14.4" x14ac:dyDescent="0.3">
      <c r="A905" s="12" t="s">
        <v>39</v>
      </c>
      <c r="B905" s="12" t="s">
        <v>2787</v>
      </c>
      <c r="C905" s="12">
        <v>70</v>
      </c>
      <c r="D905" s="12">
        <v>235</v>
      </c>
      <c r="F905" s="12" t="s">
        <v>2774</v>
      </c>
      <c r="G905" s="12" t="str">
        <f t="shared" si="24"/>
        <v>70235330834886</v>
      </c>
      <c r="H905" s="12" t="s">
        <v>2775</v>
      </c>
      <c r="I905" s="12">
        <v>330834886</v>
      </c>
      <c r="J905" s="12" t="s">
        <v>2776</v>
      </c>
      <c r="K905" s="12" t="s">
        <v>230</v>
      </c>
      <c r="L905" s="12">
        <v>3137313033</v>
      </c>
      <c r="M905" s="104" t="s">
        <v>2777</v>
      </c>
      <c r="N905" s="12" t="s">
        <v>46</v>
      </c>
      <c r="O905" s="12" t="s">
        <v>47</v>
      </c>
      <c r="P905" s="88" t="s">
        <v>102</v>
      </c>
      <c r="Q905" s="13">
        <v>45851</v>
      </c>
      <c r="R905" s="16" t="s">
        <v>1937</v>
      </c>
      <c r="S905" s="12" t="s">
        <v>49</v>
      </c>
      <c r="U905" s="12" t="s">
        <v>50</v>
      </c>
      <c r="V905" s="13">
        <v>45457</v>
      </c>
      <c r="W905" s="16" t="s">
        <v>167</v>
      </c>
      <c r="X905" s="12" t="s">
        <v>49</v>
      </c>
      <c r="Z905" s="12" t="s">
        <v>60</v>
      </c>
      <c r="AA905" s="12" t="s">
        <v>51</v>
      </c>
      <c r="AB905" s="12" t="s">
        <v>51</v>
      </c>
      <c r="AC905" s="13">
        <v>45063</v>
      </c>
      <c r="AD905" s="16">
        <v>0.73499999999999999</v>
      </c>
      <c r="AE905" s="12" t="s">
        <v>49</v>
      </c>
      <c r="AF905" s="12" t="s">
        <v>50</v>
      </c>
      <c r="AI905" s="13"/>
      <c r="AJ905" s="16"/>
      <c r="AU905" s="12" t="s">
        <v>1208</v>
      </c>
    </row>
    <row r="906" spans="1:47" s="12" customFormat="1" ht="14.4" x14ac:dyDescent="0.3">
      <c r="A906" s="12" t="s">
        <v>39</v>
      </c>
      <c r="B906" s="12" t="s">
        <v>2787</v>
      </c>
      <c r="C906" s="12">
        <v>70</v>
      </c>
      <c r="D906" s="12">
        <v>235</v>
      </c>
      <c r="F906" s="12" t="s">
        <v>2778</v>
      </c>
      <c r="G906" s="12" t="str">
        <f t="shared" si="24"/>
        <v>7023592099604</v>
      </c>
      <c r="H906" s="12" t="s">
        <v>2779</v>
      </c>
      <c r="I906" s="12">
        <v>92099604</v>
      </c>
      <c r="J906" s="12" t="s">
        <v>2780</v>
      </c>
      <c r="K906" s="12" t="s">
        <v>230</v>
      </c>
      <c r="L906" s="12" t="s">
        <v>45</v>
      </c>
      <c r="M906" s="12" t="s">
        <v>45</v>
      </c>
      <c r="N906" s="12" t="s">
        <v>46</v>
      </c>
      <c r="O906" s="12" t="s">
        <v>47</v>
      </c>
      <c r="P906" s="88" t="s">
        <v>102</v>
      </c>
      <c r="Q906" s="13">
        <v>44908</v>
      </c>
      <c r="R906" s="16">
        <v>0.79</v>
      </c>
      <c r="S906" s="12" t="s">
        <v>49</v>
      </c>
      <c r="U906" s="12" t="s">
        <v>50</v>
      </c>
      <c r="V906" s="13"/>
      <c r="W906" s="16"/>
      <c r="AC906" s="13"/>
      <c r="AD906" s="16"/>
      <c r="AI906" s="13"/>
      <c r="AJ906" s="16"/>
      <c r="AU906" s="12" t="s">
        <v>1208</v>
      </c>
    </row>
    <row r="907" spans="1:47" s="12" customFormat="1" ht="14.4" x14ac:dyDescent="0.3">
      <c r="A907" s="12" t="s">
        <v>39</v>
      </c>
      <c r="B907" s="12" t="s">
        <v>2787</v>
      </c>
      <c r="C907" s="12">
        <v>70</v>
      </c>
      <c r="D907" s="12">
        <v>235</v>
      </c>
      <c r="E907" s="12" t="s">
        <v>8771</v>
      </c>
      <c r="F907" s="275" t="s">
        <v>8772</v>
      </c>
      <c r="G907" s="12" t="str">
        <f t="shared" si="24"/>
        <v>7023533082660</v>
      </c>
      <c r="H907" s="12" t="s">
        <v>8773</v>
      </c>
      <c r="I907" s="12">
        <v>33082660</v>
      </c>
      <c r="J907" s="12" t="s">
        <v>8774</v>
      </c>
      <c r="K907" s="12" t="s">
        <v>133</v>
      </c>
      <c r="L907" s="12">
        <v>3014001605</v>
      </c>
      <c r="M907" s="12" t="s">
        <v>8775</v>
      </c>
      <c r="N907" s="12" t="s">
        <v>46</v>
      </c>
      <c r="O907" s="12" t="s">
        <v>47</v>
      </c>
      <c r="P907" s="88" t="s">
        <v>48</v>
      </c>
      <c r="Q907" s="13">
        <v>46129</v>
      </c>
      <c r="R907" s="12">
        <v>70</v>
      </c>
      <c r="S907" s="12" t="s">
        <v>49</v>
      </c>
      <c r="T907" s="12" t="s">
        <v>8776</v>
      </c>
      <c r="U907" s="12" t="s">
        <v>2456</v>
      </c>
      <c r="V907" s="13"/>
      <c r="W907" s="16"/>
      <c r="AC907" s="13"/>
      <c r="AD907" s="16"/>
      <c r="AI907" s="13"/>
      <c r="AJ907" s="16"/>
      <c r="AU907" s="12" t="s">
        <v>53</v>
      </c>
    </row>
    <row r="908" spans="1:47" s="12" customFormat="1" ht="14.4" x14ac:dyDescent="0.3">
      <c r="A908" s="12" t="s">
        <v>39</v>
      </c>
      <c r="B908" s="12" t="s">
        <v>2787</v>
      </c>
      <c r="C908" s="12">
        <v>70</v>
      </c>
      <c r="D908" s="12">
        <v>235</v>
      </c>
      <c r="F908" s="275" t="s">
        <v>8781</v>
      </c>
      <c r="G908" s="12" t="str">
        <f t="shared" si="24"/>
        <v>7023592095842</v>
      </c>
      <c r="H908" s="12" t="s">
        <v>8782</v>
      </c>
      <c r="I908" s="12">
        <v>92095842</v>
      </c>
      <c r="J908" s="12" t="s">
        <v>8783</v>
      </c>
      <c r="K908" s="12" t="s">
        <v>44</v>
      </c>
      <c r="L908" s="12">
        <v>3205176358</v>
      </c>
      <c r="M908" s="12" t="s">
        <v>8784</v>
      </c>
      <c r="N908" s="12" t="s">
        <v>46</v>
      </c>
      <c r="O908" s="12" t="s">
        <v>47</v>
      </c>
      <c r="P908" s="88" t="s">
        <v>48</v>
      </c>
      <c r="Q908" s="13">
        <v>46132</v>
      </c>
      <c r="R908" s="12" t="s">
        <v>8785</v>
      </c>
      <c r="S908" s="12" t="s">
        <v>49</v>
      </c>
      <c r="T908" s="12" t="s">
        <v>8776</v>
      </c>
      <c r="U908" s="12" t="s">
        <v>60</v>
      </c>
      <c r="V908" s="13"/>
      <c r="W908" s="16"/>
      <c r="AC908" s="13"/>
      <c r="AD908" s="16"/>
      <c r="AI908" s="13"/>
      <c r="AJ908" s="16"/>
      <c r="AU908" s="12" t="s">
        <v>53</v>
      </c>
    </row>
    <row r="909" spans="1:47" s="12" customFormat="1" ht="14.4" x14ac:dyDescent="0.3">
      <c r="A909" s="12" t="s">
        <v>39</v>
      </c>
      <c r="B909" s="12" t="s">
        <v>2787</v>
      </c>
      <c r="C909" s="12">
        <v>70</v>
      </c>
      <c r="D909" s="12">
        <v>235</v>
      </c>
      <c r="F909" s="275" t="s">
        <v>2781</v>
      </c>
      <c r="G909" s="12" t="str">
        <f t="shared" si="24"/>
        <v>7023592096820</v>
      </c>
      <c r="H909" s="12" t="s">
        <v>2782</v>
      </c>
      <c r="I909" s="12">
        <v>92096820</v>
      </c>
      <c r="J909" s="12" t="s">
        <v>8959</v>
      </c>
      <c r="K909" s="12" t="s">
        <v>230</v>
      </c>
      <c r="L909" s="12">
        <v>3135458000</v>
      </c>
      <c r="M909" s="12" t="s">
        <v>8958</v>
      </c>
      <c r="N909" s="12" t="s">
        <v>46</v>
      </c>
      <c r="O909" s="12" t="s">
        <v>47</v>
      </c>
      <c r="P909" s="88" t="s">
        <v>102</v>
      </c>
      <c r="Q909" s="13">
        <v>46150</v>
      </c>
      <c r="R909" s="12" t="s">
        <v>2783</v>
      </c>
      <c r="S909" s="12" t="s">
        <v>49</v>
      </c>
      <c r="U909" s="12" t="s">
        <v>60</v>
      </c>
      <c r="V909" s="13">
        <v>45757</v>
      </c>
      <c r="W909" s="12" t="s">
        <v>2783</v>
      </c>
      <c r="X909" s="12" t="s">
        <v>74</v>
      </c>
      <c r="Z909" s="12" t="s">
        <v>50</v>
      </c>
      <c r="AA909" s="12" t="s">
        <v>51</v>
      </c>
      <c r="AB909" s="12" t="s">
        <v>52</v>
      </c>
      <c r="AC909" s="13">
        <v>44628</v>
      </c>
      <c r="AD909" s="16">
        <v>0.78</v>
      </c>
      <c r="AE909" s="12" t="s">
        <v>49</v>
      </c>
      <c r="AF909" s="12" t="s">
        <v>60</v>
      </c>
      <c r="AG909" s="12" t="s">
        <v>51</v>
      </c>
      <c r="AH909" s="12" t="s">
        <v>51</v>
      </c>
      <c r="AI909" s="13">
        <v>44132</v>
      </c>
      <c r="AJ909" s="16">
        <v>0.83</v>
      </c>
      <c r="AK909" s="12" t="s">
        <v>49</v>
      </c>
      <c r="AL909" s="12" t="s">
        <v>50</v>
      </c>
      <c r="AU909" s="12" t="s">
        <v>1208</v>
      </c>
    </row>
    <row r="910" spans="1:47" s="12" customFormat="1" ht="14.4" x14ac:dyDescent="0.3">
      <c r="A910" s="12" t="s">
        <v>39</v>
      </c>
      <c r="B910" s="12" t="s">
        <v>2787</v>
      </c>
      <c r="C910" s="12">
        <v>70</v>
      </c>
      <c r="D910" s="12">
        <v>235</v>
      </c>
      <c r="F910" s="12" t="s">
        <v>2784</v>
      </c>
      <c r="G910" s="12" t="str">
        <f t="shared" si="24"/>
        <v>702351052949789</v>
      </c>
      <c r="H910" s="12" t="s">
        <v>2785</v>
      </c>
      <c r="I910" s="12">
        <v>1052949789</v>
      </c>
      <c r="J910" s="12" t="s">
        <v>2786</v>
      </c>
      <c r="K910" s="12" t="s">
        <v>230</v>
      </c>
      <c r="L910" s="12" t="s">
        <v>45</v>
      </c>
      <c r="M910" s="12" t="s">
        <v>45</v>
      </c>
      <c r="N910" s="12" t="s">
        <v>46</v>
      </c>
      <c r="O910" s="12" t="s">
        <v>47</v>
      </c>
      <c r="P910" s="88" t="s">
        <v>102</v>
      </c>
      <c r="Q910" s="13"/>
      <c r="R910" s="16"/>
      <c r="V910" s="13"/>
      <c r="W910" s="16"/>
      <c r="AC910" s="13"/>
      <c r="AD910" s="16"/>
      <c r="AU910" s="12" t="s">
        <v>1208</v>
      </c>
    </row>
    <row r="911" spans="1:47" s="12" customFormat="1" ht="14.4" x14ac:dyDescent="0.3">
      <c r="A911" s="12" t="s">
        <v>39</v>
      </c>
      <c r="B911" s="12" t="s">
        <v>2787</v>
      </c>
      <c r="C911" s="12">
        <v>70</v>
      </c>
      <c r="D911" s="12">
        <v>235</v>
      </c>
      <c r="F911" s="12" t="s">
        <v>2788</v>
      </c>
      <c r="G911" s="12" t="str">
        <f t="shared" si="24"/>
        <v>702351052986593</v>
      </c>
      <c r="H911" s="12" t="s">
        <v>2789</v>
      </c>
      <c r="I911" s="12">
        <v>1052986593</v>
      </c>
      <c r="J911" s="12" t="s">
        <v>2790</v>
      </c>
      <c r="K911" s="12" t="s">
        <v>230</v>
      </c>
      <c r="L911" s="12" t="s">
        <v>45</v>
      </c>
      <c r="M911" s="12" t="s">
        <v>45</v>
      </c>
      <c r="N911" s="12" t="s">
        <v>46</v>
      </c>
      <c r="O911" s="12" t="s">
        <v>47</v>
      </c>
      <c r="P911" s="88" t="s">
        <v>102</v>
      </c>
      <c r="V911" s="13"/>
      <c r="W911" s="16"/>
      <c r="AC911" s="13"/>
      <c r="AD911" s="16"/>
      <c r="AU911" s="12" t="s">
        <v>1208</v>
      </c>
    </row>
    <row r="912" spans="1:47" s="12" customFormat="1" ht="14.4" x14ac:dyDescent="0.3">
      <c r="A912" s="12" t="s">
        <v>39</v>
      </c>
      <c r="B912" s="12" t="s">
        <v>2787</v>
      </c>
      <c r="C912" s="12">
        <v>70</v>
      </c>
      <c r="D912" s="12">
        <v>235</v>
      </c>
      <c r="F912" s="12" t="s">
        <v>2791</v>
      </c>
      <c r="G912" s="12" t="str">
        <f t="shared" si="24"/>
        <v>7023533082964</v>
      </c>
      <c r="H912" s="12" t="s">
        <v>2792</v>
      </c>
      <c r="I912" s="12">
        <v>33082964</v>
      </c>
      <c r="J912" s="12" t="s">
        <v>2793</v>
      </c>
      <c r="K912" s="12" t="s">
        <v>230</v>
      </c>
      <c r="L912" s="12" t="s">
        <v>45</v>
      </c>
      <c r="M912" s="12" t="s">
        <v>45</v>
      </c>
      <c r="N912" s="12" t="s">
        <v>46</v>
      </c>
      <c r="O912" s="12" t="s">
        <v>47</v>
      </c>
      <c r="P912" s="88" t="s">
        <v>102</v>
      </c>
      <c r="V912" s="13"/>
      <c r="W912" s="16"/>
      <c r="AC912" s="13"/>
      <c r="AD912" s="16"/>
      <c r="AI912" s="13"/>
      <c r="AJ912" s="16"/>
      <c r="AU912" s="12" t="s">
        <v>1208</v>
      </c>
    </row>
    <row r="913" spans="1:47" s="12" customFormat="1" ht="14.4" hidden="1" x14ac:dyDescent="0.3">
      <c r="A913" s="12" t="s">
        <v>39</v>
      </c>
      <c r="B913" s="12" t="s">
        <v>2787</v>
      </c>
      <c r="C913" s="12">
        <v>70</v>
      </c>
      <c r="D913" s="12">
        <v>235</v>
      </c>
      <c r="F913" s="12" t="s">
        <v>2794</v>
      </c>
      <c r="G913" s="12" t="str">
        <f t="shared" si="24"/>
        <v>702351100545178</v>
      </c>
      <c r="H913" s="12" t="s">
        <v>2795</v>
      </c>
      <c r="I913" s="12">
        <v>1100545178</v>
      </c>
      <c r="J913" s="12" t="s">
        <v>2796</v>
      </c>
      <c r="K913" s="12" t="s">
        <v>230</v>
      </c>
      <c r="N913" s="12" t="s">
        <v>46</v>
      </c>
      <c r="O913" s="12" t="s">
        <v>2797</v>
      </c>
      <c r="P913" s="88" t="s">
        <v>80</v>
      </c>
      <c r="Q913" s="13">
        <v>44547</v>
      </c>
      <c r="R913" s="16">
        <v>0.78</v>
      </c>
      <c r="S913" s="12" t="s">
        <v>49</v>
      </c>
      <c r="U913" s="12" t="s">
        <v>60</v>
      </c>
      <c r="V913" s="13"/>
      <c r="W913" s="16"/>
      <c r="AC913" s="13"/>
      <c r="AD913" s="16"/>
      <c r="AU913" s="12" t="s">
        <v>1208</v>
      </c>
    </row>
    <row r="914" spans="1:47" s="12" customFormat="1" ht="14.4" hidden="1" x14ac:dyDescent="0.3">
      <c r="A914" s="12" t="s">
        <v>39</v>
      </c>
      <c r="B914" s="12" t="s">
        <v>2787</v>
      </c>
      <c r="C914" s="12">
        <v>70</v>
      </c>
      <c r="D914" s="12">
        <v>235</v>
      </c>
      <c r="F914" s="12" t="s">
        <v>2798</v>
      </c>
      <c r="G914" s="12" t="str">
        <f t="shared" si="24"/>
        <v>7023511048725469</v>
      </c>
      <c r="H914" s="12" t="s">
        <v>2799</v>
      </c>
      <c r="I914" s="12">
        <v>11048725469</v>
      </c>
      <c r="J914" s="12" t="s">
        <v>2800</v>
      </c>
      <c r="K914" s="12" t="s">
        <v>230</v>
      </c>
      <c r="N914" s="12" t="s">
        <v>46</v>
      </c>
      <c r="O914" s="12" t="s">
        <v>2797</v>
      </c>
      <c r="P914" s="88" t="s">
        <v>80</v>
      </c>
      <c r="Q914" s="13" t="s">
        <v>2801</v>
      </c>
      <c r="R914" s="16">
        <v>0.95499999999999996</v>
      </c>
      <c r="S914" s="12" t="s">
        <v>210</v>
      </c>
      <c r="V914" s="13"/>
      <c r="W914" s="16"/>
      <c r="AC914" s="13"/>
      <c r="AD914" s="16"/>
      <c r="AU914" s="12" t="s">
        <v>1208</v>
      </c>
    </row>
    <row r="915" spans="1:47" s="12" customFormat="1" ht="17.25" hidden="1" customHeight="1" x14ac:dyDescent="0.3">
      <c r="A915" s="12" t="s">
        <v>39</v>
      </c>
      <c r="B915" s="12" t="s">
        <v>2787</v>
      </c>
      <c r="C915" s="12">
        <v>70</v>
      </c>
      <c r="D915" s="12">
        <v>235</v>
      </c>
      <c r="F915" s="12" t="s">
        <v>2802</v>
      </c>
      <c r="G915" s="12" t="str">
        <f t="shared" si="24"/>
        <v>702351100545853</v>
      </c>
      <c r="H915" s="12" t="s">
        <v>2803</v>
      </c>
      <c r="I915" s="12">
        <v>1100545853</v>
      </c>
      <c r="J915" s="12" t="s">
        <v>2804</v>
      </c>
      <c r="K915" s="12" t="s">
        <v>230</v>
      </c>
      <c r="N915" s="12" t="s">
        <v>46</v>
      </c>
      <c r="O915" s="12" t="s">
        <v>2797</v>
      </c>
      <c r="P915" s="88" t="s">
        <v>80</v>
      </c>
      <c r="Q915" s="13">
        <v>44655</v>
      </c>
      <c r="R915" s="16">
        <v>0.64500000000000002</v>
      </c>
      <c r="S915" s="12" t="s">
        <v>49</v>
      </c>
      <c r="U915" s="12" t="s">
        <v>50</v>
      </c>
      <c r="V915" s="46" t="s">
        <v>2805</v>
      </c>
      <c r="W915" s="47">
        <v>0.69</v>
      </c>
      <c r="X915" s="48" t="s">
        <v>49</v>
      </c>
      <c r="Z915" s="12" t="s">
        <v>50</v>
      </c>
      <c r="AC915" s="49"/>
      <c r="AD915" s="11"/>
      <c r="AE915" s="4"/>
      <c r="AU915" s="12" t="s">
        <v>1208</v>
      </c>
    </row>
    <row r="916" spans="1:47" s="12" customFormat="1" ht="14.4" hidden="1" x14ac:dyDescent="0.3">
      <c r="A916" s="12" t="s">
        <v>39</v>
      </c>
      <c r="B916" s="12" t="s">
        <v>2787</v>
      </c>
      <c r="C916" s="12">
        <v>70</v>
      </c>
      <c r="D916" s="12">
        <v>235</v>
      </c>
      <c r="F916" s="12" t="s">
        <v>2806</v>
      </c>
      <c r="G916" s="12" t="str">
        <f t="shared" si="24"/>
        <v>70235920959693</v>
      </c>
      <c r="H916" s="12" t="s">
        <v>2762</v>
      </c>
      <c r="I916" s="12">
        <v>920959693</v>
      </c>
      <c r="J916" s="12" t="s">
        <v>2807</v>
      </c>
      <c r="K916" s="12" t="s">
        <v>230</v>
      </c>
      <c r="L916" s="12">
        <v>3042916903</v>
      </c>
      <c r="M916" s="12" t="s">
        <v>2808</v>
      </c>
      <c r="N916" s="12" t="s">
        <v>46</v>
      </c>
      <c r="O916" s="12" t="s">
        <v>2797</v>
      </c>
      <c r="P916" s="88" t="s">
        <v>80</v>
      </c>
      <c r="Q916" s="13">
        <v>44621</v>
      </c>
      <c r="R916" s="16">
        <v>0.76</v>
      </c>
      <c r="S916" s="12" t="s">
        <v>49</v>
      </c>
      <c r="U916" s="12" t="s">
        <v>50</v>
      </c>
      <c r="AU916" s="12" t="s">
        <v>1208</v>
      </c>
    </row>
    <row r="917" spans="1:47" s="12" customFormat="1" ht="14.4" hidden="1" x14ac:dyDescent="0.3">
      <c r="A917" s="12" t="s">
        <v>39</v>
      </c>
      <c r="B917" s="12" t="s">
        <v>2787</v>
      </c>
      <c r="C917" s="12">
        <v>70</v>
      </c>
      <c r="D917" s="12">
        <v>235</v>
      </c>
      <c r="F917" s="12" t="s">
        <v>2809</v>
      </c>
      <c r="G917" s="12" t="str">
        <f t="shared" si="24"/>
        <v>702359195626</v>
      </c>
      <c r="H917" s="12" t="s">
        <v>2810</v>
      </c>
      <c r="I917" s="12">
        <v>9195626</v>
      </c>
      <c r="J917" s="12" t="s">
        <v>2760</v>
      </c>
      <c r="K917" s="12" t="s">
        <v>230</v>
      </c>
      <c r="N917" s="12" t="s">
        <v>46</v>
      </c>
      <c r="O917" s="12" t="s">
        <v>101</v>
      </c>
      <c r="P917" s="88" t="s">
        <v>102</v>
      </c>
      <c r="Q917" s="13">
        <v>44427</v>
      </c>
      <c r="R917" s="16">
        <v>0.75249999999999995</v>
      </c>
      <c r="S917" s="12" t="s">
        <v>49</v>
      </c>
      <c r="AU917" s="12" t="s">
        <v>1208</v>
      </c>
    </row>
    <row r="918" spans="1:47" s="12" customFormat="1" ht="14.4" hidden="1" x14ac:dyDescent="0.3">
      <c r="A918" s="12" t="s">
        <v>39</v>
      </c>
      <c r="B918" s="12" t="s">
        <v>2787</v>
      </c>
      <c r="C918" s="12">
        <v>70</v>
      </c>
      <c r="D918" s="12">
        <v>235</v>
      </c>
      <c r="F918" s="12" t="s">
        <v>2811</v>
      </c>
      <c r="G918" s="12" t="str">
        <f t="shared" si="24"/>
        <v>7023578747415</v>
      </c>
      <c r="H918" s="12" t="s">
        <v>2812</v>
      </c>
      <c r="I918" s="12">
        <v>78747415</v>
      </c>
      <c r="J918" s="12" t="s">
        <v>2760</v>
      </c>
      <c r="K918" s="12" t="s">
        <v>230</v>
      </c>
      <c r="N918" s="12" t="s">
        <v>46</v>
      </c>
      <c r="O918" s="12" t="s">
        <v>101</v>
      </c>
      <c r="P918" s="88" t="s">
        <v>102</v>
      </c>
      <c r="Q918" s="13">
        <v>44664</v>
      </c>
      <c r="R918" s="16">
        <v>0.6925</v>
      </c>
      <c r="S918" s="12" t="s">
        <v>49</v>
      </c>
      <c r="AU918" s="12" t="s">
        <v>1208</v>
      </c>
    </row>
    <row r="919" spans="1:47" s="12" customFormat="1" ht="14.4" hidden="1" x14ac:dyDescent="0.3">
      <c r="A919" s="12" t="s">
        <v>39</v>
      </c>
      <c r="B919" s="12" t="s">
        <v>2787</v>
      </c>
      <c r="C919" s="12">
        <v>70</v>
      </c>
      <c r="D919" s="12">
        <v>235</v>
      </c>
      <c r="F919" s="12" t="s">
        <v>2813</v>
      </c>
      <c r="G919" s="12" t="str">
        <f t="shared" si="24"/>
        <v>7023517761985</v>
      </c>
      <c r="H919" s="12" t="s">
        <v>2814</v>
      </c>
      <c r="I919" s="12">
        <v>17761985</v>
      </c>
      <c r="J919" s="12" t="s">
        <v>2760</v>
      </c>
      <c r="K919" s="12" t="s">
        <v>230</v>
      </c>
      <c r="N919" s="12" t="s">
        <v>46</v>
      </c>
      <c r="O919" s="12" t="s">
        <v>101</v>
      </c>
      <c r="P919" s="88" t="s">
        <v>102</v>
      </c>
      <c r="Q919" s="13">
        <v>45252</v>
      </c>
      <c r="R919" s="16">
        <v>0.755</v>
      </c>
      <c r="S919" s="12" t="s">
        <v>49</v>
      </c>
      <c r="AU919" s="12" t="s">
        <v>1208</v>
      </c>
    </row>
    <row r="920" spans="1:47" s="12" customFormat="1" ht="14.4" hidden="1" x14ac:dyDescent="0.3">
      <c r="A920" s="12" t="s">
        <v>39</v>
      </c>
      <c r="B920" s="12" t="s">
        <v>2787</v>
      </c>
      <c r="C920" s="12">
        <v>70</v>
      </c>
      <c r="D920" s="12">
        <v>235</v>
      </c>
      <c r="F920" s="12" t="s">
        <v>2815</v>
      </c>
      <c r="G920" s="12" t="str">
        <f t="shared" si="24"/>
        <v>702351100542184</v>
      </c>
      <c r="H920" s="12" t="s">
        <v>2816</v>
      </c>
      <c r="I920" s="12">
        <v>1100542184</v>
      </c>
      <c r="J920" s="12" t="s">
        <v>2760</v>
      </c>
      <c r="K920" s="12" t="s">
        <v>230</v>
      </c>
      <c r="N920" s="12" t="s">
        <v>46</v>
      </c>
      <c r="O920" s="12" t="s">
        <v>101</v>
      </c>
      <c r="P920" s="88" t="s">
        <v>102</v>
      </c>
      <c r="Q920" s="13">
        <v>44838</v>
      </c>
      <c r="R920" s="16">
        <v>0.78500000000000003</v>
      </c>
      <c r="S920" s="12" t="s">
        <v>49</v>
      </c>
      <c r="AU920" s="12" t="s">
        <v>1208</v>
      </c>
    </row>
    <row r="921" spans="1:47" s="12" customFormat="1" ht="14.4" hidden="1" x14ac:dyDescent="0.3">
      <c r="A921" s="12" t="s">
        <v>39</v>
      </c>
      <c r="B921" s="12" t="s">
        <v>2787</v>
      </c>
      <c r="C921" s="12">
        <v>70</v>
      </c>
      <c r="D921" s="12">
        <v>235</v>
      </c>
      <c r="E921" s="12" t="s">
        <v>7852</v>
      </c>
      <c r="F921" s="12" t="s">
        <v>2818</v>
      </c>
      <c r="G921" s="12" t="str">
        <f t="shared" si="24"/>
        <v>70235823001925-8</v>
      </c>
      <c r="H921" s="12" t="s">
        <v>2893</v>
      </c>
      <c r="I921" s="12" t="s">
        <v>2819</v>
      </c>
      <c r="J921" s="12" t="s">
        <v>2820</v>
      </c>
      <c r="K921" s="12" t="s">
        <v>230</v>
      </c>
      <c r="L921" s="12">
        <v>3205730873</v>
      </c>
      <c r="M921" s="94" t="s">
        <v>2821</v>
      </c>
      <c r="N921" s="12" t="s">
        <v>127</v>
      </c>
      <c r="O921" s="12" t="s">
        <v>2822</v>
      </c>
      <c r="P921" s="88" t="s">
        <v>102</v>
      </c>
      <c r="Q921" s="13">
        <v>45933</v>
      </c>
      <c r="R921" s="16">
        <v>0.81</v>
      </c>
      <c r="S921" s="12" t="s">
        <v>74</v>
      </c>
      <c r="T921" s="12" t="s">
        <v>2823</v>
      </c>
      <c r="U921" s="12" t="s">
        <v>2456</v>
      </c>
      <c r="V921" s="13">
        <v>45504</v>
      </c>
      <c r="W921" s="16">
        <v>0.81</v>
      </c>
      <c r="X921" s="12" t="s">
        <v>74</v>
      </c>
      <c r="Y921" s="12" t="s">
        <v>2824</v>
      </c>
      <c r="Z921" s="12" t="s">
        <v>2456</v>
      </c>
      <c r="AA921" s="12" t="s">
        <v>51</v>
      </c>
      <c r="AB921" s="12" t="s">
        <v>52</v>
      </c>
      <c r="AU921" s="12" t="s">
        <v>1208</v>
      </c>
    </row>
    <row r="922" spans="1:47" s="12" customFormat="1" ht="14.4" hidden="1" x14ac:dyDescent="0.3">
      <c r="A922" s="12" t="s">
        <v>39</v>
      </c>
      <c r="B922" s="12" t="s">
        <v>2787</v>
      </c>
      <c r="C922" s="12">
        <v>70</v>
      </c>
      <c r="D922" s="12">
        <v>235</v>
      </c>
      <c r="E922" s="12" t="s">
        <v>7852</v>
      </c>
      <c r="F922" s="275" t="s">
        <v>2825</v>
      </c>
      <c r="G922" s="12" t="str">
        <f t="shared" si="24"/>
        <v>70235823001925</v>
      </c>
      <c r="H922" s="12" t="s">
        <v>8777</v>
      </c>
      <c r="I922" s="12">
        <v>823001925</v>
      </c>
      <c r="J922" s="12" t="s">
        <v>8778</v>
      </c>
      <c r="K922" s="12" t="s">
        <v>230</v>
      </c>
      <c r="L922" s="12">
        <v>3113491609</v>
      </c>
      <c r="M922" s="12" t="s">
        <v>8779</v>
      </c>
      <c r="N922" s="12" t="s">
        <v>127</v>
      </c>
      <c r="O922" s="12" t="s">
        <v>2822</v>
      </c>
      <c r="P922" s="88" t="s">
        <v>102</v>
      </c>
      <c r="Q922" s="13">
        <v>46140</v>
      </c>
      <c r="R922" s="12">
        <v>78</v>
      </c>
      <c r="S922" s="12" t="s">
        <v>74</v>
      </c>
      <c r="T922" s="12" t="s">
        <v>8776</v>
      </c>
      <c r="U922" s="12" t="s">
        <v>60</v>
      </c>
      <c r="AU922" s="12" t="s">
        <v>1208</v>
      </c>
    </row>
    <row r="923" spans="1:47" s="12" customFormat="1" ht="14.4" hidden="1" x14ac:dyDescent="0.3">
      <c r="A923" s="12" t="s">
        <v>39</v>
      </c>
      <c r="B923" s="12" t="s">
        <v>2787</v>
      </c>
      <c r="C923" s="12">
        <v>70</v>
      </c>
      <c r="D923" s="12">
        <v>235</v>
      </c>
      <c r="E923" s="12" t="s">
        <v>784</v>
      </c>
      <c r="F923" s="12" t="s">
        <v>2826</v>
      </c>
      <c r="G923" s="12" t="str">
        <f t="shared" si="24"/>
        <v>702359007222278</v>
      </c>
      <c r="H923" s="12" t="s">
        <v>2827</v>
      </c>
      <c r="I923" s="12">
        <v>9007222278</v>
      </c>
      <c r="J923" s="12" t="s">
        <v>2828</v>
      </c>
      <c r="K923" s="12" t="s">
        <v>230</v>
      </c>
      <c r="L923" s="15">
        <v>3226709397</v>
      </c>
      <c r="M923" s="17" t="s">
        <v>779</v>
      </c>
      <c r="N923" s="12" t="s">
        <v>127</v>
      </c>
      <c r="O923" s="12" t="s">
        <v>2822</v>
      </c>
      <c r="P923" s="88" t="s">
        <v>102</v>
      </c>
      <c r="Q923" s="13">
        <v>45988</v>
      </c>
      <c r="R923" s="12" t="s">
        <v>4569</v>
      </c>
      <c r="S923" s="12" t="s">
        <v>49</v>
      </c>
      <c r="T923" s="12" t="s">
        <v>7933</v>
      </c>
      <c r="U923" s="12" t="s">
        <v>60</v>
      </c>
      <c r="V923" s="13">
        <v>45610</v>
      </c>
      <c r="W923" s="12" t="s">
        <v>1906</v>
      </c>
      <c r="X923" s="12" t="s">
        <v>49</v>
      </c>
      <c r="Z923" s="12" t="s">
        <v>60</v>
      </c>
      <c r="AA923" s="12" t="s">
        <v>51</v>
      </c>
      <c r="AB923" s="12" t="s">
        <v>51</v>
      </c>
      <c r="AC923" s="13">
        <v>43724</v>
      </c>
      <c r="AD923" s="12" t="s">
        <v>1906</v>
      </c>
      <c r="AE923" s="12" t="s">
        <v>49</v>
      </c>
      <c r="AU923" s="12" t="s">
        <v>1208</v>
      </c>
    </row>
    <row r="924" spans="1:47" s="12" customFormat="1" ht="14.4" hidden="1" x14ac:dyDescent="0.3">
      <c r="A924" s="12" t="s">
        <v>39</v>
      </c>
      <c r="B924" s="12" t="s">
        <v>2787</v>
      </c>
      <c r="C924" s="12">
        <v>70</v>
      </c>
      <c r="D924" s="12">
        <v>235</v>
      </c>
      <c r="F924" s="12" t="s">
        <v>2830</v>
      </c>
      <c r="G924" s="12" t="str">
        <f t="shared" si="24"/>
        <v>70235900972756</v>
      </c>
      <c r="H924" s="12" t="s">
        <v>2831</v>
      </c>
      <c r="I924" s="12">
        <v>900972756</v>
      </c>
      <c r="J924" s="12" t="s">
        <v>2832</v>
      </c>
      <c r="K924" s="12" t="s">
        <v>230</v>
      </c>
      <c r="N924" s="12" t="s">
        <v>127</v>
      </c>
      <c r="O924" s="12" t="s">
        <v>2822</v>
      </c>
      <c r="P924" s="88" t="s">
        <v>102</v>
      </c>
      <c r="AU924" s="12" t="s">
        <v>1208</v>
      </c>
    </row>
    <row r="925" spans="1:47" s="12" customFormat="1" ht="14.4" hidden="1" x14ac:dyDescent="0.3">
      <c r="A925" s="12" t="s">
        <v>39</v>
      </c>
      <c r="B925" s="12" t="s">
        <v>2787</v>
      </c>
      <c r="C925" s="12">
        <v>70</v>
      </c>
      <c r="D925" s="12">
        <v>235</v>
      </c>
      <c r="E925" s="12" t="s">
        <v>2833</v>
      </c>
      <c r="F925" s="12" t="s">
        <v>2834</v>
      </c>
      <c r="G925" s="12" t="str">
        <f t="shared" si="24"/>
        <v>702358230019255</v>
      </c>
      <c r="H925" s="12" t="s">
        <v>2835</v>
      </c>
      <c r="I925" s="12">
        <v>8230019255</v>
      </c>
      <c r="J925" s="12" t="s">
        <v>2836</v>
      </c>
      <c r="K925" s="12" t="s">
        <v>133</v>
      </c>
      <c r="L925" s="12" t="s">
        <v>2837</v>
      </c>
      <c r="M925" s="17" t="s">
        <v>2838</v>
      </c>
      <c r="N925" s="12" t="s">
        <v>127</v>
      </c>
      <c r="O925" s="12" t="s">
        <v>2822</v>
      </c>
      <c r="P925" s="88" t="s">
        <v>102</v>
      </c>
      <c r="Q925" s="13">
        <v>45881</v>
      </c>
      <c r="R925" s="16">
        <v>0.94</v>
      </c>
      <c r="S925" s="12" t="s">
        <v>210</v>
      </c>
      <c r="U925" s="12" t="s">
        <v>60</v>
      </c>
      <c r="AU925" s="12" t="s">
        <v>1208</v>
      </c>
    </row>
    <row r="926" spans="1:47" s="12" customFormat="1" ht="14.4" hidden="1" x14ac:dyDescent="0.3">
      <c r="A926" s="12" t="s">
        <v>39</v>
      </c>
      <c r="B926" s="12" t="s">
        <v>2787</v>
      </c>
      <c r="C926" s="12">
        <v>70</v>
      </c>
      <c r="D926" s="12">
        <v>235</v>
      </c>
      <c r="E926" s="12" t="s">
        <v>2833</v>
      </c>
      <c r="F926" s="12" t="s">
        <v>2839</v>
      </c>
      <c r="G926" s="12" t="str">
        <f t="shared" si="24"/>
        <v>702358230019255</v>
      </c>
      <c r="H926" s="12" t="s">
        <v>2835</v>
      </c>
      <c r="I926" s="12">
        <v>8230019255</v>
      </c>
      <c r="J926" s="12" t="s">
        <v>2840</v>
      </c>
      <c r="K926" s="12" t="s">
        <v>133</v>
      </c>
      <c r="L926" s="12">
        <v>3107484745</v>
      </c>
      <c r="M926" s="12" t="s">
        <v>45</v>
      </c>
      <c r="N926" s="12" t="s">
        <v>127</v>
      </c>
      <c r="O926" s="12" t="s">
        <v>2822</v>
      </c>
      <c r="P926" s="88" t="s">
        <v>102</v>
      </c>
      <c r="Q926" s="13">
        <v>45882</v>
      </c>
      <c r="R926" s="16">
        <v>0.94</v>
      </c>
      <c r="S926" s="12" t="s">
        <v>210</v>
      </c>
      <c r="U926" s="12" t="s">
        <v>60</v>
      </c>
      <c r="V926" s="13">
        <v>45492</v>
      </c>
      <c r="W926" s="12" t="s">
        <v>1937</v>
      </c>
      <c r="X926" s="12" t="s">
        <v>74</v>
      </c>
      <c r="Z926" s="12" t="s">
        <v>2841</v>
      </c>
      <c r="AA926" s="12" t="s">
        <v>51</v>
      </c>
      <c r="AB926" s="12" t="s">
        <v>51</v>
      </c>
      <c r="AU926" s="12" t="s">
        <v>1208</v>
      </c>
    </row>
    <row r="927" spans="1:47" s="12" customFormat="1" ht="14.4" hidden="1" x14ac:dyDescent="0.3">
      <c r="A927" s="12" t="s">
        <v>39</v>
      </c>
      <c r="B927" s="12" t="s">
        <v>2787</v>
      </c>
      <c r="C927" s="12">
        <v>70</v>
      </c>
      <c r="D927" s="12">
        <v>235</v>
      </c>
      <c r="E927" s="12" t="s">
        <v>2833</v>
      </c>
      <c r="F927" s="12" t="s">
        <v>2842</v>
      </c>
      <c r="G927" s="12" t="str">
        <f t="shared" si="24"/>
        <v>702358230019255</v>
      </c>
      <c r="H927" s="12" t="s">
        <v>2835</v>
      </c>
      <c r="I927" s="12">
        <v>8230019255</v>
      </c>
      <c r="J927" s="12" t="s">
        <v>2843</v>
      </c>
      <c r="K927" s="12" t="s">
        <v>230</v>
      </c>
      <c r="L927" s="12">
        <v>3114354540</v>
      </c>
      <c r="M927" s="17" t="s">
        <v>2844</v>
      </c>
      <c r="N927" s="12" t="s">
        <v>127</v>
      </c>
      <c r="O927" s="12" t="s">
        <v>2822</v>
      </c>
      <c r="P927" s="88" t="s">
        <v>102</v>
      </c>
      <c r="Q927" s="13">
        <v>45832</v>
      </c>
      <c r="R927" s="16">
        <v>0.93</v>
      </c>
      <c r="S927" s="12" t="s">
        <v>210</v>
      </c>
      <c r="U927" s="12" t="s">
        <v>60</v>
      </c>
      <c r="AU927" s="12" t="s">
        <v>1208</v>
      </c>
    </row>
    <row r="928" spans="1:47" s="12" customFormat="1" ht="14.4" hidden="1" x14ac:dyDescent="0.3">
      <c r="A928" s="12" t="s">
        <v>39</v>
      </c>
      <c r="B928" s="12" t="s">
        <v>2787</v>
      </c>
      <c r="C928" s="12">
        <v>70</v>
      </c>
      <c r="D928" s="12">
        <v>235</v>
      </c>
      <c r="E928" s="12" t="s">
        <v>2833</v>
      </c>
      <c r="F928" s="12" t="s">
        <v>2845</v>
      </c>
      <c r="G928" s="12" t="str">
        <f t="shared" si="24"/>
        <v>702358230019255</v>
      </c>
      <c r="H928" s="12" t="s">
        <v>2835</v>
      </c>
      <c r="I928" s="12">
        <v>8230019255</v>
      </c>
      <c r="J928" s="12" t="s">
        <v>2846</v>
      </c>
      <c r="K928" s="12" t="s">
        <v>133</v>
      </c>
      <c r="L928" s="12">
        <v>3107371782</v>
      </c>
      <c r="M928" s="12" t="s">
        <v>45</v>
      </c>
      <c r="N928" s="12" t="s">
        <v>127</v>
      </c>
      <c r="O928" s="12" t="s">
        <v>2822</v>
      </c>
      <c r="P928" s="88" t="s">
        <v>102</v>
      </c>
      <c r="Q928" s="13">
        <v>45818</v>
      </c>
      <c r="R928" s="16">
        <v>0.9</v>
      </c>
      <c r="S928" s="12" t="s">
        <v>210</v>
      </c>
      <c r="U928" s="12" t="s">
        <v>60</v>
      </c>
      <c r="AU928" s="12" t="s">
        <v>1208</v>
      </c>
    </row>
    <row r="929" spans="1:47" s="12" customFormat="1" ht="14.4" hidden="1" x14ac:dyDescent="0.3">
      <c r="A929" s="12" t="s">
        <v>39</v>
      </c>
      <c r="B929" s="12" t="s">
        <v>2787</v>
      </c>
      <c r="C929" s="12">
        <v>70</v>
      </c>
      <c r="D929" s="12">
        <v>235</v>
      </c>
      <c r="E929" s="12" t="s">
        <v>2833</v>
      </c>
      <c r="F929" s="12" t="s">
        <v>2847</v>
      </c>
      <c r="G929" s="12" t="str">
        <f t="shared" si="24"/>
        <v>702358230019255</v>
      </c>
      <c r="H929" s="12" t="s">
        <v>2835</v>
      </c>
      <c r="I929" s="12">
        <v>8230019255</v>
      </c>
      <c r="J929" s="12" t="s">
        <v>2848</v>
      </c>
      <c r="K929" s="12" t="s">
        <v>133</v>
      </c>
      <c r="L929" s="12">
        <v>3175504413</v>
      </c>
      <c r="M929" s="17" t="s">
        <v>2849</v>
      </c>
      <c r="N929" s="12" t="s">
        <v>127</v>
      </c>
      <c r="O929" s="12" t="s">
        <v>2822</v>
      </c>
      <c r="P929" s="88" t="s">
        <v>102</v>
      </c>
      <c r="Q929" s="13">
        <v>45828</v>
      </c>
      <c r="R929" s="16">
        <v>0.87</v>
      </c>
      <c r="S929" s="12" t="s">
        <v>49</v>
      </c>
      <c r="U929" s="12" t="s">
        <v>60</v>
      </c>
      <c r="AU929" s="12" t="s">
        <v>1208</v>
      </c>
    </row>
    <row r="930" spans="1:47" s="12" customFormat="1" ht="14.4" hidden="1" x14ac:dyDescent="0.3">
      <c r="A930" s="12" t="s">
        <v>39</v>
      </c>
      <c r="B930" s="12" t="s">
        <v>2787</v>
      </c>
      <c r="C930" s="12">
        <v>70</v>
      </c>
      <c r="D930" s="12">
        <v>235</v>
      </c>
      <c r="E930" s="12" t="s">
        <v>2833</v>
      </c>
      <c r="F930" s="275" t="s">
        <v>2850</v>
      </c>
      <c r="G930" s="12" t="str">
        <f t="shared" si="24"/>
        <v>702358230019255</v>
      </c>
      <c r="H930" s="12" t="s">
        <v>2835</v>
      </c>
      <c r="I930" s="12">
        <v>8230019255</v>
      </c>
      <c r="J930" s="12" t="s">
        <v>2851</v>
      </c>
      <c r="K930" s="12" t="s">
        <v>230</v>
      </c>
      <c r="L930" s="12">
        <v>3001685501</v>
      </c>
      <c r="M930" s="17" t="s">
        <v>8955</v>
      </c>
      <c r="N930" s="12" t="s">
        <v>127</v>
      </c>
      <c r="O930" s="12" t="s">
        <v>2822</v>
      </c>
      <c r="P930" s="88" t="s">
        <v>102</v>
      </c>
      <c r="Q930" s="13">
        <v>46154</v>
      </c>
      <c r="R930" s="12">
        <v>90</v>
      </c>
      <c r="S930" s="12" t="s">
        <v>49</v>
      </c>
      <c r="V930" s="13">
        <v>45756</v>
      </c>
      <c r="W930" s="16">
        <v>0.9</v>
      </c>
      <c r="X930" s="12" t="s">
        <v>210</v>
      </c>
      <c r="Z930" s="12" t="s">
        <v>60</v>
      </c>
      <c r="AA930" s="12" t="s">
        <v>51</v>
      </c>
      <c r="AB930" s="12" t="s">
        <v>51</v>
      </c>
      <c r="AC930" s="13">
        <v>45462</v>
      </c>
      <c r="AD930" s="12" t="s">
        <v>146</v>
      </c>
      <c r="AE930" s="12" t="s">
        <v>74</v>
      </c>
      <c r="AF930" s="12" t="s">
        <v>60</v>
      </c>
      <c r="AU930" s="12" t="s">
        <v>1208</v>
      </c>
    </row>
    <row r="931" spans="1:47" s="12" customFormat="1" ht="14.4" hidden="1" x14ac:dyDescent="0.3">
      <c r="A931" s="12" t="s">
        <v>39</v>
      </c>
      <c r="B931" s="12" t="s">
        <v>2787</v>
      </c>
      <c r="C931" s="12">
        <v>70</v>
      </c>
      <c r="D931" s="12">
        <v>235</v>
      </c>
      <c r="E931" s="12" t="s">
        <v>2833</v>
      </c>
      <c r="F931" s="275" t="s">
        <v>2852</v>
      </c>
      <c r="G931" s="12" t="str">
        <f t="shared" si="24"/>
        <v>702358230019255</v>
      </c>
      <c r="H931" s="12" t="s">
        <v>2835</v>
      </c>
      <c r="I931" s="12">
        <v>8230019255</v>
      </c>
      <c r="J931" s="12" t="s">
        <v>2853</v>
      </c>
      <c r="K931" s="12" t="s">
        <v>230</v>
      </c>
      <c r="L931" s="12">
        <v>3133369659</v>
      </c>
      <c r="M931" s="12" t="s">
        <v>45</v>
      </c>
      <c r="N931" s="12" t="s">
        <v>127</v>
      </c>
      <c r="O931" s="12" t="s">
        <v>2822</v>
      </c>
      <c r="P931" s="88" t="s">
        <v>102</v>
      </c>
      <c r="Q931" s="13">
        <v>45754</v>
      </c>
      <c r="R931" s="16">
        <v>0.82</v>
      </c>
      <c r="S931" s="12" t="s">
        <v>49</v>
      </c>
      <c r="U931" s="12" t="s">
        <v>60</v>
      </c>
      <c r="V931" s="13">
        <v>45463</v>
      </c>
      <c r="W931" s="16">
        <v>0.88</v>
      </c>
      <c r="X931" s="12" t="s">
        <v>74</v>
      </c>
      <c r="Z931" s="12" t="s">
        <v>60</v>
      </c>
      <c r="AA931" s="12" t="s">
        <v>51</v>
      </c>
      <c r="AB931" s="12" t="s">
        <v>51</v>
      </c>
      <c r="AU931" s="12" t="s">
        <v>1208</v>
      </c>
    </row>
    <row r="932" spans="1:47" s="12" customFormat="1" ht="14.4" hidden="1" x14ac:dyDescent="0.3">
      <c r="A932" s="12" t="s">
        <v>39</v>
      </c>
      <c r="B932" s="12" t="s">
        <v>2787</v>
      </c>
      <c r="C932" s="12">
        <v>70</v>
      </c>
      <c r="D932" s="12">
        <v>235</v>
      </c>
      <c r="E932" s="12" t="s">
        <v>2817</v>
      </c>
      <c r="F932" s="12" t="s">
        <v>2854</v>
      </c>
      <c r="G932" s="12" t="str">
        <f t="shared" si="24"/>
        <v>702358001396221</v>
      </c>
      <c r="H932" s="12" t="s">
        <v>2855</v>
      </c>
      <c r="I932" s="12">
        <v>8001396221</v>
      </c>
      <c r="J932" s="12" t="s">
        <v>2856</v>
      </c>
      <c r="K932" s="12" t="s">
        <v>230</v>
      </c>
      <c r="N932" s="12" t="s">
        <v>127</v>
      </c>
      <c r="O932" s="12" t="s">
        <v>2822</v>
      </c>
      <c r="P932" s="88" t="s">
        <v>102</v>
      </c>
      <c r="AU932" s="12" t="s">
        <v>1208</v>
      </c>
    </row>
    <row r="933" spans="1:47" s="12" customFormat="1" ht="14.4" hidden="1" x14ac:dyDescent="0.3">
      <c r="A933" s="12" t="s">
        <v>39</v>
      </c>
      <c r="B933" s="12" t="s">
        <v>2787</v>
      </c>
      <c r="C933" s="12">
        <v>70</v>
      </c>
      <c r="D933" s="12">
        <v>235</v>
      </c>
      <c r="E933" s="12" t="s">
        <v>2833</v>
      </c>
      <c r="F933" s="12" t="s">
        <v>2857</v>
      </c>
      <c r="G933" s="12" t="str">
        <f t="shared" si="24"/>
        <v>702358230019255</v>
      </c>
      <c r="H933" s="12" t="s">
        <v>2835</v>
      </c>
      <c r="I933" s="12">
        <v>8230019255</v>
      </c>
      <c r="J933" s="12" t="s">
        <v>2858</v>
      </c>
      <c r="K933" s="12" t="s">
        <v>230</v>
      </c>
      <c r="L933" s="12">
        <v>3007008323</v>
      </c>
      <c r="M933" s="17" t="s">
        <v>2859</v>
      </c>
      <c r="N933" s="12" t="s">
        <v>127</v>
      </c>
      <c r="O933" s="12" t="s">
        <v>2822</v>
      </c>
      <c r="P933" s="88" t="s">
        <v>102</v>
      </c>
      <c r="Q933" s="13">
        <v>45790</v>
      </c>
      <c r="R933" s="16">
        <v>0.9</v>
      </c>
      <c r="S933" s="12" t="s">
        <v>210</v>
      </c>
      <c r="U933" s="12" t="s">
        <v>60</v>
      </c>
      <c r="V933" s="13">
        <v>45461</v>
      </c>
      <c r="W933" s="12" t="s">
        <v>2148</v>
      </c>
      <c r="X933" s="12" t="s">
        <v>49</v>
      </c>
      <c r="Z933" s="12" t="s">
        <v>60</v>
      </c>
      <c r="AA933" s="12" t="s">
        <v>51</v>
      </c>
      <c r="AB933" s="12" t="s">
        <v>51</v>
      </c>
      <c r="AU933" s="12" t="s">
        <v>1208</v>
      </c>
    </row>
    <row r="934" spans="1:47" s="12" customFormat="1" ht="14.4" hidden="1" x14ac:dyDescent="0.3">
      <c r="A934" s="12" t="s">
        <v>39</v>
      </c>
      <c r="B934" s="12" t="s">
        <v>2787</v>
      </c>
      <c r="C934" s="12">
        <v>70</v>
      </c>
      <c r="D934" s="12">
        <v>235</v>
      </c>
      <c r="E934" s="12" t="s">
        <v>2833</v>
      </c>
      <c r="F934" s="12" t="s">
        <v>2860</v>
      </c>
      <c r="G934" s="12" t="str">
        <f t="shared" ref="G934:G971" si="25">C934&amp;D934&amp;I934</f>
        <v>702358230019255</v>
      </c>
      <c r="H934" s="12" t="s">
        <v>2835</v>
      </c>
      <c r="I934" s="12">
        <v>8230019255</v>
      </c>
      <c r="J934" s="12" t="s">
        <v>2861</v>
      </c>
      <c r="K934" s="12" t="s">
        <v>230</v>
      </c>
      <c r="L934" s="12">
        <v>3023540106</v>
      </c>
      <c r="M934" s="17" t="s">
        <v>2862</v>
      </c>
      <c r="N934" s="12" t="s">
        <v>127</v>
      </c>
      <c r="O934" s="12" t="s">
        <v>2822</v>
      </c>
      <c r="P934" s="88" t="s">
        <v>102</v>
      </c>
      <c r="Q934" s="13">
        <v>45792</v>
      </c>
      <c r="R934" s="16">
        <v>0.84</v>
      </c>
      <c r="S934" s="12" t="s">
        <v>49</v>
      </c>
      <c r="U934" s="12" t="s">
        <v>60</v>
      </c>
      <c r="V934" s="13">
        <v>45398</v>
      </c>
      <c r="W934" s="16">
        <v>0.85</v>
      </c>
      <c r="X934" s="12" t="s">
        <v>2863</v>
      </c>
      <c r="Z934" s="12" t="s">
        <v>60</v>
      </c>
      <c r="AA934" s="12" t="s">
        <v>51</v>
      </c>
      <c r="AB934" s="12" t="s">
        <v>51</v>
      </c>
      <c r="AU934" s="12" t="s">
        <v>1208</v>
      </c>
    </row>
    <row r="935" spans="1:47" s="12" customFormat="1" ht="14.4" hidden="1" x14ac:dyDescent="0.3">
      <c r="A935" s="12" t="s">
        <v>39</v>
      </c>
      <c r="B935" s="12" t="s">
        <v>2787</v>
      </c>
      <c r="C935" s="12">
        <v>70</v>
      </c>
      <c r="D935" s="12">
        <v>235</v>
      </c>
      <c r="E935" s="12" t="s">
        <v>2864</v>
      </c>
      <c r="F935" s="12" t="s">
        <v>2865</v>
      </c>
      <c r="G935" s="12" t="str">
        <f t="shared" si="25"/>
        <v>702358230019255</v>
      </c>
      <c r="H935" s="12" t="s">
        <v>2835</v>
      </c>
      <c r="I935" s="12">
        <v>8230019255</v>
      </c>
      <c r="J935" s="12" t="s">
        <v>2866</v>
      </c>
      <c r="K935" s="12" t="s">
        <v>230</v>
      </c>
      <c r="L935" s="12">
        <v>3218988874</v>
      </c>
      <c r="M935" s="12" t="s">
        <v>45</v>
      </c>
      <c r="N935" s="12" t="s">
        <v>127</v>
      </c>
      <c r="O935" s="12" t="s">
        <v>2822</v>
      </c>
      <c r="P935" s="88" t="s">
        <v>102</v>
      </c>
      <c r="Q935" s="13">
        <v>45845</v>
      </c>
      <c r="R935" s="16">
        <v>0.87</v>
      </c>
      <c r="S935" s="12" t="s">
        <v>74</v>
      </c>
      <c r="U935" s="12" t="s">
        <v>60</v>
      </c>
      <c r="AU935" s="12" t="s">
        <v>1208</v>
      </c>
    </row>
    <row r="936" spans="1:47" s="12" customFormat="1" ht="14.4" hidden="1" x14ac:dyDescent="0.3">
      <c r="A936" s="12" t="s">
        <v>39</v>
      </c>
      <c r="B936" s="12" t="s">
        <v>2787</v>
      </c>
      <c r="C936" s="12">
        <v>70</v>
      </c>
      <c r="D936" s="12">
        <v>235</v>
      </c>
      <c r="E936" s="12" t="s">
        <v>2833</v>
      </c>
      <c r="F936" s="275" t="s">
        <v>2825</v>
      </c>
      <c r="G936" s="12" t="str">
        <f t="shared" si="25"/>
        <v>70235822001925</v>
      </c>
      <c r="H936" s="12" t="s">
        <v>8777</v>
      </c>
      <c r="I936" s="12">
        <v>822001925</v>
      </c>
      <c r="J936" s="12" t="s">
        <v>8778</v>
      </c>
      <c r="K936" s="12" t="s">
        <v>230</v>
      </c>
      <c r="L936" s="12">
        <v>3113491609</v>
      </c>
      <c r="M936" s="17" t="s">
        <v>8779</v>
      </c>
      <c r="N936" s="12" t="s">
        <v>127</v>
      </c>
      <c r="O936" s="12" t="s">
        <v>2822</v>
      </c>
      <c r="P936" s="88" t="s">
        <v>102</v>
      </c>
      <c r="Q936" s="13">
        <v>46140</v>
      </c>
      <c r="R936" s="12">
        <v>78</v>
      </c>
      <c r="S936" s="12" t="s">
        <v>49</v>
      </c>
      <c r="U936" s="12" t="s">
        <v>60</v>
      </c>
      <c r="V936" s="13">
        <v>45755</v>
      </c>
      <c r="W936" s="16">
        <v>0.89</v>
      </c>
      <c r="X936" s="12" t="s">
        <v>49</v>
      </c>
      <c r="Z936" s="12" t="s">
        <v>60</v>
      </c>
      <c r="AA936" s="12" t="s">
        <v>51</v>
      </c>
      <c r="AB936" s="12" t="s">
        <v>51</v>
      </c>
      <c r="AC936" s="13">
        <v>45463</v>
      </c>
      <c r="AD936" s="12">
        <v>92</v>
      </c>
      <c r="AE936" s="12" t="s">
        <v>210</v>
      </c>
      <c r="AF936" s="12" t="s">
        <v>8780</v>
      </c>
      <c r="AU936" s="12" t="s">
        <v>1208</v>
      </c>
    </row>
    <row r="937" spans="1:47" s="12" customFormat="1" ht="14.4" hidden="1" x14ac:dyDescent="0.3">
      <c r="A937" s="12" t="s">
        <v>39</v>
      </c>
      <c r="B937" s="12" t="s">
        <v>2787</v>
      </c>
      <c r="C937" s="12">
        <v>70</v>
      </c>
      <c r="D937" s="12">
        <v>235</v>
      </c>
      <c r="E937" s="12" t="s">
        <v>2833</v>
      </c>
      <c r="F937" s="275" t="s">
        <v>2867</v>
      </c>
      <c r="G937" s="12" t="str">
        <f t="shared" si="25"/>
        <v>702358230019255</v>
      </c>
      <c r="H937" s="12" t="s">
        <v>2835</v>
      </c>
      <c r="I937" s="12">
        <v>8230019255</v>
      </c>
      <c r="J937" s="12" t="s">
        <v>2868</v>
      </c>
      <c r="K937" s="12" t="s">
        <v>230</v>
      </c>
      <c r="L937" s="12">
        <v>3126403440</v>
      </c>
      <c r="M937" s="12" t="s">
        <v>45</v>
      </c>
      <c r="N937" s="12" t="s">
        <v>127</v>
      </c>
      <c r="O937" s="12" t="s">
        <v>2822</v>
      </c>
      <c r="P937" s="88" t="s">
        <v>102</v>
      </c>
      <c r="Q937" s="13">
        <v>45736</v>
      </c>
      <c r="R937" s="16">
        <v>0.78</v>
      </c>
      <c r="S937" s="12" t="s">
        <v>49</v>
      </c>
      <c r="U937" s="12" t="s">
        <v>60</v>
      </c>
      <c r="V937" s="13">
        <v>45400</v>
      </c>
      <c r="W937" s="16">
        <v>0.88</v>
      </c>
      <c r="X937" s="12" t="s">
        <v>74</v>
      </c>
      <c r="AU937" s="12" t="s">
        <v>1208</v>
      </c>
    </row>
    <row r="938" spans="1:47" s="12" customFormat="1" ht="14.4" hidden="1" x14ac:dyDescent="0.3">
      <c r="A938" s="12" t="s">
        <v>39</v>
      </c>
      <c r="B938" s="12" t="s">
        <v>2787</v>
      </c>
      <c r="C938" s="12">
        <v>70</v>
      </c>
      <c r="D938" s="12">
        <v>235</v>
      </c>
      <c r="E938" s="12" t="s">
        <v>2833</v>
      </c>
      <c r="F938" s="275" t="s">
        <v>2869</v>
      </c>
      <c r="G938" s="12" t="str">
        <f t="shared" si="25"/>
        <v>70235823001925</v>
      </c>
      <c r="H938" s="12" t="s">
        <v>2835</v>
      </c>
      <c r="I938" s="12">
        <v>823001925</v>
      </c>
      <c r="J938" s="12" t="s">
        <v>2870</v>
      </c>
      <c r="K938" s="12" t="s">
        <v>230</v>
      </c>
      <c r="L938" s="12">
        <v>3138892415</v>
      </c>
      <c r="M938" s="12" t="s">
        <v>8559</v>
      </c>
      <c r="N938" s="12" t="s">
        <v>127</v>
      </c>
      <c r="O938" s="12" t="s">
        <v>2822</v>
      </c>
      <c r="P938" s="88" t="s">
        <v>102</v>
      </c>
      <c r="Q938" s="13">
        <v>46105</v>
      </c>
      <c r="R938" s="12">
        <v>84</v>
      </c>
      <c r="S938" s="12" t="s">
        <v>49</v>
      </c>
      <c r="U938" s="12" t="s">
        <v>60</v>
      </c>
      <c r="V938" s="13">
        <v>45735</v>
      </c>
      <c r="W938" s="12" t="s">
        <v>1969</v>
      </c>
      <c r="X938" s="12" t="s">
        <v>49</v>
      </c>
      <c r="Z938" s="12" t="s">
        <v>60</v>
      </c>
      <c r="AA938" s="12" t="s">
        <v>51</v>
      </c>
      <c r="AB938" s="12" t="s">
        <v>51</v>
      </c>
      <c r="AC938" s="13">
        <v>45399</v>
      </c>
      <c r="AD938" s="16">
        <v>0.88</v>
      </c>
      <c r="AE938" s="12" t="s">
        <v>74</v>
      </c>
      <c r="AU938" s="12" t="s">
        <v>1208</v>
      </c>
    </row>
    <row r="939" spans="1:47" s="12" customFormat="1" ht="14.4" hidden="1" x14ac:dyDescent="0.3">
      <c r="A939" s="12" t="s">
        <v>39</v>
      </c>
      <c r="B939" s="12" t="s">
        <v>2787</v>
      </c>
      <c r="C939" s="12">
        <v>70</v>
      </c>
      <c r="D939" s="12">
        <v>235</v>
      </c>
      <c r="F939" s="12" t="s">
        <v>2871</v>
      </c>
      <c r="G939" s="12" t="str">
        <f t="shared" si="25"/>
        <v>702358001396221</v>
      </c>
      <c r="H939" s="12" t="s">
        <v>2855</v>
      </c>
      <c r="I939" s="12">
        <v>8001396221</v>
      </c>
      <c r="J939" s="12" t="s">
        <v>2872</v>
      </c>
      <c r="K939" s="12" t="s">
        <v>230</v>
      </c>
      <c r="N939" s="12" t="s">
        <v>127</v>
      </c>
      <c r="O939" s="12" t="s">
        <v>2822</v>
      </c>
      <c r="P939" s="88" t="s">
        <v>102</v>
      </c>
      <c r="AU939" s="12" t="s">
        <v>1208</v>
      </c>
    </row>
    <row r="940" spans="1:47" s="12" customFormat="1" ht="14.4" hidden="1" x14ac:dyDescent="0.3">
      <c r="A940" s="12" t="s">
        <v>39</v>
      </c>
      <c r="B940" s="12" t="s">
        <v>2787</v>
      </c>
      <c r="C940" s="12">
        <v>70</v>
      </c>
      <c r="D940" s="12">
        <v>235</v>
      </c>
      <c r="E940" s="12" t="s">
        <v>2833</v>
      </c>
      <c r="F940" s="275" t="s">
        <v>2873</v>
      </c>
      <c r="G940" s="12" t="str">
        <f t="shared" si="25"/>
        <v>702358230019255</v>
      </c>
      <c r="H940" s="12" t="s">
        <v>2835</v>
      </c>
      <c r="I940" s="12">
        <v>8230019255</v>
      </c>
      <c r="J940" s="12" t="s">
        <v>2874</v>
      </c>
      <c r="K940" s="12" t="s">
        <v>230</v>
      </c>
      <c r="L940" s="12">
        <v>3207424180</v>
      </c>
      <c r="M940" s="17" t="s">
        <v>2875</v>
      </c>
      <c r="N940" s="12" t="s">
        <v>127</v>
      </c>
      <c r="O940" s="12" t="s">
        <v>2822</v>
      </c>
      <c r="P940" s="88" t="s">
        <v>102</v>
      </c>
      <c r="Q940" s="13">
        <v>45734</v>
      </c>
      <c r="R940" s="12" t="s">
        <v>176</v>
      </c>
      <c r="S940" s="12" t="s">
        <v>49</v>
      </c>
      <c r="U940" s="12" t="s">
        <v>50</v>
      </c>
      <c r="V940" s="13">
        <v>45401</v>
      </c>
      <c r="W940" s="12" t="s">
        <v>146</v>
      </c>
      <c r="X940" s="12" t="s">
        <v>49</v>
      </c>
      <c r="Z940" s="12" t="s">
        <v>50</v>
      </c>
      <c r="AA940" s="12" t="s">
        <v>51</v>
      </c>
      <c r="AB940" s="12" t="s">
        <v>51</v>
      </c>
      <c r="AU940" s="12" t="s">
        <v>1208</v>
      </c>
    </row>
    <row r="941" spans="1:47" s="12" customFormat="1" ht="14.4" hidden="1" x14ac:dyDescent="0.3">
      <c r="A941" s="12" t="s">
        <v>39</v>
      </c>
      <c r="B941" s="12" t="s">
        <v>2787</v>
      </c>
      <c r="C941" s="12">
        <v>70</v>
      </c>
      <c r="D941" s="12">
        <v>235</v>
      </c>
      <c r="E941" s="12" t="s">
        <v>2833</v>
      </c>
      <c r="F941" s="275" t="s">
        <v>2876</v>
      </c>
      <c r="G941" s="12" t="str">
        <f t="shared" si="25"/>
        <v>70235823001925</v>
      </c>
      <c r="H941" s="12" t="s">
        <v>2835</v>
      </c>
      <c r="I941" s="12">
        <v>823001925</v>
      </c>
      <c r="J941" s="12" t="s">
        <v>8956</v>
      </c>
      <c r="K941" s="12" t="s">
        <v>230</v>
      </c>
      <c r="L941" s="12">
        <v>3108931713</v>
      </c>
      <c r="M941" s="12" t="s">
        <v>8957</v>
      </c>
      <c r="N941" s="12" t="s">
        <v>127</v>
      </c>
      <c r="O941" s="12" t="s">
        <v>2822</v>
      </c>
      <c r="P941" s="88" t="s">
        <v>102</v>
      </c>
      <c r="Q941" s="13">
        <v>46167</v>
      </c>
      <c r="R941" s="12">
        <v>78</v>
      </c>
      <c r="S941" s="12" t="s">
        <v>49</v>
      </c>
      <c r="U941" s="12" t="s">
        <v>60</v>
      </c>
      <c r="AU941" s="12" t="s">
        <v>1208</v>
      </c>
    </row>
    <row r="942" spans="1:47" s="12" customFormat="1" ht="14.4" hidden="1" x14ac:dyDescent="0.3">
      <c r="A942" s="12" t="s">
        <v>39</v>
      </c>
      <c r="B942" s="12" t="s">
        <v>2787</v>
      </c>
      <c r="C942" s="12">
        <v>70</v>
      </c>
      <c r="D942" s="12">
        <v>235</v>
      </c>
      <c r="E942" s="12" t="s">
        <v>2833</v>
      </c>
      <c r="F942" s="275" t="s">
        <v>8521</v>
      </c>
      <c r="G942" s="12" t="str">
        <f t="shared" si="25"/>
        <v>702358230019255</v>
      </c>
      <c r="H942" s="12" t="s">
        <v>2835</v>
      </c>
      <c r="I942" s="12">
        <v>8230019255</v>
      </c>
      <c r="J942" s="12" t="s">
        <v>2877</v>
      </c>
      <c r="K942" s="12" t="s">
        <v>230</v>
      </c>
      <c r="L942" s="12">
        <v>3003622835</v>
      </c>
      <c r="M942" s="12" t="s">
        <v>45</v>
      </c>
      <c r="N942" s="12" t="s">
        <v>127</v>
      </c>
      <c r="O942" s="12" t="s">
        <v>2822</v>
      </c>
      <c r="P942" s="88" t="s">
        <v>102</v>
      </c>
      <c r="Q942" s="13">
        <v>45791</v>
      </c>
      <c r="R942" s="12" t="s">
        <v>1937</v>
      </c>
      <c r="S942" s="12" t="s">
        <v>49</v>
      </c>
      <c r="U942" s="12" t="s">
        <v>60</v>
      </c>
      <c r="AU942" s="12" t="s">
        <v>1208</v>
      </c>
    </row>
    <row r="943" spans="1:47" s="12" customFormat="1" ht="14.4" hidden="1" x14ac:dyDescent="0.3">
      <c r="A943" s="12" t="s">
        <v>39</v>
      </c>
      <c r="B943" s="12" t="s">
        <v>2787</v>
      </c>
      <c r="C943" s="12">
        <v>70</v>
      </c>
      <c r="D943" s="12">
        <v>235</v>
      </c>
      <c r="E943" s="12" t="s">
        <v>8551</v>
      </c>
      <c r="F943" s="275" t="s">
        <v>2878</v>
      </c>
      <c r="G943" s="12" t="str">
        <f t="shared" si="25"/>
        <v>70235902024779</v>
      </c>
      <c r="H943" s="12" t="s">
        <v>2879</v>
      </c>
      <c r="I943" s="12">
        <v>902024779</v>
      </c>
      <c r="J943" s="12" t="s">
        <v>2880</v>
      </c>
      <c r="K943" s="12" t="s">
        <v>133</v>
      </c>
      <c r="L943" s="12">
        <v>3233864463</v>
      </c>
      <c r="M943" s="17" t="s">
        <v>8335</v>
      </c>
      <c r="N943" s="12" t="s">
        <v>127</v>
      </c>
      <c r="O943" s="12" t="s">
        <v>2822</v>
      </c>
      <c r="P943" s="88" t="s">
        <v>102</v>
      </c>
      <c r="Q943" s="13">
        <v>46071</v>
      </c>
      <c r="R943" s="12" t="s">
        <v>8405</v>
      </c>
      <c r="S943" s="12" t="s">
        <v>49</v>
      </c>
      <c r="U943" s="12" t="s">
        <v>60</v>
      </c>
      <c r="V943" s="13">
        <v>45737</v>
      </c>
      <c r="W943" s="12" t="s">
        <v>2148</v>
      </c>
      <c r="X943" s="12" t="s">
        <v>49</v>
      </c>
      <c r="Z943" s="12" t="s">
        <v>2881</v>
      </c>
      <c r="AA943" s="12" t="s">
        <v>51</v>
      </c>
      <c r="AB943" s="12" t="s">
        <v>51</v>
      </c>
      <c r="AC943" s="13">
        <v>44895</v>
      </c>
      <c r="AD943" s="16">
        <v>0.66</v>
      </c>
      <c r="AE943" s="12" t="s">
        <v>49</v>
      </c>
      <c r="AU943" s="12" t="s">
        <v>1208</v>
      </c>
    </row>
    <row r="944" spans="1:47" s="12" customFormat="1" ht="14.4" hidden="1" x14ac:dyDescent="0.3">
      <c r="A944" s="12" t="s">
        <v>39</v>
      </c>
      <c r="B944" s="12" t="s">
        <v>2787</v>
      </c>
      <c r="C944" s="12">
        <v>70</v>
      </c>
      <c r="D944" s="12">
        <v>235</v>
      </c>
      <c r="E944" s="12" t="s">
        <v>8551</v>
      </c>
      <c r="F944" s="275" t="s">
        <v>8554</v>
      </c>
      <c r="G944" s="12" t="str">
        <f t="shared" si="25"/>
        <v>70235902024779</v>
      </c>
      <c r="H944" s="12" t="s">
        <v>2879</v>
      </c>
      <c r="I944" s="12">
        <v>902024779</v>
      </c>
      <c r="J944" s="12" t="s">
        <v>8555</v>
      </c>
      <c r="K944" s="12" t="s">
        <v>133</v>
      </c>
      <c r="L944" s="12">
        <v>3233864463</v>
      </c>
      <c r="M944" s="17" t="s">
        <v>8335</v>
      </c>
      <c r="N944" s="12" t="s">
        <v>127</v>
      </c>
      <c r="O944" s="12" t="s">
        <v>2822</v>
      </c>
      <c r="P944" s="88" t="s">
        <v>48</v>
      </c>
      <c r="Q944" s="13">
        <v>46099</v>
      </c>
      <c r="R944" s="12" t="s">
        <v>8270</v>
      </c>
      <c r="S944" s="12" t="s">
        <v>49</v>
      </c>
      <c r="U944" s="12" t="s">
        <v>60</v>
      </c>
      <c r="V944" s="13"/>
      <c r="AC944" s="13"/>
      <c r="AD944" s="16"/>
      <c r="AU944" s="12" t="s">
        <v>53</v>
      </c>
    </row>
    <row r="945" spans="1:51" s="12" customFormat="1" ht="14.4" hidden="1" x14ac:dyDescent="0.3">
      <c r="A945" s="12" t="s">
        <v>39</v>
      </c>
      <c r="B945" s="12" t="s">
        <v>2787</v>
      </c>
      <c r="C945" s="12">
        <v>70</v>
      </c>
      <c r="D945" s="12">
        <v>235</v>
      </c>
      <c r="E945" s="12" t="s">
        <v>8551</v>
      </c>
      <c r="F945" s="275" t="s">
        <v>8556</v>
      </c>
      <c r="G945" s="12" t="str">
        <f t="shared" si="25"/>
        <v>70235902024779</v>
      </c>
      <c r="H945" s="12" t="s">
        <v>2879</v>
      </c>
      <c r="I945" s="12">
        <v>902024779</v>
      </c>
      <c r="J945" s="12" t="s">
        <v>8557</v>
      </c>
      <c r="K945" s="12" t="s">
        <v>133</v>
      </c>
      <c r="L945" s="12">
        <v>3046614152</v>
      </c>
      <c r="M945" s="17" t="s">
        <v>8335</v>
      </c>
      <c r="N945" s="12" t="s">
        <v>127</v>
      </c>
      <c r="O945" s="12" t="s">
        <v>2822</v>
      </c>
      <c r="P945" s="88" t="s">
        <v>48</v>
      </c>
      <c r="Q945" s="13">
        <v>46093</v>
      </c>
      <c r="R945" s="12" t="s">
        <v>8558</v>
      </c>
      <c r="S945" s="12" t="s">
        <v>49</v>
      </c>
      <c r="U945" s="12" t="s">
        <v>60</v>
      </c>
      <c r="V945" s="13"/>
      <c r="AC945" s="13"/>
      <c r="AD945" s="16"/>
      <c r="AU945" s="12" t="s">
        <v>53</v>
      </c>
    </row>
    <row r="946" spans="1:51" s="12" customFormat="1" ht="14.4" hidden="1" x14ac:dyDescent="0.3">
      <c r="A946" s="12" t="s">
        <v>39</v>
      </c>
      <c r="B946" s="12" t="s">
        <v>2787</v>
      </c>
      <c r="C946" s="12">
        <v>70</v>
      </c>
      <c r="D946" s="12">
        <v>235</v>
      </c>
      <c r="E946" s="12" t="s">
        <v>2817</v>
      </c>
      <c r="F946" s="12" t="s">
        <v>2882</v>
      </c>
      <c r="G946" s="12" t="str">
        <f t="shared" si="25"/>
        <v>702359000720945</v>
      </c>
      <c r="H946" s="12" t="s">
        <v>2883</v>
      </c>
      <c r="I946" s="12">
        <v>9000720945</v>
      </c>
      <c r="J946" s="12" t="s">
        <v>2884</v>
      </c>
      <c r="K946" s="12" t="s">
        <v>230</v>
      </c>
      <c r="N946" s="12" t="s">
        <v>127</v>
      </c>
      <c r="O946" s="12" t="s">
        <v>2822</v>
      </c>
      <c r="P946" s="88" t="s">
        <v>102</v>
      </c>
      <c r="AU946" s="12" t="s">
        <v>1208</v>
      </c>
    </row>
    <row r="947" spans="1:51" s="12" customFormat="1" ht="14.4" hidden="1" x14ac:dyDescent="0.3">
      <c r="A947" s="12" t="s">
        <v>39</v>
      </c>
      <c r="B947" s="12" t="s">
        <v>2787</v>
      </c>
      <c r="C947" s="12">
        <v>70</v>
      </c>
      <c r="D947" s="12">
        <v>235</v>
      </c>
      <c r="F947" s="12" t="s">
        <v>2885</v>
      </c>
      <c r="G947" s="12" t="str">
        <f t="shared" si="25"/>
        <v>702358305071039</v>
      </c>
      <c r="H947" s="12" t="s">
        <v>2886</v>
      </c>
      <c r="I947" s="12">
        <v>8305071039</v>
      </c>
      <c r="J947" s="12" t="s">
        <v>2887</v>
      </c>
      <c r="K947" s="12" t="s">
        <v>230</v>
      </c>
      <c r="N947" s="12" t="s">
        <v>127</v>
      </c>
      <c r="O947" s="12" t="s">
        <v>2822</v>
      </c>
      <c r="P947" s="88" t="s">
        <v>102</v>
      </c>
      <c r="AU947" s="12" t="s">
        <v>1208</v>
      </c>
    </row>
    <row r="948" spans="1:51" s="12" customFormat="1" ht="14.4" hidden="1" x14ac:dyDescent="0.3">
      <c r="A948" s="12" t="s">
        <v>39</v>
      </c>
      <c r="B948" s="12" t="s">
        <v>2787</v>
      </c>
      <c r="C948" s="12">
        <v>70</v>
      </c>
      <c r="D948" s="12">
        <v>235</v>
      </c>
      <c r="E948" s="213" t="s">
        <v>8969</v>
      </c>
      <c r="F948" s="275" t="s">
        <v>2888</v>
      </c>
      <c r="G948" s="12" t="str">
        <f t="shared" si="25"/>
        <v>70235830507103</v>
      </c>
      <c r="H948" s="12" t="s">
        <v>8971</v>
      </c>
      <c r="I948" s="12">
        <v>830507103</v>
      </c>
      <c r="J948" s="12" t="s">
        <v>9171</v>
      </c>
      <c r="K948" s="12" t="s">
        <v>230</v>
      </c>
      <c r="L948" s="12">
        <v>3004565712</v>
      </c>
      <c r="M948" s="17" t="s">
        <v>9170</v>
      </c>
      <c r="N948" s="12" t="s">
        <v>127</v>
      </c>
      <c r="O948" s="12" t="s">
        <v>2822</v>
      </c>
      <c r="P948" s="88" t="s">
        <v>102</v>
      </c>
      <c r="Q948" s="13">
        <v>46223</v>
      </c>
      <c r="R948" s="12" t="s">
        <v>4658</v>
      </c>
      <c r="S948" s="12" t="s">
        <v>49</v>
      </c>
      <c r="T948" s="12" t="s">
        <v>8776</v>
      </c>
      <c r="U948" s="12" t="s">
        <v>2456</v>
      </c>
      <c r="AU948" s="12" t="s">
        <v>1208</v>
      </c>
    </row>
    <row r="949" spans="1:51" s="12" customFormat="1" ht="14.4" hidden="1" x14ac:dyDescent="0.3">
      <c r="A949" s="12" t="s">
        <v>39</v>
      </c>
      <c r="B949" s="12" t="s">
        <v>2787</v>
      </c>
      <c r="C949" s="12">
        <v>70</v>
      </c>
      <c r="D949" s="12">
        <v>235</v>
      </c>
      <c r="F949" s="12" t="s">
        <v>2889</v>
      </c>
      <c r="G949" s="12" t="str">
        <f t="shared" si="25"/>
        <v>70235NO REGISTRA</v>
      </c>
      <c r="H949" s="12" t="s">
        <v>2890</v>
      </c>
      <c r="I949" s="12" t="s">
        <v>45</v>
      </c>
      <c r="J949" s="12" t="s">
        <v>2891</v>
      </c>
      <c r="K949" s="12" t="s">
        <v>230</v>
      </c>
      <c r="N949" s="12" t="s">
        <v>127</v>
      </c>
      <c r="O949" s="12" t="s">
        <v>2822</v>
      </c>
      <c r="P949" s="88" t="s">
        <v>102</v>
      </c>
      <c r="AU949" s="12" t="s">
        <v>1208</v>
      </c>
    </row>
    <row r="950" spans="1:51" s="12" customFormat="1" ht="14.4" hidden="1" x14ac:dyDescent="0.3">
      <c r="A950" s="12" t="s">
        <v>39</v>
      </c>
      <c r="B950" s="12" t="s">
        <v>2787</v>
      </c>
      <c r="C950" s="12">
        <v>70</v>
      </c>
      <c r="D950" s="12">
        <v>235</v>
      </c>
      <c r="E950" s="213" t="s">
        <v>8969</v>
      </c>
      <c r="F950" s="275" t="s">
        <v>9169</v>
      </c>
      <c r="G950" s="12" t="str">
        <f t="shared" si="25"/>
        <v>70235830507103</v>
      </c>
      <c r="H950" s="12" t="s">
        <v>8971</v>
      </c>
      <c r="I950" s="12">
        <v>830507103</v>
      </c>
      <c r="J950" s="12" t="s">
        <v>2892</v>
      </c>
      <c r="K950" s="12" t="s">
        <v>230</v>
      </c>
      <c r="L950" s="12">
        <v>3004565712</v>
      </c>
      <c r="M950" s="17" t="s">
        <v>9170</v>
      </c>
      <c r="N950" s="12" t="s">
        <v>127</v>
      </c>
      <c r="O950" s="12" t="s">
        <v>2822</v>
      </c>
      <c r="P950" s="88" t="s">
        <v>102</v>
      </c>
      <c r="Q950" s="13">
        <v>46210</v>
      </c>
      <c r="R950" s="12" t="s">
        <v>8589</v>
      </c>
      <c r="S950" s="12" t="s">
        <v>210</v>
      </c>
      <c r="T950" s="12" t="s">
        <v>8776</v>
      </c>
      <c r="U950" s="12" t="s">
        <v>2456</v>
      </c>
      <c r="AU950" s="12" t="s">
        <v>1208</v>
      </c>
    </row>
    <row r="951" spans="1:51" s="12" customFormat="1" ht="14.4" hidden="1" x14ac:dyDescent="0.3">
      <c r="A951" s="12" t="s">
        <v>39</v>
      </c>
      <c r="B951" s="12" t="s">
        <v>2787</v>
      </c>
      <c r="C951" s="12">
        <v>70</v>
      </c>
      <c r="D951" s="12">
        <v>235</v>
      </c>
      <c r="E951" s="12" t="s">
        <v>7934</v>
      </c>
      <c r="F951" s="12" t="s">
        <v>7935</v>
      </c>
      <c r="G951" s="12" t="str">
        <f t="shared" si="25"/>
        <v>70235823001925-8</v>
      </c>
      <c r="H951" s="12" t="s">
        <v>2893</v>
      </c>
      <c r="I951" s="12" t="s">
        <v>2819</v>
      </c>
      <c r="J951" s="12" t="s">
        <v>2894</v>
      </c>
      <c r="K951" s="12" t="s">
        <v>230</v>
      </c>
      <c r="L951" s="12">
        <v>3024584920</v>
      </c>
      <c r="M951" s="94" t="s">
        <v>2821</v>
      </c>
      <c r="N951" s="12" t="s">
        <v>127</v>
      </c>
      <c r="O951" s="12" t="s">
        <v>2822</v>
      </c>
      <c r="P951" s="88" t="s">
        <v>102</v>
      </c>
      <c r="Q951" s="13">
        <v>45726</v>
      </c>
      <c r="R951" s="59">
        <v>0.79500000000000004</v>
      </c>
      <c r="S951" s="12" t="s">
        <v>49</v>
      </c>
      <c r="T951" s="12" t="s">
        <v>2895</v>
      </c>
      <c r="U951" s="12" t="s">
        <v>60</v>
      </c>
      <c r="V951" s="13">
        <v>45504</v>
      </c>
      <c r="W951" s="12" t="s">
        <v>203</v>
      </c>
      <c r="X951" s="12" t="s">
        <v>49</v>
      </c>
      <c r="AU951" s="12" t="s">
        <v>1208</v>
      </c>
    </row>
    <row r="952" spans="1:51" s="12" customFormat="1" ht="14.4" hidden="1" x14ac:dyDescent="0.3">
      <c r="A952" s="12" t="s">
        <v>39</v>
      </c>
      <c r="B952" s="12" t="s">
        <v>2787</v>
      </c>
      <c r="C952" s="12">
        <v>70</v>
      </c>
      <c r="D952" s="12">
        <v>235</v>
      </c>
      <c r="E952" s="12" t="s">
        <v>2896</v>
      </c>
      <c r="F952" s="275" t="s">
        <v>2897</v>
      </c>
      <c r="G952" s="12" t="str">
        <f t="shared" si="25"/>
        <v>702359018271379</v>
      </c>
      <c r="H952" s="12" t="s">
        <v>2898</v>
      </c>
      <c r="I952" s="12">
        <v>9018271379</v>
      </c>
      <c r="J952" s="12" t="s">
        <v>2899</v>
      </c>
      <c r="K952" s="12" t="s">
        <v>230</v>
      </c>
      <c r="L952" s="12">
        <v>3135669154</v>
      </c>
      <c r="M952" s="17" t="s">
        <v>2900</v>
      </c>
      <c r="N952" s="12" t="s">
        <v>2906</v>
      </c>
      <c r="O952" s="88" t="s">
        <v>8734</v>
      </c>
      <c r="P952" s="88" t="s">
        <v>261</v>
      </c>
      <c r="Q952" s="13">
        <v>46108</v>
      </c>
      <c r="R952" s="16">
        <v>1</v>
      </c>
      <c r="S952" s="12" t="s">
        <v>210</v>
      </c>
      <c r="U952" s="12" t="s">
        <v>2456</v>
      </c>
      <c r="V952" s="13">
        <v>45545</v>
      </c>
      <c r="W952" s="16">
        <v>0.99</v>
      </c>
      <c r="X952" s="12" t="s">
        <v>210</v>
      </c>
      <c r="Z952" s="12" t="s">
        <v>2456</v>
      </c>
      <c r="AA952" s="12" t="s">
        <v>52</v>
      </c>
      <c r="AB952" s="12" t="s">
        <v>51</v>
      </c>
      <c r="AC952" s="13">
        <v>45225</v>
      </c>
      <c r="AD952" s="16">
        <v>0.99</v>
      </c>
      <c r="AE952" s="12" t="s">
        <v>210</v>
      </c>
      <c r="AF952" s="12" t="s">
        <v>2456</v>
      </c>
      <c r="AU952" s="12" t="s">
        <v>1208</v>
      </c>
    </row>
    <row r="953" spans="1:51" s="12" customFormat="1" ht="14.4" hidden="1" x14ac:dyDescent="0.3">
      <c r="A953" s="12" t="s">
        <v>39</v>
      </c>
      <c r="B953" s="12" t="s">
        <v>2787</v>
      </c>
      <c r="C953" s="12">
        <v>70</v>
      </c>
      <c r="D953" s="12">
        <v>235</v>
      </c>
      <c r="E953" s="12" t="s">
        <v>8337</v>
      </c>
      <c r="F953" s="275" t="s">
        <v>2902</v>
      </c>
      <c r="G953" s="12" t="str">
        <f t="shared" si="25"/>
        <v>70235902024779</v>
      </c>
      <c r="H953" s="12" t="s">
        <v>710</v>
      </c>
      <c r="I953" s="12">
        <v>902024779</v>
      </c>
      <c r="J953" s="12" t="s">
        <v>8422</v>
      </c>
      <c r="K953" s="12" t="s">
        <v>133</v>
      </c>
      <c r="L953" s="12">
        <v>3233864463</v>
      </c>
      <c r="M953" s="12" t="s">
        <v>8335</v>
      </c>
      <c r="N953" s="12" t="s">
        <v>127</v>
      </c>
      <c r="O953" s="12" t="s">
        <v>2822</v>
      </c>
      <c r="P953" s="88" t="s">
        <v>102</v>
      </c>
      <c r="Q953" s="13">
        <v>46071</v>
      </c>
      <c r="R953" s="12" t="s">
        <v>8405</v>
      </c>
      <c r="S953" s="12" t="s">
        <v>49</v>
      </c>
      <c r="T953" s="12" t="s">
        <v>8776</v>
      </c>
      <c r="U953" s="12" t="s">
        <v>60</v>
      </c>
      <c r="AU953" s="12" t="s">
        <v>1208</v>
      </c>
    </row>
    <row r="954" spans="1:51" s="12" customFormat="1" ht="14.4" hidden="1" x14ac:dyDescent="0.3">
      <c r="A954" s="12" t="s">
        <v>39</v>
      </c>
      <c r="B954" s="12" t="s">
        <v>2787</v>
      </c>
      <c r="C954" s="12">
        <v>70</v>
      </c>
      <c r="D954" s="12">
        <v>235</v>
      </c>
      <c r="E954" s="12" t="s">
        <v>7852</v>
      </c>
      <c r="F954" s="12" t="s">
        <v>2903</v>
      </c>
      <c r="G954" s="12" t="str">
        <f t="shared" si="25"/>
        <v>702358230019528</v>
      </c>
      <c r="H954" s="12" t="s">
        <v>2835</v>
      </c>
      <c r="I954" s="12">
        <v>8230019528</v>
      </c>
      <c r="J954" s="12" t="s">
        <v>2904</v>
      </c>
      <c r="K954" s="12" t="s">
        <v>230</v>
      </c>
      <c r="L954" s="12">
        <v>3218988874</v>
      </c>
      <c r="M954" s="17" t="s">
        <v>2905</v>
      </c>
      <c r="N954" s="12" t="s">
        <v>2906</v>
      </c>
      <c r="O954" s="88" t="s">
        <v>2907</v>
      </c>
      <c r="P954" s="88" t="s">
        <v>261</v>
      </c>
      <c r="Q954" s="13">
        <v>45741</v>
      </c>
      <c r="R954" s="16">
        <v>0.99</v>
      </c>
      <c r="S954" s="12" t="s">
        <v>210</v>
      </c>
      <c r="T954" s="12" t="s">
        <v>2908</v>
      </c>
      <c r="U954" s="12" t="s">
        <v>2456</v>
      </c>
      <c r="AU954" s="12" t="s">
        <v>1208</v>
      </c>
    </row>
    <row r="955" spans="1:51" s="12" customFormat="1" ht="14.4" hidden="1" x14ac:dyDescent="0.3">
      <c r="A955" s="12" t="s">
        <v>39</v>
      </c>
      <c r="B955" s="12" t="s">
        <v>2787</v>
      </c>
      <c r="C955" s="12">
        <v>70</v>
      </c>
      <c r="D955" s="12">
        <v>235</v>
      </c>
      <c r="F955" s="12" t="s">
        <v>2909</v>
      </c>
      <c r="G955" s="12" t="str">
        <f t="shared" si="25"/>
        <v>70235</v>
      </c>
      <c r="N955" s="12" t="s">
        <v>127</v>
      </c>
      <c r="O955" s="12" t="s">
        <v>2822</v>
      </c>
      <c r="P955" s="88" t="s">
        <v>102</v>
      </c>
      <c r="AU955" s="12" t="s">
        <v>1208</v>
      </c>
    </row>
    <row r="956" spans="1:51" s="12" customFormat="1" ht="14.4" hidden="1" x14ac:dyDescent="0.3">
      <c r="A956" s="12" t="s">
        <v>39</v>
      </c>
      <c r="B956" s="12" t="s">
        <v>2787</v>
      </c>
      <c r="C956" s="12">
        <v>70</v>
      </c>
      <c r="D956" s="12">
        <v>235</v>
      </c>
      <c r="E956" s="12" t="s">
        <v>2434</v>
      </c>
      <c r="F956" s="214" t="s">
        <v>2910</v>
      </c>
      <c r="G956" s="12" t="str">
        <f t="shared" si="25"/>
        <v>702359004805691</v>
      </c>
      <c r="H956" s="12" t="s">
        <v>2911</v>
      </c>
      <c r="I956" s="12">
        <v>9004805691</v>
      </c>
      <c r="J956" s="12" t="s">
        <v>2912</v>
      </c>
      <c r="K956" s="12" t="s">
        <v>230</v>
      </c>
      <c r="L956" s="12">
        <v>3217837078</v>
      </c>
      <c r="M956" s="17" t="s">
        <v>2913</v>
      </c>
      <c r="N956" s="12" t="s">
        <v>2914</v>
      </c>
      <c r="O956" s="12" t="s">
        <v>2915</v>
      </c>
      <c r="P956" s="88" t="s">
        <v>102</v>
      </c>
      <c r="Q956" s="13">
        <v>45819</v>
      </c>
      <c r="R956" s="59">
        <v>0.94499999999999995</v>
      </c>
      <c r="S956" s="12" t="s">
        <v>319</v>
      </c>
      <c r="T956" s="12" t="s">
        <v>2824</v>
      </c>
      <c r="U956" s="12" t="s">
        <v>60</v>
      </c>
      <c r="V956" s="13">
        <v>45464</v>
      </c>
      <c r="W956" s="16">
        <v>0.99</v>
      </c>
      <c r="X956" s="12" t="s">
        <v>319</v>
      </c>
      <c r="Z956" s="12" t="s">
        <v>50</v>
      </c>
      <c r="AA956" s="12" t="s">
        <v>51</v>
      </c>
      <c r="AB956" s="12" t="s">
        <v>51</v>
      </c>
      <c r="AU956" s="12" t="s">
        <v>1208</v>
      </c>
      <c r="AX956" s="12" t="s">
        <v>1920</v>
      </c>
      <c r="AY956" s="12" t="s">
        <v>2916</v>
      </c>
    </row>
    <row r="957" spans="1:51" s="12" customFormat="1" ht="14.4" hidden="1" x14ac:dyDescent="0.3">
      <c r="A957" s="12" t="s">
        <v>39</v>
      </c>
      <c r="B957" s="12" t="s">
        <v>2787</v>
      </c>
      <c r="C957" s="12">
        <v>70</v>
      </c>
      <c r="D957" s="12">
        <v>235</v>
      </c>
      <c r="E957" s="213" t="s">
        <v>8969</v>
      </c>
      <c r="F957" s="343" t="s">
        <v>8970</v>
      </c>
      <c r="G957" s="220" t="str">
        <f t="shared" si="25"/>
        <v>70235830507103</v>
      </c>
      <c r="H957" s="12" t="s">
        <v>8971</v>
      </c>
      <c r="I957" s="12">
        <v>830507103</v>
      </c>
      <c r="J957" s="12" t="s">
        <v>8972</v>
      </c>
      <c r="K957" s="12" t="s">
        <v>230</v>
      </c>
      <c r="L957" s="12">
        <v>3004565712</v>
      </c>
      <c r="M957" s="17" t="s">
        <v>8973</v>
      </c>
      <c r="N957" s="12" t="s">
        <v>127</v>
      </c>
      <c r="O957" s="12" t="s">
        <v>2822</v>
      </c>
      <c r="P957" s="88" t="s">
        <v>48</v>
      </c>
      <c r="Q957" s="13">
        <v>46185</v>
      </c>
      <c r="R957" s="12">
        <v>93</v>
      </c>
      <c r="S957" s="12" t="s">
        <v>210</v>
      </c>
      <c r="U957" s="12" t="s">
        <v>2456</v>
      </c>
      <c r="V957" s="13"/>
      <c r="W957" s="16"/>
      <c r="AU957" s="12" t="s">
        <v>53</v>
      </c>
    </row>
    <row r="958" spans="1:51" s="12" customFormat="1" ht="14.4" hidden="1" x14ac:dyDescent="0.3">
      <c r="A958" s="12" t="s">
        <v>39</v>
      </c>
      <c r="B958" s="12" t="s">
        <v>2787</v>
      </c>
      <c r="C958" s="12">
        <v>70</v>
      </c>
      <c r="D958" s="12">
        <v>235</v>
      </c>
      <c r="E958" s="213" t="s">
        <v>8969</v>
      </c>
      <c r="F958" s="344" t="s">
        <v>8974</v>
      </c>
      <c r="G958" s="220" t="str">
        <f t="shared" si="25"/>
        <v>70235830507103</v>
      </c>
      <c r="H958" s="12" t="s">
        <v>8971</v>
      </c>
      <c r="I958" s="12">
        <v>830507103</v>
      </c>
      <c r="J958" s="12" t="s">
        <v>8975</v>
      </c>
      <c r="K958" s="12" t="s">
        <v>4092</v>
      </c>
      <c r="L958" s="12">
        <v>3004565712</v>
      </c>
      <c r="M958" s="17" t="s">
        <v>8973</v>
      </c>
      <c r="N958" s="12" t="s">
        <v>127</v>
      </c>
      <c r="O958" s="12" t="s">
        <v>2822</v>
      </c>
      <c r="P958" s="88" t="s">
        <v>48</v>
      </c>
      <c r="Q958" s="13">
        <v>46176</v>
      </c>
      <c r="R958" s="12" t="s">
        <v>8421</v>
      </c>
      <c r="S958" s="12" t="s">
        <v>49</v>
      </c>
      <c r="U958" s="12" t="s">
        <v>2456</v>
      </c>
      <c r="V958" s="13"/>
      <c r="W958" s="16"/>
      <c r="AU958" s="12" t="s">
        <v>53</v>
      </c>
    </row>
    <row r="959" spans="1:51" s="12" customFormat="1" ht="14.4" hidden="1" x14ac:dyDescent="0.3">
      <c r="A959" s="12" t="s">
        <v>39</v>
      </c>
      <c r="B959" s="12" t="s">
        <v>2787</v>
      </c>
      <c r="C959" s="12">
        <v>70</v>
      </c>
      <c r="D959" s="12">
        <v>235</v>
      </c>
      <c r="E959" s="213" t="s">
        <v>8969</v>
      </c>
      <c r="F959" s="344" t="s">
        <v>8976</v>
      </c>
      <c r="G959" s="220" t="str">
        <f t="shared" si="25"/>
        <v>70235830507103</v>
      </c>
      <c r="H959" s="12" t="s">
        <v>8971</v>
      </c>
      <c r="I959" s="12">
        <v>830507103</v>
      </c>
      <c r="J959" s="12" t="s">
        <v>8977</v>
      </c>
      <c r="K959" s="12" t="s">
        <v>44</v>
      </c>
      <c r="L959" s="12">
        <v>3004565712</v>
      </c>
      <c r="M959" s="17" t="s">
        <v>8973</v>
      </c>
      <c r="N959" s="12" t="s">
        <v>127</v>
      </c>
      <c r="O959" s="12" t="s">
        <v>2822</v>
      </c>
      <c r="P959" s="88" t="s">
        <v>48</v>
      </c>
      <c r="Q959" s="13">
        <v>46175</v>
      </c>
      <c r="R959" s="12">
        <v>91</v>
      </c>
      <c r="S959" s="12" t="s">
        <v>319</v>
      </c>
      <c r="U959" s="12" t="s">
        <v>2456</v>
      </c>
      <c r="V959" s="13"/>
      <c r="W959" s="16"/>
      <c r="AU959" s="12" t="s">
        <v>53</v>
      </c>
    </row>
    <row r="960" spans="1:51" s="12" customFormat="1" ht="14.4" hidden="1" x14ac:dyDescent="0.3">
      <c r="A960" s="12" t="s">
        <v>39</v>
      </c>
      <c r="B960" s="12" t="s">
        <v>2787</v>
      </c>
      <c r="C960" s="12">
        <v>70</v>
      </c>
      <c r="D960" s="12">
        <v>235</v>
      </c>
      <c r="E960" s="213" t="s">
        <v>8969</v>
      </c>
      <c r="F960" s="284" t="s">
        <v>9166</v>
      </c>
      <c r="G960" s="220" t="str">
        <f t="shared" si="25"/>
        <v>70235830507103</v>
      </c>
      <c r="H960" s="12" t="s">
        <v>8971</v>
      </c>
      <c r="I960" s="12">
        <v>830507103</v>
      </c>
      <c r="J960" s="12" t="s">
        <v>9167</v>
      </c>
      <c r="K960" s="12" t="s">
        <v>44</v>
      </c>
      <c r="L960" s="12">
        <v>3004565712</v>
      </c>
      <c r="M960" s="17" t="s">
        <v>8973</v>
      </c>
      <c r="N960" s="12" t="s">
        <v>9105</v>
      </c>
      <c r="O960" s="12" t="s">
        <v>9168</v>
      </c>
      <c r="P960" s="88" t="s">
        <v>48</v>
      </c>
      <c r="Q960" s="13">
        <v>46219</v>
      </c>
      <c r="R960" s="12">
        <v>98</v>
      </c>
      <c r="S960" s="12" t="s">
        <v>210</v>
      </c>
      <c r="T960" s="12" t="s">
        <v>8776</v>
      </c>
      <c r="U960" s="12" t="s">
        <v>2456</v>
      </c>
      <c r="V960" s="13"/>
      <c r="W960" s="16"/>
      <c r="AU960" s="12" t="s">
        <v>53</v>
      </c>
    </row>
    <row r="961" spans="1:47" s="12" customFormat="1" ht="14.4" hidden="1" x14ac:dyDescent="0.3">
      <c r="A961" s="12" t="s">
        <v>39</v>
      </c>
      <c r="B961" s="12" t="s">
        <v>2787</v>
      </c>
      <c r="C961" s="12">
        <v>70</v>
      </c>
      <c r="D961" s="12">
        <v>235</v>
      </c>
      <c r="F961" s="215" t="s">
        <v>2917</v>
      </c>
      <c r="G961" s="12" t="str">
        <f t="shared" si="25"/>
        <v>7023592552980</v>
      </c>
      <c r="H961" s="12" t="s">
        <v>2918</v>
      </c>
      <c r="I961" s="12">
        <v>92552980</v>
      </c>
      <c r="J961" s="12" t="s">
        <v>2919</v>
      </c>
      <c r="K961" s="12" t="s">
        <v>230</v>
      </c>
      <c r="L961" s="12">
        <v>3003756612</v>
      </c>
      <c r="M961" s="17" t="s">
        <v>2920</v>
      </c>
      <c r="N961" s="12" t="s">
        <v>259</v>
      </c>
      <c r="O961" s="12" t="s">
        <v>260</v>
      </c>
      <c r="P961" s="88" t="s">
        <v>261</v>
      </c>
      <c r="R961" s="16"/>
      <c r="V961" s="13"/>
      <c r="W961" s="16"/>
      <c r="AU961" s="12" t="s">
        <v>1208</v>
      </c>
    </row>
    <row r="962" spans="1:47" s="12" customFormat="1" ht="14.4" hidden="1" x14ac:dyDescent="0.3">
      <c r="A962" s="12" t="s">
        <v>39</v>
      </c>
      <c r="B962" s="12" t="s">
        <v>2787</v>
      </c>
      <c r="C962" s="12">
        <v>70</v>
      </c>
      <c r="D962" s="12">
        <v>235</v>
      </c>
      <c r="F962" s="12" t="s">
        <v>2921</v>
      </c>
      <c r="G962" s="12" t="str">
        <f t="shared" si="25"/>
        <v>7023533081627</v>
      </c>
      <c r="H962" s="12" t="s">
        <v>2922</v>
      </c>
      <c r="I962" s="12">
        <v>33081627</v>
      </c>
      <c r="J962" s="12" t="s">
        <v>2923</v>
      </c>
      <c r="K962" s="12" t="s">
        <v>230</v>
      </c>
      <c r="L962" s="12">
        <v>3205587914</v>
      </c>
      <c r="M962" s="17" t="s">
        <v>45</v>
      </c>
      <c r="N962" s="12" t="s">
        <v>259</v>
      </c>
      <c r="O962" s="12" t="s">
        <v>260</v>
      </c>
      <c r="P962" s="88" t="s">
        <v>261</v>
      </c>
      <c r="R962" s="16"/>
      <c r="V962" s="13"/>
      <c r="W962" s="16"/>
      <c r="AU962" s="12" t="s">
        <v>1208</v>
      </c>
    </row>
    <row r="963" spans="1:47" s="12" customFormat="1" ht="14.4" hidden="1" x14ac:dyDescent="0.3">
      <c r="A963" s="12" t="s">
        <v>39</v>
      </c>
      <c r="B963" s="12" t="s">
        <v>2787</v>
      </c>
      <c r="C963" s="12">
        <v>70</v>
      </c>
      <c r="D963" s="12">
        <v>235</v>
      </c>
      <c r="F963" s="12" t="s">
        <v>2924</v>
      </c>
      <c r="G963" s="12" t="str">
        <f t="shared" si="25"/>
        <v>7023571005038</v>
      </c>
      <c r="H963" s="12" t="s">
        <v>2925</v>
      </c>
      <c r="I963" s="12">
        <v>71005038</v>
      </c>
      <c r="J963" s="12" t="s">
        <v>2926</v>
      </c>
      <c r="K963" s="12" t="s">
        <v>230</v>
      </c>
      <c r="L963" s="12">
        <v>3205285532</v>
      </c>
      <c r="M963" s="17" t="s">
        <v>2927</v>
      </c>
      <c r="N963" s="12" t="s">
        <v>259</v>
      </c>
      <c r="O963" s="12" t="s">
        <v>260</v>
      </c>
      <c r="P963" s="88" t="s">
        <v>261</v>
      </c>
      <c r="R963" s="16"/>
      <c r="V963" s="13"/>
      <c r="W963" s="16"/>
      <c r="AU963" s="12" t="s">
        <v>1208</v>
      </c>
    </row>
    <row r="964" spans="1:47" s="12" customFormat="1" ht="14.4" hidden="1" x14ac:dyDescent="0.3">
      <c r="A964" s="12" t="s">
        <v>39</v>
      </c>
      <c r="B964" s="12" t="s">
        <v>2787</v>
      </c>
      <c r="C964" s="12">
        <v>70</v>
      </c>
      <c r="D964" s="12">
        <v>235</v>
      </c>
      <c r="F964" s="12" t="s">
        <v>2928</v>
      </c>
      <c r="G964" s="12" t="str">
        <f t="shared" si="25"/>
        <v>702359016058517</v>
      </c>
      <c r="H964" s="12" t="s">
        <v>2929</v>
      </c>
      <c r="I964" s="12">
        <v>9016058517</v>
      </c>
      <c r="J964" s="12" t="s">
        <v>2930</v>
      </c>
      <c r="K964" s="12" t="s">
        <v>230</v>
      </c>
      <c r="L964" s="12" t="s">
        <v>45</v>
      </c>
      <c r="M964" s="17" t="s">
        <v>45</v>
      </c>
      <c r="N964" s="12" t="s">
        <v>259</v>
      </c>
      <c r="O964" s="12" t="s">
        <v>260</v>
      </c>
      <c r="P964" s="88" t="s">
        <v>261</v>
      </c>
      <c r="Q964" s="13">
        <v>45202</v>
      </c>
      <c r="R964" s="16">
        <v>0.77</v>
      </c>
      <c r="S964" s="12" t="s">
        <v>49</v>
      </c>
      <c r="V964" s="13"/>
      <c r="W964" s="16"/>
      <c r="AU964" s="12" t="s">
        <v>1208</v>
      </c>
    </row>
    <row r="965" spans="1:47" s="12" customFormat="1" ht="14.4" hidden="1" x14ac:dyDescent="0.3">
      <c r="A965" s="12" t="s">
        <v>39</v>
      </c>
      <c r="B965" s="12" t="s">
        <v>2787</v>
      </c>
      <c r="C965" s="12">
        <v>70</v>
      </c>
      <c r="D965" s="12">
        <v>235</v>
      </c>
      <c r="F965" s="12" t="s">
        <v>2592</v>
      </c>
      <c r="G965" s="12" t="str">
        <f t="shared" si="25"/>
        <v>702351100397464</v>
      </c>
      <c r="H965" s="12" t="s">
        <v>2931</v>
      </c>
      <c r="I965" s="12">
        <v>1100397464</v>
      </c>
      <c r="J965" s="12" t="s">
        <v>2932</v>
      </c>
      <c r="K965" s="12" t="s">
        <v>230</v>
      </c>
      <c r="L965" s="12" t="s">
        <v>45</v>
      </c>
      <c r="M965" s="17" t="s">
        <v>45</v>
      </c>
      <c r="N965" s="12" t="s">
        <v>259</v>
      </c>
      <c r="O965" s="12" t="s">
        <v>260</v>
      </c>
      <c r="P965" s="88" t="s">
        <v>261</v>
      </c>
      <c r="Q965" s="13">
        <v>44154</v>
      </c>
      <c r="R965" s="16">
        <v>0.79</v>
      </c>
      <c r="S965" s="12" t="s">
        <v>49</v>
      </c>
      <c r="V965" s="13"/>
      <c r="W965" s="16"/>
      <c r="AU965" s="12" t="s">
        <v>1208</v>
      </c>
    </row>
    <row r="966" spans="1:47" s="12" customFormat="1" ht="14.4" hidden="1" x14ac:dyDescent="0.3">
      <c r="A966" s="12" t="s">
        <v>39</v>
      </c>
      <c r="B966" s="12" t="s">
        <v>2787</v>
      </c>
      <c r="C966" s="12">
        <v>70</v>
      </c>
      <c r="D966" s="12">
        <v>235</v>
      </c>
      <c r="F966" s="12" t="s">
        <v>2933</v>
      </c>
      <c r="G966" s="12" t="str">
        <f t="shared" si="25"/>
        <v>702351100544269-9</v>
      </c>
      <c r="H966" s="12" t="s">
        <v>2934</v>
      </c>
      <c r="I966" s="12" t="s">
        <v>2935</v>
      </c>
      <c r="J966" s="12" t="s">
        <v>2936</v>
      </c>
      <c r="K966" s="12" t="s">
        <v>230</v>
      </c>
      <c r="L966" s="12">
        <v>3218652100</v>
      </c>
      <c r="M966" s="17" t="s">
        <v>2937</v>
      </c>
      <c r="N966" s="12" t="s">
        <v>259</v>
      </c>
      <c r="O966" s="12" t="s">
        <v>260</v>
      </c>
      <c r="P966" s="88" t="s">
        <v>261</v>
      </c>
      <c r="Q966" s="13">
        <v>45034</v>
      </c>
      <c r="R966" s="16">
        <v>0.73250000000000004</v>
      </c>
      <c r="S966" s="12" t="s">
        <v>49</v>
      </c>
      <c r="V966" s="13"/>
      <c r="W966" s="16"/>
      <c r="AU966" s="12" t="s">
        <v>1208</v>
      </c>
    </row>
    <row r="967" spans="1:47" s="12" customFormat="1" ht="14.4" hidden="1" x14ac:dyDescent="0.3">
      <c r="A967" s="12" t="s">
        <v>39</v>
      </c>
      <c r="B967" s="12" t="s">
        <v>2787</v>
      </c>
      <c r="C967" s="12">
        <v>70</v>
      </c>
      <c r="D967" s="12">
        <v>235</v>
      </c>
      <c r="F967" s="12" t="s">
        <v>2938</v>
      </c>
      <c r="G967" s="12" t="str">
        <f t="shared" si="25"/>
        <v>702351127595657</v>
      </c>
      <c r="H967" s="12" t="s">
        <v>2939</v>
      </c>
      <c r="I967" s="12">
        <v>1127595657</v>
      </c>
      <c r="J967" s="12" t="s">
        <v>2940</v>
      </c>
      <c r="K967" s="12" t="s">
        <v>230</v>
      </c>
      <c r="L967" s="12" t="s">
        <v>45</v>
      </c>
      <c r="M967" s="17" t="s">
        <v>45</v>
      </c>
      <c r="N967" s="12" t="s">
        <v>259</v>
      </c>
      <c r="O967" s="12" t="s">
        <v>260</v>
      </c>
      <c r="P967" s="88" t="s">
        <v>261</v>
      </c>
      <c r="Q967" s="13">
        <v>44329</v>
      </c>
      <c r="R967" s="16">
        <v>0.91</v>
      </c>
      <c r="S967" s="12" t="s">
        <v>210</v>
      </c>
      <c r="V967" s="13"/>
      <c r="W967" s="16"/>
      <c r="AU967" s="12" t="s">
        <v>1208</v>
      </c>
    </row>
    <row r="968" spans="1:47" s="12" customFormat="1" ht="14.4" hidden="1" x14ac:dyDescent="0.3">
      <c r="A968" s="12" t="s">
        <v>39</v>
      </c>
      <c r="B968" s="12" t="s">
        <v>2787</v>
      </c>
      <c r="C968" s="12">
        <v>70</v>
      </c>
      <c r="D968" s="12">
        <v>235</v>
      </c>
      <c r="F968" s="12" t="s">
        <v>2941</v>
      </c>
      <c r="G968" s="12" t="str">
        <f t="shared" si="25"/>
        <v>7023564586593</v>
      </c>
      <c r="H968" s="12" t="s">
        <v>2942</v>
      </c>
      <c r="I968" s="12">
        <v>64586593</v>
      </c>
      <c r="J968" s="12" t="s">
        <v>2943</v>
      </c>
      <c r="K968" s="12" t="s">
        <v>230</v>
      </c>
      <c r="L968" s="12" t="s">
        <v>45</v>
      </c>
      <c r="M968" s="17" t="s">
        <v>45</v>
      </c>
      <c r="N968" s="12" t="s">
        <v>259</v>
      </c>
      <c r="O968" s="12" t="s">
        <v>260</v>
      </c>
      <c r="P968" s="88" t="s">
        <v>261</v>
      </c>
      <c r="Q968" s="13">
        <v>44365</v>
      </c>
      <c r="R968" s="16">
        <v>0.82</v>
      </c>
      <c r="S968" s="12" t="s">
        <v>49</v>
      </c>
      <c r="V968" s="13"/>
      <c r="W968" s="16"/>
      <c r="AU968" s="12" t="s">
        <v>1208</v>
      </c>
    </row>
    <row r="969" spans="1:47" s="12" customFormat="1" ht="14.4" hidden="1" x14ac:dyDescent="0.3">
      <c r="A969" s="12" t="s">
        <v>39</v>
      </c>
      <c r="B969" s="12" t="s">
        <v>2787</v>
      </c>
      <c r="C969" s="12">
        <v>70</v>
      </c>
      <c r="D969" s="12">
        <v>235</v>
      </c>
      <c r="F969" s="12" t="s">
        <v>2944</v>
      </c>
      <c r="G969" s="12" t="str">
        <f t="shared" si="25"/>
        <v>7023533081320</v>
      </c>
      <c r="H969" s="12" t="s">
        <v>2945</v>
      </c>
      <c r="I969" s="12">
        <v>33081320</v>
      </c>
      <c r="J969" s="12" t="s">
        <v>2946</v>
      </c>
      <c r="K969" s="12" t="s">
        <v>230</v>
      </c>
      <c r="L969" s="12" t="s">
        <v>45</v>
      </c>
      <c r="M969" s="17" t="s">
        <v>45</v>
      </c>
      <c r="N969" s="12" t="s">
        <v>259</v>
      </c>
      <c r="O969" s="12" t="s">
        <v>260</v>
      </c>
      <c r="P969" s="88" t="s">
        <v>261</v>
      </c>
      <c r="Q969" s="13">
        <v>44608</v>
      </c>
      <c r="R969" s="16">
        <v>0.9</v>
      </c>
      <c r="S969" s="12" t="s">
        <v>210</v>
      </c>
      <c r="V969" s="13"/>
      <c r="W969" s="16"/>
      <c r="AU969" s="12" t="s">
        <v>1208</v>
      </c>
    </row>
    <row r="970" spans="1:47" s="12" customFormat="1" ht="14.4" hidden="1" x14ac:dyDescent="0.3">
      <c r="A970" s="12" t="s">
        <v>39</v>
      </c>
      <c r="B970" s="12" t="s">
        <v>2787</v>
      </c>
      <c r="C970" s="12">
        <v>70</v>
      </c>
      <c r="D970" s="12">
        <v>235</v>
      </c>
      <c r="F970" s="12" t="s">
        <v>2947</v>
      </c>
      <c r="G970" s="12" t="str">
        <f t="shared" si="25"/>
        <v>7023572222409</v>
      </c>
      <c r="H970" s="12" t="s">
        <v>2948</v>
      </c>
      <c r="I970" s="12">
        <v>72222409</v>
      </c>
      <c r="J970" s="12" t="s">
        <v>2949</v>
      </c>
      <c r="K970" s="12" t="s">
        <v>230</v>
      </c>
      <c r="L970" s="12" t="s">
        <v>45</v>
      </c>
      <c r="M970" s="17" t="s">
        <v>45</v>
      </c>
      <c r="N970" s="12" t="s">
        <v>259</v>
      </c>
      <c r="O970" s="12" t="s">
        <v>260</v>
      </c>
      <c r="P970" s="88" t="s">
        <v>261</v>
      </c>
      <c r="Q970" s="13">
        <v>44610</v>
      </c>
      <c r="R970" s="16">
        <v>0.87</v>
      </c>
      <c r="S970" s="12" t="s">
        <v>49</v>
      </c>
      <c r="V970" s="13"/>
      <c r="W970" s="16"/>
      <c r="AU970" s="12" t="s">
        <v>1208</v>
      </c>
    </row>
    <row r="971" spans="1:47" s="12" customFormat="1" ht="14.4" hidden="1" x14ac:dyDescent="0.3">
      <c r="A971" s="12" t="s">
        <v>39</v>
      </c>
      <c r="B971" s="12" t="s">
        <v>2787</v>
      </c>
      <c r="C971" s="12">
        <v>70</v>
      </c>
      <c r="D971" s="12">
        <v>235</v>
      </c>
      <c r="F971" s="12" t="s">
        <v>2950</v>
      </c>
      <c r="G971" s="12" t="str">
        <f t="shared" si="25"/>
        <v>702351100544269</v>
      </c>
      <c r="H971" s="12" t="s">
        <v>2951</v>
      </c>
      <c r="I971" s="12">
        <v>1100544269</v>
      </c>
      <c r="J971" s="12" t="s">
        <v>2952</v>
      </c>
      <c r="K971" s="12" t="s">
        <v>230</v>
      </c>
      <c r="L971" s="12" t="s">
        <v>45</v>
      </c>
      <c r="M971" s="17" t="s">
        <v>45</v>
      </c>
      <c r="N971" s="12" t="s">
        <v>259</v>
      </c>
      <c r="O971" s="12" t="s">
        <v>260</v>
      </c>
      <c r="P971" s="88" t="s">
        <v>261</v>
      </c>
      <c r="Q971" s="13">
        <v>44824</v>
      </c>
      <c r="R971" s="16">
        <v>0.85</v>
      </c>
      <c r="S971" s="12" t="s">
        <v>49</v>
      </c>
      <c r="V971" s="13"/>
      <c r="W971" s="16"/>
      <c r="AU971" s="12" t="s">
        <v>1208</v>
      </c>
    </row>
    <row r="972" spans="1:47" s="12" customFormat="1" ht="14.4" hidden="1" x14ac:dyDescent="0.3">
      <c r="A972" s="12" t="s">
        <v>39</v>
      </c>
      <c r="B972" s="12" t="s">
        <v>2787</v>
      </c>
      <c r="C972" s="12">
        <v>70</v>
      </c>
      <c r="D972" s="12">
        <v>235</v>
      </c>
      <c r="F972" s="12" t="s">
        <v>2953</v>
      </c>
      <c r="G972" s="12" t="str">
        <f t="shared" ref="G972:G1003" si="26">C972&amp;D972&amp;I972</f>
        <v>7023564928549</v>
      </c>
      <c r="H972" s="12" t="s">
        <v>2954</v>
      </c>
      <c r="I972" s="12">
        <v>64928549</v>
      </c>
      <c r="J972" s="12" t="s">
        <v>2955</v>
      </c>
      <c r="K972" s="12" t="s">
        <v>230</v>
      </c>
      <c r="L972" s="12" t="s">
        <v>45</v>
      </c>
      <c r="M972" s="17" t="s">
        <v>45</v>
      </c>
      <c r="N972" s="12" t="s">
        <v>259</v>
      </c>
      <c r="O972" s="12" t="s">
        <v>260</v>
      </c>
      <c r="P972" s="88" t="s">
        <v>261</v>
      </c>
      <c r="Q972" s="13">
        <v>44699</v>
      </c>
      <c r="R972" s="16">
        <v>0.89249999999999996</v>
      </c>
      <c r="S972" s="12" t="s">
        <v>49</v>
      </c>
      <c r="V972" s="13"/>
      <c r="W972" s="16"/>
      <c r="AU972" s="12" t="s">
        <v>1208</v>
      </c>
    </row>
    <row r="973" spans="1:47" s="12" customFormat="1" ht="14.4" hidden="1" x14ac:dyDescent="0.3">
      <c r="A973" s="12" t="s">
        <v>39</v>
      </c>
      <c r="B973" s="12" t="s">
        <v>2787</v>
      </c>
      <c r="C973" s="12">
        <v>70</v>
      </c>
      <c r="D973" s="12">
        <v>235</v>
      </c>
      <c r="F973" s="12" t="s">
        <v>2956</v>
      </c>
      <c r="G973" s="12" t="str">
        <f t="shared" si="26"/>
        <v>7023533080817</v>
      </c>
      <c r="H973" s="12" t="s">
        <v>2957</v>
      </c>
      <c r="I973" s="12">
        <v>33080817</v>
      </c>
      <c r="J973" s="12" t="s">
        <v>2958</v>
      </c>
      <c r="K973" s="12" t="s">
        <v>230</v>
      </c>
      <c r="L973" s="12" t="s">
        <v>45</v>
      </c>
      <c r="M973" s="17" t="s">
        <v>45</v>
      </c>
      <c r="N973" s="12" t="s">
        <v>259</v>
      </c>
      <c r="O973" s="12" t="s">
        <v>260</v>
      </c>
      <c r="P973" s="88" t="s">
        <v>261</v>
      </c>
      <c r="Q973" s="13">
        <v>44427</v>
      </c>
      <c r="R973" s="16">
        <v>0.84</v>
      </c>
      <c r="S973" s="12" t="s">
        <v>49</v>
      </c>
      <c r="V973" s="13"/>
      <c r="W973" s="16"/>
      <c r="AU973" s="12" t="s">
        <v>1208</v>
      </c>
    </row>
    <row r="974" spans="1:47" s="12" customFormat="1" ht="14.4" hidden="1" x14ac:dyDescent="0.3">
      <c r="A974" s="12" t="s">
        <v>39</v>
      </c>
      <c r="B974" s="12" t="s">
        <v>2787</v>
      </c>
      <c r="C974" s="12">
        <v>70</v>
      </c>
      <c r="D974" s="12">
        <v>235</v>
      </c>
      <c r="F974" s="12" t="s">
        <v>2959</v>
      </c>
      <c r="G974" s="12" t="str">
        <f t="shared" si="26"/>
        <v>7023533083659</v>
      </c>
      <c r="H974" s="12" t="s">
        <v>2960</v>
      </c>
      <c r="I974" s="12">
        <v>33083659</v>
      </c>
      <c r="J974" s="12" t="s">
        <v>2961</v>
      </c>
      <c r="K974" s="12" t="s">
        <v>230</v>
      </c>
      <c r="L974" s="12" t="s">
        <v>45</v>
      </c>
      <c r="M974" s="17" t="s">
        <v>45</v>
      </c>
      <c r="N974" s="12" t="s">
        <v>259</v>
      </c>
      <c r="O974" s="12" t="s">
        <v>260</v>
      </c>
      <c r="P974" s="88" t="s">
        <v>261</v>
      </c>
      <c r="Q974" s="13"/>
      <c r="R974" s="16"/>
      <c r="V974" s="13"/>
      <c r="W974" s="16"/>
      <c r="AU974" s="12" t="s">
        <v>1208</v>
      </c>
    </row>
    <row r="975" spans="1:47" s="12" customFormat="1" ht="14.4" hidden="1" x14ac:dyDescent="0.3">
      <c r="A975" s="12" t="s">
        <v>39</v>
      </c>
      <c r="B975" s="12" t="s">
        <v>2787</v>
      </c>
      <c r="C975" s="12">
        <v>70</v>
      </c>
      <c r="D975" s="12">
        <v>235</v>
      </c>
      <c r="F975" s="12" t="s">
        <v>2962</v>
      </c>
      <c r="G975" s="12" t="str">
        <f t="shared" si="26"/>
        <v>702351100549115</v>
      </c>
      <c r="H975" s="12" t="s">
        <v>2963</v>
      </c>
      <c r="I975" s="12">
        <v>1100549115</v>
      </c>
      <c r="J975" s="12" t="s">
        <v>2964</v>
      </c>
      <c r="K975" s="12" t="s">
        <v>230</v>
      </c>
      <c r="L975" s="12" t="s">
        <v>45</v>
      </c>
      <c r="M975" s="17" t="s">
        <v>45</v>
      </c>
      <c r="N975" s="12" t="s">
        <v>259</v>
      </c>
      <c r="O975" s="12" t="s">
        <v>260</v>
      </c>
      <c r="P975" s="88" t="s">
        <v>261</v>
      </c>
      <c r="Q975" s="13">
        <v>44708</v>
      </c>
      <c r="R975" s="16">
        <v>0.88500000000000001</v>
      </c>
      <c r="S975" s="12" t="s">
        <v>49</v>
      </c>
      <c r="V975" s="13"/>
      <c r="W975" s="16"/>
      <c r="AU975" s="12" t="s">
        <v>1208</v>
      </c>
    </row>
    <row r="976" spans="1:47" s="12" customFormat="1" ht="14.4" hidden="1" x14ac:dyDescent="0.3">
      <c r="A976" s="12" t="s">
        <v>39</v>
      </c>
      <c r="B976" s="12" t="s">
        <v>2787</v>
      </c>
      <c r="C976" s="12">
        <v>70</v>
      </c>
      <c r="D976" s="12">
        <v>235</v>
      </c>
      <c r="F976" s="12" t="s">
        <v>2965</v>
      </c>
      <c r="G976" s="12" t="str">
        <f t="shared" si="26"/>
        <v>7023523876593</v>
      </c>
      <c r="H976" s="12" t="s">
        <v>2966</v>
      </c>
      <c r="I976" s="12">
        <v>23876593</v>
      </c>
      <c r="J976" s="12" t="s">
        <v>2967</v>
      </c>
      <c r="K976" s="12" t="s">
        <v>230</v>
      </c>
      <c r="L976" s="12" t="s">
        <v>45</v>
      </c>
      <c r="M976" s="17" t="s">
        <v>45</v>
      </c>
      <c r="N976" s="12" t="s">
        <v>259</v>
      </c>
      <c r="O976" s="12" t="s">
        <v>260</v>
      </c>
      <c r="P976" s="88" t="s">
        <v>261</v>
      </c>
      <c r="Q976" s="13">
        <v>44694</v>
      </c>
      <c r="R976" s="16">
        <v>0.93500000000000005</v>
      </c>
      <c r="S976" s="12" t="s">
        <v>210</v>
      </c>
      <c r="V976" s="13"/>
      <c r="W976" s="16"/>
      <c r="AU976" s="12" t="s">
        <v>1208</v>
      </c>
    </row>
    <row r="977" spans="1:51" s="12" customFormat="1" ht="14.4" hidden="1" x14ac:dyDescent="0.3">
      <c r="A977" s="12" t="s">
        <v>39</v>
      </c>
      <c r="B977" s="12" t="s">
        <v>2787</v>
      </c>
      <c r="C977" s="12">
        <v>70</v>
      </c>
      <c r="D977" s="12">
        <v>235</v>
      </c>
      <c r="F977" s="12" t="s">
        <v>2968</v>
      </c>
      <c r="G977" s="12" t="str">
        <f t="shared" si="26"/>
        <v>702351192779626</v>
      </c>
      <c r="H977" s="12" t="s">
        <v>2969</v>
      </c>
      <c r="I977" s="12">
        <v>1192779626</v>
      </c>
      <c r="J977" s="12" t="s">
        <v>2970</v>
      </c>
      <c r="K977" s="12" t="s">
        <v>230</v>
      </c>
      <c r="L977" s="12" t="s">
        <v>45</v>
      </c>
      <c r="M977" s="17" t="s">
        <v>45</v>
      </c>
      <c r="N977" s="12" t="s">
        <v>259</v>
      </c>
      <c r="O977" s="12" t="s">
        <v>260</v>
      </c>
      <c r="P977" s="88" t="s">
        <v>261</v>
      </c>
      <c r="Q977" s="13">
        <v>44391</v>
      </c>
      <c r="R977" s="16">
        <v>0.85</v>
      </c>
      <c r="S977" s="12" t="s">
        <v>49</v>
      </c>
      <c r="V977" s="13"/>
      <c r="W977" s="16"/>
      <c r="AU977" s="12" t="s">
        <v>1208</v>
      </c>
    </row>
    <row r="978" spans="1:51" s="12" customFormat="1" ht="14.4" hidden="1" x14ac:dyDescent="0.3">
      <c r="A978" s="12" t="s">
        <v>39</v>
      </c>
      <c r="B978" s="12" t="s">
        <v>2787</v>
      </c>
      <c r="C978" s="12">
        <v>70</v>
      </c>
      <c r="D978" s="12">
        <v>235</v>
      </c>
      <c r="F978" s="12" t="s">
        <v>2971</v>
      </c>
      <c r="G978" s="12" t="str">
        <f t="shared" si="26"/>
        <v>7023592095971</v>
      </c>
      <c r="H978" s="12" t="s">
        <v>2972</v>
      </c>
      <c r="I978" s="12">
        <v>92095971</v>
      </c>
      <c r="J978" s="12" t="s">
        <v>2973</v>
      </c>
      <c r="K978" s="12" t="s">
        <v>230</v>
      </c>
      <c r="L978" s="12" t="s">
        <v>45</v>
      </c>
      <c r="M978" s="17" t="s">
        <v>45</v>
      </c>
      <c r="N978" s="12" t="s">
        <v>259</v>
      </c>
      <c r="O978" s="12" t="s">
        <v>260</v>
      </c>
      <c r="P978" s="88" t="s">
        <v>261</v>
      </c>
      <c r="Q978" s="13">
        <v>45204</v>
      </c>
      <c r="R978" s="16">
        <v>0.745</v>
      </c>
      <c r="S978" s="12" t="s">
        <v>49</v>
      </c>
      <c r="V978" s="13"/>
      <c r="W978" s="16"/>
      <c r="AU978" s="12" t="s">
        <v>1208</v>
      </c>
    </row>
    <row r="979" spans="1:51" s="12" customFormat="1" ht="14.4" hidden="1" x14ac:dyDescent="0.3">
      <c r="A979" s="12" t="s">
        <v>39</v>
      </c>
      <c r="B979" s="12" t="s">
        <v>2787</v>
      </c>
      <c r="C979" s="12">
        <v>70</v>
      </c>
      <c r="D979" s="12">
        <v>235</v>
      </c>
      <c r="F979" s="12" t="s">
        <v>2974</v>
      </c>
      <c r="G979" s="12" t="str">
        <f t="shared" si="26"/>
        <v>7023592698948</v>
      </c>
      <c r="H979" s="12" t="s">
        <v>2975</v>
      </c>
      <c r="I979" s="12">
        <v>92698948</v>
      </c>
      <c r="J979" s="12" t="s">
        <v>2976</v>
      </c>
      <c r="K979" s="12" t="s">
        <v>230</v>
      </c>
      <c r="L979" s="12" t="s">
        <v>45</v>
      </c>
      <c r="M979" s="17" t="s">
        <v>45</v>
      </c>
      <c r="N979" s="12" t="s">
        <v>259</v>
      </c>
      <c r="O979" s="12" t="s">
        <v>260</v>
      </c>
      <c r="P979" s="88" t="s">
        <v>261</v>
      </c>
      <c r="Q979" s="13">
        <v>44448</v>
      </c>
      <c r="R979" s="16">
        <v>0.82</v>
      </c>
      <c r="S979" s="12" t="s">
        <v>49</v>
      </c>
      <c r="V979" s="13"/>
      <c r="W979" s="16"/>
      <c r="AU979" s="12" t="s">
        <v>1208</v>
      </c>
    </row>
    <row r="980" spans="1:51" s="12" customFormat="1" ht="14.4" hidden="1" x14ac:dyDescent="0.3">
      <c r="A980" s="12" t="s">
        <v>39</v>
      </c>
      <c r="B980" s="12" t="s">
        <v>2787</v>
      </c>
      <c r="C980" s="12">
        <v>70</v>
      </c>
      <c r="D980" s="12">
        <v>235</v>
      </c>
      <c r="F980" s="12" t="s">
        <v>2977</v>
      </c>
      <c r="G980" s="12" t="str">
        <f t="shared" si="26"/>
        <v>702351100395942</v>
      </c>
      <c r="H980" s="12" t="s">
        <v>2978</v>
      </c>
      <c r="I980" s="12">
        <v>1100395942</v>
      </c>
      <c r="J980" s="12" t="s">
        <v>2979</v>
      </c>
      <c r="K980" s="12" t="s">
        <v>230</v>
      </c>
      <c r="L980" s="12" t="s">
        <v>45</v>
      </c>
      <c r="M980" s="17" t="s">
        <v>45</v>
      </c>
      <c r="N980" s="12" t="s">
        <v>259</v>
      </c>
      <c r="O980" s="12" t="s">
        <v>260</v>
      </c>
      <c r="P980" s="88" t="s">
        <v>261</v>
      </c>
      <c r="Q980" s="13">
        <v>44452</v>
      </c>
      <c r="R980" s="16">
        <v>0.84</v>
      </c>
      <c r="S980" s="12" t="s">
        <v>49</v>
      </c>
      <c r="V980" s="13"/>
      <c r="W980" s="16"/>
      <c r="AU980" s="12" t="s">
        <v>1208</v>
      </c>
    </row>
    <row r="981" spans="1:51" s="12" customFormat="1" ht="14.4" hidden="1" x14ac:dyDescent="0.3">
      <c r="A981" s="12" t="s">
        <v>39</v>
      </c>
      <c r="B981" s="12" t="s">
        <v>2787</v>
      </c>
      <c r="C981" s="12">
        <v>70</v>
      </c>
      <c r="D981" s="12">
        <v>235</v>
      </c>
      <c r="F981" s="12" t="s">
        <v>2980</v>
      </c>
      <c r="G981" s="12" t="str">
        <f t="shared" si="26"/>
        <v>7023533081782</v>
      </c>
      <c r="H981" s="12" t="s">
        <v>2981</v>
      </c>
      <c r="I981" s="12">
        <v>33081782</v>
      </c>
      <c r="J981" s="12" t="s">
        <v>2982</v>
      </c>
      <c r="K981" s="12" t="s">
        <v>230</v>
      </c>
      <c r="L981" s="12" t="s">
        <v>45</v>
      </c>
      <c r="M981" s="17" t="s">
        <v>45</v>
      </c>
      <c r="N981" s="12" t="s">
        <v>259</v>
      </c>
      <c r="O981" s="12" t="s">
        <v>260</v>
      </c>
      <c r="P981" s="88" t="s">
        <v>261</v>
      </c>
      <c r="Q981" s="13">
        <v>44704</v>
      </c>
      <c r="R981" s="16">
        <v>0.87</v>
      </c>
      <c r="S981" s="12" t="s">
        <v>49</v>
      </c>
      <c r="V981" s="13"/>
      <c r="W981" s="16"/>
      <c r="AU981" s="12" t="s">
        <v>1208</v>
      </c>
    </row>
    <row r="982" spans="1:51" s="12" customFormat="1" ht="14.4" hidden="1" x14ac:dyDescent="0.3">
      <c r="A982" s="12" t="s">
        <v>39</v>
      </c>
      <c r="B982" s="12" t="s">
        <v>2787</v>
      </c>
      <c r="C982" s="12">
        <v>70</v>
      </c>
      <c r="D982" s="12">
        <v>235</v>
      </c>
      <c r="F982" s="12" t="s">
        <v>2983</v>
      </c>
      <c r="G982" s="12" t="str">
        <f t="shared" si="26"/>
        <v>7023592096987</v>
      </c>
      <c r="H982" s="12" t="s">
        <v>2984</v>
      </c>
      <c r="I982" s="12">
        <v>92096987</v>
      </c>
      <c r="J982" s="12" t="s">
        <v>2985</v>
      </c>
      <c r="K982" s="12" t="s">
        <v>230</v>
      </c>
      <c r="L982" s="12" t="s">
        <v>45</v>
      </c>
      <c r="M982" s="17" t="s">
        <v>45</v>
      </c>
      <c r="N982" s="12" t="s">
        <v>259</v>
      </c>
      <c r="O982" s="12" t="s">
        <v>260</v>
      </c>
      <c r="P982" s="88" t="s">
        <v>261</v>
      </c>
      <c r="Q982" s="13">
        <v>44447</v>
      </c>
      <c r="R982" s="16">
        <v>0.86</v>
      </c>
      <c r="S982" s="12" t="s">
        <v>49</v>
      </c>
      <c r="V982" s="13"/>
      <c r="W982" s="16"/>
      <c r="AU982" s="12" t="s">
        <v>1208</v>
      </c>
    </row>
    <row r="983" spans="1:51" s="12" customFormat="1" ht="14.4" hidden="1" x14ac:dyDescent="0.3">
      <c r="A983" s="12" t="s">
        <v>39</v>
      </c>
      <c r="B983" s="12" t="s">
        <v>2787</v>
      </c>
      <c r="C983" s="12">
        <v>70</v>
      </c>
      <c r="D983" s="12">
        <v>235</v>
      </c>
      <c r="F983" s="12" t="s">
        <v>2986</v>
      </c>
      <c r="G983" s="12" t="str">
        <f t="shared" si="26"/>
        <v>702351045425963</v>
      </c>
      <c r="H983" s="12" t="s">
        <v>2987</v>
      </c>
      <c r="I983" s="12">
        <v>1045425963</v>
      </c>
      <c r="J983" s="12" t="s">
        <v>2988</v>
      </c>
      <c r="K983" s="12" t="s">
        <v>230</v>
      </c>
      <c r="L983" s="12" t="s">
        <v>45</v>
      </c>
      <c r="M983" s="17" t="s">
        <v>45</v>
      </c>
      <c r="N983" s="12" t="s">
        <v>259</v>
      </c>
      <c r="O983" s="12" t="s">
        <v>260</v>
      </c>
      <c r="P983" s="88" t="s">
        <v>261</v>
      </c>
      <c r="Q983" s="13">
        <v>44453</v>
      </c>
      <c r="R983" s="16">
        <v>0.85</v>
      </c>
      <c r="S983" s="12" t="s">
        <v>49</v>
      </c>
      <c r="V983" s="13"/>
      <c r="W983" s="16"/>
      <c r="AU983" s="12" t="s">
        <v>1208</v>
      </c>
    </row>
    <row r="984" spans="1:51" s="12" customFormat="1" ht="14.4" hidden="1" x14ac:dyDescent="0.3">
      <c r="A984" s="12" t="s">
        <v>39</v>
      </c>
      <c r="B984" s="12" t="s">
        <v>2787</v>
      </c>
      <c r="C984" s="12">
        <v>70</v>
      </c>
      <c r="D984" s="12">
        <v>235</v>
      </c>
      <c r="F984" s="12" t="s">
        <v>2989</v>
      </c>
      <c r="G984" s="12" t="str">
        <f t="shared" si="26"/>
        <v>7023592095166</v>
      </c>
      <c r="H984" s="12" t="s">
        <v>2989</v>
      </c>
      <c r="I984" s="12">
        <v>92095166</v>
      </c>
      <c r="J984" s="12" t="s">
        <v>2990</v>
      </c>
      <c r="K984" s="12" t="s">
        <v>230</v>
      </c>
      <c r="L984" s="12" t="s">
        <v>45</v>
      </c>
      <c r="M984" s="17" t="s">
        <v>45</v>
      </c>
      <c r="N984" s="12" t="s">
        <v>259</v>
      </c>
      <c r="O984" s="12" t="s">
        <v>260</v>
      </c>
      <c r="P984" s="88" t="s">
        <v>261</v>
      </c>
      <c r="Q984" s="13">
        <v>44187</v>
      </c>
      <c r="R984" s="16">
        <v>0.81499999999999995</v>
      </c>
      <c r="S984" s="12" t="s">
        <v>49</v>
      </c>
      <c r="V984" s="13"/>
      <c r="W984" s="16"/>
      <c r="AU984" s="12" t="s">
        <v>1208</v>
      </c>
    </row>
    <row r="985" spans="1:51" s="12" customFormat="1" ht="14.4" hidden="1" x14ac:dyDescent="0.3">
      <c r="A985" s="12" t="s">
        <v>39</v>
      </c>
      <c r="B985" s="12" t="s">
        <v>2787</v>
      </c>
      <c r="C985" s="12">
        <v>70</v>
      </c>
      <c r="D985" s="12">
        <v>235</v>
      </c>
      <c r="F985" s="12" t="s">
        <v>2991</v>
      </c>
      <c r="G985" s="12" t="str">
        <f t="shared" si="26"/>
        <v>7023592095793</v>
      </c>
      <c r="H985" s="12" t="s">
        <v>2992</v>
      </c>
      <c r="I985" s="12">
        <v>92095793</v>
      </c>
      <c r="J985" s="12" t="s">
        <v>2993</v>
      </c>
      <c r="K985" s="12" t="s">
        <v>230</v>
      </c>
      <c r="L985" s="12" t="s">
        <v>45</v>
      </c>
      <c r="M985" s="17" t="s">
        <v>45</v>
      </c>
      <c r="N985" s="12" t="s">
        <v>259</v>
      </c>
      <c r="O985" s="12" t="s">
        <v>260</v>
      </c>
      <c r="P985" s="88" t="s">
        <v>261</v>
      </c>
      <c r="R985" s="16"/>
      <c r="V985" s="13"/>
      <c r="W985" s="16"/>
      <c r="AU985" s="12" t="s">
        <v>1208</v>
      </c>
    </row>
    <row r="986" spans="1:51" s="12" customFormat="1" ht="14.4" hidden="1" x14ac:dyDescent="0.3">
      <c r="A986" s="12" t="s">
        <v>39</v>
      </c>
      <c r="B986" s="12" t="s">
        <v>2787</v>
      </c>
      <c r="C986" s="12">
        <v>70</v>
      </c>
      <c r="D986" s="12">
        <v>235</v>
      </c>
      <c r="F986" s="12" t="s">
        <v>2994</v>
      </c>
      <c r="G986" s="12" t="str">
        <f t="shared" si="26"/>
        <v>7023592099844</v>
      </c>
      <c r="H986" s="12" t="s">
        <v>2995</v>
      </c>
      <c r="I986" s="12">
        <v>92099844</v>
      </c>
      <c r="J986" s="12" t="s">
        <v>2996</v>
      </c>
      <c r="K986" s="12" t="s">
        <v>230</v>
      </c>
      <c r="L986" s="12" t="s">
        <v>45</v>
      </c>
      <c r="M986" s="17" t="s">
        <v>45</v>
      </c>
      <c r="N986" s="12" t="s">
        <v>259</v>
      </c>
      <c r="O986" s="12" t="s">
        <v>260</v>
      </c>
      <c r="P986" s="88" t="s">
        <v>261</v>
      </c>
      <c r="Q986" s="13">
        <v>44494</v>
      </c>
      <c r="R986" s="16">
        <v>0.76500000000000001</v>
      </c>
      <c r="S986" s="12" t="s">
        <v>49</v>
      </c>
      <c r="V986" s="13"/>
      <c r="W986" s="16"/>
      <c r="AU986" s="12" t="s">
        <v>1208</v>
      </c>
    </row>
    <row r="987" spans="1:51" s="12" customFormat="1" ht="14.4" hidden="1" x14ac:dyDescent="0.3">
      <c r="A987" s="12" t="s">
        <v>39</v>
      </c>
      <c r="B987" s="12" t="s">
        <v>2787</v>
      </c>
      <c r="C987" s="12">
        <v>70</v>
      </c>
      <c r="D987" s="12">
        <v>235</v>
      </c>
      <c r="F987" s="12" t="s">
        <v>2997</v>
      </c>
      <c r="G987" s="12" t="str">
        <f t="shared" si="26"/>
        <v>70235920956655</v>
      </c>
      <c r="H987" s="12" t="s">
        <v>2998</v>
      </c>
      <c r="I987" s="12">
        <v>920956655</v>
      </c>
      <c r="J987" s="12" t="s">
        <v>2999</v>
      </c>
      <c r="K987" s="12" t="s">
        <v>230</v>
      </c>
      <c r="L987" s="12" t="s">
        <v>45</v>
      </c>
      <c r="M987" s="17" t="s">
        <v>45</v>
      </c>
      <c r="N987" s="12" t="s">
        <v>259</v>
      </c>
      <c r="O987" s="12" t="s">
        <v>260</v>
      </c>
      <c r="P987" s="88" t="s">
        <v>261</v>
      </c>
      <c r="Q987" s="13">
        <v>44480</v>
      </c>
      <c r="R987" s="16">
        <v>0.93500000000000005</v>
      </c>
      <c r="S987" s="12" t="s">
        <v>210</v>
      </c>
      <c r="V987" s="13"/>
      <c r="W987" s="16"/>
      <c r="AU987" s="12" t="s">
        <v>1208</v>
      </c>
    </row>
    <row r="988" spans="1:51" s="12" customFormat="1" ht="14.4" hidden="1" x14ac:dyDescent="0.3">
      <c r="A988" s="12" t="s">
        <v>39</v>
      </c>
      <c r="B988" s="12" t="s">
        <v>2787</v>
      </c>
      <c r="C988" s="12">
        <v>70</v>
      </c>
      <c r="D988" s="12">
        <v>235</v>
      </c>
      <c r="F988" s="12" t="s">
        <v>3000</v>
      </c>
      <c r="G988" s="12" t="str">
        <f t="shared" si="26"/>
        <v>702351100545239</v>
      </c>
      <c r="H988" s="12" t="s">
        <v>3001</v>
      </c>
      <c r="I988" s="12">
        <v>1100545239</v>
      </c>
      <c r="J988" s="12" t="s">
        <v>3002</v>
      </c>
      <c r="K988" s="12" t="s">
        <v>230</v>
      </c>
      <c r="L988" s="12" t="s">
        <v>45</v>
      </c>
      <c r="M988" s="17" t="s">
        <v>45</v>
      </c>
      <c r="N988" s="12" t="s">
        <v>259</v>
      </c>
      <c r="O988" s="12" t="s">
        <v>260</v>
      </c>
      <c r="P988" s="88" t="s">
        <v>261</v>
      </c>
      <c r="Q988" s="13">
        <v>44481</v>
      </c>
      <c r="R988" s="16">
        <v>0.79500000000000004</v>
      </c>
      <c r="S988" s="12" t="s">
        <v>49</v>
      </c>
      <c r="V988" s="13"/>
      <c r="W988" s="16"/>
      <c r="AU988" s="12" t="s">
        <v>1208</v>
      </c>
    </row>
    <row r="989" spans="1:51" s="12" customFormat="1" ht="14.4" hidden="1" x14ac:dyDescent="0.3">
      <c r="A989" s="12" t="s">
        <v>39</v>
      </c>
      <c r="B989" s="12" t="s">
        <v>2787</v>
      </c>
      <c r="C989" s="12">
        <v>70</v>
      </c>
      <c r="D989" s="12">
        <v>235</v>
      </c>
      <c r="F989" s="12" t="s">
        <v>3003</v>
      </c>
      <c r="G989" s="12" t="str">
        <f t="shared" si="26"/>
        <v>702351100546369</v>
      </c>
      <c r="H989" s="12" t="s">
        <v>3004</v>
      </c>
      <c r="I989" s="12">
        <v>1100546369</v>
      </c>
      <c r="J989" s="12" t="s">
        <v>3005</v>
      </c>
      <c r="K989" s="12" t="s">
        <v>230</v>
      </c>
      <c r="L989" s="12" t="s">
        <v>45</v>
      </c>
      <c r="M989" s="17" t="s">
        <v>45</v>
      </c>
      <c r="N989" s="12" t="s">
        <v>259</v>
      </c>
      <c r="O989" s="12" t="s">
        <v>260</v>
      </c>
      <c r="P989" s="88" t="s">
        <v>261</v>
      </c>
      <c r="Q989" s="13">
        <v>44909</v>
      </c>
      <c r="R989" s="16">
        <v>0.78</v>
      </c>
      <c r="S989" s="12" t="s">
        <v>49</v>
      </c>
      <c r="V989" s="13"/>
      <c r="W989" s="16"/>
      <c r="AU989" s="12" t="s">
        <v>1208</v>
      </c>
    </row>
    <row r="990" spans="1:51" s="12" customFormat="1" ht="14.4" hidden="1" x14ac:dyDescent="0.3">
      <c r="A990" s="12" t="s">
        <v>39</v>
      </c>
      <c r="B990" s="12" t="s">
        <v>2787</v>
      </c>
      <c r="C990" s="12">
        <v>70</v>
      </c>
      <c r="D990" s="12">
        <v>235</v>
      </c>
      <c r="F990" s="12" t="s">
        <v>3006</v>
      </c>
      <c r="G990" s="12" t="str">
        <f t="shared" si="26"/>
        <v>702351005425956</v>
      </c>
      <c r="H990" s="12" t="s">
        <v>3007</v>
      </c>
      <c r="I990" s="12">
        <v>1005425956</v>
      </c>
      <c r="J990" s="12" t="s">
        <v>3008</v>
      </c>
      <c r="K990" s="12" t="s">
        <v>230</v>
      </c>
      <c r="L990" s="12" t="s">
        <v>45</v>
      </c>
      <c r="M990" s="17" t="s">
        <v>45</v>
      </c>
      <c r="N990" s="12" t="s">
        <v>259</v>
      </c>
      <c r="O990" s="12" t="s">
        <v>260</v>
      </c>
      <c r="P990" s="88" t="s">
        <v>261</v>
      </c>
      <c r="Q990" s="13">
        <v>44491</v>
      </c>
      <c r="R990" s="16">
        <v>0.85</v>
      </c>
      <c r="S990" s="12" t="s">
        <v>49</v>
      </c>
      <c r="V990" s="13"/>
      <c r="W990" s="16"/>
      <c r="AU990" s="12" t="s">
        <v>1208</v>
      </c>
    </row>
    <row r="991" spans="1:51" s="12" customFormat="1" ht="14.4" hidden="1" x14ac:dyDescent="0.3">
      <c r="A991" s="12" t="s">
        <v>39</v>
      </c>
      <c r="B991" s="12" t="s">
        <v>2787</v>
      </c>
      <c r="C991" s="12">
        <v>70</v>
      </c>
      <c r="D991" s="12">
        <v>235</v>
      </c>
      <c r="F991" s="12" t="s">
        <v>3009</v>
      </c>
      <c r="G991" s="12" t="str">
        <f t="shared" si="26"/>
        <v>7023592097785</v>
      </c>
      <c r="H991" s="12" t="s">
        <v>3010</v>
      </c>
      <c r="I991" s="12">
        <v>92097785</v>
      </c>
      <c r="J991" s="12" t="s">
        <v>3011</v>
      </c>
      <c r="K991" s="12" t="s">
        <v>230</v>
      </c>
      <c r="L991" s="12" t="s">
        <v>45</v>
      </c>
      <c r="M991" s="17" t="s">
        <v>45</v>
      </c>
      <c r="N991" s="12" t="s">
        <v>259</v>
      </c>
      <c r="O991" s="12" t="s">
        <v>260</v>
      </c>
      <c r="P991" s="88" t="s">
        <v>261</v>
      </c>
      <c r="R991" s="16"/>
      <c r="V991" s="13"/>
      <c r="W991" s="16"/>
      <c r="AU991" s="12" t="s">
        <v>1208</v>
      </c>
    </row>
    <row r="992" spans="1:51" s="12" customFormat="1" ht="14.4" hidden="1" x14ac:dyDescent="0.3">
      <c r="A992" s="12" t="s">
        <v>39</v>
      </c>
      <c r="B992" s="12" t="s">
        <v>2787</v>
      </c>
      <c r="C992" s="12">
        <v>70</v>
      </c>
      <c r="D992" s="12">
        <v>235</v>
      </c>
      <c r="E992" s="12" t="s">
        <v>2363</v>
      </c>
      <c r="F992" s="12" t="s">
        <v>363</v>
      </c>
      <c r="G992" s="12" t="str">
        <f t="shared" si="26"/>
        <v>702359002769621</v>
      </c>
      <c r="H992" s="12" t="s">
        <v>3012</v>
      </c>
      <c r="I992" s="12">
        <v>9002769621</v>
      </c>
      <c r="J992" s="12" t="s">
        <v>3013</v>
      </c>
      <c r="K992" s="12" t="s">
        <v>230</v>
      </c>
      <c r="L992" s="12">
        <v>316471892</v>
      </c>
      <c r="M992" s="17" t="s">
        <v>3014</v>
      </c>
      <c r="N992" s="12" t="s">
        <v>259</v>
      </c>
      <c r="O992" s="12" t="s">
        <v>260</v>
      </c>
      <c r="P992" s="88" t="s">
        <v>261</v>
      </c>
      <c r="Q992" s="13">
        <v>45819</v>
      </c>
      <c r="R992" s="16">
        <v>0.97</v>
      </c>
      <c r="S992" s="12" t="s">
        <v>319</v>
      </c>
      <c r="T992" s="12" t="s">
        <v>2824</v>
      </c>
      <c r="U992" s="12" t="s">
        <v>60</v>
      </c>
      <c r="V992" s="13">
        <v>45464</v>
      </c>
      <c r="W992" s="16" t="s">
        <v>3015</v>
      </c>
      <c r="X992" s="12" t="s">
        <v>3016</v>
      </c>
      <c r="Y992" s="12" t="s">
        <v>2824</v>
      </c>
      <c r="Z992" s="12" t="s">
        <v>50</v>
      </c>
      <c r="AA992" s="13" t="s">
        <v>51</v>
      </c>
      <c r="AB992" s="12" t="s">
        <v>51</v>
      </c>
      <c r="AC992" s="13">
        <v>44875</v>
      </c>
      <c r="AD992" s="12" t="s">
        <v>3017</v>
      </c>
      <c r="AE992" s="13" t="s">
        <v>49</v>
      </c>
      <c r="AF992" s="12" t="s">
        <v>50</v>
      </c>
      <c r="AG992" s="13" t="s">
        <v>51</v>
      </c>
      <c r="AH992" s="12" t="s">
        <v>51</v>
      </c>
      <c r="AU992" s="12" t="s">
        <v>1208</v>
      </c>
      <c r="AX992" s="12" t="s">
        <v>1920</v>
      </c>
      <c r="AY992" s="12" t="s">
        <v>3018</v>
      </c>
    </row>
    <row r="993" spans="1:47" s="12" customFormat="1" ht="14.4" hidden="1" x14ac:dyDescent="0.3">
      <c r="A993" s="12" t="s">
        <v>39</v>
      </c>
      <c r="B993" s="12" t="s">
        <v>2787</v>
      </c>
      <c r="C993" s="12">
        <v>70</v>
      </c>
      <c r="D993" s="12">
        <v>235</v>
      </c>
      <c r="F993" s="12" t="s">
        <v>3019</v>
      </c>
      <c r="G993" s="12" t="str">
        <f t="shared" si="26"/>
        <v>7023533082475</v>
      </c>
      <c r="H993" s="12" t="s">
        <v>3020</v>
      </c>
      <c r="I993" s="12">
        <v>33082475</v>
      </c>
      <c r="J993" s="12" t="s">
        <v>3021</v>
      </c>
      <c r="K993" s="12" t="s">
        <v>230</v>
      </c>
      <c r="L993" s="12" t="s">
        <v>45</v>
      </c>
      <c r="M993" s="17" t="s">
        <v>45</v>
      </c>
      <c r="N993" s="12" t="s">
        <v>259</v>
      </c>
      <c r="O993" s="12" t="s">
        <v>260</v>
      </c>
      <c r="P993" s="88" t="s">
        <v>261</v>
      </c>
      <c r="Q993" s="13">
        <v>44844</v>
      </c>
      <c r="R993" s="16">
        <v>0.76500000000000001</v>
      </c>
      <c r="S993" s="12" t="s">
        <v>49</v>
      </c>
      <c r="V993" s="13"/>
      <c r="W993" s="16"/>
      <c r="AU993" s="12" t="s">
        <v>1208</v>
      </c>
    </row>
    <row r="994" spans="1:47" s="12" customFormat="1" ht="14.4" hidden="1" x14ac:dyDescent="0.3">
      <c r="A994" s="12" t="s">
        <v>39</v>
      </c>
      <c r="B994" s="12" t="s">
        <v>2787</v>
      </c>
      <c r="C994" s="12">
        <v>70</v>
      </c>
      <c r="D994" s="12">
        <v>235</v>
      </c>
      <c r="F994" s="12" t="s">
        <v>3022</v>
      </c>
      <c r="G994" s="12" t="str">
        <f t="shared" si="26"/>
        <v>7023592095911-7</v>
      </c>
      <c r="H994" s="12" t="s">
        <v>3023</v>
      </c>
      <c r="I994" s="12" t="s">
        <v>3024</v>
      </c>
      <c r="J994" s="12" t="s">
        <v>3025</v>
      </c>
      <c r="K994" s="12" t="s">
        <v>230</v>
      </c>
      <c r="L994" s="12">
        <v>3106333109</v>
      </c>
      <c r="M994" s="17" t="s">
        <v>45</v>
      </c>
      <c r="N994" s="12" t="s">
        <v>259</v>
      </c>
      <c r="O994" s="12" t="s">
        <v>260</v>
      </c>
      <c r="P994" s="88" t="s">
        <v>261</v>
      </c>
      <c r="R994" s="16"/>
      <c r="V994" s="13"/>
      <c r="W994" s="16"/>
      <c r="AU994" s="12" t="s">
        <v>1208</v>
      </c>
    </row>
    <row r="995" spans="1:47" s="12" customFormat="1" ht="14.4" hidden="1" x14ac:dyDescent="0.3">
      <c r="A995" s="12" t="s">
        <v>39</v>
      </c>
      <c r="B995" s="12" t="s">
        <v>2787</v>
      </c>
      <c r="C995" s="12">
        <v>70</v>
      </c>
      <c r="D995" s="12">
        <v>235</v>
      </c>
      <c r="F995" s="12" t="s">
        <v>3026</v>
      </c>
      <c r="G995" s="12" t="str">
        <f t="shared" si="26"/>
        <v>7023570693507</v>
      </c>
      <c r="H995" s="12" t="s">
        <v>3027</v>
      </c>
      <c r="I995" s="12">
        <v>70693507</v>
      </c>
      <c r="J995" s="12" t="s">
        <v>3028</v>
      </c>
      <c r="K995" s="12" t="s">
        <v>230</v>
      </c>
      <c r="L995" s="12">
        <v>3135212218</v>
      </c>
      <c r="M995" s="17" t="s">
        <v>45</v>
      </c>
      <c r="N995" s="12" t="s">
        <v>259</v>
      </c>
      <c r="O995" s="12" t="s">
        <v>260</v>
      </c>
      <c r="P995" s="88" t="s">
        <v>261</v>
      </c>
      <c r="Q995" s="13" t="s">
        <v>3029</v>
      </c>
      <c r="R995" s="16">
        <v>0.81</v>
      </c>
      <c r="S995" s="12" t="s">
        <v>49</v>
      </c>
      <c r="V995" s="13"/>
      <c r="W995" s="16"/>
      <c r="AU995" s="12" t="s">
        <v>1208</v>
      </c>
    </row>
    <row r="996" spans="1:47" s="12" customFormat="1" ht="14.4" hidden="1" x14ac:dyDescent="0.3">
      <c r="A996" s="12" t="s">
        <v>39</v>
      </c>
      <c r="B996" s="12" t="s">
        <v>2787</v>
      </c>
      <c r="C996" s="12">
        <v>70</v>
      </c>
      <c r="D996" s="12">
        <v>235</v>
      </c>
      <c r="F996" s="12" t="s">
        <v>3030</v>
      </c>
      <c r="G996" s="12" t="str">
        <f t="shared" si="26"/>
        <v>7023537557822</v>
      </c>
      <c r="H996" s="12" t="s">
        <v>3031</v>
      </c>
      <c r="I996" s="12">
        <v>37557822</v>
      </c>
      <c r="J996" s="12" t="s">
        <v>3032</v>
      </c>
      <c r="K996" s="12" t="s">
        <v>230</v>
      </c>
      <c r="L996" s="12">
        <v>3205836591</v>
      </c>
      <c r="M996" s="17" t="s">
        <v>3033</v>
      </c>
      <c r="N996" s="12" t="s">
        <v>259</v>
      </c>
      <c r="O996" s="12" t="s">
        <v>260</v>
      </c>
      <c r="P996" s="88" t="s">
        <v>261</v>
      </c>
      <c r="Q996" s="13">
        <v>45219</v>
      </c>
      <c r="R996" s="16">
        <v>0.71</v>
      </c>
      <c r="S996" s="12" t="s">
        <v>49</v>
      </c>
      <c r="V996" s="13"/>
      <c r="W996" s="16"/>
      <c r="AU996" s="12" t="s">
        <v>1208</v>
      </c>
    </row>
    <row r="997" spans="1:47" s="12" customFormat="1" ht="14.4" hidden="1" x14ac:dyDescent="0.3">
      <c r="A997" s="12" t="s">
        <v>39</v>
      </c>
      <c r="B997" s="12" t="s">
        <v>2787</v>
      </c>
      <c r="C997" s="12">
        <v>70</v>
      </c>
      <c r="D997" s="12">
        <v>235</v>
      </c>
      <c r="F997" s="12" t="s">
        <v>3034</v>
      </c>
      <c r="G997" s="12" t="str">
        <f t="shared" si="26"/>
        <v>7023533082093</v>
      </c>
      <c r="H997" s="12" t="s">
        <v>3035</v>
      </c>
      <c r="I997" s="12">
        <v>33082093</v>
      </c>
      <c r="J997" s="12" t="s">
        <v>3036</v>
      </c>
      <c r="K997" s="12" t="s">
        <v>230</v>
      </c>
      <c r="L997" s="12" t="s">
        <v>45</v>
      </c>
      <c r="M997" s="17" t="s">
        <v>45</v>
      </c>
      <c r="N997" s="12" t="s">
        <v>259</v>
      </c>
      <c r="O997" s="12" t="s">
        <v>260</v>
      </c>
      <c r="P997" s="88" t="s">
        <v>261</v>
      </c>
      <c r="Q997" s="13">
        <v>44399</v>
      </c>
      <c r="R997" s="16">
        <v>0.82499999999999996</v>
      </c>
      <c r="S997" s="12" t="s">
        <v>49</v>
      </c>
      <c r="V997" s="13"/>
      <c r="W997" s="16"/>
      <c r="AU997" s="12" t="s">
        <v>1208</v>
      </c>
    </row>
    <row r="998" spans="1:47" s="12" customFormat="1" ht="14.4" hidden="1" x14ac:dyDescent="0.3">
      <c r="A998" s="12" t="s">
        <v>39</v>
      </c>
      <c r="B998" s="12" t="s">
        <v>2787</v>
      </c>
      <c r="C998" s="12">
        <v>70</v>
      </c>
      <c r="D998" s="12">
        <v>235</v>
      </c>
      <c r="F998" s="12" t="s">
        <v>3037</v>
      </c>
      <c r="G998" s="12" t="str">
        <f t="shared" si="26"/>
        <v>702351100551842</v>
      </c>
      <c r="H998" s="12" t="s">
        <v>3038</v>
      </c>
      <c r="I998" s="12">
        <v>1100551842</v>
      </c>
      <c r="J998" s="12" t="s">
        <v>3039</v>
      </c>
      <c r="K998" s="12" t="s">
        <v>230</v>
      </c>
      <c r="L998" s="12">
        <v>3127235522</v>
      </c>
      <c r="M998" s="17" t="s">
        <v>3040</v>
      </c>
      <c r="N998" s="12" t="s">
        <v>259</v>
      </c>
      <c r="O998" s="12" t="s">
        <v>260</v>
      </c>
      <c r="P998" s="88" t="s">
        <v>261</v>
      </c>
      <c r="Q998" s="13"/>
      <c r="R998" s="16"/>
      <c r="V998" s="13"/>
      <c r="W998" s="16"/>
      <c r="AU998" s="12" t="s">
        <v>1208</v>
      </c>
    </row>
    <row r="999" spans="1:47" s="12" customFormat="1" ht="14.4" hidden="1" x14ac:dyDescent="0.3">
      <c r="A999" s="12" t="s">
        <v>39</v>
      </c>
      <c r="B999" s="12" t="s">
        <v>2787</v>
      </c>
      <c r="C999" s="12">
        <v>70</v>
      </c>
      <c r="D999" s="12">
        <v>235</v>
      </c>
      <c r="F999" s="12" t="s">
        <v>3041</v>
      </c>
      <c r="G999" s="12" t="str">
        <f t="shared" si="26"/>
        <v>7023592099821</v>
      </c>
      <c r="H999" s="12" t="s">
        <v>3042</v>
      </c>
      <c r="I999" s="12">
        <v>92099821</v>
      </c>
      <c r="J999" s="12" t="s">
        <v>3043</v>
      </c>
      <c r="K999" s="12" t="s">
        <v>230</v>
      </c>
      <c r="L999" s="12" t="s">
        <v>45</v>
      </c>
      <c r="M999" s="17" t="s">
        <v>45</v>
      </c>
      <c r="N999" s="12" t="s">
        <v>259</v>
      </c>
      <c r="O999" s="12" t="s">
        <v>260</v>
      </c>
      <c r="P999" s="88" t="s">
        <v>261</v>
      </c>
      <c r="R999" s="16"/>
      <c r="V999" s="13"/>
      <c r="W999" s="16"/>
      <c r="AU999" s="12" t="s">
        <v>1208</v>
      </c>
    </row>
    <row r="1000" spans="1:47" s="12" customFormat="1" ht="14.4" hidden="1" x14ac:dyDescent="0.3">
      <c r="A1000" s="12" t="s">
        <v>39</v>
      </c>
      <c r="B1000" s="12" t="s">
        <v>2787</v>
      </c>
      <c r="C1000" s="12">
        <v>70</v>
      </c>
      <c r="D1000" s="12">
        <v>235</v>
      </c>
      <c r="F1000" s="12" t="s">
        <v>3044</v>
      </c>
      <c r="G1000" s="12" t="str">
        <f t="shared" si="26"/>
        <v>7023533082983-6</v>
      </c>
      <c r="H1000" s="12" t="s">
        <v>3045</v>
      </c>
      <c r="I1000" s="12" t="s">
        <v>3046</v>
      </c>
      <c r="J1000" s="12" t="s">
        <v>3047</v>
      </c>
      <c r="K1000" s="12" t="s">
        <v>230</v>
      </c>
      <c r="L1000" s="12">
        <v>3224964470</v>
      </c>
      <c r="M1000" s="17" t="s">
        <v>3048</v>
      </c>
      <c r="N1000" s="12" t="s">
        <v>259</v>
      </c>
      <c r="O1000" s="12" t="s">
        <v>260</v>
      </c>
      <c r="P1000" s="88" t="s">
        <v>261</v>
      </c>
      <c r="Q1000" s="13">
        <v>45057</v>
      </c>
      <c r="R1000" s="16">
        <v>0.64249999999999996</v>
      </c>
      <c r="S1000" s="12" t="s">
        <v>49</v>
      </c>
      <c r="V1000" s="13"/>
      <c r="W1000" s="16"/>
      <c r="AU1000" s="12" t="s">
        <v>1208</v>
      </c>
    </row>
    <row r="1001" spans="1:47" s="12" customFormat="1" ht="14.4" hidden="1" x14ac:dyDescent="0.3">
      <c r="A1001" s="12" t="s">
        <v>39</v>
      </c>
      <c r="B1001" s="12" t="s">
        <v>2787</v>
      </c>
      <c r="C1001" s="12">
        <v>70</v>
      </c>
      <c r="D1001" s="12">
        <v>235</v>
      </c>
      <c r="F1001" s="12" t="s">
        <v>3049</v>
      </c>
      <c r="G1001" s="12" t="str">
        <f t="shared" si="26"/>
        <v>702351100544135</v>
      </c>
      <c r="H1001" s="12" t="s">
        <v>3050</v>
      </c>
      <c r="I1001" s="12">
        <v>1100544135</v>
      </c>
      <c r="J1001" s="12" t="s">
        <v>3051</v>
      </c>
      <c r="K1001" s="12" t="s">
        <v>230</v>
      </c>
      <c r="L1001" s="12" t="s">
        <v>45</v>
      </c>
      <c r="M1001" s="17" t="s">
        <v>45</v>
      </c>
      <c r="N1001" s="12" t="s">
        <v>259</v>
      </c>
      <c r="O1001" s="12" t="s">
        <v>260</v>
      </c>
      <c r="P1001" s="88" t="s">
        <v>261</v>
      </c>
      <c r="Q1001" s="13">
        <v>44547</v>
      </c>
      <c r="R1001" s="16">
        <v>0.78</v>
      </c>
      <c r="S1001" s="12" t="s">
        <v>49</v>
      </c>
      <c r="V1001" s="13"/>
      <c r="W1001" s="16"/>
      <c r="AU1001" s="12" t="s">
        <v>1208</v>
      </c>
    </row>
    <row r="1002" spans="1:47" s="12" customFormat="1" ht="14.4" hidden="1" x14ac:dyDescent="0.3">
      <c r="A1002" s="12" t="s">
        <v>39</v>
      </c>
      <c r="B1002" s="12" t="s">
        <v>2787</v>
      </c>
      <c r="C1002" s="12">
        <v>70</v>
      </c>
      <c r="D1002" s="12">
        <v>235</v>
      </c>
      <c r="F1002" s="12" t="s">
        <v>3052</v>
      </c>
      <c r="G1002" s="12" t="str">
        <f t="shared" si="26"/>
        <v>702351102580054</v>
      </c>
      <c r="H1002" s="12" t="s">
        <v>3053</v>
      </c>
      <c r="I1002" s="12">
        <v>1102580054</v>
      </c>
      <c r="J1002" s="12" t="s">
        <v>3054</v>
      </c>
      <c r="K1002" s="12" t="s">
        <v>230</v>
      </c>
      <c r="L1002" s="12" t="s">
        <v>45</v>
      </c>
      <c r="M1002" s="17" t="s">
        <v>45</v>
      </c>
      <c r="N1002" s="12" t="s">
        <v>259</v>
      </c>
      <c r="O1002" s="12" t="s">
        <v>260</v>
      </c>
      <c r="P1002" s="88" t="s">
        <v>261</v>
      </c>
      <c r="Q1002" s="13"/>
      <c r="R1002" s="16"/>
      <c r="V1002" s="13"/>
      <c r="W1002" s="16"/>
      <c r="AU1002" s="12" t="s">
        <v>1208</v>
      </c>
    </row>
    <row r="1003" spans="1:47" s="12" customFormat="1" ht="14.4" hidden="1" x14ac:dyDescent="0.3">
      <c r="A1003" s="12" t="s">
        <v>39</v>
      </c>
      <c r="B1003" s="12" t="s">
        <v>2787</v>
      </c>
      <c r="C1003" s="12">
        <v>70</v>
      </c>
      <c r="D1003" s="12">
        <v>235</v>
      </c>
      <c r="F1003" s="12" t="s">
        <v>3055</v>
      </c>
      <c r="G1003" s="12" t="str">
        <f t="shared" si="26"/>
        <v>7023592098958</v>
      </c>
      <c r="H1003" s="12" t="s">
        <v>3056</v>
      </c>
      <c r="I1003" s="12">
        <v>92098958</v>
      </c>
      <c r="J1003" s="12" t="s">
        <v>3057</v>
      </c>
      <c r="K1003" s="12" t="s">
        <v>230</v>
      </c>
      <c r="L1003" s="12" t="s">
        <v>45</v>
      </c>
      <c r="M1003" s="17" t="s">
        <v>45</v>
      </c>
      <c r="N1003" s="12" t="s">
        <v>259</v>
      </c>
      <c r="O1003" s="12" t="s">
        <v>260</v>
      </c>
      <c r="P1003" s="88" t="s">
        <v>261</v>
      </c>
      <c r="Q1003" s="13">
        <v>44330</v>
      </c>
      <c r="R1003" s="16">
        <v>0.69499999999999995</v>
      </c>
      <c r="S1003" s="12" t="s">
        <v>49</v>
      </c>
      <c r="V1003" s="13"/>
      <c r="W1003" s="16"/>
      <c r="AU1003" s="12" t="s">
        <v>1208</v>
      </c>
    </row>
    <row r="1004" spans="1:47" s="12" customFormat="1" ht="14.4" hidden="1" x14ac:dyDescent="0.3">
      <c r="A1004" s="12" t="s">
        <v>39</v>
      </c>
      <c r="B1004" s="12" t="s">
        <v>2787</v>
      </c>
      <c r="C1004" s="12">
        <v>70</v>
      </c>
      <c r="D1004" s="12">
        <v>235</v>
      </c>
      <c r="F1004" s="12" t="s">
        <v>3058</v>
      </c>
      <c r="G1004" s="12" t="str">
        <f t="shared" ref="G1004:G1035" si="27">C1004&amp;D1004&amp;I1004</f>
        <v>7023515906848</v>
      </c>
      <c r="H1004" s="12" t="s">
        <v>3059</v>
      </c>
      <c r="I1004" s="12">
        <v>15906848</v>
      </c>
      <c r="J1004" s="12" t="s">
        <v>3060</v>
      </c>
      <c r="K1004" s="12" t="s">
        <v>230</v>
      </c>
      <c r="L1004" s="12" t="s">
        <v>45</v>
      </c>
      <c r="M1004" s="17" t="s">
        <v>45</v>
      </c>
      <c r="N1004" s="12" t="s">
        <v>259</v>
      </c>
      <c r="O1004" s="12" t="s">
        <v>260</v>
      </c>
      <c r="P1004" s="88" t="s">
        <v>261</v>
      </c>
      <c r="Q1004" s="13">
        <v>44711</v>
      </c>
      <c r="R1004" s="16">
        <v>0.84</v>
      </c>
      <c r="S1004" s="12" t="s">
        <v>49</v>
      </c>
      <c r="V1004" s="13"/>
      <c r="W1004" s="16"/>
      <c r="AU1004" s="12" t="s">
        <v>1208</v>
      </c>
    </row>
    <row r="1005" spans="1:47" s="12" customFormat="1" ht="14.4" hidden="1" x14ac:dyDescent="0.3">
      <c r="A1005" s="12" t="s">
        <v>39</v>
      </c>
      <c r="B1005" s="12" t="s">
        <v>2787</v>
      </c>
      <c r="C1005" s="12">
        <v>70</v>
      </c>
      <c r="D1005" s="12">
        <v>235</v>
      </c>
      <c r="F1005" s="12" t="s">
        <v>3061</v>
      </c>
      <c r="G1005" s="12" t="str">
        <f t="shared" si="27"/>
        <v>7023592096703</v>
      </c>
      <c r="H1005" s="12" t="s">
        <v>3062</v>
      </c>
      <c r="I1005" s="12">
        <v>92096703</v>
      </c>
      <c r="J1005" s="12" t="s">
        <v>3063</v>
      </c>
      <c r="K1005" s="12" t="s">
        <v>230</v>
      </c>
      <c r="L1005" s="12">
        <v>3107112676</v>
      </c>
      <c r="M1005" s="17" t="s">
        <v>3064</v>
      </c>
      <c r="N1005" s="12" t="s">
        <v>259</v>
      </c>
      <c r="O1005" s="12" t="s">
        <v>260</v>
      </c>
      <c r="P1005" s="88" t="s">
        <v>261</v>
      </c>
      <c r="Q1005" s="13">
        <v>44812</v>
      </c>
      <c r="R1005" s="16">
        <v>0.79500000000000004</v>
      </c>
      <c r="S1005" s="12" t="s">
        <v>49</v>
      </c>
      <c r="V1005" s="13"/>
      <c r="W1005" s="16"/>
      <c r="AU1005" s="12" t="s">
        <v>1208</v>
      </c>
    </row>
    <row r="1006" spans="1:47" s="12" customFormat="1" ht="14.4" hidden="1" x14ac:dyDescent="0.3">
      <c r="A1006" s="12" t="s">
        <v>39</v>
      </c>
      <c r="B1006" s="12" t="s">
        <v>2787</v>
      </c>
      <c r="C1006" s="12">
        <v>70</v>
      </c>
      <c r="D1006" s="12">
        <v>235</v>
      </c>
      <c r="F1006" s="12" t="s">
        <v>3065</v>
      </c>
      <c r="G1006" s="12" t="str">
        <f t="shared" si="27"/>
        <v>702351103098860</v>
      </c>
      <c r="H1006" s="12" t="s">
        <v>3066</v>
      </c>
      <c r="I1006" s="12">
        <v>1103098860</v>
      </c>
      <c r="J1006" s="12" t="s">
        <v>3067</v>
      </c>
      <c r="K1006" s="12" t="s">
        <v>230</v>
      </c>
      <c r="L1006" s="12" t="s">
        <v>45</v>
      </c>
      <c r="M1006" s="17" t="s">
        <v>45</v>
      </c>
      <c r="N1006" s="12" t="s">
        <v>259</v>
      </c>
      <c r="O1006" s="12" t="s">
        <v>260</v>
      </c>
      <c r="P1006" s="88" t="s">
        <v>261</v>
      </c>
      <c r="Q1006" s="13">
        <v>44621</v>
      </c>
      <c r="R1006" s="16">
        <v>0.88</v>
      </c>
      <c r="S1006" s="12" t="s">
        <v>49</v>
      </c>
      <c r="V1006" s="13"/>
      <c r="W1006" s="16"/>
      <c r="AU1006" s="12" t="s">
        <v>1208</v>
      </c>
    </row>
    <row r="1007" spans="1:47" s="12" customFormat="1" ht="14.4" hidden="1" x14ac:dyDescent="0.3">
      <c r="A1007" s="12" t="s">
        <v>39</v>
      </c>
      <c r="B1007" s="12" t="s">
        <v>2787</v>
      </c>
      <c r="C1007" s="12">
        <v>70</v>
      </c>
      <c r="D1007" s="12">
        <v>235</v>
      </c>
      <c r="F1007" s="12" t="s">
        <v>3068</v>
      </c>
      <c r="G1007" s="12" t="str">
        <f t="shared" si="27"/>
        <v>7023592099844</v>
      </c>
      <c r="H1007" s="12" t="s">
        <v>3069</v>
      </c>
      <c r="I1007" s="12">
        <v>92099844</v>
      </c>
      <c r="J1007" s="12" t="s">
        <v>3070</v>
      </c>
      <c r="K1007" s="12" t="s">
        <v>230</v>
      </c>
      <c r="L1007" s="12" t="s">
        <v>45</v>
      </c>
      <c r="M1007" s="17" t="s">
        <v>45</v>
      </c>
      <c r="N1007" s="12" t="s">
        <v>259</v>
      </c>
      <c r="O1007" s="12" t="s">
        <v>260</v>
      </c>
      <c r="P1007" s="88" t="s">
        <v>261</v>
      </c>
      <c r="R1007" s="16"/>
      <c r="V1007" s="13"/>
      <c r="W1007" s="16"/>
      <c r="AU1007" s="12" t="s">
        <v>1208</v>
      </c>
    </row>
    <row r="1008" spans="1:47" s="12" customFormat="1" ht="18" hidden="1" customHeight="1" x14ac:dyDescent="0.3">
      <c r="A1008" s="12" t="s">
        <v>39</v>
      </c>
      <c r="B1008" s="12" t="s">
        <v>2787</v>
      </c>
      <c r="C1008" s="12">
        <v>70</v>
      </c>
      <c r="D1008" s="12">
        <v>235</v>
      </c>
      <c r="F1008" s="12" t="s">
        <v>3071</v>
      </c>
      <c r="G1008" s="12" t="str">
        <f t="shared" si="27"/>
        <v>70235800255239</v>
      </c>
      <c r="H1008" s="12" t="s">
        <v>3072</v>
      </c>
      <c r="I1008" s="12">
        <v>800255239</v>
      </c>
      <c r="J1008" s="12" t="s">
        <v>3073</v>
      </c>
      <c r="K1008" s="12" t="s">
        <v>230</v>
      </c>
      <c r="L1008" s="12" t="s">
        <v>45</v>
      </c>
      <c r="M1008" s="17" t="s">
        <v>45</v>
      </c>
      <c r="N1008" s="12" t="s">
        <v>259</v>
      </c>
      <c r="O1008" s="12" t="s">
        <v>260</v>
      </c>
      <c r="P1008" s="88" t="s">
        <v>261</v>
      </c>
      <c r="Q1008" s="13">
        <v>44642</v>
      </c>
      <c r="R1008" s="16">
        <v>0.77500000000000002</v>
      </c>
      <c r="S1008" s="12" t="s">
        <v>49</v>
      </c>
      <c r="V1008" s="13"/>
      <c r="W1008" s="16"/>
      <c r="AU1008" s="12" t="s">
        <v>1208</v>
      </c>
    </row>
    <row r="1009" spans="1:47" s="12" customFormat="1" ht="14.4" hidden="1" x14ac:dyDescent="0.3">
      <c r="A1009" s="12" t="s">
        <v>39</v>
      </c>
      <c r="B1009" s="12" t="s">
        <v>2787</v>
      </c>
      <c r="C1009" s="12">
        <v>70</v>
      </c>
      <c r="D1009" s="12">
        <v>235</v>
      </c>
      <c r="F1009" s="12" t="s">
        <v>3074</v>
      </c>
      <c r="G1009" s="12" t="str">
        <f t="shared" si="27"/>
        <v>7023592095311</v>
      </c>
      <c r="H1009" s="12" t="s">
        <v>3075</v>
      </c>
      <c r="I1009" s="12">
        <v>92095311</v>
      </c>
      <c r="J1009" s="12" t="s">
        <v>3076</v>
      </c>
      <c r="K1009" s="12" t="s">
        <v>230</v>
      </c>
      <c r="L1009" s="12" t="s">
        <v>45</v>
      </c>
      <c r="M1009" s="17" t="s">
        <v>45</v>
      </c>
      <c r="N1009" s="12" t="s">
        <v>259</v>
      </c>
      <c r="O1009" s="12" t="s">
        <v>260</v>
      </c>
      <c r="P1009" s="88" t="s">
        <v>261</v>
      </c>
      <c r="Q1009" s="13">
        <v>44473</v>
      </c>
      <c r="R1009" s="16">
        <v>0.64500000000000002</v>
      </c>
      <c r="S1009" s="12" t="s">
        <v>49</v>
      </c>
      <c r="V1009" s="13"/>
      <c r="W1009" s="16"/>
      <c r="AU1009" s="12" t="s">
        <v>1208</v>
      </c>
    </row>
    <row r="1010" spans="1:47" s="12" customFormat="1" ht="14.4" hidden="1" x14ac:dyDescent="0.3">
      <c r="A1010" s="12" t="s">
        <v>39</v>
      </c>
      <c r="B1010" s="12" t="s">
        <v>2787</v>
      </c>
      <c r="C1010" s="12">
        <v>70</v>
      </c>
      <c r="D1010" s="12">
        <v>235</v>
      </c>
      <c r="F1010" s="12" t="s">
        <v>3077</v>
      </c>
      <c r="G1010" s="12" t="str">
        <f t="shared" si="27"/>
        <v>7023533082975</v>
      </c>
      <c r="H1010" s="12" t="s">
        <v>3078</v>
      </c>
      <c r="I1010" s="12">
        <v>33082975</v>
      </c>
      <c r="J1010" s="12" t="s">
        <v>3079</v>
      </c>
      <c r="K1010" s="12" t="s">
        <v>230</v>
      </c>
      <c r="L1010" s="12" t="s">
        <v>45</v>
      </c>
      <c r="M1010" s="17" t="s">
        <v>45</v>
      </c>
      <c r="N1010" s="12" t="s">
        <v>259</v>
      </c>
      <c r="O1010" s="12" t="s">
        <v>260</v>
      </c>
      <c r="P1010" s="88" t="s">
        <v>261</v>
      </c>
      <c r="Q1010" s="13">
        <v>44489</v>
      </c>
      <c r="R1010" s="16">
        <v>0.80500000000000005</v>
      </c>
      <c r="S1010" s="12" t="s">
        <v>49</v>
      </c>
      <c r="V1010" s="13"/>
      <c r="W1010" s="16"/>
      <c r="AU1010" s="12" t="s">
        <v>1208</v>
      </c>
    </row>
    <row r="1011" spans="1:47" s="12" customFormat="1" ht="14.4" hidden="1" x14ac:dyDescent="0.3">
      <c r="A1011" s="12" t="s">
        <v>39</v>
      </c>
      <c r="B1011" s="12" t="s">
        <v>2787</v>
      </c>
      <c r="C1011" s="12">
        <v>70</v>
      </c>
      <c r="D1011" s="12">
        <v>235</v>
      </c>
      <c r="F1011" s="12" t="s">
        <v>3080</v>
      </c>
      <c r="G1011" s="12" t="str">
        <f t="shared" si="27"/>
        <v>702351100150838</v>
      </c>
      <c r="H1011" s="12" t="s">
        <v>3081</v>
      </c>
      <c r="I1011" s="12">
        <v>1100150838</v>
      </c>
      <c r="J1011" s="12" t="s">
        <v>3082</v>
      </c>
      <c r="K1011" s="12" t="s">
        <v>230</v>
      </c>
      <c r="L1011" s="12" t="s">
        <v>45</v>
      </c>
      <c r="M1011" s="17" t="s">
        <v>45</v>
      </c>
      <c r="N1011" s="12" t="s">
        <v>259</v>
      </c>
      <c r="O1011" s="12" t="s">
        <v>260</v>
      </c>
      <c r="P1011" s="88" t="s">
        <v>261</v>
      </c>
      <c r="R1011" s="16"/>
      <c r="V1011" s="13"/>
      <c r="W1011" s="16"/>
      <c r="AU1011" s="12" t="s">
        <v>1208</v>
      </c>
    </row>
    <row r="1012" spans="1:47" s="12" customFormat="1" ht="14.4" hidden="1" x14ac:dyDescent="0.3">
      <c r="A1012" s="12" t="s">
        <v>39</v>
      </c>
      <c r="B1012" s="12" t="s">
        <v>2787</v>
      </c>
      <c r="C1012" s="12">
        <v>70</v>
      </c>
      <c r="D1012" s="12">
        <v>235</v>
      </c>
      <c r="F1012" s="12" t="s">
        <v>3083</v>
      </c>
      <c r="G1012" s="12" t="str">
        <f t="shared" si="27"/>
        <v>702351129495624</v>
      </c>
      <c r="H1012" s="12" t="s">
        <v>3084</v>
      </c>
      <c r="I1012" s="12">
        <v>1129495624</v>
      </c>
      <c r="J1012" s="12" t="s">
        <v>3085</v>
      </c>
      <c r="K1012" s="12" t="s">
        <v>230</v>
      </c>
      <c r="L1012" s="12" t="s">
        <v>45</v>
      </c>
      <c r="M1012" s="17" t="s">
        <v>45</v>
      </c>
      <c r="N1012" s="12" t="s">
        <v>259</v>
      </c>
      <c r="O1012" s="12" t="s">
        <v>260</v>
      </c>
      <c r="P1012" s="88" t="s">
        <v>261</v>
      </c>
      <c r="R1012" s="16"/>
      <c r="V1012" s="13"/>
      <c r="W1012" s="16"/>
      <c r="AU1012" s="12" t="s">
        <v>1208</v>
      </c>
    </row>
    <row r="1013" spans="1:47" s="12" customFormat="1" ht="14.4" hidden="1" x14ac:dyDescent="0.3">
      <c r="A1013" s="12" t="s">
        <v>39</v>
      </c>
      <c r="B1013" s="12" t="s">
        <v>2787</v>
      </c>
      <c r="C1013" s="12">
        <v>70</v>
      </c>
      <c r="D1013" s="12">
        <v>235</v>
      </c>
      <c r="F1013" s="12" t="s">
        <v>3086</v>
      </c>
      <c r="G1013" s="12" t="str">
        <f t="shared" si="27"/>
        <v>7023564867135</v>
      </c>
      <c r="H1013" s="12" t="s">
        <v>3087</v>
      </c>
      <c r="I1013" s="12">
        <v>64867135</v>
      </c>
      <c r="J1013" s="12" t="s">
        <v>3088</v>
      </c>
      <c r="K1013" s="12" t="s">
        <v>230</v>
      </c>
      <c r="L1013" s="12" t="s">
        <v>45</v>
      </c>
      <c r="M1013" s="17" t="s">
        <v>45</v>
      </c>
      <c r="N1013" s="12" t="s">
        <v>259</v>
      </c>
      <c r="O1013" s="12" t="s">
        <v>260</v>
      </c>
      <c r="P1013" s="88" t="s">
        <v>261</v>
      </c>
      <c r="Q1013" s="13">
        <v>44627</v>
      </c>
      <c r="R1013" s="16">
        <v>0.79500000000000004</v>
      </c>
      <c r="S1013" s="12" t="s">
        <v>49</v>
      </c>
      <c r="V1013" s="13"/>
      <c r="W1013" s="16"/>
      <c r="AU1013" s="12" t="s">
        <v>1208</v>
      </c>
    </row>
    <row r="1014" spans="1:47" s="12" customFormat="1" ht="14.4" hidden="1" x14ac:dyDescent="0.3">
      <c r="A1014" s="12" t="s">
        <v>39</v>
      </c>
      <c r="B1014" s="12" t="s">
        <v>2787</v>
      </c>
      <c r="C1014" s="12">
        <v>70</v>
      </c>
      <c r="D1014" s="12">
        <v>235</v>
      </c>
      <c r="F1014" s="12" t="s">
        <v>3089</v>
      </c>
      <c r="G1014" s="12" t="str">
        <f t="shared" si="27"/>
        <v>702351100545853</v>
      </c>
      <c r="H1014" s="12" t="s">
        <v>2803</v>
      </c>
      <c r="I1014" s="12">
        <v>1100545853</v>
      </c>
      <c r="J1014" s="12" t="s">
        <v>3090</v>
      </c>
      <c r="K1014" s="12" t="s">
        <v>230</v>
      </c>
      <c r="L1014" s="12" t="s">
        <v>45</v>
      </c>
      <c r="M1014" s="17" t="s">
        <v>45</v>
      </c>
      <c r="N1014" s="12" t="s">
        <v>259</v>
      </c>
      <c r="O1014" s="12" t="s">
        <v>260</v>
      </c>
      <c r="P1014" s="88" t="s">
        <v>261</v>
      </c>
      <c r="Q1014" s="13"/>
      <c r="R1014" s="16"/>
      <c r="V1014" s="13"/>
      <c r="W1014" s="16"/>
      <c r="AU1014" s="12" t="s">
        <v>1208</v>
      </c>
    </row>
    <row r="1015" spans="1:47" s="12" customFormat="1" ht="14.4" hidden="1" x14ac:dyDescent="0.3">
      <c r="A1015" s="12" t="s">
        <v>39</v>
      </c>
      <c r="B1015" s="12" t="s">
        <v>2787</v>
      </c>
      <c r="C1015" s="12">
        <v>70</v>
      </c>
      <c r="D1015" s="12">
        <v>235</v>
      </c>
      <c r="F1015" s="12" t="s">
        <v>3091</v>
      </c>
      <c r="G1015" s="12" t="str">
        <f t="shared" si="27"/>
        <v>7023592096374</v>
      </c>
      <c r="H1015" s="12" t="s">
        <v>3092</v>
      </c>
      <c r="I1015" s="12">
        <v>92096374</v>
      </c>
      <c r="J1015" s="12" t="s">
        <v>3093</v>
      </c>
      <c r="K1015" s="12" t="s">
        <v>230</v>
      </c>
      <c r="L1015" s="12" t="s">
        <v>45</v>
      </c>
      <c r="M1015" s="17" t="s">
        <v>45</v>
      </c>
      <c r="N1015" s="12" t="s">
        <v>259</v>
      </c>
      <c r="O1015" s="12" t="s">
        <v>260</v>
      </c>
      <c r="P1015" s="88" t="s">
        <v>261</v>
      </c>
      <c r="Q1015" s="13"/>
      <c r="R1015" s="16"/>
      <c r="V1015" s="13"/>
      <c r="W1015" s="16"/>
      <c r="AU1015" s="12" t="s">
        <v>1208</v>
      </c>
    </row>
    <row r="1016" spans="1:47" s="12" customFormat="1" ht="14.4" hidden="1" x14ac:dyDescent="0.3">
      <c r="A1016" s="12" t="s">
        <v>39</v>
      </c>
      <c r="B1016" s="12" t="s">
        <v>2787</v>
      </c>
      <c r="C1016" s="12">
        <v>70</v>
      </c>
      <c r="D1016" s="12">
        <v>235</v>
      </c>
      <c r="F1016" s="12" t="s">
        <v>3094</v>
      </c>
      <c r="G1016" s="12" t="str">
        <f t="shared" si="27"/>
        <v>7023533082499</v>
      </c>
      <c r="H1016" s="12" t="s">
        <v>3095</v>
      </c>
      <c r="I1016" s="12">
        <v>33082499</v>
      </c>
      <c r="J1016" s="12" t="s">
        <v>3096</v>
      </c>
      <c r="K1016" s="12" t="s">
        <v>230</v>
      </c>
      <c r="L1016" s="12" t="s">
        <v>45</v>
      </c>
      <c r="M1016" s="17" t="s">
        <v>45</v>
      </c>
      <c r="N1016" s="12" t="s">
        <v>259</v>
      </c>
      <c r="O1016" s="12" t="s">
        <v>260</v>
      </c>
      <c r="P1016" s="88" t="s">
        <v>261</v>
      </c>
      <c r="Q1016" s="13"/>
      <c r="R1016" s="16"/>
      <c r="V1016" s="13"/>
      <c r="W1016" s="16"/>
      <c r="AU1016" s="12" t="s">
        <v>1208</v>
      </c>
    </row>
    <row r="1017" spans="1:47" s="12" customFormat="1" ht="14.4" hidden="1" x14ac:dyDescent="0.3">
      <c r="A1017" s="12" t="s">
        <v>39</v>
      </c>
      <c r="B1017" s="12" t="s">
        <v>2787</v>
      </c>
      <c r="C1017" s="12">
        <v>70</v>
      </c>
      <c r="D1017" s="12">
        <v>235</v>
      </c>
      <c r="F1017" s="12" t="s">
        <v>3097</v>
      </c>
      <c r="G1017" s="12" t="str">
        <f t="shared" si="27"/>
        <v>70235900072094-5</v>
      </c>
      <c r="H1017" s="12" t="s">
        <v>1054</v>
      </c>
      <c r="I1017" s="12" t="s">
        <v>1091</v>
      </c>
      <c r="J1017" s="12" t="s">
        <v>3098</v>
      </c>
      <c r="K1017" s="12" t="s">
        <v>230</v>
      </c>
      <c r="L1017" s="12" t="s">
        <v>45</v>
      </c>
      <c r="M1017" s="17" t="s">
        <v>45</v>
      </c>
      <c r="N1017" s="12" t="s">
        <v>259</v>
      </c>
      <c r="O1017" s="12" t="s">
        <v>260</v>
      </c>
      <c r="P1017" s="88" t="s">
        <v>261</v>
      </c>
      <c r="R1017" s="16"/>
      <c r="V1017" s="13"/>
      <c r="W1017" s="16"/>
      <c r="AU1017" s="12" t="s">
        <v>1208</v>
      </c>
    </row>
    <row r="1018" spans="1:47" s="12" customFormat="1" ht="14.4" hidden="1" x14ac:dyDescent="0.3">
      <c r="A1018" s="12" t="s">
        <v>39</v>
      </c>
      <c r="B1018" s="12" t="s">
        <v>2787</v>
      </c>
      <c r="C1018" s="12">
        <v>70</v>
      </c>
      <c r="D1018" s="12">
        <v>235</v>
      </c>
      <c r="F1018" s="12" t="s">
        <v>3099</v>
      </c>
      <c r="G1018" s="12" t="str">
        <f t="shared" si="27"/>
        <v>702351103950198-1</v>
      </c>
      <c r="H1018" s="12" t="s">
        <v>3100</v>
      </c>
      <c r="I1018" s="12" t="s">
        <v>3101</v>
      </c>
      <c r="J1018" s="12" t="s">
        <v>3102</v>
      </c>
      <c r="K1018" s="12" t="s">
        <v>230</v>
      </c>
      <c r="L1018" s="12" t="s">
        <v>45</v>
      </c>
      <c r="M1018" s="17" t="s">
        <v>45</v>
      </c>
      <c r="N1018" s="12" t="s">
        <v>259</v>
      </c>
      <c r="O1018" s="12" t="s">
        <v>260</v>
      </c>
      <c r="P1018" s="88" t="s">
        <v>261</v>
      </c>
      <c r="R1018" s="16"/>
      <c r="V1018" s="13"/>
      <c r="W1018" s="16"/>
      <c r="AU1018" s="12" t="s">
        <v>1208</v>
      </c>
    </row>
    <row r="1019" spans="1:47" s="12" customFormat="1" ht="14.4" hidden="1" x14ac:dyDescent="0.3">
      <c r="A1019" s="12" t="s">
        <v>39</v>
      </c>
      <c r="B1019" s="12" t="s">
        <v>2787</v>
      </c>
      <c r="C1019" s="12">
        <v>70</v>
      </c>
      <c r="D1019" s="12">
        <v>235</v>
      </c>
      <c r="F1019" s="12" t="s">
        <v>3103</v>
      </c>
      <c r="G1019" s="12" t="str">
        <f t="shared" si="27"/>
        <v>702351102893757</v>
      </c>
      <c r="H1019" s="12" t="s">
        <v>3104</v>
      </c>
      <c r="I1019" s="12">
        <v>1102893757</v>
      </c>
      <c r="J1019" s="12" t="s">
        <v>3105</v>
      </c>
      <c r="K1019" s="12" t="s">
        <v>230</v>
      </c>
      <c r="L1019" s="12" t="s">
        <v>45</v>
      </c>
      <c r="M1019" s="17" t="s">
        <v>45</v>
      </c>
      <c r="N1019" s="12" t="s">
        <v>259</v>
      </c>
      <c r="O1019" s="12" t="s">
        <v>260</v>
      </c>
      <c r="P1019" s="88" t="s">
        <v>261</v>
      </c>
      <c r="Q1019" s="13">
        <v>44330</v>
      </c>
      <c r="R1019" s="16">
        <v>0.69499999999999995</v>
      </c>
      <c r="S1019" s="12" t="s">
        <v>49</v>
      </c>
      <c r="V1019" s="13"/>
      <c r="W1019" s="16"/>
      <c r="AU1019" s="12" t="s">
        <v>1208</v>
      </c>
    </row>
    <row r="1020" spans="1:47" s="12" customFormat="1" ht="14.4" hidden="1" x14ac:dyDescent="0.3">
      <c r="A1020" s="12" t="s">
        <v>39</v>
      </c>
      <c r="B1020" s="12" t="s">
        <v>2787</v>
      </c>
      <c r="C1020" s="12">
        <v>70</v>
      </c>
      <c r="D1020" s="12">
        <v>235</v>
      </c>
      <c r="F1020" s="12" t="s">
        <v>1437</v>
      </c>
      <c r="G1020" s="12" t="str">
        <f t="shared" si="27"/>
        <v>7023533083340-5</v>
      </c>
      <c r="H1020" s="12" t="s">
        <v>3106</v>
      </c>
      <c r="I1020" s="12" t="s">
        <v>3107</v>
      </c>
      <c r="J1020" s="12" t="s">
        <v>3108</v>
      </c>
      <c r="K1020" s="12" t="s">
        <v>230</v>
      </c>
      <c r="L1020" s="12">
        <v>3126922071</v>
      </c>
      <c r="M1020" s="17" t="s">
        <v>3109</v>
      </c>
      <c r="N1020" s="12" t="s">
        <v>259</v>
      </c>
      <c r="O1020" s="12" t="s">
        <v>260</v>
      </c>
      <c r="P1020" s="88" t="s">
        <v>261</v>
      </c>
      <c r="Q1020" s="13">
        <v>45177</v>
      </c>
      <c r="R1020" s="16">
        <v>0.84499999999999997</v>
      </c>
      <c r="S1020" s="12" t="s">
        <v>49</v>
      </c>
      <c r="V1020" s="13"/>
      <c r="W1020" s="16"/>
      <c r="AU1020" s="12" t="s">
        <v>1208</v>
      </c>
    </row>
    <row r="1021" spans="1:47" s="12" customFormat="1" ht="14.4" hidden="1" x14ac:dyDescent="0.3">
      <c r="A1021" s="12" t="s">
        <v>39</v>
      </c>
      <c r="B1021" s="12" t="s">
        <v>2787</v>
      </c>
      <c r="C1021" s="12">
        <v>70</v>
      </c>
      <c r="D1021" s="12">
        <v>235</v>
      </c>
      <c r="F1021" s="12" t="s">
        <v>3110</v>
      </c>
      <c r="G1021" s="12" t="str">
        <f t="shared" si="27"/>
        <v>7023533083047</v>
      </c>
      <c r="H1021" s="12" t="s">
        <v>3111</v>
      </c>
      <c r="I1021" s="12">
        <v>33083047</v>
      </c>
      <c r="J1021" s="12" t="s">
        <v>3112</v>
      </c>
      <c r="K1021" s="12" t="s">
        <v>230</v>
      </c>
      <c r="L1021" s="12" t="s">
        <v>45</v>
      </c>
      <c r="M1021" s="17" t="s">
        <v>45</v>
      </c>
      <c r="N1021" s="12" t="s">
        <v>259</v>
      </c>
      <c r="O1021" s="12" t="s">
        <v>260</v>
      </c>
      <c r="P1021" s="88" t="s">
        <v>261</v>
      </c>
      <c r="R1021" s="16"/>
      <c r="V1021" s="13"/>
      <c r="W1021" s="16"/>
      <c r="AU1021" s="12" t="s">
        <v>1208</v>
      </c>
    </row>
    <row r="1022" spans="1:47" s="12" customFormat="1" ht="14.4" hidden="1" x14ac:dyDescent="0.3">
      <c r="A1022" s="12" t="s">
        <v>39</v>
      </c>
      <c r="B1022" s="12" t="s">
        <v>2787</v>
      </c>
      <c r="C1022" s="12">
        <v>70</v>
      </c>
      <c r="D1022" s="12">
        <v>235</v>
      </c>
      <c r="F1022" s="12" t="s">
        <v>3113</v>
      </c>
      <c r="G1022" s="12" t="str">
        <f t="shared" si="27"/>
        <v>702351100547233</v>
      </c>
      <c r="H1022" s="12" t="s">
        <v>3114</v>
      </c>
      <c r="I1022" s="12">
        <v>1100547233</v>
      </c>
      <c r="J1022" s="12" t="s">
        <v>3115</v>
      </c>
      <c r="K1022" s="12" t="s">
        <v>230</v>
      </c>
      <c r="L1022" s="12" t="s">
        <v>45</v>
      </c>
      <c r="M1022" s="17" t="s">
        <v>45</v>
      </c>
      <c r="N1022" s="12" t="s">
        <v>259</v>
      </c>
      <c r="O1022" s="12" t="s">
        <v>260</v>
      </c>
      <c r="P1022" s="88" t="s">
        <v>261</v>
      </c>
      <c r="R1022" s="16"/>
      <c r="V1022" s="13"/>
      <c r="W1022" s="16"/>
      <c r="AU1022" s="12" t="s">
        <v>1208</v>
      </c>
    </row>
    <row r="1023" spans="1:47" s="12" customFormat="1" ht="14.4" hidden="1" x14ac:dyDescent="0.3">
      <c r="A1023" s="12" t="s">
        <v>39</v>
      </c>
      <c r="B1023" s="12" t="s">
        <v>2787</v>
      </c>
      <c r="C1023" s="12">
        <v>70</v>
      </c>
      <c r="D1023" s="12">
        <v>235</v>
      </c>
      <c r="F1023" s="12" t="s">
        <v>3116</v>
      </c>
      <c r="G1023" s="12" t="str">
        <f t="shared" si="27"/>
        <v>702351100546130</v>
      </c>
      <c r="H1023" s="12" t="s">
        <v>3117</v>
      </c>
      <c r="I1023" s="12">
        <v>1100546130</v>
      </c>
      <c r="J1023" s="12" t="s">
        <v>3118</v>
      </c>
      <c r="K1023" s="12" t="s">
        <v>230</v>
      </c>
      <c r="L1023" s="12" t="s">
        <v>45</v>
      </c>
      <c r="M1023" s="17" t="s">
        <v>45</v>
      </c>
      <c r="N1023" s="12" t="s">
        <v>259</v>
      </c>
      <c r="O1023" s="12" t="s">
        <v>260</v>
      </c>
      <c r="P1023" s="88" t="s">
        <v>261</v>
      </c>
      <c r="R1023" s="16"/>
      <c r="V1023" s="13"/>
      <c r="W1023" s="16"/>
      <c r="AU1023" s="12" t="s">
        <v>1208</v>
      </c>
    </row>
    <row r="1024" spans="1:47" s="12" customFormat="1" ht="14.4" hidden="1" x14ac:dyDescent="0.3">
      <c r="A1024" s="12" t="s">
        <v>39</v>
      </c>
      <c r="B1024" s="12" t="s">
        <v>2787</v>
      </c>
      <c r="C1024" s="12">
        <v>70</v>
      </c>
      <c r="D1024" s="12">
        <v>235</v>
      </c>
      <c r="F1024" s="12" t="s">
        <v>3119</v>
      </c>
      <c r="G1024" s="12" t="str">
        <f t="shared" si="27"/>
        <v>702351100547996</v>
      </c>
      <c r="H1024" s="12" t="s">
        <v>3120</v>
      </c>
      <c r="I1024" s="12">
        <v>1100547996</v>
      </c>
      <c r="J1024" s="12" t="s">
        <v>3121</v>
      </c>
      <c r="K1024" s="12" t="s">
        <v>230</v>
      </c>
      <c r="L1024" s="12" t="s">
        <v>45</v>
      </c>
      <c r="M1024" s="17" t="s">
        <v>45</v>
      </c>
      <c r="N1024" s="12" t="s">
        <v>259</v>
      </c>
      <c r="O1024" s="12" t="s">
        <v>260</v>
      </c>
      <c r="P1024" s="88" t="s">
        <v>261</v>
      </c>
      <c r="R1024" s="16"/>
      <c r="V1024" s="13"/>
      <c r="W1024" s="16"/>
      <c r="AU1024" s="12" t="s">
        <v>1208</v>
      </c>
    </row>
    <row r="1025" spans="1:47" s="12" customFormat="1" ht="14.4" hidden="1" x14ac:dyDescent="0.3">
      <c r="A1025" s="12" t="s">
        <v>39</v>
      </c>
      <c r="B1025" s="12" t="s">
        <v>2787</v>
      </c>
      <c r="C1025" s="12">
        <v>70</v>
      </c>
      <c r="D1025" s="12">
        <v>235</v>
      </c>
      <c r="F1025" s="12" t="s">
        <v>3122</v>
      </c>
      <c r="G1025" s="12" t="str">
        <f t="shared" si="27"/>
        <v>7023592096575</v>
      </c>
      <c r="H1025" s="12" t="s">
        <v>3123</v>
      </c>
      <c r="I1025" s="12">
        <v>92096575</v>
      </c>
      <c r="J1025" s="12" t="s">
        <v>3124</v>
      </c>
      <c r="K1025" s="12" t="s">
        <v>230</v>
      </c>
      <c r="L1025" s="12" t="s">
        <v>45</v>
      </c>
      <c r="M1025" s="17" t="s">
        <v>45</v>
      </c>
      <c r="N1025" s="12" t="s">
        <v>259</v>
      </c>
      <c r="O1025" s="12" t="s">
        <v>260</v>
      </c>
      <c r="P1025" s="88" t="s">
        <v>261</v>
      </c>
      <c r="R1025" s="16"/>
      <c r="V1025" s="13"/>
      <c r="W1025" s="16"/>
      <c r="AU1025" s="12" t="s">
        <v>1208</v>
      </c>
    </row>
    <row r="1026" spans="1:47" s="12" customFormat="1" ht="14.4" hidden="1" x14ac:dyDescent="0.3">
      <c r="A1026" s="12" t="s">
        <v>39</v>
      </c>
      <c r="B1026" s="12" t="s">
        <v>2787</v>
      </c>
      <c r="C1026" s="12">
        <v>70</v>
      </c>
      <c r="D1026" s="12">
        <v>235</v>
      </c>
      <c r="F1026" s="12" t="s">
        <v>3125</v>
      </c>
      <c r="G1026" s="12" t="str">
        <f t="shared" si="27"/>
        <v>702351103221819</v>
      </c>
      <c r="H1026" s="12" t="s">
        <v>3126</v>
      </c>
      <c r="I1026" s="12">
        <v>1103221819</v>
      </c>
      <c r="J1026" s="12" t="s">
        <v>3127</v>
      </c>
      <c r="K1026" s="12" t="s">
        <v>230</v>
      </c>
      <c r="L1026" s="12" t="s">
        <v>45</v>
      </c>
      <c r="M1026" s="17" t="s">
        <v>45</v>
      </c>
      <c r="N1026" s="12" t="s">
        <v>259</v>
      </c>
      <c r="O1026" s="12" t="s">
        <v>260</v>
      </c>
      <c r="P1026" s="88" t="s">
        <v>261</v>
      </c>
      <c r="R1026" s="16"/>
      <c r="V1026" s="13"/>
      <c r="W1026" s="16"/>
      <c r="AU1026" s="12" t="s">
        <v>1208</v>
      </c>
    </row>
    <row r="1027" spans="1:47" s="12" customFormat="1" ht="14.4" hidden="1" x14ac:dyDescent="0.3">
      <c r="A1027" s="12" t="s">
        <v>39</v>
      </c>
      <c r="B1027" s="12" t="s">
        <v>2787</v>
      </c>
      <c r="C1027" s="12">
        <v>70</v>
      </c>
      <c r="D1027" s="12">
        <v>235</v>
      </c>
      <c r="F1027" s="12" t="s">
        <v>3128</v>
      </c>
      <c r="G1027" s="12" t="str">
        <f t="shared" si="27"/>
        <v>702351103110726</v>
      </c>
      <c r="H1027" s="12" t="s">
        <v>3129</v>
      </c>
      <c r="I1027" s="12">
        <v>1103110726</v>
      </c>
      <c r="J1027" s="12" t="s">
        <v>3130</v>
      </c>
      <c r="K1027" s="12" t="s">
        <v>230</v>
      </c>
      <c r="L1027" s="12">
        <v>3105511612</v>
      </c>
      <c r="M1027" s="17" t="s">
        <v>45</v>
      </c>
      <c r="N1027" s="12" t="s">
        <v>432</v>
      </c>
      <c r="O1027" s="12" t="s">
        <v>432</v>
      </c>
      <c r="P1027" s="88" t="s">
        <v>276</v>
      </c>
      <c r="Q1027" s="13">
        <v>45177</v>
      </c>
      <c r="R1027" s="16">
        <v>0.84499999999999997</v>
      </c>
      <c r="S1027" s="12" t="s">
        <v>49</v>
      </c>
      <c r="V1027" s="13"/>
      <c r="W1027" s="16"/>
      <c r="AU1027" s="12" t="s">
        <v>1208</v>
      </c>
    </row>
    <row r="1028" spans="1:47" s="12" customFormat="1" ht="14.4" hidden="1" x14ac:dyDescent="0.3">
      <c r="A1028" s="12" t="s">
        <v>39</v>
      </c>
      <c r="B1028" s="12" t="s">
        <v>2787</v>
      </c>
      <c r="C1028" s="12">
        <v>70</v>
      </c>
      <c r="D1028" s="12">
        <v>235</v>
      </c>
      <c r="F1028" s="12" t="s">
        <v>3131</v>
      </c>
      <c r="G1028" s="12" t="str">
        <f t="shared" si="27"/>
        <v>702351102816113</v>
      </c>
      <c r="H1028" s="12" t="s">
        <v>3132</v>
      </c>
      <c r="I1028" s="12">
        <v>1102816113</v>
      </c>
      <c r="J1028" s="12" t="s">
        <v>3133</v>
      </c>
      <c r="K1028" s="12" t="s">
        <v>230</v>
      </c>
      <c r="L1028" s="12">
        <v>3206194260</v>
      </c>
      <c r="M1028" s="17" t="s">
        <v>45</v>
      </c>
      <c r="N1028" s="12" t="s">
        <v>432</v>
      </c>
      <c r="O1028" s="12" t="s">
        <v>432</v>
      </c>
      <c r="P1028" s="88" t="s">
        <v>276</v>
      </c>
      <c r="Q1028" s="13">
        <v>45008</v>
      </c>
      <c r="R1028" s="16">
        <v>0.9</v>
      </c>
      <c r="S1028" s="12" t="s">
        <v>210</v>
      </c>
      <c r="V1028" s="13"/>
      <c r="W1028" s="16"/>
      <c r="AU1028" s="12" t="s">
        <v>1208</v>
      </c>
    </row>
    <row r="1029" spans="1:47" s="12" customFormat="1" ht="14.4" hidden="1" x14ac:dyDescent="0.3">
      <c r="A1029" s="12" t="s">
        <v>39</v>
      </c>
      <c r="B1029" s="12" t="s">
        <v>2787</v>
      </c>
      <c r="C1029" s="12">
        <v>70</v>
      </c>
      <c r="D1029" s="12">
        <v>235</v>
      </c>
      <c r="F1029" s="12" t="s">
        <v>3134</v>
      </c>
      <c r="G1029" s="12" t="str">
        <f t="shared" si="27"/>
        <v>702351100394120</v>
      </c>
      <c r="H1029" s="12" t="s">
        <v>3135</v>
      </c>
      <c r="I1029" s="12">
        <v>1100394120</v>
      </c>
      <c r="J1029" s="12" t="s">
        <v>3136</v>
      </c>
      <c r="K1029" s="12" t="s">
        <v>230</v>
      </c>
      <c r="L1029" s="12">
        <v>3044880952</v>
      </c>
      <c r="M1029" s="17" t="s">
        <v>45</v>
      </c>
      <c r="N1029" s="12" t="s">
        <v>432</v>
      </c>
      <c r="O1029" s="12" t="s">
        <v>432</v>
      </c>
      <c r="P1029" s="88" t="s">
        <v>276</v>
      </c>
      <c r="Q1029" s="13">
        <v>44902</v>
      </c>
      <c r="R1029" s="16">
        <v>0.85</v>
      </c>
      <c r="S1029" s="12" t="s">
        <v>49</v>
      </c>
      <c r="V1029" s="13"/>
      <c r="W1029" s="16"/>
      <c r="AU1029" s="12" t="s">
        <v>1208</v>
      </c>
    </row>
    <row r="1030" spans="1:47" s="12" customFormat="1" ht="14.4" hidden="1" x14ac:dyDescent="0.3">
      <c r="A1030" s="12" t="s">
        <v>39</v>
      </c>
      <c r="B1030" s="12" t="s">
        <v>2787</v>
      </c>
      <c r="C1030" s="12">
        <v>70</v>
      </c>
      <c r="D1030" s="12">
        <v>235</v>
      </c>
      <c r="F1030" s="12" t="s">
        <v>3137</v>
      </c>
      <c r="G1030" s="12" t="str">
        <f t="shared" si="27"/>
        <v>7023533084157</v>
      </c>
      <c r="H1030" s="12" t="s">
        <v>3138</v>
      </c>
      <c r="I1030" s="12">
        <v>33084157</v>
      </c>
      <c r="J1030" s="12" t="s">
        <v>3039</v>
      </c>
      <c r="K1030" s="12" t="s">
        <v>230</v>
      </c>
      <c r="L1030" s="12" t="s">
        <v>45</v>
      </c>
      <c r="M1030" s="17" t="s">
        <v>45</v>
      </c>
      <c r="N1030" s="12" t="s">
        <v>432</v>
      </c>
      <c r="O1030" s="12" t="s">
        <v>432</v>
      </c>
      <c r="P1030" s="88" t="s">
        <v>276</v>
      </c>
      <c r="Q1030" s="13">
        <v>44638</v>
      </c>
      <c r="R1030" s="16">
        <v>0.88500000000000001</v>
      </c>
      <c r="S1030" s="12" t="s">
        <v>49</v>
      </c>
      <c r="V1030" s="13"/>
      <c r="W1030" s="16"/>
      <c r="AU1030" s="12" t="s">
        <v>1208</v>
      </c>
    </row>
    <row r="1031" spans="1:47" s="12" customFormat="1" ht="14.4" hidden="1" x14ac:dyDescent="0.3">
      <c r="A1031" s="12" t="s">
        <v>39</v>
      </c>
      <c r="B1031" s="12" t="s">
        <v>2787</v>
      </c>
      <c r="C1031" s="12">
        <v>70</v>
      </c>
      <c r="D1031" s="12">
        <v>235</v>
      </c>
      <c r="F1031" s="12" t="s">
        <v>3139</v>
      </c>
      <c r="G1031" s="12" t="str">
        <f t="shared" si="27"/>
        <v>7023543889438</v>
      </c>
      <c r="H1031" s="12" t="s">
        <v>3140</v>
      </c>
      <c r="I1031" s="12">
        <v>43889438</v>
      </c>
      <c r="J1031" s="12" t="s">
        <v>3141</v>
      </c>
      <c r="K1031" s="12" t="s">
        <v>230</v>
      </c>
      <c r="L1031" s="12" t="s">
        <v>45</v>
      </c>
      <c r="M1031" s="17" t="s">
        <v>45</v>
      </c>
      <c r="N1031" s="12" t="s">
        <v>432</v>
      </c>
      <c r="O1031" s="12" t="s">
        <v>432</v>
      </c>
      <c r="P1031" s="88" t="s">
        <v>276</v>
      </c>
      <c r="Q1031" s="12" t="s">
        <v>2754</v>
      </c>
      <c r="R1031" s="16">
        <v>0.69750000000000001</v>
      </c>
      <c r="S1031" s="12" t="s">
        <v>49</v>
      </c>
      <c r="V1031" s="13"/>
      <c r="W1031" s="16"/>
      <c r="AU1031" s="12" t="s">
        <v>1208</v>
      </c>
    </row>
    <row r="1032" spans="1:47" s="12" customFormat="1" ht="14.4" hidden="1" x14ac:dyDescent="0.3">
      <c r="A1032" s="12" t="s">
        <v>39</v>
      </c>
      <c r="B1032" s="12" t="s">
        <v>2787</v>
      </c>
      <c r="C1032" s="12">
        <v>70</v>
      </c>
      <c r="D1032" s="12">
        <v>235</v>
      </c>
      <c r="F1032" s="275" t="s">
        <v>3142</v>
      </c>
      <c r="G1032" s="12" t="str">
        <f t="shared" si="27"/>
        <v>702351001890726</v>
      </c>
      <c r="H1032" s="12" t="s">
        <v>9163</v>
      </c>
      <c r="I1032" s="12">
        <v>1001890726</v>
      </c>
      <c r="J1032" s="12" t="s">
        <v>9164</v>
      </c>
      <c r="K1032" s="12" t="s">
        <v>230</v>
      </c>
      <c r="L1032" s="12">
        <v>3002322819</v>
      </c>
      <c r="M1032" s="17" t="s">
        <v>9165</v>
      </c>
      <c r="N1032" s="12" t="s">
        <v>432</v>
      </c>
      <c r="O1032" s="12" t="s">
        <v>432</v>
      </c>
      <c r="P1032" s="88" t="s">
        <v>276</v>
      </c>
      <c r="Q1032" s="13">
        <v>46218</v>
      </c>
      <c r="R1032" s="12">
        <v>76</v>
      </c>
      <c r="S1032" s="12" t="s">
        <v>49</v>
      </c>
      <c r="T1032" s="12" t="s">
        <v>8776</v>
      </c>
      <c r="U1032" s="12" t="s">
        <v>2456</v>
      </c>
      <c r="V1032" s="13"/>
      <c r="W1032" s="16"/>
      <c r="AU1032" s="12" t="s">
        <v>1208</v>
      </c>
    </row>
    <row r="1033" spans="1:47" s="12" customFormat="1" ht="14.4" hidden="1" x14ac:dyDescent="0.3">
      <c r="A1033" s="12" t="s">
        <v>39</v>
      </c>
      <c r="B1033" s="12" t="s">
        <v>2787</v>
      </c>
      <c r="C1033" s="12">
        <v>70</v>
      </c>
      <c r="D1033" s="12">
        <v>235</v>
      </c>
      <c r="F1033" s="12" t="s">
        <v>3143</v>
      </c>
      <c r="G1033" s="12" t="str">
        <f t="shared" si="27"/>
        <v>7023592096905</v>
      </c>
      <c r="H1033" s="12" t="s">
        <v>3144</v>
      </c>
      <c r="I1033" s="12">
        <v>92096905</v>
      </c>
      <c r="J1033" s="12" t="s">
        <v>3145</v>
      </c>
      <c r="K1033" s="12" t="s">
        <v>230</v>
      </c>
      <c r="L1033" s="12">
        <v>3005240096</v>
      </c>
      <c r="M1033" s="17" t="s">
        <v>3146</v>
      </c>
      <c r="N1033" s="12" t="s">
        <v>432</v>
      </c>
      <c r="O1033" s="12" t="s">
        <v>432</v>
      </c>
      <c r="P1033" s="88" t="s">
        <v>276</v>
      </c>
      <c r="Q1033" s="13"/>
      <c r="R1033" s="16"/>
      <c r="V1033" s="13"/>
      <c r="W1033" s="16"/>
      <c r="AU1033" s="12" t="s">
        <v>1208</v>
      </c>
    </row>
    <row r="1034" spans="1:47" s="12" customFormat="1" ht="14.4" hidden="1" x14ac:dyDescent="0.3">
      <c r="A1034" s="12" t="s">
        <v>39</v>
      </c>
      <c r="B1034" s="12" t="s">
        <v>2787</v>
      </c>
      <c r="C1034" s="12">
        <v>70</v>
      </c>
      <c r="D1034" s="12">
        <v>235</v>
      </c>
      <c r="F1034" s="12" t="s">
        <v>3147</v>
      </c>
      <c r="G1034" s="12" t="str">
        <f t="shared" si="27"/>
        <v>7023533084163</v>
      </c>
      <c r="H1034" s="12" t="s">
        <v>3148</v>
      </c>
      <c r="I1034" s="12">
        <v>33084163</v>
      </c>
      <c r="J1034" s="12" t="s">
        <v>3149</v>
      </c>
      <c r="K1034" s="12" t="s">
        <v>230</v>
      </c>
      <c r="L1034" s="12">
        <v>3046813105</v>
      </c>
      <c r="M1034" s="17" t="s">
        <v>45</v>
      </c>
      <c r="N1034" s="12" t="s">
        <v>432</v>
      </c>
      <c r="O1034" s="12" t="s">
        <v>432</v>
      </c>
      <c r="P1034" s="88" t="s">
        <v>276</v>
      </c>
      <c r="Q1034" s="13">
        <v>45252</v>
      </c>
      <c r="R1034" s="16">
        <v>0.755</v>
      </c>
      <c r="S1034" s="12" t="s">
        <v>49</v>
      </c>
      <c r="V1034" s="13"/>
      <c r="W1034" s="16"/>
      <c r="AU1034" s="12" t="s">
        <v>1208</v>
      </c>
    </row>
    <row r="1035" spans="1:47" s="12" customFormat="1" ht="14.4" hidden="1" x14ac:dyDescent="0.3">
      <c r="A1035" s="12" t="s">
        <v>39</v>
      </c>
      <c r="B1035" s="12" t="s">
        <v>2787</v>
      </c>
      <c r="C1035" s="12">
        <v>70</v>
      </c>
      <c r="D1035" s="12">
        <v>235</v>
      </c>
      <c r="F1035" s="12" t="s">
        <v>3150</v>
      </c>
      <c r="G1035" s="12" t="str">
        <f t="shared" si="27"/>
        <v>70235920953315</v>
      </c>
      <c r="H1035" s="12" t="s">
        <v>3151</v>
      </c>
      <c r="I1035" s="12">
        <v>920953315</v>
      </c>
      <c r="J1035" s="12" t="s">
        <v>3152</v>
      </c>
      <c r="K1035" s="12" t="s">
        <v>230</v>
      </c>
      <c r="L1035" s="12" t="s">
        <v>45</v>
      </c>
      <c r="M1035" s="17" t="s">
        <v>45</v>
      </c>
      <c r="N1035" s="12" t="s">
        <v>432</v>
      </c>
      <c r="O1035" s="12" t="s">
        <v>432</v>
      </c>
      <c r="P1035" s="88" t="s">
        <v>276</v>
      </c>
      <c r="Q1035" s="13">
        <v>44271</v>
      </c>
      <c r="R1035" s="16">
        <v>0.84</v>
      </c>
      <c r="S1035" s="12" t="s">
        <v>49</v>
      </c>
      <c r="V1035" s="13"/>
      <c r="W1035" s="16"/>
      <c r="AU1035" s="12" t="s">
        <v>1208</v>
      </c>
    </row>
    <row r="1036" spans="1:47" s="12" customFormat="1" ht="14.4" hidden="1" x14ac:dyDescent="0.3">
      <c r="A1036" s="12" t="s">
        <v>39</v>
      </c>
      <c r="B1036" s="12" t="s">
        <v>2787</v>
      </c>
      <c r="C1036" s="12">
        <v>70</v>
      </c>
      <c r="D1036" s="12">
        <v>235</v>
      </c>
      <c r="F1036" s="12" t="s">
        <v>3153</v>
      </c>
      <c r="G1036" s="12" t="str">
        <f t="shared" ref="G1036:G1052" si="28">C1036&amp;D1036&amp;I1036</f>
        <v>7023564749879</v>
      </c>
      <c r="H1036" s="12" t="s">
        <v>3154</v>
      </c>
      <c r="I1036" s="12">
        <v>64749879</v>
      </c>
      <c r="J1036" s="12" t="s">
        <v>3155</v>
      </c>
      <c r="K1036" s="12" t="s">
        <v>230</v>
      </c>
      <c r="L1036" s="12" t="s">
        <v>45</v>
      </c>
      <c r="M1036" s="17" t="s">
        <v>45</v>
      </c>
      <c r="N1036" s="12" t="s">
        <v>432</v>
      </c>
      <c r="O1036" s="12" t="s">
        <v>432</v>
      </c>
      <c r="P1036" s="88" t="s">
        <v>276</v>
      </c>
      <c r="Q1036" s="13" t="s">
        <v>2801</v>
      </c>
      <c r="R1036" s="16">
        <v>0.95499999999999996</v>
      </c>
      <c r="S1036" s="12" t="s">
        <v>210</v>
      </c>
      <c r="V1036" s="13"/>
      <c r="W1036" s="16"/>
      <c r="AU1036" s="12" t="s">
        <v>1208</v>
      </c>
    </row>
    <row r="1037" spans="1:47" s="12" customFormat="1" ht="14.4" hidden="1" x14ac:dyDescent="0.3">
      <c r="A1037" s="12" t="s">
        <v>39</v>
      </c>
      <c r="B1037" s="12" t="s">
        <v>2787</v>
      </c>
      <c r="C1037" s="12">
        <v>70</v>
      </c>
      <c r="D1037" s="12">
        <v>235</v>
      </c>
      <c r="F1037" s="12" t="s">
        <v>3156</v>
      </c>
      <c r="G1037" s="12" t="str">
        <f t="shared" si="28"/>
        <v>70235533083795</v>
      </c>
      <c r="H1037" s="12" t="s">
        <v>3157</v>
      </c>
      <c r="I1037" s="12">
        <v>533083795</v>
      </c>
      <c r="J1037" s="12" t="s">
        <v>3158</v>
      </c>
      <c r="K1037" s="12" t="s">
        <v>230</v>
      </c>
      <c r="L1037" s="12" t="s">
        <v>45</v>
      </c>
      <c r="M1037" s="17" t="s">
        <v>45</v>
      </c>
      <c r="N1037" s="12" t="s">
        <v>432</v>
      </c>
      <c r="O1037" s="12" t="s">
        <v>432</v>
      </c>
      <c r="P1037" s="88" t="s">
        <v>276</v>
      </c>
      <c r="Q1037" s="13"/>
      <c r="R1037" s="16"/>
      <c r="V1037" s="13"/>
      <c r="W1037" s="16"/>
      <c r="AU1037" s="12" t="s">
        <v>1208</v>
      </c>
    </row>
    <row r="1038" spans="1:47" s="12" customFormat="1" ht="14.4" hidden="1" x14ac:dyDescent="0.3">
      <c r="A1038" s="12" t="s">
        <v>39</v>
      </c>
      <c r="B1038" s="12" t="s">
        <v>2787</v>
      </c>
      <c r="C1038" s="12">
        <v>70</v>
      </c>
      <c r="D1038" s="12">
        <v>235</v>
      </c>
      <c r="F1038" s="12" t="s">
        <v>3159</v>
      </c>
      <c r="G1038" s="12" t="str">
        <f t="shared" si="28"/>
        <v>7023533082049</v>
      </c>
      <c r="H1038" s="12" t="s">
        <v>3160</v>
      </c>
      <c r="I1038" s="12">
        <v>33082049</v>
      </c>
      <c r="J1038" s="12" t="s">
        <v>3161</v>
      </c>
      <c r="K1038" s="12" t="s">
        <v>230</v>
      </c>
      <c r="L1038" s="12" t="s">
        <v>45</v>
      </c>
      <c r="M1038" s="17" t="s">
        <v>45</v>
      </c>
      <c r="N1038" s="12" t="s">
        <v>432</v>
      </c>
      <c r="O1038" s="12" t="s">
        <v>432</v>
      </c>
      <c r="P1038" s="88" t="s">
        <v>276</v>
      </c>
      <c r="Q1038" s="13">
        <v>45099</v>
      </c>
      <c r="R1038" s="16">
        <v>0.83499999999999996</v>
      </c>
      <c r="S1038" s="12" t="s">
        <v>49</v>
      </c>
      <c r="V1038" s="13"/>
      <c r="W1038" s="16"/>
      <c r="AU1038" s="12" t="s">
        <v>1208</v>
      </c>
    </row>
    <row r="1039" spans="1:47" s="12" customFormat="1" ht="14.4" hidden="1" x14ac:dyDescent="0.3">
      <c r="A1039" s="12" t="s">
        <v>39</v>
      </c>
      <c r="B1039" s="12" t="s">
        <v>2787</v>
      </c>
      <c r="C1039" s="12">
        <v>70</v>
      </c>
      <c r="D1039" s="12">
        <v>235</v>
      </c>
      <c r="F1039" s="12" t="s">
        <v>3162</v>
      </c>
      <c r="G1039" s="12" t="str">
        <f t="shared" si="28"/>
        <v>7023534945993</v>
      </c>
      <c r="H1039" s="12" t="s">
        <v>3163</v>
      </c>
      <c r="I1039" s="12">
        <v>34945993</v>
      </c>
      <c r="J1039" s="12" t="s">
        <v>3164</v>
      </c>
      <c r="K1039" s="12" t="s">
        <v>230</v>
      </c>
      <c r="L1039" s="12" t="s">
        <v>45</v>
      </c>
      <c r="M1039" s="17" t="s">
        <v>45</v>
      </c>
      <c r="N1039" s="12" t="s">
        <v>432</v>
      </c>
      <c r="O1039" s="12" t="s">
        <v>432</v>
      </c>
      <c r="P1039" s="88" t="s">
        <v>276</v>
      </c>
      <c r="Q1039" s="13"/>
      <c r="R1039" s="16"/>
      <c r="V1039" s="13"/>
      <c r="W1039" s="16"/>
      <c r="AU1039" s="12" t="s">
        <v>1208</v>
      </c>
    </row>
    <row r="1040" spans="1:47" s="12" customFormat="1" ht="14.4" hidden="1" x14ac:dyDescent="0.3">
      <c r="A1040" s="12" t="s">
        <v>39</v>
      </c>
      <c r="B1040" s="12" t="s">
        <v>2787</v>
      </c>
      <c r="C1040" s="12">
        <v>70</v>
      </c>
      <c r="D1040" s="12">
        <v>235</v>
      </c>
      <c r="F1040" s="12" t="s">
        <v>3165</v>
      </c>
      <c r="G1040" s="12" t="str">
        <f t="shared" si="28"/>
        <v>702351100542225</v>
      </c>
      <c r="H1040" s="12" t="s">
        <v>3166</v>
      </c>
      <c r="I1040" s="12">
        <v>1100542225</v>
      </c>
      <c r="J1040" s="12" t="s">
        <v>3167</v>
      </c>
      <c r="K1040" s="12" t="s">
        <v>230</v>
      </c>
      <c r="L1040" s="12" t="s">
        <v>45</v>
      </c>
      <c r="M1040" s="17" t="s">
        <v>45</v>
      </c>
      <c r="N1040" s="12" t="s">
        <v>432</v>
      </c>
      <c r="O1040" s="12" t="s">
        <v>432</v>
      </c>
      <c r="P1040" s="88" t="s">
        <v>276</v>
      </c>
      <c r="Q1040" s="13">
        <v>44869</v>
      </c>
      <c r="R1040" s="16">
        <v>0.77</v>
      </c>
      <c r="S1040" s="12" t="s">
        <v>49</v>
      </c>
      <c r="V1040" s="13"/>
      <c r="W1040" s="16"/>
      <c r="AU1040" s="12" t="s">
        <v>1208</v>
      </c>
    </row>
    <row r="1041" spans="1:48" s="12" customFormat="1" ht="14.4" hidden="1" x14ac:dyDescent="0.3">
      <c r="A1041" s="12" t="s">
        <v>39</v>
      </c>
      <c r="B1041" s="12" t="s">
        <v>2787</v>
      </c>
      <c r="C1041" s="12">
        <v>70</v>
      </c>
      <c r="D1041" s="12">
        <v>235</v>
      </c>
      <c r="F1041" s="12" t="s">
        <v>3168</v>
      </c>
      <c r="G1041" s="12" t="str">
        <f t="shared" si="28"/>
        <v>702351100543478</v>
      </c>
      <c r="H1041" s="12" t="s">
        <v>2835</v>
      </c>
      <c r="I1041" s="12">
        <v>1100543478</v>
      </c>
      <c r="J1041" s="12" t="s">
        <v>3141</v>
      </c>
      <c r="K1041" s="12" t="s">
        <v>230</v>
      </c>
      <c r="L1041" s="12" t="s">
        <v>45</v>
      </c>
      <c r="M1041" s="17" t="s">
        <v>45</v>
      </c>
      <c r="N1041" s="12" t="s">
        <v>432</v>
      </c>
      <c r="O1041" s="12" t="s">
        <v>432</v>
      </c>
      <c r="P1041" s="88" t="s">
        <v>276</v>
      </c>
      <c r="Q1041" s="13">
        <v>44652</v>
      </c>
      <c r="R1041" s="16">
        <v>0.85</v>
      </c>
      <c r="S1041" s="12" t="s">
        <v>49</v>
      </c>
      <c r="V1041" s="13"/>
      <c r="W1041" s="16"/>
      <c r="AU1041" s="12" t="s">
        <v>1208</v>
      </c>
    </row>
    <row r="1042" spans="1:48" s="12" customFormat="1" ht="14.4" hidden="1" x14ac:dyDescent="0.3">
      <c r="A1042" s="12" t="s">
        <v>39</v>
      </c>
      <c r="B1042" s="12" t="s">
        <v>2787</v>
      </c>
      <c r="C1042" s="12">
        <v>70</v>
      </c>
      <c r="D1042" s="12">
        <v>235</v>
      </c>
      <c r="F1042" s="12" t="s">
        <v>3169</v>
      </c>
      <c r="G1042" s="12" t="str">
        <f t="shared" si="28"/>
        <v>702351124066665</v>
      </c>
      <c r="H1042" s="12" t="s">
        <v>3170</v>
      </c>
      <c r="I1042" s="12">
        <v>1124066665</v>
      </c>
      <c r="J1042" s="12" t="s">
        <v>45</v>
      </c>
      <c r="K1042" s="12" t="s">
        <v>230</v>
      </c>
      <c r="L1042" s="12" t="s">
        <v>45</v>
      </c>
      <c r="M1042" s="17" t="s">
        <v>45</v>
      </c>
      <c r="N1042" s="12" t="s">
        <v>432</v>
      </c>
      <c r="O1042" s="12" t="s">
        <v>432</v>
      </c>
      <c r="P1042" s="88" t="s">
        <v>276</v>
      </c>
      <c r="Q1042" s="13">
        <v>44859</v>
      </c>
      <c r="R1042" s="16">
        <v>0.77</v>
      </c>
      <c r="S1042" s="12" t="s">
        <v>49</v>
      </c>
      <c r="V1042" s="13"/>
      <c r="W1042" s="16"/>
      <c r="AU1042" s="12" t="s">
        <v>1208</v>
      </c>
    </row>
    <row r="1043" spans="1:48" s="12" customFormat="1" ht="14.4" hidden="1" x14ac:dyDescent="0.3">
      <c r="A1043" s="12" t="s">
        <v>39</v>
      </c>
      <c r="B1043" s="12" t="s">
        <v>2787</v>
      </c>
      <c r="C1043" s="12">
        <v>70</v>
      </c>
      <c r="D1043" s="12">
        <v>235</v>
      </c>
      <c r="F1043" s="12" t="s">
        <v>3171</v>
      </c>
      <c r="G1043" s="12" t="str">
        <f t="shared" si="28"/>
        <v>7023592096096</v>
      </c>
      <c r="H1043" s="12" t="s">
        <v>3172</v>
      </c>
      <c r="I1043" s="12">
        <v>92096096</v>
      </c>
      <c r="J1043" s="12" t="s">
        <v>3173</v>
      </c>
      <c r="K1043" s="12" t="s">
        <v>230</v>
      </c>
      <c r="L1043" s="12" t="s">
        <v>45</v>
      </c>
      <c r="M1043" s="17" t="s">
        <v>45</v>
      </c>
      <c r="N1043" s="12" t="s">
        <v>432</v>
      </c>
      <c r="O1043" s="12" t="s">
        <v>432</v>
      </c>
      <c r="P1043" s="88" t="s">
        <v>276</v>
      </c>
      <c r="Q1043" s="13">
        <v>44859</v>
      </c>
      <c r="R1043" s="16">
        <v>0.77</v>
      </c>
      <c r="S1043" s="12" t="s">
        <v>49</v>
      </c>
      <c r="V1043" s="13"/>
      <c r="W1043" s="16"/>
      <c r="AU1043" s="12" t="s">
        <v>1208</v>
      </c>
    </row>
    <row r="1044" spans="1:48" s="12" customFormat="1" ht="14.4" hidden="1" x14ac:dyDescent="0.3">
      <c r="A1044" s="12" t="s">
        <v>39</v>
      </c>
      <c r="B1044" s="12" t="s">
        <v>2787</v>
      </c>
      <c r="C1044" s="12">
        <v>70</v>
      </c>
      <c r="D1044" s="12">
        <v>235</v>
      </c>
      <c r="F1044" s="12" t="s">
        <v>3174</v>
      </c>
      <c r="G1044" s="12" t="str">
        <f t="shared" si="28"/>
        <v>7023522927160</v>
      </c>
      <c r="H1044" s="12" t="s">
        <v>3175</v>
      </c>
      <c r="I1044" s="12">
        <v>22927160</v>
      </c>
      <c r="J1044" s="12" t="s">
        <v>3176</v>
      </c>
      <c r="K1044" s="12" t="s">
        <v>230</v>
      </c>
      <c r="L1044" s="12" t="s">
        <v>45</v>
      </c>
      <c r="M1044" s="17" t="s">
        <v>45</v>
      </c>
      <c r="N1044" s="12" t="s">
        <v>432</v>
      </c>
      <c r="O1044" s="12" t="s">
        <v>432</v>
      </c>
      <c r="P1044" s="88" t="s">
        <v>276</v>
      </c>
      <c r="Q1044" s="13">
        <v>44839</v>
      </c>
      <c r="R1044" s="16">
        <v>0.79</v>
      </c>
      <c r="S1044" s="12" t="s">
        <v>49</v>
      </c>
      <c r="V1044" s="13"/>
      <c r="W1044" s="16"/>
      <c r="AU1044" s="12" t="s">
        <v>1208</v>
      </c>
    </row>
    <row r="1045" spans="1:48" s="12" customFormat="1" ht="14.4" hidden="1" x14ac:dyDescent="0.3">
      <c r="A1045" s="12" t="s">
        <v>39</v>
      </c>
      <c r="B1045" s="12" t="s">
        <v>2787</v>
      </c>
      <c r="C1045" s="12">
        <v>70</v>
      </c>
      <c r="D1045" s="12">
        <v>235</v>
      </c>
      <c r="F1045" s="12" t="s">
        <v>3177</v>
      </c>
      <c r="G1045" s="12" t="str">
        <f t="shared" si="28"/>
        <v>702351100543130</v>
      </c>
      <c r="H1045" s="12" t="s">
        <v>3178</v>
      </c>
      <c r="I1045" s="12">
        <v>1100543130</v>
      </c>
      <c r="J1045" s="12" t="s">
        <v>3179</v>
      </c>
      <c r="K1045" s="12" t="s">
        <v>230</v>
      </c>
      <c r="L1045" s="12" t="s">
        <v>45</v>
      </c>
      <c r="M1045" s="17" t="s">
        <v>45</v>
      </c>
      <c r="N1045" s="12" t="s">
        <v>432</v>
      </c>
      <c r="O1045" s="12" t="s">
        <v>432</v>
      </c>
      <c r="P1045" s="88" t="s">
        <v>276</v>
      </c>
      <c r="Q1045" s="13">
        <v>44489</v>
      </c>
      <c r="R1045" s="16">
        <v>0.83499999999999996</v>
      </c>
      <c r="S1045" s="12" t="s">
        <v>49</v>
      </c>
      <c r="V1045" s="13"/>
      <c r="W1045" s="16"/>
      <c r="AU1045" s="12" t="s">
        <v>1208</v>
      </c>
    </row>
    <row r="1046" spans="1:48" s="12" customFormat="1" ht="14.4" hidden="1" x14ac:dyDescent="0.3">
      <c r="A1046" s="12" t="s">
        <v>39</v>
      </c>
      <c r="B1046" s="12" t="s">
        <v>2787</v>
      </c>
      <c r="C1046" s="12">
        <v>70</v>
      </c>
      <c r="D1046" s="12">
        <v>235</v>
      </c>
      <c r="F1046" s="12" t="s">
        <v>3180</v>
      </c>
      <c r="G1046" s="12" t="str">
        <f t="shared" si="28"/>
        <v>7023592098179</v>
      </c>
      <c r="H1046" s="12" t="s">
        <v>3181</v>
      </c>
      <c r="I1046" s="12">
        <v>92098179</v>
      </c>
      <c r="J1046" s="12" t="s">
        <v>3182</v>
      </c>
      <c r="K1046" s="12" t="s">
        <v>230</v>
      </c>
      <c r="L1046" s="12" t="s">
        <v>45</v>
      </c>
      <c r="M1046" s="17" t="s">
        <v>45</v>
      </c>
      <c r="N1046" s="12" t="s">
        <v>432</v>
      </c>
      <c r="O1046" s="12" t="s">
        <v>432</v>
      </c>
      <c r="P1046" s="88" t="s">
        <v>276</v>
      </c>
      <c r="R1046" s="16"/>
      <c r="V1046" s="13"/>
      <c r="W1046" s="16"/>
      <c r="AU1046" s="12" t="s">
        <v>1208</v>
      </c>
    </row>
    <row r="1047" spans="1:48" s="12" customFormat="1" ht="14.4" hidden="1" x14ac:dyDescent="0.3">
      <c r="A1047" s="12" t="s">
        <v>39</v>
      </c>
      <c r="B1047" s="12" t="s">
        <v>2787</v>
      </c>
      <c r="C1047" s="12">
        <v>70</v>
      </c>
      <c r="D1047" s="12">
        <v>235</v>
      </c>
      <c r="F1047" s="12" t="s">
        <v>3183</v>
      </c>
      <c r="G1047" s="12" t="str">
        <f t="shared" si="28"/>
        <v>7023592098560</v>
      </c>
      <c r="H1047" s="12" t="s">
        <v>3184</v>
      </c>
      <c r="I1047" s="12">
        <v>92098560</v>
      </c>
      <c r="J1047" s="12" t="s">
        <v>3185</v>
      </c>
      <c r="K1047" s="12" t="s">
        <v>230</v>
      </c>
      <c r="L1047" s="12" t="s">
        <v>45</v>
      </c>
      <c r="M1047" s="17" t="s">
        <v>45</v>
      </c>
      <c r="N1047" s="12" t="s">
        <v>432</v>
      </c>
      <c r="O1047" s="12" t="s">
        <v>432</v>
      </c>
      <c r="P1047" s="88" t="s">
        <v>276</v>
      </c>
      <c r="R1047" s="16"/>
      <c r="V1047" s="13"/>
      <c r="W1047" s="16"/>
      <c r="AU1047" s="12" t="s">
        <v>1208</v>
      </c>
    </row>
    <row r="1048" spans="1:48" s="12" customFormat="1" ht="14.4" hidden="1" x14ac:dyDescent="0.3">
      <c r="A1048" s="12" t="s">
        <v>39</v>
      </c>
      <c r="B1048" s="12" t="s">
        <v>2787</v>
      </c>
      <c r="C1048" s="12">
        <v>70</v>
      </c>
      <c r="D1048" s="12">
        <v>235</v>
      </c>
      <c r="F1048" s="12" t="s">
        <v>3186</v>
      </c>
      <c r="G1048" s="12" t="str">
        <f t="shared" si="28"/>
        <v>70235</v>
      </c>
      <c r="H1048" s="12" t="s">
        <v>3187</v>
      </c>
      <c r="J1048" s="12" t="s">
        <v>45</v>
      </c>
      <c r="K1048" s="12" t="s">
        <v>230</v>
      </c>
      <c r="L1048" s="12" t="s">
        <v>45</v>
      </c>
      <c r="M1048" s="17" t="s">
        <v>45</v>
      </c>
      <c r="N1048" s="12" t="s">
        <v>7648</v>
      </c>
      <c r="O1048" s="12" t="s">
        <v>7653</v>
      </c>
      <c r="P1048" s="88" t="s">
        <v>48</v>
      </c>
      <c r="Q1048" s="13"/>
      <c r="R1048" s="59"/>
      <c r="V1048" s="13"/>
      <c r="W1048" s="16"/>
      <c r="AU1048" s="12" t="s">
        <v>1208</v>
      </c>
      <c r="AV1048" s="12" t="s">
        <v>51</v>
      </c>
    </row>
    <row r="1049" spans="1:48" s="12" customFormat="1" ht="14.4" hidden="1" x14ac:dyDescent="0.3">
      <c r="A1049" s="12" t="s">
        <v>39</v>
      </c>
      <c r="B1049" s="12" t="s">
        <v>2787</v>
      </c>
      <c r="C1049" s="12">
        <v>70</v>
      </c>
      <c r="D1049" s="12">
        <v>235</v>
      </c>
      <c r="F1049" s="12" t="s">
        <v>3188</v>
      </c>
      <c r="G1049" s="12" t="str">
        <f t="shared" si="28"/>
        <v>702351103098860</v>
      </c>
      <c r="H1049" s="12" t="s">
        <v>3189</v>
      </c>
      <c r="I1049" s="12">
        <v>1103098860</v>
      </c>
      <c r="J1049" s="12" t="s">
        <v>3190</v>
      </c>
      <c r="K1049" s="12" t="s">
        <v>230</v>
      </c>
      <c r="L1049" s="12" t="s">
        <v>45</v>
      </c>
      <c r="M1049" s="17" t="s">
        <v>45</v>
      </c>
      <c r="N1049" s="12" t="s">
        <v>7648</v>
      </c>
      <c r="O1049" s="12" t="s">
        <v>7653</v>
      </c>
      <c r="P1049" s="88" t="s">
        <v>48</v>
      </c>
      <c r="Q1049" s="13"/>
      <c r="R1049" s="59"/>
      <c r="V1049" s="13"/>
      <c r="W1049" s="16"/>
      <c r="AU1049" s="12" t="s">
        <v>1208</v>
      </c>
      <c r="AV1049" s="12" t="s">
        <v>51</v>
      </c>
    </row>
    <row r="1050" spans="1:48" s="12" customFormat="1" ht="14.4" hidden="1" x14ac:dyDescent="0.3">
      <c r="A1050" s="12" t="s">
        <v>39</v>
      </c>
      <c r="B1050" s="12" t="s">
        <v>2787</v>
      </c>
      <c r="C1050" s="12">
        <v>70</v>
      </c>
      <c r="D1050" s="12">
        <v>235</v>
      </c>
      <c r="F1050" s="12" t="s">
        <v>3191</v>
      </c>
      <c r="G1050" s="12" t="str">
        <f t="shared" si="28"/>
        <v>702351100552146</v>
      </c>
      <c r="H1050" s="12" t="s">
        <v>3192</v>
      </c>
      <c r="I1050" s="12">
        <v>1100552146</v>
      </c>
      <c r="J1050" s="12" t="s">
        <v>3193</v>
      </c>
      <c r="K1050" s="12" t="s">
        <v>230</v>
      </c>
      <c r="L1050" s="12" t="s">
        <v>45</v>
      </c>
      <c r="M1050" s="17" t="s">
        <v>45</v>
      </c>
      <c r="N1050" s="12" t="s">
        <v>7648</v>
      </c>
      <c r="O1050" s="12" t="s">
        <v>7653</v>
      </c>
      <c r="P1050" s="88" t="s">
        <v>48</v>
      </c>
      <c r="Q1050" s="13"/>
      <c r="R1050" s="59"/>
      <c r="V1050" s="13"/>
      <c r="W1050" s="16"/>
      <c r="AU1050" s="12" t="s">
        <v>1208</v>
      </c>
      <c r="AV1050" s="12" t="s">
        <v>51</v>
      </c>
    </row>
    <row r="1051" spans="1:48" s="12" customFormat="1" ht="14.4" hidden="1" x14ac:dyDescent="0.3">
      <c r="A1051" s="12" t="s">
        <v>39</v>
      </c>
      <c r="B1051" s="12" t="s">
        <v>2787</v>
      </c>
      <c r="C1051" s="12">
        <v>70</v>
      </c>
      <c r="D1051" s="12">
        <v>235</v>
      </c>
      <c r="F1051" s="12" t="s">
        <v>3194</v>
      </c>
      <c r="G1051" s="12" t="str">
        <f t="shared" si="28"/>
        <v>702351100542014</v>
      </c>
      <c r="H1051" s="12" t="s">
        <v>3195</v>
      </c>
      <c r="I1051" s="12">
        <v>1100542014</v>
      </c>
      <c r="J1051" s="12" t="s">
        <v>3196</v>
      </c>
      <c r="K1051" s="12" t="s">
        <v>230</v>
      </c>
      <c r="L1051" s="12" t="s">
        <v>45</v>
      </c>
      <c r="M1051" s="17" t="s">
        <v>45</v>
      </c>
      <c r="N1051" s="12" t="s">
        <v>7648</v>
      </c>
      <c r="O1051" s="12" t="s">
        <v>7653</v>
      </c>
      <c r="P1051" s="88" t="s">
        <v>48</v>
      </c>
      <c r="Q1051" s="13"/>
      <c r="R1051" s="59"/>
      <c r="V1051" s="13"/>
      <c r="W1051" s="16"/>
      <c r="AU1051" s="12" t="s">
        <v>1208</v>
      </c>
      <c r="AV1051" s="12" t="s">
        <v>52</v>
      </c>
    </row>
    <row r="1052" spans="1:48" s="12" customFormat="1" ht="14.4" hidden="1" x14ac:dyDescent="0.3">
      <c r="A1052" s="12" t="s">
        <v>39</v>
      </c>
      <c r="B1052" s="12" t="s">
        <v>2787</v>
      </c>
      <c r="C1052" s="12">
        <v>70</v>
      </c>
      <c r="D1052" s="12">
        <v>235</v>
      </c>
      <c r="F1052" s="12" t="s">
        <v>3197</v>
      </c>
      <c r="G1052" s="12" t="str">
        <f t="shared" si="28"/>
        <v>702351100550439</v>
      </c>
      <c r="H1052" s="12" t="s">
        <v>3198</v>
      </c>
      <c r="I1052" s="12">
        <v>1100550439</v>
      </c>
      <c r="J1052" s="12" t="s">
        <v>3199</v>
      </c>
      <c r="K1052" s="12" t="s">
        <v>230</v>
      </c>
      <c r="L1052" s="12" t="s">
        <v>45</v>
      </c>
      <c r="M1052" s="17" t="s">
        <v>45</v>
      </c>
      <c r="N1052" s="12" t="s">
        <v>7648</v>
      </c>
      <c r="O1052" s="12" t="s">
        <v>7653</v>
      </c>
      <c r="P1052" s="88" t="s">
        <v>48</v>
      </c>
      <c r="Q1052" s="13"/>
      <c r="R1052" s="59"/>
      <c r="V1052" s="13"/>
      <c r="W1052" s="16"/>
      <c r="AU1052" s="12" t="s">
        <v>1208</v>
      </c>
      <c r="AV1052" s="12" t="s">
        <v>51</v>
      </c>
    </row>
    <row r="1053" spans="1:48" s="88" customFormat="1" ht="14.4" hidden="1" x14ac:dyDescent="0.3">
      <c r="A1053" s="88" t="s">
        <v>505</v>
      </c>
      <c r="B1053" s="88" t="s">
        <v>2787</v>
      </c>
      <c r="C1053" s="88">
        <v>70</v>
      </c>
      <c r="D1053" s="88">
        <v>265</v>
      </c>
      <c r="F1053" s="88" t="s">
        <v>3200</v>
      </c>
      <c r="G1053" s="88" t="s">
        <v>3201</v>
      </c>
      <c r="H1053" s="88" t="s">
        <v>3202</v>
      </c>
      <c r="J1053" s="88" t="s">
        <v>45</v>
      </c>
      <c r="K1053" s="88" t="s">
        <v>230</v>
      </c>
      <c r="L1053" s="88" t="s">
        <v>45</v>
      </c>
      <c r="M1053" s="88" t="s">
        <v>45</v>
      </c>
      <c r="N1053" s="12" t="s">
        <v>7648</v>
      </c>
      <c r="O1053" s="12" t="s">
        <v>7653</v>
      </c>
      <c r="P1053" s="88" t="s">
        <v>48</v>
      </c>
      <c r="Q1053" s="89">
        <v>44613</v>
      </c>
      <c r="R1053" s="89">
        <v>0.86</v>
      </c>
      <c r="S1053" s="89" t="s">
        <v>49</v>
      </c>
      <c r="U1053" s="88" t="s">
        <v>60</v>
      </c>
      <c r="AU1053" s="88" t="s">
        <v>164</v>
      </c>
    </row>
    <row r="1054" spans="1:48" s="12" customFormat="1" ht="14.4" hidden="1" x14ac:dyDescent="0.3">
      <c r="A1054" s="12" t="s">
        <v>39</v>
      </c>
      <c r="B1054" s="12" t="s">
        <v>2787</v>
      </c>
      <c r="C1054" s="12">
        <v>70</v>
      </c>
      <c r="D1054" s="12">
        <v>265</v>
      </c>
      <c r="F1054" s="12" t="s">
        <v>3203</v>
      </c>
      <c r="G1054" s="12" t="s">
        <v>3201</v>
      </c>
      <c r="H1054" s="12" t="s">
        <v>3204</v>
      </c>
      <c r="J1054" s="12" t="s">
        <v>45</v>
      </c>
      <c r="K1054" s="12" t="s">
        <v>230</v>
      </c>
      <c r="L1054" s="12" t="s">
        <v>45</v>
      </c>
      <c r="M1054" s="12" t="s">
        <v>45</v>
      </c>
      <c r="N1054" s="12" t="s">
        <v>7648</v>
      </c>
      <c r="O1054" s="12" t="s">
        <v>7653</v>
      </c>
      <c r="P1054" s="88" t="s">
        <v>48</v>
      </c>
      <c r="AU1054" s="12" t="s">
        <v>164</v>
      </c>
    </row>
    <row r="1055" spans="1:48" s="12" customFormat="1" ht="14.4" hidden="1" x14ac:dyDescent="0.3">
      <c r="A1055" s="12" t="s">
        <v>505</v>
      </c>
      <c r="B1055" s="12" t="s">
        <v>3225</v>
      </c>
      <c r="C1055" s="12">
        <v>70</v>
      </c>
      <c r="D1055" s="12">
        <v>265</v>
      </c>
      <c r="E1055" s="12" t="s">
        <v>8551</v>
      </c>
      <c r="F1055" s="275" t="s">
        <v>8300</v>
      </c>
      <c r="G1055" s="12" t="str">
        <f t="shared" ref="G1055:G1120" si="29">C1055&amp;D1055&amp;I1055</f>
        <v>70265900044364</v>
      </c>
      <c r="H1055" s="12" t="s">
        <v>1067</v>
      </c>
      <c r="I1055" s="12">
        <v>900044364</v>
      </c>
      <c r="J1055" s="12" t="s">
        <v>3205</v>
      </c>
      <c r="K1055" s="12" t="s">
        <v>133</v>
      </c>
      <c r="L1055" s="12">
        <v>3103155698</v>
      </c>
      <c r="M1055" s="17" t="s">
        <v>8335</v>
      </c>
      <c r="N1055" s="12" t="s">
        <v>127</v>
      </c>
      <c r="O1055" s="12" t="s">
        <v>2822</v>
      </c>
      <c r="P1055" s="88" t="s">
        <v>48</v>
      </c>
      <c r="Q1055" s="13">
        <v>46079</v>
      </c>
      <c r="R1055" s="16">
        <v>0.69</v>
      </c>
      <c r="S1055" s="12" t="s">
        <v>49</v>
      </c>
      <c r="U1055" s="12" t="s">
        <v>50</v>
      </c>
      <c r="V1055" s="13">
        <v>45741</v>
      </c>
      <c r="W1055" s="12" t="s">
        <v>1071</v>
      </c>
      <c r="X1055" s="12" t="s">
        <v>2470</v>
      </c>
      <c r="Z1055" s="12" t="s">
        <v>8317</v>
      </c>
      <c r="AU1055" s="12" t="s">
        <v>53</v>
      </c>
    </row>
    <row r="1056" spans="1:48" s="12" customFormat="1" ht="14.4" hidden="1" x14ac:dyDescent="0.3">
      <c r="A1056" s="12" t="s">
        <v>505</v>
      </c>
      <c r="B1056" s="12" t="s">
        <v>3225</v>
      </c>
      <c r="C1056" s="12">
        <v>70</v>
      </c>
      <c r="D1056" s="12">
        <v>265</v>
      </c>
      <c r="E1056" s="12" t="s">
        <v>8551</v>
      </c>
      <c r="F1056" s="275" t="s">
        <v>8560</v>
      </c>
      <c r="G1056" s="12" t="str">
        <f t="shared" si="29"/>
        <v>70265902024779</v>
      </c>
      <c r="H1056" s="12" t="s">
        <v>1067</v>
      </c>
      <c r="I1056" s="12">
        <v>902024779</v>
      </c>
      <c r="J1056" s="12" t="s">
        <v>8561</v>
      </c>
      <c r="K1056" s="12" t="s">
        <v>133</v>
      </c>
      <c r="L1056" s="12">
        <v>3126764969</v>
      </c>
      <c r="M1056" s="17" t="s">
        <v>8335</v>
      </c>
      <c r="N1056" s="12" t="s">
        <v>127</v>
      </c>
      <c r="O1056" s="12" t="s">
        <v>2822</v>
      </c>
      <c r="P1056" s="88" t="s">
        <v>48</v>
      </c>
      <c r="Q1056" s="13">
        <v>46069</v>
      </c>
      <c r="R1056" s="12" t="s">
        <v>2783</v>
      </c>
      <c r="S1056" s="12" t="s">
        <v>49</v>
      </c>
      <c r="V1056" s="13"/>
      <c r="AU1056" s="12" t="s">
        <v>1208</v>
      </c>
    </row>
    <row r="1057" spans="1:47" s="12" customFormat="1" ht="14.4" hidden="1" x14ac:dyDescent="0.3">
      <c r="A1057" s="12" t="s">
        <v>505</v>
      </c>
      <c r="B1057" s="12" t="s">
        <v>3225</v>
      </c>
      <c r="C1057" s="12">
        <v>70</v>
      </c>
      <c r="D1057" s="12">
        <v>265</v>
      </c>
      <c r="E1057" s="12" t="s">
        <v>8569</v>
      </c>
      <c r="F1057" s="275" t="s">
        <v>8570</v>
      </c>
      <c r="G1057" s="12" t="str">
        <f t="shared" si="29"/>
        <v>70265823004663</v>
      </c>
      <c r="H1057" s="12" t="s">
        <v>8571</v>
      </c>
      <c r="I1057" s="12">
        <v>823004663</v>
      </c>
      <c r="J1057" s="12" t="s">
        <v>8572</v>
      </c>
      <c r="K1057" s="12" t="s">
        <v>4092</v>
      </c>
      <c r="L1057" s="12">
        <v>3232324106</v>
      </c>
      <c r="M1057" s="17" t="s">
        <v>8573</v>
      </c>
      <c r="N1057" s="12" t="s">
        <v>127</v>
      </c>
      <c r="O1057" s="12" t="s">
        <v>2822</v>
      </c>
      <c r="P1057" s="205" t="s">
        <v>53</v>
      </c>
      <c r="Q1057" s="13">
        <v>46092</v>
      </c>
      <c r="R1057" s="12">
        <v>86</v>
      </c>
      <c r="S1057" s="12" t="s">
        <v>49</v>
      </c>
      <c r="U1057" s="12" t="s">
        <v>2456</v>
      </c>
      <c r="V1057" s="13"/>
      <c r="AU1057" s="12" t="s">
        <v>53</v>
      </c>
    </row>
    <row r="1058" spans="1:47" s="12" customFormat="1" ht="14.4" hidden="1" x14ac:dyDescent="0.3">
      <c r="A1058" s="12" t="s">
        <v>39</v>
      </c>
      <c r="B1058" s="12" t="s">
        <v>3225</v>
      </c>
      <c r="C1058" s="12">
        <v>70</v>
      </c>
      <c r="D1058" s="12">
        <v>265</v>
      </c>
      <c r="E1058" s="12" t="s">
        <v>8491</v>
      </c>
      <c r="F1058" s="275" t="s">
        <v>8492</v>
      </c>
      <c r="G1058" s="12" t="str">
        <f t="shared" si="29"/>
        <v>702658230013503</v>
      </c>
      <c r="H1058" s="12" t="s">
        <v>3207</v>
      </c>
      <c r="I1058" s="12">
        <v>8230013503</v>
      </c>
      <c r="J1058" s="12" t="s">
        <v>3208</v>
      </c>
      <c r="K1058" s="12" t="s">
        <v>44</v>
      </c>
      <c r="L1058" s="12">
        <v>3225245129</v>
      </c>
      <c r="M1058" s="12" t="s">
        <v>8574</v>
      </c>
      <c r="N1058" s="12" t="s">
        <v>127</v>
      </c>
      <c r="O1058" s="12" t="s">
        <v>2822</v>
      </c>
      <c r="P1058" s="88" t="s">
        <v>48</v>
      </c>
      <c r="Q1058" s="13">
        <v>46092</v>
      </c>
      <c r="R1058" s="12">
        <v>79</v>
      </c>
      <c r="S1058" s="12" t="s">
        <v>49</v>
      </c>
      <c r="T1058" s="12" t="s">
        <v>3215</v>
      </c>
      <c r="U1058" s="12" t="s">
        <v>50</v>
      </c>
      <c r="V1058" s="13">
        <v>45736</v>
      </c>
      <c r="W1058" s="12" t="s">
        <v>176</v>
      </c>
      <c r="X1058" s="12" t="s">
        <v>49</v>
      </c>
      <c r="Y1058" s="12" t="s">
        <v>3212</v>
      </c>
      <c r="Z1058" s="12" t="s">
        <v>50</v>
      </c>
      <c r="AA1058" s="12" t="s">
        <v>51</v>
      </c>
      <c r="AB1058" s="12" t="s">
        <v>52</v>
      </c>
      <c r="AC1058" s="12" t="s">
        <v>3210</v>
      </c>
      <c r="AD1058" s="12" t="s">
        <v>3211</v>
      </c>
      <c r="AE1058" s="12" t="s">
        <v>87</v>
      </c>
      <c r="AF1058" s="12" t="s">
        <v>50</v>
      </c>
      <c r="AH1058" s="12" t="s">
        <v>51</v>
      </c>
      <c r="AI1058" s="13">
        <v>44832</v>
      </c>
      <c r="AJ1058" s="16">
        <v>0.91</v>
      </c>
      <c r="AK1058" s="13" t="s">
        <v>210</v>
      </c>
      <c r="AL1058" s="12" t="s">
        <v>50</v>
      </c>
      <c r="AM1058" s="12" t="s">
        <v>51</v>
      </c>
      <c r="AN1058" s="12" t="s">
        <v>51</v>
      </c>
      <c r="AU1058" s="12" t="s">
        <v>53</v>
      </c>
    </row>
    <row r="1059" spans="1:47" s="12" customFormat="1" ht="14.4" hidden="1" x14ac:dyDescent="0.3">
      <c r="A1059" s="12" t="s">
        <v>39</v>
      </c>
      <c r="B1059" s="12" t="s">
        <v>3225</v>
      </c>
      <c r="C1059" s="12">
        <v>70</v>
      </c>
      <c r="D1059" s="12">
        <v>265</v>
      </c>
      <c r="E1059" s="12" t="s">
        <v>9195</v>
      </c>
      <c r="F1059" s="275" t="s">
        <v>9196</v>
      </c>
      <c r="G1059" s="12" t="str">
        <f t="shared" si="29"/>
        <v>702658230046637</v>
      </c>
      <c r="H1059" s="12" t="s">
        <v>9197</v>
      </c>
      <c r="I1059" s="12">
        <v>8230046637</v>
      </c>
      <c r="J1059" s="12" t="s">
        <v>9198</v>
      </c>
      <c r="K1059" s="12" t="s">
        <v>133</v>
      </c>
      <c r="L1059" s="12">
        <v>3145286075</v>
      </c>
      <c r="M1059" s="12" t="s">
        <v>9199</v>
      </c>
      <c r="N1059" s="12" t="s">
        <v>127</v>
      </c>
      <c r="O1059" s="12" t="s">
        <v>2822</v>
      </c>
      <c r="P1059" s="88" t="s">
        <v>48</v>
      </c>
      <c r="Q1059" s="13">
        <v>46205</v>
      </c>
      <c r="R1059" s="12">
        <v>80</v>
      </c>
      <c r="S1059" s="12" t="s">
        <v>49</v>
      </c>
      <c r="T1059" s="12" t="s">
        <v>8581</v>
      </c>
      <c r="U1059" s="12" t="s">
        <v>2456</v>
      </c>
      <c r="V1059" s="13">
        <v>44908</v>
      </c>
      <c r="W1059" s="16">
        <v>0.81499999999999995</v>
      </c>
      <c r="X1059" s="13" t="s">
        <v>49</v>
      </c>
      <c r="AC1059" s="13"/>
      <c r="AD1059" s="13"/>
      <c r="AE1059" s="13"/>
      <c r="AU1059" s="12" t="s">
        <v>53</v>
      </c>
    </row>
    <row r="1060" spans="1:47" s="12" customFormat="1" ht="14.4" hidden="1" x14ac:dyDescent="0.3">
      <c r="A1060" s="12" t="s">
        <v>39</v>
      </c>
      <c r="B1060" s="12" t="s">
        <v>3225</v>
      </c>
      <c r="C1060" s="12">
        <v>70</v>
      </c>
      <c r="D1060" s="12">
        <v>265</v>
      </c>
      <c r="E1060" s="12" t="s">
        <v>8481</v>
      </c>
      <c r="F1060" s="275" t="s">
        <v>3213</v>
      </c>
      <c r="G1060" s="12" t="str">
        <f t="shared" si="29"/>
        <v>702659004223666</v>
      </c>
      <c r="H1060" s="12" t="s">
        <v>8579</v>
      </c>
      <c r="I1060" s="12">
        <v>9004223666</v>
      </c>
      <c r="J1060" s="12" t="s">
        <v>8786</v>
      </c>
      <c r="K1060" s="12" t="s">
        <v>44</v>
      </c>
      <c r="L1060" s="12">
        <v>3234647732</v>
      </c>
      <c r="M1060" s="12" t="s">
        <v>8580</v>
      </c>
      <c r="N1060" s="12" t="s">
        <v>127</v>
      </c>
      <c r="O1060" s="12" t="s">
        <v>2822</v>
      </c>
      <c r="P1060" s="88" t="s">
        <v>48</v>
      </c>
      <c r="Q1060" s="13">
        <v>46127</v>
      </c>
      <c r="R1060" s="12">
        <v>89</v>
      </c>
      <c r="S1060" s="12" t="s">
        <v>49</v>
      </c>
      <c r="T1060" s="12" t="s">
        <v>3215</v>
      </c>
      <c r="U1060" s="12" t="s">
        <v>60</v>
      </c>
      <c r="V1060" s="12" t="s">
        <v>3214</v>
      </c>
      <c r="W1060" s="16">
        <v>0.77</v>
      </c>
      <c r="X1060" s="13" t="s">
        <v>49</v>
      </c>
      <c r="Y1060" s="12" t="s">
        <v>3215</v>
      </c>
      <c r="Z1060" s="12" t="s">
        <v>60</v>
      </c>
      <c r="AA1060" s="12" t="s">
        <v>51</v>
      </c>
      <c r="AB1060" s="12" t="s">
        <v>51</v>
      </c>
      <c r="AC1060" s="13">
        <v>44824</v>
      </c>
      <c r="AD1060" s="16">
        <v>0.85</v>
      </c>
      <c r="AE1060" s="13" t="s">
        <v>49</v>
      </c>
      <c r="AF1060" s="12" t="s">
        <v>50</v>
      </c>
      <c r="AU1060" s="12" t="s">
        <v>53</v>
      </c>
    </row>
    <row r="1061" spans="1:47" s="12" customFormat="1" ht="14.4" hidden="1" x14ac:dyDescent="0.3">
      <c r="A1061" s="12" t="s">
        <v>39</v>
      </c>
      <c r="B1061" s="12" t="s">
        <v>3225</v>
      </c>
      <c r="C1061" s="12">
        <v>70</v>
      </c>
      <c r="D1061" s="12">
        <v>265</v>
      </c>
      <c r="E1061" s="12" t="s">
        <v>8469</v>
      </c>
      <c r="F1061" s="12" t="s">
        <v>8470</v>
      </c>
      <c r="G1061" s="12" t="str">
        <f t="shared" si="29"/>
        <v>702658230013503</v>
      </c>
      <c r="H1061" s="12" t="s">
        <v>3207</v>
      </c>
      <c r="I1061" s="12">
        <v>8230013503</v>
      </c>
      <c r="J1061" s="12" t="s">
        <v>3216</v>
      </c>
      <c r="K1061" s="12" t="s">
        <v>133</v>
      </c>
      <c r="L1061" s="12">
        <v>3043349736</v>
      </c>
      <c r="M1061" s="17" t="s">
        <v>3217</v>
      </c>
      <c r="N1061" s="12" t="s">
        <v>127</v>
      </c>
      <c r="O1061" s="12" t="s">
        <v>2822</v>
      </c>
      <c r="P1061" s="88" t="s">
        <v>48</v>
      </c>
      <c r="Q1061" s="13">
        <v>45819</v>
      </c>
      <c r="R1061" s="16">
        <v>0.93</v>
      </c>
      <c r="S1061" s="12" t="s">
        <v>173</v>
      </c>
      <c r="T1061" s="12" t="s">
        <v>3228</v>
      </c>
      <c r="U1061" s="12" t="s">
        <v>50</v>
      </c>
      <c r="V1061" s="13"/>
      <c r="W1061" s="16"/>
      <c r="X1061" s="13"/>
      <c r="AC1061" s="13"/>
      <c r="AD1061" s="13"/>
      <c r="AE1061" s="13"/>
      <c r="AU1061" s="12" t="s">
        <v>53</v>
      </c>
    </row>
    <row r="1062" spans="1:47" s="12" customFormat="1" ht="14.4" hidden="1" x14ac:dyDescent="0.3">
      <c r="A1062" s="12" t="s">
        <v>505</v>
      </c>
      <c r="B1062" s="12" t="s">
        <v>3225</v>
      </c>
      <c r="C1062" s="12">
        <v>70</v>
      </c>
      <c r="D1062" s="12">
        <v>265</v>
      </c>
      <c r="E1062" s="12" t="s">
        <v>9187</v>
      </c>
      <c r="F1062" s="275" t="s">
        <v>8471</v>
      </c>
      <c r="G1062" s="12" t="str">
        <f t="shared" si="29"/>
        <v>702659004223666</v>
      </c>
      <c r="H1062" s="12" t="s">
        <v>8579</v>
      </c>
      <c r="I1062" s="12">
        <v>9004223666</v>
      </c>
      <c r="J1062" s="12" t="s">
        <v>3220</v>
      </c>
      <c r="K1062" s="12" t="s">
        <v>133</v>
      </c>
      <c r="L1062" s="12">
        <v>3146586368</v>
      </c>
      <c r="M1062" s="17" t="s">
        <v>8580</v>
      </c>
      <c r="N1062" s="12" t="s">
        <v>127</v>
      </c>
      <c r="O1062" s="12" t="s">
        <v>2822</v>
      </c>
      <c r="P1062" s="88" t="s">
        <v>48</v>
      </c>
      <c r="Q1062" s="13">
        <v>46168</v>
      </c>
      <c r="R1062" s="12">
        <v>76</v>
      </c>
      <c r="S1062" s="12" t="s">
        <v>49</v>
      </c>
      <c r="T1062" s="12" t="s">
        <v>3228</v>
      </c>
      <c r="U1062" s="12" t="s">
        <v>50</v>
      </c>
      <c r="V1062" s="13">
        <v>45845</v>
      </c>
      <c r="W1062" s="16">
        <v>0.87</v>
      </c>
      <c r="X1062" s="12" t="s">
        <v>8565</v>
      </c>
      <c r="Y1062" s="12" t="s">
        <v>3228</v>
      </c>
      <c r="Z1062" s="12" t="s">
        <v>50</v>
      </c>
      <c r="AA1062" s="12" t="s">
        <v>3222</v>
      </c>
      <c r="AB1062" s="12" t="s">
        <v>52</v>
      </c>
      <c r="AC1062" s="13">
        <v>45570</v>
      </c>
      <c r="AD1062" s="16">
        <v>0.76500000000000001</v>
      </c>
      <c r="AE1062" s="13" t="s">
        <v>87</v>
      </c>
      <c r="AF1062" s="12" t="s">
        <v>50</v>
      </c>
      <c r="AU1062" s="12" t="s">
        <v>53</v>
      </c>
    </row>
    <row r="1063" spans="1:47" s="12" customFormat="1" ht="14.4" hidden="1" x14ac:dyDescent="0.3">
      <c r="A1063" s="12" t="s">
        <v>39</v>
      </c>
      <c r="B1063" s="12" t="s">
        <v>3225</v>
      </c>
      <c r="C1063" s="12">
        <v>70</v>
      </c>
      <c r="D1063" s="12">
        <v>265</v>
      </c>
      <c r="E1063" s="12" t="s">
        <v>8472</v>
      </c>
      <c r="F1063" s="12" t="s">
        <v>8473</v>
      </c>
      <c r="G1063" s="12" t="str">
        <f t="shared" si="29"/>
        <v>702658230013503</v>
      </c>
      <c r="H1063" s="12" t="s">
        <v>3223</v>
      </c>
      <c r="I1063" s="12">
        <v>8230013503</v>
      </c>
      <c r="J1063" s="12" t="s">
        <v>3224</v>
      </c>
      <c r="K1063" s="12" t="s">
        <v>133</v>
      </c>
      <c r="L1063" s="12" t="s">
        <v>45</v>
      </c>
      <c r="M1063" s="12" t="s">
        <v>45</v>
      </c>
      <c r="N1063" s="12" t="s">
        <v>127</v>
      </c>
      <c r="O1063" s="12" t="s">
        <v>2822</v>
      </c>
      <c r="P1063" s="88" t="s">
        <v>48</v>
      </c>
      <c r="V1063" s="13">
        <v>44448</v>
      </c>
      <c r="W1063" s="16">
        <v>0.82</v>
      </c>
      <c r="X1063" s="13" t="s">
        <v>49</v>
      </c>
      <c r="Z1063" s="12" t="s">
        <v>50</v>
      </c>
      <c r="AA1063" s="12" t="s">
        <v>51</v>
      </c>
      <c r="AB1063" s="12" t="s">
        <v>52</v>
      </c>
      <c r="AC1063" s="13"/>
      <c r="AD1063" s="13"/>
      <c r="AE1063" s="13"/>
      <c r="AU1063" s="12" t="s">
        <v>164</v>
      </c>
    </row>
    <row r="1064" spans="1:47" s="12" customFormat="1" ht="14.4" hidden="1" x14ac:dyDescent="0.3">
      <c r="A1064" s="12" t="s">
        <v>39</v>
      </c>
      <c r="B1064" s="88" t="s">
        <v>3225</v>
      </c>
      <c r="C1064" s="12">
        <v>70</v>
      </c>
      <c r="D1064" s="12">
        <v>265</v>
      </c>
      <c r="E1064" s="12" t="s">
        <v>8472</v>
      </c>
      <c r="F1064" s="275" t="s">
        <v>8474</v>
      </c>
      <c r="G1064" s="12" t="str">
        <f t="shared" si="29"/>
        <v>70265823001350</v>
      </c>
      <c r="H1064" s="12" t="s">
        <v>8567</v>
      </c>
      <c r="I1064" s="12">
        <v>823001350</v>
      </c>
      <c r="J1064" s="12" t="s">
        <v>3226</v>
      </c>
      <c r="K1064" s="12" t="s">
        <v>44</v>
      </c>
      <c r="L1064" s="12">
        <v>3225245129</v>
      </c>
      <c r="M1064" s="12" t="s">
        <v>8568</v>
      </c>
      <c r="N1064" s="12" t="s">
        <v>127</v>
      </c>
      <c r="O1064" s="12" t="s">
        <v>2822</v>
      </c>
      <c r="P1064" s="88" t="s">
        <v>48</v>
      </c>
      <c r="Q1064" s="13">
        <v>46105</v>
      </c>
      <c r="R1064" s="12">
        <v>89</v>
      </c>
      <c r="S1064" s="12" t="s">
        <v>8539</v>
      </c>
      <c r="T1064" s="12" t="s">
        <v>3228</v>
      </c>
      <c r="U1064" s="12" t="s">
        <v>50</v>
      </c>
      <c r="V1064" s="13">
        <v>45720</v>
      </c>
      <c r="W1064" s="12" t="s">
        <v>3227</v>
      </c>
      <c r="X1064" s="12" t="s">
        <v>87</v>
      </c>
      <c r="Y1064" s="12" t="s">
        <v>3228</v>
      </c>
      <c r="Z1064" s="12" t="s">
        <v>50</v>
      </c>
      <c r="AA1064" s="12" t="s">
        <v>52</v>
      </c>
      <c r="AB1064" s="12" t="s">
        <v>52</v>
      </c>
      <c r="AC1064" s="12" t="s">
        <v>3210</v>
      </c>
      <c r="AD1064" s="16">
        <v>0.81</v>
      </c>
      <c r="AE1064" s="12" t="s">
        <v>87</v>
      </c>
      <c r="AF1064" s="12" t="s">
        <v>50</v>
      </c>
      <c r="AG1064" s="12" t="s">
        <v>52</v>
      </c>
      <c r="AH1064" s="12" t="s">
        <v>52</v>
      </c>
      <c r="AI1064" s="13" t="s">
        <v>3229</v>
      </c>
      <c r="AJ1064" s="16">
        <v>0.78</v>
      </c>
      <c r="AK1064" s="13" t="s">
        <v>135</v>
      </c>
      <c r="AL1064" s="12" t="s">
        <v>50</v>
      </c>
      <c r="AM1064" s="12" t="s">
        <v>51</v>
      </c>
      <c r="AN1064" s="12" t="s">
        <v>52</v>
      </c>
      <c r="AO1064" s="13">
        <v>44704</v>
      </c>
      <c r="AP1064" s="16">
        <v>0.87</v>
      </c>
      <c r="AQ1064" s="13" t="s">
        <v>49</v>
      </c>
      <c r="AU1064" s="12" t="s">
        <v>53</v>
      </c>
    </row>
    <row r="1065" spans="1:47" s="12" customFormat="1" ht="14.4" hidden="1" x14ac:dyDescent="0.3">
      <c r="A1065" s="12" t="s">
        <v>39</v>
      </c>
      <c r="B1065" s="12" t="s">
        <v>3225</v>
      </c>
      <c r="C1065" s="12">
        <v>70</v>
      </c>
      <c r="D1065" s="12">
        <v>265</v>
      </c>
      <c r="E1065" s="12" t="s">
        <v>8472</v>
      </c>
      <c r="F1065" s="275" t="s">
        <v>8475</v>
      </c>
      <c r="G1065" s="12" t="str">
        <f t="shared" si="29"/>
        <v>702658230013503</v>
      </c>
      <c r="H1065" s="12" t="s">
        <v>3207</v>
      </c>
      <c r="I1065" s="12">
        <v>8230013503</v>
      </c>
      <c r="J1065" s="12" t="s">
        <v>3230</v>
      </c>
      <c r="K1065" s="12" t="s">
        <v>44</v>
      </c>
      <c r="L1065" s="12">
        <v>3024441469</v>
      </c>
      <c r="M1065" s="17" t="s">
        <v>3231</v>
      </c>
      <c r="N1065" s="12" t="s">
        <v>127</v>
      </c>
      <c r="O1065" s="12" t="s">
        <v>2822</v>
      </c>
      <c r="P1065" s="88" t="s">
        <v>48</v>
      </c>
      <c r="Q1065" s="13">
        <v>46090</v>
      </c>
      <c r="R1065" s="12">
        <v>91</v>
      </c>
      <c r="S1065" s="12" t="s">
        <v>319</v>
      </c>
      <c r="T1065" s="12" t="s">
        <v>3228</v>
      </c>
      <c r="U1065" s="12" t="s">
        <v>50</v>
      </c>
      <c r="V1065" s="13">
        <v>45721</v>
      </c>
      <c r="W1065" s="16">
        <v>0.85</v>
      </c>
      <c r="X1065" s="12" t="s">
        <v>2470</v>
      </c>
      <c r="Y1065" s="12" t="s">
        <v>3221</v>
      </c>
      <c r="Z1065" s="12" t="s">
        <v>50</v>
      </c>
      <c r="AA1065" s="12" t="s">
        <v>52</v>
      </c>
      <c r="AB1065" s="12" t="s">
        <v>52</v>
      </c>
      <c r="AC1065" s="12" t="s">
        <v>3232</v>
      </c>
      <c r="AD1065" s="16">
        <v>0.79</v>
      </c>
      <c r="AE1065" s="12" t="s">
        <v>87</v>
      </c>
      <c r="AG1065" s="12" t="s">
        <v>51</v>
      </c>
      <c r="AH1065" s="12" t="s">
        <v>52</v>
      </c>
      <c r="AI1065" s="13">
        <v>44666</v>
      </c>
      <c r="AJ1065" s="16">
        <v>0.78500000000000003</v>
      </c>
      <c r="AK1065" s="13" t="s">
        <v>49</v>
      </c>
      <c r="AL1065" s="12" t="s">
        <v>50</v>
      </c>
      <c r="AM1065" s="12" t="s">
        <v>51</v>
      </c>
      <c r="AN1065" s="12" t="s">
        <v>51</v>
      </c>
      <c r="AO1065" s="13">
        <v>44704</v>
      </c>
      <c r="AP1065" s="16">
        <v>0.87</v>
      </c>
      <c r="AQ1065" s="13" t="s">
        <v>49</v>
      </c>
      <c r="AR1065" s="12" t="s">
        <v>50</v>
      </c>
      <c r="AU1065" s="12" t="s">
        <v>53</v>
      </c>
    </row>
    <row r="1066" spans="1:47" s="12" customFormat="1" ht="14.4" hidden="1" x14ac:dyDescent="0.3">
      <c r="A1066" s="12" t="s">
        <v>505</v>
      </c>
      <c r="B1066" s="12" t="s">
        <v>3225</v>
      </c>
      <c r="C1066" s="12">
        <v>70</v>
      </c>
      <c r="D1066" s="12">
        <v>265</v>
      </c>
      <c r="E1066" s="12" t="s">
        <v>3233</v>
      </c>
      <c r="F1066" s="275" t="s">
        <v>3234</v>
      </c>
      <c r="G1066" s="12" t="str">
        <f t="shared" si="29"/>
        <v>70265823001350-3</v>
      </c>
      <c r="H1066" s="12" t="s">
        <v>3207</v>
      </c>
      <c r="I1066" s="12" t="s">
        <v>3236</v>
      </c>
      <c r="J1066" s="12" t="s">
        <v>3237</v>
      </c>
      <c r="K1066" s="12" t="s">
        <v>44</v>
      </c>
      <c r="L1066" s="12">
        <v>3166527783</v>
      </c>
      <c r="M1066" s="12" t="s">
        <v>45</v>
      </c>
      <c r="N1066" s="12" t="s">
        <v>127</v>
      </c>
      <c r="O1066" s="12" t="s">
        <v>2822</v>
      </c>
      <c r="P1066" s="88" t="s">
        <v>48</v>
      </c>
      <c r="Q1066" s="13">
        <v>45768</v>
      </c>
      <c r="R1066" s="16">
        <v>0.77</v>
      </c>
      <c r="S1066" s="12" t="s">
        <v>7696</v>
      </c>
      <c r="T1066" s="12" t="s">
        <v>3215</v>
      </c>
      <c r="U1066" s="12" t="s">
        <v>50</v>
      </c>
      <c r="V1066" s="12" t="s">
        <v>3238</v>
      </c>
      <c r="W1066" s="16">
        <v>0.64</v>
      </c>
      <c r="X1066" s="12" t="s">
        <v>87</v>
      </c>
      <c r="Y1066" s="12" t="s">
        <v>3215</v>
      </c>
      <c r="Z1066" s="12" t="s">
        <v>60</v>
      </c>
      <c r="AA1066" s="12" t="s">
        <v>52</v>
      </c>
      <c r="AB1066" s="12" t="s">
        <v>52</v>
      </c>
      <c r="AC1066" s="13">
        <v>44417</v>
      </c>
      <c r="AD1066" s="16">
        <v>0.84499999999999997</v>
      </c>
      <c r="AE1066" s="13" t="s">
        <v>49</v>
      </c>
      <c r="AH1066" s="12" t="s">
        <v>51</v>
      </c>
      <c r="AI1066" s="12" t="s">
        <v>52</v>
      </c>
      <c r="AU1066" s="12" t="s">
        <v>53</v>
      </c>
    </row>
    <row r="1067" spans="1:47" s="12" customFormat="1" ht="14.4" hidden="1" x14ac:dyDescent="0.3">
      <c r="A1067" s="12" t="s">
        <v>505</v>
      </c>
      <c r="B1067" s="12" t="s">
        <v>3225</v>
      </c>
      <c r="C1067" s="12">
        <v>70</v>
      </c>
      <c r="D1067" s="12">
        <v>265</v>
      </c>
      <c r="E1067" s="12" t="s">
        <v>8551</v>
      </c>
      <c r="F1067" s="275" t="s">
        <v>8299</v>
      </c>
      <c r="G1067" s="12" t="str">
        <f t="shared" si="29"/>
        <v>70265900044364</v>
      </c>
      <c r="H1067" s="12" t="s">
        <v>3239</v>
      </c>
      <c r="I1067" s="12">
        <v>900044364</v>
      </c>
      <c r="J1067" s="12" t="s">
        <v>3240</v>
      </c>
      <c r="K1067" s="12" t="s">
        <v>192</v>
      </c>
      <c r="L1067" s="12">
        <v>3103155698</v>
      </c>
      <c r="M1067" s="17" t="s">
        <v>8335</v>
      </c>
      <c r="N1067" s="12" t="s">
        <v>127</v>
      </c>
      <c r="O1067" s="12" t="s">
        <v>2822</v>
      </c>
      <c r="P1067" s="88" t="s">
        <v>48</v>
      </c>
      <c r="Q1067" s="13">
        <v>46069</v>
      </c>
      <c r="R1067" s="12" t="s">
        <v>5870</v>
      </c>
      <c r="S1067" s="12" t="s">
        <v>7696</v>
      </c>
      <c r="U1067" s="12" t="s">
        <v>50</v>
      </c>
      <c r="V1067" s="13">
        <v>45735</v>
      </c>
      <c r="W1067" s="16">
        <v>0.79</v>
      </c>
      <c r="X1067" s="12" t="s">
        <v>87</v>
      </c>
      <c r="Y1067" s="12" t="s">
        <v>3212</v>
      </c>
      <c r="Z1067" s="12" t="s">
        <v>8317</v>
      </c>
      <c r="AA1067" s="12" t="s">
        <v>51</v>
      </c>
      <c r="AB1067" s="12" t="s">
        <v>52</v>
      </c>
      <c r="AC1067" s="13" t="s">
        <v>3241</v>
      </c>
      <c r="AD1067" s="16">
        <v>0.69499999999999995</v>
      </c>
      <c r="AE1067" s="13" t="s">
        <v>87</v>
      </c>
      <c r="AU1067" s="12" t="s">
        <v>53</v>
      </c>
    </row>
    <row r="1068" spans="1:47" s="12" customFormat="1" ht="14.4" hidden="1" x14ac:dyDescent="0.3">
      <c r="A1068" s="12" t="s">
        <v>505</v>
      </c>
      <c r="B1068" s="12" t="s">
        <v>3225</v>
      </c>
      <c r="C1068" s="12">
        <v>70</v>
      </c>
      <c r="D1068" s="12">
        <v>265</v>
      </c>
      <c r="E1068" s="12" t="s">
        <v>3233</v>
      </c>
      <c r="F1068" s="275" t="s">
        <v>8490</v>
      </c>
      <c r="G1068" s="12" t="str">
        <f t="shared" si="29"/>
        <v>70265823001350</v>
      </c>
      <c r="H1068" s="12" t="s">
        <v>3242</v>
      </c>
      <c r="I1068" s="12">
        <v>823001350</v>
      </c>
      <c r="J1068" s="12" t="s">
        <v>8789</v>
      </c>
      <c r="K1068" s="12" t="s">
        <v>44</v>
      </c>
      <c r="L1068" s="12">
        <v>3205116729</v>
      </c>
      <c r="M1068" s="17" t="s">
        <v>8790</v>
      </c>
      <c r="N1068" s="12" t="s">
        <v>127</v>
      </c>
      <c r="O1068" s="12" t="s">
        <v>2822</v>
      </c>
      <c r="P1068" s="88" t="s">
        <v>48</v>
      </c>
      <c r="Q1068" s="13">
        <v>46126</v>
      </c>
      <c r="R1068" s="12">
        <v>86</v>
      </c>
      <c r="S1068" s="12" t="s">
        <v>49</v>
      </c>
      <c r="T1068" s="12" t="s">
        <v>3228</v>
      </c>
      <c r="U1068" s="12" t="s">
        <v>50</v>
      </c>
      <c r="V1068" s="13">
        <v>45785</v>
      </c>
      <c r="W1068" s="16">
        <v>0.83</v>
      </c>
      <c r="X1068" s="12" t="s">
        <v>7696</v>
      </c>
      <c r="Y1068" s="12" t="s">
        <v>3221</v>
      </c>
      <c r="Z1068" s="12" t="s">
        <v>50</v>
      </c>
      <c r="AA1068" s="12" t="s">
        <v>52</v>
      </c>
      <c r="AB1068" s="12" t="s">
        <v>52</v>
      </c>
      <c r="AC1068" s="13">
        <v>45418</v>
      </c>
      <c r="AD1068" s="16">
        <v>0.82</v>
      </c>
      <c r="AE1068" s="13" t="s">
        <v>87</v>
      </c>
      <c r="AF1068" s="12" t="s">
        <v>50</v>
      </c>
      <c r="AU1068" s="12" t="s">
        <v>53</v>
      </c>
    </row>
    <row r="1069" spans="1:47" s="12" customFormat="1" ht="14.4" hidden="1" x14ac:dyDescent="0.3">
      <c r="A1069" s="12" t="s">
        <v>505</v>
      </c>
      <c r="B1069" s="12" t="s">
        <v>3225</v>
      </c>
      <c r="C1069" s="12">
        <v>70</v>
      </c>
      <c r="D1069" s="12">
        <v>265</v>
      </c>
      <c r="E1069" s="12" t="s">
        <v>3243</v>
      </c>
      <c r="F1069" s="275" t="s">
        <v>8476</v>
      </c>
      <c r="G1069" s="12" t="str">
        <f t="shared" si="29"/>
        <v>702659004223666</v>
      </c>
      <c r="H1069" s="12" t="s">
        <v>8579</v>
      </c>
      <c r="I1069" s="12">
        <v>9004223666</v>
      </c>
      <c r="J1069" s="12" t="s">
        <v>3244</v>
      </c>
      <c r="K1069" s="12" t="s">
        <v>133</v>
      </c>
      <c r="L1069" s="12">
        <v>3205086929</v>
      </c>
      <c r="M1069" s="17" t="s">
        <v>8580</v>
      </c>
      <c r="N1069" s="12" t="s">
        <v>127</v>
      </c>
      <c r="O1069" s="12" t="s">
        <v>2822</v>
      </c>
      <c r="P1069" s="88" t="s">
        <v>48</v>
      </c>
      <c r="Q1069" s="13">
        <v>46125</v>
      </c>
      <c r="R1069" s="12">
        <v>69</v>
      </c>
      <c r="S1069" s="12" t="s">
        <v>49</v>
      </c>
      <c r="T1069" s="12" t="s">
        <v>8581</v>
      </c>
      <c r="U1069" s="12" t="s">
        <v>2600</v>
      </c>
      <c r="V1069" s="13">
        <v>45744</v>
      </c>
      <c r="W1069" s="16">
        <v>0.72</v>
      </c>
      <c r="X1069" s="12" t="s">
        <v>7696</v>
      </c>
      <c r="Y1069" s="12" t="s">
        <v>3215</v>
      </c>
      <c r="Z1069" s="12" t="s">
        <v>50</v>
      </c>
      <c r="AA1069" s="12" t="s">
        <v>52</v>
      </c>
      <c r="AB1069" s="12" t="s">
        <v>51</v>
      </c>
      <c r="AC1069" s="13" t="s">
        <v>3245</v>
      </c>
      <c r="AD1069" s="16" t="s">
        <v>3246</v>
      </c>
      <c r="AE1069" s="13" t="s">
        <v>3247</v>
      </c>
      <c r="AF1069" s="12" t="s">
        <v>50</v>
      </c>
      <c r="AU1069" s="12" t="s">
        <v>53</v>
      </c>
    </row>
    <row r="1070" spans="1:47" s="12" customFormat="1" ht="14.4" hidden="1" x14ac:dyDescent="0.3">
      <c r="A1070" s="12" t="s">
        <v>505</v>
      </c>
      <c r="B1070" s="12" t="s">
        <v>3225</v>
      </c>
      <c r="C1070" s="12">
        <v>70</v>
      </c>
      <c r="D1070" s="12">
        <v>265</v>
      </c>
      <c r="E1070" s="12" t="s">
        <v>3233</v>
      </c>
      <c r="F1070" s="12" t="s">
        <v>8477</v>
      </c>
      <c r="G1070" s="12" t="str">
        <f t="shared" si="29"/>
        <v>702658230013503</v>
      </c>
      <c r="H1070" s="12" t="s">
        <v>3223</v>
      </c>
      <c r="I1070" s="12">
        <v>8230013503</v>
      </c>
      <c r="J1070" s="12" t="s">
        <v>3248</v>
      </c>
      <c r="K1070" s="12" t="s">
        <v>133</v>
      </c>
      <c r="L1070" s="12" t="s">
        <v>45</v>
      </c>
      <c r="M1070" s="12" t="s">
        <v>45</v>
      </c>
      <c r="N1070" s="12" t="s">
        <v>127</v>
      </c>
      <c r="O1070" s="12" t="s">
        <v>2822</v>
      </c>
      <c r="P1070" s="88" t="s">
        <v>48</v>
      </c>
      <c r="V1070" s="13">
        <v>45174</v>
      </c>
      <c r="W1070" s="16">
        <v>0.76500000000000001</v>
      </c>
      <c r="X1070" s="13" t="s">
        <v>49</v>
      </c>
      <c r="Z1070" s="12" t="s">
        <v>50</v>
      </c>
      <c r="AA1070" s="12" t="s">
        <v>51</v>
      </c>
      <c r="AB1070" s="12" t="s">
        <v>52</v>
      </c>
      <c r="AC1070" s="13"/>
      <c r="AD1070" s="13"/>
      <c r="AE1070" s="13"/>
      <c r="AU1070" s="12" t="s">
        <v>164</v>
      </c>
    </row>
    <row r="1071" spans="1:47" s="12" customFormat="1" ht="14.4" hidden="1" x14ac:dyDescent="0.3">
      <c r="A1071" s="12" t="s">
        <v>39</v>
      </c>
      <c r="B1071" s="12" t="s">
        <v>3225</v>
      </c>
      <c r="C1071" s="12">
        <v>70</v>
      </c>
      <c r="D1071" s="12">
        <v>265</v>
      </c>
      <c r="E1071" s="12" t="s">
        <v>3233</v>
      </c>
      <c r="F1071" s="275" t="s">
        <v>8478</v>
      </c>
      <c r="G1071" s="12" t="str">
        <f t="shared" si="29"/>
        <v>702658230013503</v>
      </c>
      <c r="H1071" s="12" t="s">
        <v>3207</v>
      </c>
      <c r="I1071" s="12">
        <v>8230013503</v>
      </c>
      <c r="J1071" s="12" t="s">
        <v>3249</v>
      </c>
      <c r="K1071" s="12" t="s">
        <v>44</v>
      </c>
      <c r="L1071" s="12">
        <v>3113884324</v>
      </c>
      <c r="M1071" s="12" t="s">
        <v>8574</v>
      </c>
      <c r="N1071" s="12" t="s">
        <v>127</v>
      </c>
      <c r="O1071" s="12" t="s">
        <v>2822</v>
      </c>
      <c r="P1071" s="88" t="s">
        <v>48</v>
      </c>
      <c r="Q1071" s="13">
        <v>46093</v>
      </c>
      <c r="R1071" s="12">
        <v>83</v>
      </c>
      <c r="S1071" s="12" t="s">
        <v>49</v>
      </c>
      <c r="T1071" s="12" t="s">
        <v>3215</v>
      </c>
      <c r="U1071" s="12" t="s">
        <v>50</v>
      </c>
      <c r="V1071" s="13">
        <v>45736</v>
      </c>
      <c r="W1071" s="12" t="s">
        <v>146</v>
      </c>
      <c r="X1071" s="12" t="s">
        <v>7696</v>
      </c>
      <c r="Y1071" s="12" t="s">
        <v>3221</v>
      </c>
      <c r="Z1071" s="12" t="s">
        <v>60</v>
      </c>
      <c r="AA1071" s="12" t="s">
        <v>52</v>
      </c>
      <c r="AB1071" s="12" t="s">
        <v>52</v>
      </c>
      <c r="AC1071" s="12" t="s">
        <v>58</v>
      </c>
      <c r="AD1071" s="16">
        <v>0.79</v>
      </c>
      <c r="AE1071" s="12" t="s">
        <v>87</v>
      </c>
      <c r="AF1071" s="12" t="s">
        <v>50</v>
      </c>
      <c r="AG1071" s="12" t="s">
        <v>52</v>
      </c>
      <c r="AH1071" s="12" t="s">
        <v>52</v>
      </c>
      <c r="AI1071" s="13" t="s">
        <v>3250</v>
      </c>
      <c r="AJ1071" s="16">
        <v>0.9</v>
      </c>
      <c r="AK1071" s="13" t="s">
        <v>173</v>
      </c>
      <c r="AL1071" s="12" t="s">
        <v>50</v>
      </c>
      <c r="AM1071" s="12" t="s">
        <v>51</v>
      </c>
      <c r="AN1071" s="12" t="s">
        <v>52</v>
      </c>
      <c r="AO1071" s="13">
        <v>44704</v>
      </c>
      <c r="AP1071" s="16">
        <v>0.87</v>
      </c>
      <c r="AQ1071" s="13" t="s">
        <v>49</v>
      </c>
      <c r="AU1071" s="12" t="s">
        <v>53</v>
      </c>
    </row>
    <row r="1072" spans="1:47" s="12" customFormat="1" ht="14.4" hidden="1" x14ac:dyDescent="0.3">
      <c r="A1072" s="12" t="s">
        <v>39</v>
      </c>
      <c r="B1072" s="12" t="s">
        <v>3225</v>
      </c>
      <c r="C1072" s="12">
        <v>70</v>
      </c>
      <c r="D1072" s="12">
        <v>265</v>
      </c>
      <c r="E1072" s="12" t="s">
        <v>3233</v>
      </c>
      <c r="F1072" s="275" t="s">
        <v>8479</v>
      </c>
      <c r="G1072" s="12" t="str">
        <f t="shared" si="29"/>
        <v>70265900422366</v>
      </c>
      <c r="H1072" s="12" t="s">
        <v>8562</v>
      </c>
      <c r="I1072" s="12">
        <v>900422366</v>
      </c>
      <c r="J1072" s="12" t="s">
        <v>8563</v>
      </c>
      <c r="K1072" s="12" t="s">
        <v>44</v>
      </c>
      <c r="L1072" s="12">
        <v>3114127543</v>
      </c>
      <c r="M1072" s="12" t="s">
        <v>8564</v>
      </c>
      <c r="N1072" s="12" t="s">
        <v>127</v>
      </c>
      <c r="O1072" s="12" t="s">
        <v>2822</v>
      </c>
      <c r="P1072" s="88" t="s">
        <v>48</v>
      </c>
      <c r="Q1072" s="13">
        <v>46097</v>
      </c>
      <c r="R1072" s="12">
        <v>85</v>
      </c>
      <c r="S1072" s="12" t="s">
        <v>49</v>
      </c>
      <c r="T1072" s="12" t="s">
        <v>3228</v>
      </c>
      <c r="U1072" s="12" t="s">
        <v>50</v>
      </c>
      <c r="V1072" s="13">
        <v>45722</v>
      </c>
      <c r="W1072" s="16">
        <v>0.89</v>
      </c>
      <c r="X1072" s="12" t="s">
        <v>2470</v>
      </c>
      <c r="Y1072" s="12" t="s">
        <v>3215</v>
      </c>
      <c r="Z1072" s="12" t="s">
        <v>50</v>
      </c>
      <c r="AA1072" s="12" t="s">
        <v>52</v>
      </c>
      <c r="AB1072" s="12" t="s">
        <v>52</v>
      </c>
      <c r="AC1072" s="13">
        <v>45478</v>
      </c>
      <c r="AD1072" s="16">
        <v>0.88</v>
      </c>
      <c r="AE1072" s="12" t="s">
        <v>87</v>
      </c>
      <c r="AH1072" s="12" t="s">
        <v>51</v>
      </c>
      <c r="AI1072" s="13">
        <v>45148</v>
      </c>
      <c r="AJ1072" s="16">
        <v>0.85</v>
      </c>
      <c r="AK1072" s="13" t="s">
        <v>49</v>
      </c>
      <c r="AL1072" s="12" t="s">
        <v>50</v>
      </c>
      <c r="AM1072" s="12" t="s">
        <v>51</v>
      </c>
      <c r="AN1072" s="12" t="s">
        <v>51</v>
      </c>
      <c r="AU1072" s="12" t="s">
        <v>53</v>
      </c>
    </row>
    <row r="1073" spans="1:47" s="12" customFormat="1" ht="14.4" hidden="1" x14ac:dyDescent="0.3">
      <c r="A1073" s="12" t="s">
        <v>39</v>
      </c>
      <c r="B1073" s="12" t="s">
        <v>3225</v>
      </c>
      <c r="C1073" s="12">
        <v>70</v>
      </c>
      <c r="D1073" s="12">
        <v>265</v>
      </c>
      <c r="E1073" s="12" t="s">
        <v>3233</v>
      </c>
      <c r="F1073" s="275" t="s">
        <v>8480</v>
      </c>
      <c r="G1073" s="12" t="str">
        <f t="shared" si="29"/>
        <v>702658230013503</v>
      </c>
      <c r="H1073" s="12" t="s">
        <v>3207</v>
      </c>
      <c r="I1073" s="12">
        <v>8230013503</v>
      </c>
      <c r="J1073" s="12" t="s">
        <v>8787</v>
      </c>
      <c r="K1073" s="12" t="s">
        <v>44</v>
      </c>
      <c r="L1073" s="12">
        <v>3113012648</v>
      </c>
      <c r="M1073" s="12" t="s">
        <v>8574</v>
      </c>
      <c r="N1073" s="12" t="s">
        <v>127</v>
      </c>
      <c r="O1073" s="12" t="s">
        <v>2822</v>
      </c>
      <c r="P1073" s="88" t="s">
        <v>48</v>
      </c>
      <c r="Q1073" s="13">
        <v>46134</v>
      </c>
      <c r="R1073" s="12">
        <v>73</v>
      </c>
      <c r="S1073" s="12" t="s">
        <v>74</v>
      </c>
      <c r="T1073" s="12" t="s">
        <v>3228</v>
      </c>
      <c r="U1073" s="12" t="s">
        <v>50</v>
      </c>
      <c r="V1073" s="13">
        <v>45754</v>
      </c>
      <c r="W1073" s="16">
        <v>0.82</v>
      </c>
      <c r="X1073" s="12" t="s">
        <v>49</v>
      </c>
      <c r="Y1073" s="12" t="s">
        <v>3228</v>
      </c>
      <c r="Z1073" s="12" t="s">
        <v>50</v>
      </c>
      <c r="AA1073" s="12" t="s">
        <v>52</v>
      </c>
      <c r="AB1073" s="12" t="s">
        <v>52</v>
      </c>
      <c r="AC1073" s="13">
        <v>45388</v>
      </c>
      <c r="AD1073" s="18">
        <v>0.745</v>
      </c>
      <c r="AE1073" s="12" t="s">
        <v>87</v>
      </c>
      <c r="AF1073" s="12" t="s">
        <v>50</v>
      </c>
      <c r="AG1073" s="12" t="s">
        <v>51</v>
      </c>
      <c r="AH1073" s="12" t="s">
        <v>52</v>
      </c>
      <c r="AI1073" s="13" t="s">
        <v>3251</v>
      </c>
      <c r="AJ1073" s="16">
        <v>0.64500000000000002</v>
      </c>
      <c r="AK1073" s="13" t="s">
        <v>49</v>
      </c>
      <c r="AL1073" s="12" t="s">
        <v>50</v>
      </c>
      <c r="AU1073" s="12" t="s">
        <v>53</v>
      </c>
    </row>
    <row r="1074" spans="1:47" s="12" customFormat="1" ht="14.4" hidden="1" x14ac:dyDescent="0.3">
      <c r="A1074" s="12" t="s">
        <v>505</v>
      </c>
      <c r="B1074" s="12" t="s">
        <v>3225</v>
      </c>
      <c r="C1074" s="12">
        <v>70</v>
      </c>
      <c r="D1074" s="12">
        <v>265</v>
      </c>
      <c r="E1074" s="12" t="s">
        <v>8481</v>
      </c>
      <c r="F1074" s="275" t="s">
        <v>8482</v>
      </c>
      <c r="G1074" s="12" t="str">
        <f t="shared" si="29"/>
        <v>70265900422366-6</v>
      </c>
      <c r="H1074" s="12" t="s">
        <v>3218</v>
      </c>
      <c r="I1074" s="12" t="s">
        <v>3219</v>
      </c>
      <c r="J1074" s="12" t="s">
        <v>3252</v>
      </c>
      <c r="K1074" s="12" t="s">
        <v>133</v>
      </c>
      <c r="L1074" s="12">
        <v>3116494731</v>
      </c>
      <c r="M1074" s="17" t="s">
        <v>3253</v>
      </c>
      <c r="N1074" s="12" t="s">
        <v>127</v>
      </c>
      <c r="O1074" s="12" t="s">
        <v>2822</v>
      </c>
      <c r="P1074" s="88" t="s">
        <v>48</v>
      </c>
      <c r="Q1074" s="13">
        <v>45743</v>
      </c>
      <c r="R1074" s="16">
        <v>0.73</v>
      </c>
      <c r="S1074" s="12" t="s">
        <v>49</v>
      </c>
      <c r="T1074" s="12" t="s">
        <v>3228</v>
      </c>
      <c r="U1074" s="12" t="s">
        <v>50</v>
      </c>
      <c r="V1074" s="13" t="s">
        <v>3254</v>
      </c>
      <c r="W1074" s="16">
        <v>0.70499999999999996</v>
      </c>
      <c r="X1074" s="13" t="s">
        <v>3255</v>
      </c>
      <c r="Y1074" s="12" t="s">
        <v>3215</v>
      </c>
      <c r="Z1074" s="12" t="s">
        <v>50</v>
      </c>
      <c r="AA1074" s="12" t="s">
        <v>52</v>
      </c>
      <c r="AB1074" s="12" t="s">
        <v>52</v>
      </c>
      <c r="AU1074" s="12" t="s">
        <v>53</v>
      </c>
    </row>
    <row r="1075" spans="1:47" s="12" customFormat="1" ht="14.4" hidden="1" x14ac:dyDescent="0.3">
      <c r="A1075" s="12" t="s">
        <v>505</v>
      </c>
      <c r="B1075" s="12" t="s">
        <v>3225</v>
      </c>
      <c r="C1075" s="12">
        <v>70</v>
      </c>
      <c r="D1075" s="12">
        <v>265</v>
      </c>
      <c r="E1075" s="12" t="s">
        <v>8575</v>
      </c>
      <c r="F1075" s="275" t="s">
        <v>8703</v>
      </c>
      <c r="G1075" s="12" t="str">
        <f t="shared" si="29"/>
        <v>702659004223666</v>
      </c>
      <c r="H1075" s="12" t="s">
        <v>8576</v>
      </c>
      <c r="I1075" s="12">
        <v>9004223666</v>
      </c>
      <c r="J1075" s="12" t="s">
        <v>8577</v>
      </c>
      <c r="K1075" s="12" t="s">
        <v>133</v>
      </c>
      <c r="L1075" s="12">
        <v>3137732354</v>
      </c>
      <c r="M1075" s="17" t="s">
        <v>8578</v>
      </c>
      <c r="N1075" s="12" t="s">
        <v>127</v>
      </c>
      <c r="O1075" s="12" t="s">
        <v>2822</v>
      </c>
      <c r="P1075" s="88" t="s">
        <v>48</v>
      </c>
      <c r="V1075" s="13">
        <v>45741</v>
      </c>
      <c r="W1075" s="16">
        <v>0.71499999999999997</v>
      </c>
      <c r="X1075" s="12" t="s">
        <v>49</v>
      </c>
      <c r="Y1075" s="12" t="s">
        <v>3215</v>
      </c>
      <c r="Z1075" s="12" t="s">
        <v>50</v>
      </c>
      <c r="AA1075" s="12" t="s">
        <v>52</v>
      </c>
      <c r="AB1075" s="12" t="s">
        <v>52</v>
      </c>
      <c r="AC1075" s="13">
        <v>45570</v>
      </c>
      <c r="AD1075" s="16">
        <v>0.75</v>
      </c>
      <c r="AE1075" s="13" t="s">
        <v>87</v>
      </c>
      <c r="AF1075" s="12" t="s">
        <v>50</v>
      </c>
      <c r="AU1075" s="12" t="s">
        <v>164</v>
      </c>
    </row>
    <row r="1076" spans="1:47" s="12" customFormat="1" ht="14.4" hidden="1" x14ac:dyDescent="0.3">
      <c r="A1076" s="12" t="s">
        <v>39</v>
      </c>
      <c r="B1076" s="12" t="s">
        <v>3225</v>
      </c>
      <c r="C1076" s="12">
        <v>70</v>
      </c>
      <c r="D1076" s="12">
        <v>265</v>
      </c>
      <c r="E1076" s="12" t="s">
        <v>3233</v>
      </c>
      <c r="F1076" s="12" t="s">
        <v>8483</v>
      </c>
      <c r="G1076" s="12" t="str">
        <f t="shared" si="29"/>
        <v>702658230013503</v>
      </c>
      <c r="H1076" s="12" t="s">
        <v>3207</v>
      </c>
      <c r="I1076" s="12">
        <v>8230013503</v>
      </c>
      <c r="J1076" s="12" t="s">
        <v>3256</v>
      </c>
      <c r="K1076" s="12" t="s">
        <v>44</v>
      </c>
      <c r="L1076" s="12">
        <v>3215765650</v>
      </c>
      <c r="M1076" s="12" t="s">
        <v>3257</v>
      </c>
      <c r="N1076" s="12" t="s">
        <v>127</v>
      </c>
      <c r="O1076" s="12" t="s">
        <v>2822</v>
      </c>
      <c r="P1076" s="88" t="s">
        <v>48</v>
      </c>
      <c r="Q1076" s="13">
        <v>45934</v>
      </c>
      <c r="R1076" s="12">
        <v>83</v>
      </c>
      <c r="S1076" s="12" t="s">
        <v>49</v>
      </c>
      <c r="T1076" s="12" t="s">
        <v>3228</v>
      </c>
      <c r="U1076" s="12" t="s">
        <v>50</v>
      </c>
      <c r="V1076" s="12" t="s">
        <v>2715</v>
      </c>
      <c r="W1076" s="16">
        <v>0.86</v>
      </c>
      <c r="X1076" s="12" t="s">
        <v>87</v>
      </c>
      <c r="Y1076" s="12" t="s">
        <v>3221</v>
      </c>
      <c r="Z1076" s="12" t="s">
        <v>50</v>
      </c>
      <c r="AA1076" s="12" t="s">
        <v>52</v>
      </c>
      <c r="AB1076" s="12" t="s">
        <v>52</v>
      </c>
      <c r="AC1076" s="12" t="s">
        <v>301</v>
      </c>
      <c r="AD1076" s="16">
        <v>0.77</v>
      </c>
      <c r="AE1076" s="12" t="s">
        <v>87</v>
      </c>
      <c r="AF1076" s="12" t="s">
        <v>50</v>
      </c>
      <c r="AG1076" s="12" t="s">
        <v>52</v>
      </c>
      <c r="AH1076" s="12" t="s">
        <v>52</v>
      </c>
      <c r="AI1076" s="13">
        <v>44673</v>
      </c>
      <c r="AJ1076" s="16">
        <v>0.66</v>
      </c>
      <c r="AK1076" s="13" t="s">
        <v>49</v>
      </c>
      <c r="AL1076" s="12" t="s">
        <v>50</v>
      </c>
      <c r="AM1076" s="12" t="s">
        <v>51</v>
      </c>
      <c r="AN1076" s="12" t="s">
        <v>52</v>
      </c>
      <c r="AO1076" s="13">
        <v>44523</v>
      </c>
      <c r="AP1076" s="16">
        <v>0.86750000000000005</v>
      </c>
      <c r="AQ1076" s="13" t="s">
        <v>49</v>
      </c>
      <c r="AR1076" s="12" t="s">
        <v>50</v>
      </c>
      <c r="AS1076" s="12" t="s">
        <v>51</v>
      </c>
      <c r="AT1076" s="12" t="s">
        <v>51</v>
      </c>
      <c r="AU1076" s="12" t="s">
        <v>1208</v>
      </c>
    </row>
    <row r="1077" spans="1:47" s="12" customFormat="1" ht="14.4" hidden="1" x14ac:dyDescent="0.3">
      <c r="A1077" s="12" t="s">
        <v>39</v>
      </c>
      <c r="B1077" s="12" t="s">
        <v>3225</v>
      </c>
      <c r="C1077" s="12">
        <v>70</v>
      </c>
      <c r="D1077" s="12">
        <v>265</v>
      </c>
      <c r="E1077" s="12" t="s">
        <v>9200</v>
      </c>
      <c r="F1077" s="275" t="s">
        <v>8484</v>
      </c>
      <c r="G1077" s="12" t="str">
        <f t="shared" si="29"/>
        <v>702659004223666</v>
      </c>
      <c r="H1077" s="12" t="s">
        <v>8579</v>
      </c>
      <c r="I1077" s="12">
        <v>9004223666</v>
      </c>
      <c r="J1077" s="12" t="s">
        <v>3258</v>
      </c>
      <c r="K1077" s="12" t="s">
        <v>44</v>
      </c>
      <c r="L1077" s="12">
        <v>3137732354</v>
      </c>
      <c r="M1077" s="12" t="s">
        <v>8580</v>
      </c>
      <c r="N1077" s="12" t="s">
        <v>127</v>
      </c>
      <c r="O1077" s="12" t="s">
        <v>2822</v>
      </c>
      <c r="P1077" s="88" t="s">
        <v>48</v>
      </c>
      <c r="Q1077" s="13">
        <v>46198</v>
      </c>
      <c r="R1077" s="12">
        <v>82</v>
      </c>
      <c r="S1077" s="12" t="s">
        <v>49</v>
      </c>
      <c r="T1077" s="12" t="s">
        <v>8581</v>
      </c>
      <c r="U1077" s="12" t="s">
        <v>50</v>
      </c>
      <c r="V1077" s="13">
        <v>45757</v>
      </c>
      <c r="W1077" s="16">
        <v>0.82</v>
      </c>
      <c r="X1077" s="12" t="s">
        <v>49</v>
      </c>
      <c r="Y1077" s="12" t="s">
        <v>3228</v>
      </c>
      <c r="Z1077" s="12" t="s">
        <v>50</v>
      </c>
      <c r="AA1077" s="12" t="s">
        <v>52</v>
      </c>
      <c r="AB1077" s="12" t="s">
        <v>52</v>
      </c>
      <c r="AC1077" s="13">
        <v>45600</v>
      </c>
      <c r="AD1077" s="16">
        <v>0.74</v>
      </c>
      <c r="AE1077" s="12" t="s">
        <v>87</v>
      </c>
      <c r="AF1077" s="12" t="s">
        <v>50</v>
      </c>
      <c r="AG1077" s="12" t="s">
        <v>51</v>
      </c>
      <c r="AH1077" s="12" t="s">
        <v>52</v>
      </c>
      <c r="AI1077" s="13">
        <v>45133</v>
      </c>
      <c r="AJ1077" s="16">
        <v>0.84499999999999997</v>
      </c>
      <c r="AK1077" s="13" t="s">
        <v>49</v>
      </c>
      <c r="AL1077" s="12" t="s">
        <v>50</v>
      </c>
      <c r="AU1077" s="12" t="s">
        <v>53</v>
      </c>
    </row>
    <row r="1078" spans="1:47" s="12" customFormat="1" ht="14.4" hidden="1" x14ac:dyDescent="0.3">
      <c r="A1078" s="12" t="s">
        <v>39</v>
      </c>
      <c r="B1078" s="12" t="s">
        <v>3225</v>
      </c>
      <c r="C1078" s="12">
        <v>70</v>
      </c>
      <c r="D1078" s="12">
        <v>265</v>
      </c>
      <c r="E1078" s="12" t="s">
        <v>3233</v>
      </c>
      <c r="F1078" s="275" t="s">
        <v>8485</v>
      </c>
      <c r="G1078" s="12" t="str">
        <f t="shared" si="29"/>
        <v>702658230013503</v>
      </c>
      <c r="H1078" s="12" t="s">
        <v>3207</v>
      </c>
      <c r="I1078" s="12">
        <v>8230013503</v>
      </c>
      <c r="J1078" s="12" t="s">
        <v>3259</v>
      </c>
      <c r="K1078" s="12" t="s">
        <v>44</v>
      </c>
      <c r="L1078" s="12">
        <v>3218127181</v>
      </c>
      <c r="M1078" s="12" t="s">
        <v>9188</v>
      </c>
      <c r="N1078" s="12" t="s">
        <v>127</v>
      </c>
      <c r="O1078" s="12" t="s">
        <v>2822</v>
      </c>
      <c r="P1078" s="88" t="s">
        <v>48</v>
      </c>
      <c r="Q1078" s="13">
        <v>46177</v>
      </c>
      <c r="R1078" s="12">
        <v>77</v>
      </c>
      <c r="S1078" s="12" t="s">
        <v>49</v>
      </c>
      <c r="T1078" s="12" t="s">
        <v>3228</v>
      </c>
      <c r="U1078" s="12" t="s">
        <v>50</v>
      </c>
      <c r="V1078" s="13">
        <v>45770</v>
      </c>
      <c r="W1078" s="16">
        <v>0.7</v>
      </c>
      <c r="X1078" s="12" t="s">
        <v>49</v>
      </c>
      <c r="Y1078" s="12" t="s">
        <v>3215</v>
      </c>
      <c r="Z1078" s="12" t="s">
        <v>50</v>
      </c>
      <c r="AA1078" s="12" t="s">
        <v>51</v>
      </c>
      <c r="AB1078" s="12" t="s">
        <v>52</v>
      </c>
      <c r="AC1078" s="13" t="s">
        <v>3260</v>
      </c>
      <c r="AD1078" s="16">
        <v>0.80500000000000005</v>
      </c>
      <c r="AE1078" s="13" t="s">
        <v>49</v>
      </c>
      <c r="AF1078" s="12" t="s">
        <v>50</v>
      </c>
      <c r="AG1078" s="12" t="s">
        <v>3261</v>
      </c>
      <c r="AH1078" s="12" t="s">
        <v>3261</v>
      </c>
      <c r="AI1078" s="13">
        <v>45056</v>
      </c>
      <c r="AJ1078" s="16">
        <v>0.69</v>
      </c>
      <c r="AK1078" s="12" t="s">
        <v>69</v>
      </c>
      <c r="AL1078" s="12" t="s">
        <v>50</v>
      </c>
      <c r="AM1078" s="12" t="s">
        <v>52</v>
      </c>
      <c r="AN1078" s="12" t="s">
        <v>52</v>
      </c>
      <c r="AO1078" s="13" t="s">
        <v>3262</v>
      </c>
      <c r="AP1078" s="16">
        <v>0.73</v>
      </c>
      <c r="AQ1078" s="13" t="s">
        <v>49</v>
      </c>
      <c r="AR1078" s="12" t="s">
        <v>50</v>
      </c>
      <c r="AU1078" s="12" t="s">
        <v>53</v>
      </c>
    </row>
    <row r="1079" spans="1:47" s="12" customFormat="1" ht="14.4" hidden="1" x14ac:dyDescent="0.3">
      <c r="A1079" s="12" t="s">
        <v>39</v>
      </c>
      <c r="B1079" s="12" t="s">
        <v>3225</v>
      </c>
      <c r="C1079" s="12">
        <v>70</v>
      </c>
      <c r="D1079" s="12">
        <v>265</v>
      </c>
      <c r="E1079" s="12" t="s">
        <v>3233</v>
      </c>
      <c r="F1079" s="275" t="s">
        <v>5522</v>
      </c>
      <c r="G1079" s="12" t="str">
        <f t="shared" si="29"/>
        <v>702658230029972</v>
      </c>
      <c r="H1079" s="12" t="s">
        <v>3263</v>
      </c>
      <c r="I1079" s="12">
        <v>8230029972</v>
      </c>
      <c r="J1079" s="12" t="s">
        <v>3264</v>
      </c>
      <c r="K1079" s="12" t="s">
        <v>44</v>
      </c>
      <c r="L1079" s="12">
        <v>3126158543</v>
      </c>
      <c r="M1079" s="12" t="s">
        <v>45</v>
      </c>
      <c r="N1079" s="12" t="s">
        <v>127</v>
      </c>
      <c r="O1079" s="12" t="s">
        <v>2822</v>
      </c>
      <c r="P1079" s="88" t="s">
        <v>48</v>
      </c>
      <c r="Q1079" s="12" t="s">
        <v>58</v>
      </c>
      <c r="R1079" s="16">
        <v>0.74</v>
      </c>
      <c r="S1079" s="12" t="s">
        <v>49</v>
      </c>
      <c r="T1079" s="12" t="s">
        <v>3221</v>
      </c>
      <c r="U1079" s="12" t="s">
        <v>50</v>
      </c>
      <c r="V1079" s="12" t="s">
        <v>3265</v>
      </c>
      <c r="W1079" s="16" t="s">
        <v>3266</v>
      </c>
      <c r="X1079" s="12" t="s">
        <v>49</v>
      </c>
      <c r="Z1079" s="12" t="s">
        <v>50</v>
      </c>
      <c r="AA1079" s="12" t="s">
        <v>51</v>
      </c>
      <c r="AB1079" s="12" t="s">
        <v>52</v>
      </c>
      <c r="AC1079" s="13"/>
      <c r="AD1079" s="13"/>
      <c r="AE1079" s="13"/>
      <c r="AU1079" s="12" t="s">
        <v>164</v>
      </c>
    </row>
    <row r="1080" spans="1:47" s="12" customFormat="1" ht="14.4" hidden="1" x14ac:dyDescent="0.3">
      <c r="A1080" s="12" t="s">
        <v>39</v>
      </c>
      <c r="B1080" s="12" t="s">
        <v>3225</v>
      </c>
      <c r="C1080" s="12">
        <v>70</v>
      </c>
      <c r="D1080" s="12">
        <v>265</v>
      </c>
      <c r="E1080" s="12" t="s">
        <v>3233</v>
      </c>
      <c r="F1080" s="275" t="s">
        <v>8486</v>
      </c>
      <c r="G1080" s="12" t="str">
        <f t="shared" si="29"/>
        <v>702659004223666</v>
      </c>
      <c r="H1080" s="12" t="s">
        <v>9189</v>
      </c>
      <c r="I1080" s="12">
        <v>9004223666</v>
      </c>
      <c r="J1080" s="12" t="s">
        <v>9190</v>
      </c>
      <c r="K1080" s="12" t="s">
        <v>44</v>
      </c>
      <c r="L1080" s="12">
        <v>3205150399</v>
      </c>
      <c r="M1080" s="12" t="s">
        <v>9191</v>
      </c>
      <c r="N1080" s="12" t="s">
        <v>127</v>
      </c>
      <c r="O1080" s="12" t="s">
        <v>2822</v>
      </c>
      <c r="P1080" s="88" t="s">
        <v>48</v>
      </c>
      <c r="Q1080" s="13">
        <v>46182</v>
      </c>
      <c r="R1080" s="12">
        <v>84</v>
      </c>
      <c r="S1080" s="12" t="s">
        <v>49</v>
      </c>
      <c r="T1080" s="12" t="s">
        <v>3221</v>
      </c>
      <c r="U1080" s="12" t="s">
        <v>60</v>
      </c>
      <c r="V1080" s="13">
        <v>45769</v>
      </c>
      <c r="W1080" s="12" t="s">
        <v>113</v>
      </c>
      <c r="X1080" s="12" t="s">
        <v>49</v>
      </c>
      <c r="Y1080" s="12" t="s">
        <v>3215</v>
      </c>
      <c r="Z1080" s="12" t="s">
        <v>50</v>
      </c>
      <c r="AA1080" s="12" t="s">
        <v>51</v>
      </c>
      <c r="AB1080" s="12" t="s">
        <v>52</v>
      </c>
      <c r="AC1080" s="13">
        <v>44567</v>
      </c>
      <c r="AD1080" s="16">
        <v>0.625</v>
      </c>
      <c r="AE1080" s="12" t="s">
        <v>49</v>
      </c>
      <c r="AF1080" s="12" t="s">
        <v>50</v>
      </c>
      <c r="AG1080" s="12" t="s">
        <v>51</v>
      </c>
      <c r="AH1080" s="12" t="s">
        <v>51</v>
      </c>
      <c r="AI1080" s="13">
        <v>44340</v>
      </c>
      <c r="AJ1080" s="16">
        <v>0.87</v>
      </c>
      <c r="AK1080" s="13" t="s">
        <v>49</v>
      </c>
      <c r="AL1080" s="12" t="s">
        <v>50</v>
      </c>
      <c r="AU1080" s="12" t="s">
        <v>53</v>
      </c>
    </row>
    <row r="1081" spans="1:47" s="12" customFormat="1" ht="14.4" hidden="1" x14ac:dyDescent="0.3">
      <c r="A1081" s="12" t="s">
        <v>39</v>
      </c>
      <c r="B1081" s="12" t="s">
        <v>3225</v>
      </c>
      <c r="C1081" s="12">
        <v>70</v>
      </c>
      <c r="D1081" s="12">
        <v>265</v>
      </c>
      <c r="E1081" s="12" t="s">
        <v>3233</v>
      </c>
      <c r="F1081" s="12" t="s">
        <v>8487</v>
      </c>
      <c r="G1081" s="12" t="str">
        <f t="shared" si="29"/>
        <v>70265823002997-2</v>
      </c>
      <c r="H1081" s="12" t="s">
        <v>3267</v>
      </c>
      <c r="I1081" s="12" t="s">
        <v>3268</v>
      </c>
      <c r="J1081" s="12" t="s">
        <v>3269</v>
      </c>
      <c r="K1081" s="12" t="s">
        <v>44</v>
      </c>
      <c r="L1081" s="12">
        <v>3207086456</v>
      </c>
      <c r="M1081" s="12" t="s">
        <v>45</v>
      </c>
      <c r="N1081" s="12" t="s">
        <v>127</v>
      </c>
      <c r="O1081" s="12" t="s">
        <v>2822</v>
      </c>
      <c r="P1081" s="88" t="s">
        <v>48</v>
      </c>
      <c r="Q1081" s="12" t="s">
        <v>2547</v>
      </c>
      <c r="R1081" s="16">
        <v>0.87</v>
      </c>
      <c r="S1081" s="12" t="s">
        <v>49</v>
      </c>
      <c r="T1081" s="12" t="s">
        <v>3221</v>
      </c>
      <c r="U1081" s="12" t="s">
        <v>50</v>
      </c>
      <c r="V1081" s="13">
        <v>45148</v>
      </c>
      <c r="W1081" s="16">
        <v>0.85</v>
      </c>
      <c r="X1081" s="13" t="s">
        <v>49</v>
      </c>
      <c r="Z1081" s="12" t="s">
        <v>50</v>
      </c>
      <c r="AA1081" s="12" t="s">
        <v>51</v>
      </c>
      <c r="AB1081" s="12" t="s">
        <v>52</v>
      </c>
      <c r="AC1081" s="13"/>
      <c r="AD1081" s="13"/>
      <c r="AE1081" s="13"/>
      <c r="AU1081" s="12" t="s">
        <v>53</v>
      </c>
    </row>
    <row r="1082" spans="1:47" s="12" customFormat="1" ht="14.4" hidden="1" x14ac:dyDescent="0.3">
      <c r="A1082" s="12" t="s">
        <v>39</v>
      </c>
      <c r="B1082" s="12" t="s">
        <v>3225</v>
      </c>
      <c r="C1082" s="12">
        <v>70</v>
      </c>
      <c r="D1082" s="12">
        <v>265</v>
      </c>
      <c r="F1082" s="12" t="s">
        <v>3270</v>
      </c>
      <c r="G1082" s="12" t="str">
        <f t="shared" si="29"/>
        <v>702658230013503</v>
      </c>
      <c r="H1082" s="12" t="s">
        <v>3271</v>
      </c>
      <c r="I1082" s="12">
        <v>8230013503</v>
      </c>
      <c r="J1082" s="12" t="s">
        <v>3272</v>
      </c>
      <c r="K1082" s="12" t="s">
        <v>44</v>
      </c>
      <c r="L1082" s="12">
        <v>3008636635</v>
      </c>
      <c r="M1082" s="12" t="s">
        <v>45</v>
      </c>
      <c r="N1082" s="12" t="s">
        <v>127</v>
      </c>
      <c r="O1082" s="12" t="s">
        <v>2822</v>
      </c>
      <c r="P1082" s="88" t="s">
        <v>48</v>
      </c>
      <c r="Q1082" s="13">
        <v>45818</v>
      </c>
      <c r="R1082" s="16">
        <v>0.91</v>
      </c>
      <c r="S1082" s="12" t="s">
        <v>173</v>
      </c>
      <c r="T1082" s="12" t="s">
        <v>3228</v>
      </c>
      <c r="U1082" s="12" t="s">
        <v>50</v>
      </c>
      <c r="V1082" s="13">
        <v>45558</v>
      </c>
      <c r="W1082" s="18">
        <v>0.82499999999999996</v>
      </c>
      <c r="X1082" s="13" t="s">
        <v>49</v>
      </c>
      <c r="Z1082" s="12" t="s">
        <v>50</v>
      </c>
      <c r="AA1082" s="12" t="s">
        <v>51</v>
      </c>
      <c r="AB1082" s="12" t="s">
        <v>52</v>
      </c>
      <c r="AU1082" s="12" t="s">
        <v>53</v>
      </c>
    </row>
    <row r="1083" spans="1:47" s="12" customFormat="1" ht="14.4" hidden="1" x14ac:dyDescent="0.3">
      <c r="A1083" s="12" t="s">
        <v>39</v>
      </c>
      <c r="B1083" s="12" t="s">
        <v>3225</v>
      </c>
      <c r="C1083" s="12">
        <v>70</v>
      </c>
      <c r="D1083" s="12">
        <v>265</v>
      </c>
      <c r="E1083" s="12" t="s">
        <v>3233</v>
      </c>
      <c r="F1083" s="12" t="s">
        <v>8488</v>
      </c>
      <c r="G1083" s="12" t="str">
        <f t="shared" si="29"/>
        <v>702658230013503</v>
      </c>
      <c r="H1083" s="12" t="s">
        <v>3242</v>
      </c>
      <c r="I1083" s="12">
        <v>8230013503</v>
      </c>
      <c r="J1083" s="12" t="s">
        <v>3273</v>
      </c>
      <c r="K1083" s="12" t="s">
        <v>44</v>
      </c>
      <c r="L1083" s="12" t="s">
        <v>45</v>
      </c>
      <c r="M1083" s="12" t="s">
        <v>45</v>
      </c>
      <c r="N1083" s="12" t="s">
        <v>127</v>
      </c>
      <c r="O1083" s="12" t="s">
        <v>2822</v>
      </c>
      <c r="P1083" s="88" t="s">
        <v>48</v>
      </c>
      <c r="Q1083" s="13">
        <v>45820</v>
      </c>
      <c r="R1083" s="16">
        <v>0.79</v>
      </c>
      <c r="S1083" s="12" t="s">
        <v>8566</v>
      </c>
      <c r="T1083" s="12" t="s">
        <v>3228</v>
      </c>
      <c r="U1083" s="12" t="s">
        <v>50</v>
      </c>
      <c r="AC1083" s="13"/>
      <c r="AD1083" s="13"/>
      <c r="AE1083" s="13"/>
      <c r="AU1083" s="12" t="s">
        <v>53</v>
      </c>
    </row>
    <row r="1084" spans="1:47" s="12" customFormat="1" ht="14.4" hidden="1" x14ac:dyDescent="0.3">
      <c r="A1084" s="12" t="s">
        <v>39</v>
      </c>
      <c r="B1084" s="12" t="s">
        <v>3225</v>
      </c>
      <c r="C1084" s="12">
        <v>70</v>
      </c>
      <c r="D1084" s="12">
        <v>265</v>
      </c>
      <c r="E1084" s="12" t="s">
        <v>3233</v>
      </c>
      <c r="F1084" s="275" t="s">
        <v>8489</v>
      </c>
      <c r="G1084" s="12" t="str">
        <f t="shared" si="29"/>
        <v>70265823001350</v>
      </c>
      <c r="H1084" s="12" t="s">
        <v>3207</v>
      </c>
      <c r="I1084" s="12">
        <v>823001350</v>
      </c>
      <c r="J1084" s="12" t="s">
        <v>3274</v>
      </c>
      <c r="K1084" s="12" t="s">
        <v>44</v>
      </c>
      <c r="L1084" s="12">
        <v>3008600602</v>
      </c>
      <c r="M1084" s="12" t="s">
        <v>8788</v>
      </c>
      <c r="N1084" s="12" t="s">
        <v>127</v>
      </c>
      <c r="O1084" s="12" t="s">
        <v>2822</v>
      </c>
      <c r="P1084" s="88" t="s">
        <v>48</v>
      </c>
      <c r="Q1084" s="13">
        <v>46132</v>
      </c>
      <c r="R1084" s="12">
        <v>83</v>
      </c>
      <c r="S1084" s="12" t="s">
        <v>49</v>
      </c>
      <c r="T1084" s="12" t="s">
        <v>3228</v>
      </c>
      <c r="U1084" s="12" t="s">
        <v>50</v>
      </c>
      <c r="V1084" s="13">
        <v>45782</v>
      </c>
      <c r="W1084" s="16">
        <v>0.83</v>
      </c>
      <c r="X1084" s="12" t="s">
        <v>8566</v>
      </c>
      <c r="Z1084" s="12" t="s">
        <v>50</v>
      </c>
      <c r="AA1084" s="12" t="s">
        <v>51</v>
      </c>
      <c r="AB1084" s="12" t="s">
        <v>52</v>
      </c>
      <c r="AC1084" s="13">
        <v>44348</v>
      </c>
      <c r="AD1084" s="16">
        <v>0.91</v>
      </c>
      <c r="AE1084" s="13" t="s">
        <v>210</v>
      </c>
      <c r="AF1084" s="12" t="s">
        <v>50</v>
      </c>
      <c r="AU1084" s="12" t="s">
        <v>164</v>
      </c>
    </row>
    <row r="1085" spans="1:47" s="12" customFormat="1" ht="14.4" hidden="1" x14ac:dyDescent="0.3">
      <c r="A1085" s="12" t="s">
        <v>39</v>
      </c>
      <c r="B1085" s="12" t="s">
        <v>3225</v>
      </c>
      <c r="C1085" s="12">
        <v>70</v>
      </c>
      <c r="D1085" s="12">
        <v>265</v>
      </c>
      <c r="F1085" s="12" t="s">
        <v>3275</v>
      </c>
      <c r="G1085" s="12" t="str">
        <f t="shared" si="29"/>
        <v>702651101382168</v>
      </c>
      <c r="H1085" s="12" t="s">
        <v>3276</v>
      </c>
      <c r="I1085" s="12">
        <v>1101382168</v>
      </c>
      <c r="J1085" s="12" t="s">
        <v>3277</v>
      </c>
      <c r="K1085" s="12" t="s">
        <v>44</v>
      </c>
      <c r="L1085" s="12" t="s">
        <v>45</v>
      </c>
      <c r="M1085" s="12" t="s">
        <v>45</v>
      </c>
      <c r="N1085" s="12" t="s">
        <v>780</v>
      </c>
      <c r="O1085" s="12" t="s">
        <v>260</v>
      </c>
      <c r="P1085" s="88" t="s">
        <v>261</v>
      </c>
      <c r="Q1085" s="12" t="s">
        <v>2547</v>
      </c>
      <c r="R1085" s="18">
        <v>0.745</v>
      </c>
      <c r="S1085" s="12" t="s">
        <v>8566</v>
      </c>
      <c r="T1085" s="12" t="s">
        <v>3221</v>
      </c>
      <c r="U1085" s="12" t="s">
        <v>60</v>
      </c>
      <c r="V1085" s="13">
        <v>45201</v>
      </c>
      <c r="W1085" s="18">
        <v>0.78500000000000003</v>
      </c>
      <c r="X1085" s="12" t="s">
        <v>3278</v>
      </c>
      <c r="Y1085" s="12" t="s">
        <v>3221</v>
      </c>
      <c r="Z1085" s="12" t="s">
        <v>50</v>
      </c>
      <c r="AA1085" s="12" t="s">
        <v>52</v>
      </c>
      <c r="AB1085" s="12" t="s">
        <v>52</v>
      </c>
      <c r="AC1085" s="13">
        <v>44902</v>
      </c>
      <c r="AD1085" s="16">
        <v>0.85</v>
      </c>
      <c r="AE1085" s="13" t="s">
        <v>49</v>
      </c>
      <c r="AH1085" s="12" t="s">
        <v>51</v>
      </c>
      <c r="AU1085" s="12" t="s">
        <v>53</v>
      </c>
    </row>
    <row r="1086" spans="1:47" s="12" customFormat="1" ht="14.4" hidden="1" x14ac:dyDescent="0.3">
      <c r="A1086" s="12" t="s">
        <v>39</v>
      </c>
      <c r="B1086" s="12" t="s">
        <v>3225</v>
      </c>
      <c r="C1086" s="12">
        <v>70</v>
      </c>
      <c r="D1086" s="12">
        <v>265</v>
      </c>
      <c r="F1086" s="12" t="s">
        <v>3279</v>
      </c>
      <c r="G1086" s="12" t="str">
        <f t="shared" si="29"/>
        <v>702651143338750</v>
      </c>
      <c r="H1086" s="12" t="s">
        <v>3280</v>
      </c>
      <c r="I1086" s="12">
        <v>1143338750</v>
      </c>
      <c r="J1086" s="12" t="s">
        <v>3281</v>
      </c>
      <c r="K1086" s="12" t="s">
        <v>44</v>
      </c>
      <c r="L1086" s="12">
        <v>3017655345</v>
      </c>
      <c r="M1086" s="12" t="s">
        <v>45</v>
      </c>
      <c r="N1086" s="12" t="s">
        <v>780</v>
      </c>
      <c r="O1086" s="12" t="s">
        <v>260</v>
      </c>
      <c r="P1086" s="88" t="s">
        <v>261</v>
      </c>
      <c r="Q1086" s="13">
        <v>44147</v>
      </c>
      <c r="R1086" s="16">
        <v>0.83</v>
      </c>
      <c r="S1086" s="12" t="s">
        <v>8566</v>
      </c>
      <c r="U1086" s="12" t="s">
        <v>50</v>
      </c>
      <c r="AC1086" s="13"/>
      <c r="AD1086" s="13"/>
      <c r="AE1086" s="13"/>
      <c r="AU1086" s="12" t="s">
        <v>164</v>
      </c>
    </row>
    <row r="1087" spans="1:47" s="12" customFormat="1" ht="14.4" hidden="1" x14ac:dyDescent="0.3">
      <c r="A1087" s="12" t="s">
        <v>39</v>
      </c>
      <c r="B1087" s="12" t="s">
        <v>3225</v>
      </c>
      <c r="C1087" s="12">
        <v>70</v>
      </c>
      <c r="D1087" s="12">
        <v>265</v>
      </c>
      <c r="E1087" s="12" t="s">
        <v>2363</v>
      </c>
      <c r="F1087" s="12" t="s">
        <v>363</v>
      </c>
      <c r="G1087" s="12" t="str">
        <f t="shared" si="29"/>
        <v>70265900276962</v>
      </c>
      <c r="H1087" s="12" t="s">
        <v>3282</v>
      </c>
      <c r="I1087" s="12">
        <v>900276962</v>
      </c>
      <c r="J1087" s="12" t="s">
        <v>3283</v>
      </c>
      <c r="K1087" s="12" t="s">
        <v>44</v>
      </c>
      <c r="L1087" s="12" t="s">
        <v>45</v>
      </c>
      <c r="M1087" s="12" t="s">
        <v>45</v>
      </c>
      <c r="N1087" s="12" t="s">
        <v>780</v>
      </c>
      <c r="O1087" s="12" t="s">
        <v>260</v>
      </c>
      <c r="P1087" s="88" t="s">
        <v>261</v>
      </c>
      <c r="Q1087" s="13">
        <v>45972</v>
      </c>
      <c r="R1087" s="12" t="s">
        <v>247</v>
      </c>
      <c r="S1087" s="12" t="s">
        <v>8566</v>
      </c>
      <c r="U1087" s="12" t="s">
        <v>50</v>
      </c>
      <c r="V1087" s="13">
        <v>45841</v>
      </c>
      <c r="W1087" s="12" t="s">
        <v>7912</v>
      </c>
      <c r="X1087" s="12" t="s">
        <v>319</v>
      </c>
      <c r="Z1087" s="12" t="s">
        <v>50</v>
      </c>
      <c r="AA1087" s="12" t="s">
        <v>52</v>
      </c>
      <c r="AB1087" s="12" t="s">
        <v>52</v>
      </c>
      <c r="AC1087" s="13">
        <v>44685</v>
      </c>
      <c r="AD1087" s="16">
        <v>0.87</v>
      </c>
      <c r="AE1087" s="13" t="s">
        <v>49</v>
      </c>
      <c r="AI1087" s="13">
        <v>44610</v>
      </c>
      <c r="AJ1087" s="16">
        <v>0.88</v>
      </c>
      <c r="AK1087" s="13" t="s">
        <v>49</v>
      </c>
      <c r="AU1087" s="12" t="s">
        <v>164</v>
      </c>
    </row>
    <row r="1088" spans="1:47" s="12" customFormat="1" ht="14.4" hidden="1" x14ac:dyDescent="0.3">
      <c r="A1088" s="12" t="s">
        <v>39</v>
      </c>
      <c r="B1088" s="12" t="s">
        <v>3225</v>
      </c>
      <c r="C1088" s="12">
        <v>70</v>
      </c>
      <c r="D1088" s="12">
        <v>265</v>
      </c>
      <c r="F1088" s="12" t="s">
        <v>3284</v>
      </c>
      <c r="G1088" s="12" t="str">
        <f t="shared" si="29"/>
        <v>702651101388774</v>
      </c>
      <c r="H1088" s="12" t="s">
        <v>3285</v>
      </c>
      <c r="I1088" s="12">
        <v>1101388774</v>
      </c>
      <c r="J1088" s="12" t="s">
        <v>3286</v>
      </c>
      <c r="K1088" s="12" t="s">
        <v>44</v>
      </c>
      <c r="L1088" s="12">
        <v>3126598346</v>
      </c>
      <c r="M1088" s="12" t="s">
        <v>3287</v>
      </c>
      <c r="N1088" s="12" t="s">
        <v>780</v>
      </c>
      <c r="O1088" s="12" t="s">
        <v>260</v>
      </c>
      <c r="P1088" s="88" t="s">
        <v>261</v>
      </c>
      <c r="Q1088" s="12" t="s">
        <v>3288</v>
      </c>
      <c r="R1088" s="18">
        <v>0.86699999999999999</v>
      </c>
      <c r="S1088" s="12" t="s">
        <v>8566</v>
      </c>
      <c r="T1088" s="12" t="s">
        <v>3221</v>
      </c>
      <c r="U1088" s="12" t="s">
        <v>50</v>
      </c>
      <c r="V1088" s="12" t="s">
        <v>3289</v>
      </c>
      <c r="W1088" s="12">
        <v>84.25</v>
      </c>
      <c r="X1088" s="12" t="s">
        <v>87</v>
      </c>
      <c r="Y1088" s="18"/>
      <c r="Z1088" s="12" t="s">
        <v>50</v>
      </c>
      <c r="AA1088" s="12" t="s">
        <v>52</v>
      </c>
      <c r="AB1088" s="12" t="s">
        <v>52</v>
      </c>
      <c r="AC1088" s="13">
        <v>44598</v>
      </c>
      <c r="AD1088" s="16">
        <v>0.76</v>
      </c>
      <c r="AE1088" s="13" t="s">
        <v>49</v>
      </c>
      <c r="AF1088" s="12" t="s">
        <v>50</v>
      </c>
      <c r="AG1088" s="12" t="s">
        <v>51</v>
      </c>
      <c r="AH1088" s="12" t="s">
        <v>52</v>
      </c>
      <c r="AI1088" s="13">
        <v>44330</v>
      </c>
      <c r="AJ1088" s="16">
        <v>0.875</v>
      </c>
      <c r="AK1088" s="13" t="s">
        <v>49</v>
      </c>
      <c r="AL1088" s="12" t="s">
        <v>50</v>
      </c>
      <c r="AM1088" s="12" t="s">
        <v>51</v>
      </c>
      <c r="AN1088" s="12" t="s">
        <v>51</v>
      </c>
      <c r="AU1088" s="12" t="s">
        <v>53</v>
      </c>
    </row>
    <row r="1089" spans="1:47" s="12" customFormat="1" ht="14.4" hidden="1" x14ac:dyDescent="0.3">
      <c r="A1089" s="12" t="s">
        <v>39</v>
      </c>
      <c r="B1089" s="12" t="s">
        <v>3225</v>
      </c>
      <c r="C1089" s="12">
        <v>70</v>
      </c>
      <c r="D1089" s="12">
        <v>265</v>
      </c>
      <c r="F1089" s="275" t="s">
        <v>8432</v>
      </c>
      <c r="G1089" s="12" t="str">
        <f t="shared" si="29"/>
        <v>7026542365576</v>
      </c>
      <c r="H1089" s="12" t="s">
        <v>8433</v>
      </c>
      <c r="I1089" s="12">
        <v>42365576</v>
      </c>
      <c r="J1089" s="12" t="s">
        <v>8434</v>
      </c>
      <c r="K1089" s="12" t="s">
        <v>44</v>
      </c>
      <c r="L1089" s="12">
        <v>3107129042</v>
      </c>
      <c r="M1089" s="12" t="s">
        <v>8435</v>
      </c>
      <c r="N1089" s="12" t="s">
        <v>432</v>
      </c>
      <c r="O1089" s="12" t="s">
        <v>432</v>
      </c>
      <c r="P1089" s="88" t="s">
        <v>261</v>
      </c>
      <c r="Q1089" s="13">
        <v>45995</v>
      </c>
      <c r="R1089" s="16">
        <v>0.68</v>
      </c>
      <c r="S1089" s="12" t="s">
        <v>8566</v>
      </c>
      <c r="U1089" s="12" t="s">
        <v>60</v>
      </c>
      <c r="Y1089" s="18"/>
      <c r="AC1089" s="13"/>
      <c r="AD1089" s="16"/>
      <c r="AE1089" s="13"/>
      <c r="AI1089" s="13"/>
      <c r="AJ1089" s="16"/>
      <c r="AK1089" s="13"/>
      <c r="AU1089" s="12" t="s">
        <v>53</v>
      </c>
    </row>
    <row r="1090" spans="1:47" s="12" customFormat="1" ht="14.4" hidden="1" x14ac:dyDescent="0.3">
      <c r="A1090" s="12" t="s">
        <v>39</v>
      </c>
      <c r="B1090" s="12" t="s">
        <v>3225</v>
      </c>
      <c r="C1090" s="12">
        <v>70</v>
      </c>
      <c r="D1090" s="12">
        <v>265</v>
      </c>
      <c r="F1090" s="12" t="s">
        <v>3290</v>
      </c>
      <c r="G1090" s="12" t="str">
        <f t="shared" si="29"/>
        <v>702656798691-6</v>
      </c>
      <c r="H1090" s="12" t="s">
        <v>3291</v>
      </c>
      <c r="I1090" s="12" t="s">
        <v>3292</v>
      </c>
      <c r="J1090" s="12" t="s">
        <v>3293</v>
      </c>
      <c r="K1090" s="12" t="s">
        <v>44</v>
      </c>
      <c r="L1090" s="12" t="s">
        <v>45</v>
      </c>
      <c r="M1090" s="12" t="s">
        <v>45</v>
      </c>
      <c r="N1090" s="12" t="s">
        <v>780</v>
      </c>
      <c r="O1090" s="12" t="s">
        <v>260</v>
      </c>
      <c r="P1090" s="88" t="s">
        <v>261</v>
      </c>
      <c r="Q1090" s="13">
        <v>44425</v>
      </c>
      <c r="R1090" s="16">
        <v>0.83</v>
      </c>
      <c r="S1090" s="12" t="s">
        <v>8566</v>
      </c>
      <c r="U1090" s="12" t="s">
        <v>50</v>
      </c>
      <c r="V1090" s="13">
        <v>44306</v>
      </c>
      <c r="W1090" s="16">
        <v>0.8125</v>
      </c>
      <c r="X1090" s="13" t="s">
        <v>49</v>
      </c>
      <c r="AU1090" s="12" t="s">
        <v>164</v>
      </c>
    </row>
    <row r="1091" spans="1:47" s="12" customFormat="1" ht="14.4" hidden="1" x14ac:dyDescent="0.3">
      <c r="A1091" s="12" t="s">
        <v>39</v>
      </c>
      <c r="B1091" s="12" t="s">
        <v>3225</v>
      </c>
      <c r="C1091" s="12">
        <v>70</v>
      </c>
      <c r="D1091" s="12">
        <v>265</v>
      </c>
      <c r="F1091" s="12" t="s">
        <v>3294</v>
      </c>
      <c r="G1091" s="12" t="str">
        <f t="shared" si="29"/>
        <v>702656797043</v>
      </c>
      <c r="H1091" s="12" t="s">
        <v>3295</v>
      </c>
      <c r="I1091" s="12">
        <v>6797043</v>
      </c>
      <c r="J1091" s="12" t="s">
        <v>3296</v>
      </c>
      <c r="K1091" s="12" t="s">
        <v>44</v>
      </c>
      <c r="L1091" s="12" t="s">
        <v>45</v>
      </c>
      <c r="M1091" s="12" t="s">
        <v>45</v>
      </c>
      <c r="N1091" s="12" t="s">
        <v>780</v>
      </c>
      <c r="O1091" s="12" t="s">
        <v>260</v>
      </c>
      <c r="P1091" s="88" t="s">
        <v>261</v>
      </c>
      <c r="Q1091" s="13">
        <v>44613</v>
      </c>
      <c r="R1091" s="16">
        <v>0.86</v>
      </c>
      <c r="S1091" s="12" t="s">
        <v>8566</v>
      </c>
      <c r="U1091" s="12" t="s">
        <v>50</v>
      </c>
      <c r="V1091" s="13"/>
      <c r="W1091" s="13"/>
      <c r="X1091" s="13"/>
      <c r="AU1091" s="12" t="s">
        <v>164</v>
      </c>
    </row>
    <row r="1092" spans="1:47" s="12" customFormat="1" ht="14.4" hidden="1" x14ac:dyDescent="0.3">
      <c r="A1092" s="12" t="s">
        <v>39</v>
      </c>
      <c r="B1092" s="12" t="s">
        <v>3225</v>
      </c>
      <c r="C1092" s="12">
        <v>70</v>
      </c>
      <c r="D1092" s="12">
        <v>265</v>
      </c>
      <c r="F1092" s="12" t="s">
        <v>3297</v>
      </c>
      <c r="G1092" s="12" t="str">
        <f t="shared" si="29"/>
        <v>702651045019250</v>
      </c>
      <c r="H1092" s="12" t="s">
        <v>3298</v>
      </c>
      <c r="I1092" s="12">
        <v>1045019250</v>
      </c>
      <c r="J1092" s="12" t="s">
        <v>3299</v>
      </c>
      <c r="K1092" s="12" t="s">
        <v>44</v>
      </c>
      <c r="L1092" s="12" t="s">
        <v>45</v>
      </c>
      <c r="M1092" s="12" t="s">
        <v>45</v>
      </c>
      <c r="N1092" s="12" t="s">
        <v>780</v>
      </c>
      <c r="O1092" s="12" t="s">
        <v>260</v>
      </c>
      <c r="P1092" s="88" t="s">
        <v>261</v>
      </c>
      <c r="Q1092" s="13">
        <v>44824</v>
      </c>
      <c r="R1092" s="16">
        <v>0.85</v>
      </c>
      <c r="S1092" s="12" t="s">
        <v>8566</v>
      </c>
      <c r="U1092" s="12" t="s">
        <v>50</v>
      </c>
      <c r="V1092" s="13"/>
      <c r="W1092" s="13"/>
      <c r="X1092" s="13"/>
      <c r="AU1092" s="12" t="s">
        <v>164</v>
      </c>
    </row>
    <row r="1093" spans="1:47" s="12" customFormat="1" ht="14.4" hidden="1" x14ac:dyDescent="0.3">
      <c r="A1093" s="12" t="s">
        <v>39</v>
      </c>
      <c r="B1093" s="12" t="s">
        <v>3225</v>
      </c>
      <c r="C1093" s="12">
        <v>70</v>
      </c>
      <c r="D1093" s="12">
        <v>265</v>
      </c>
      <c r="F1093" s="12" t="s">
        <v>3300</v>
      </c>
      <c r="G1093" s="12" t="str">
        <f t="shared" si="29"/>
        <v>702651101384057</v>
      </c>
      <c r="H1093" s="12" t="s">
        <v>3301</v>
      </c>
      <c r="I1093" s="12">
        <v>1101384057</v>
      </c>
      <c r="J1093" s="12" t="s">
        <v>3302</v>
      </c>
      <c r="K1093" s="12" t="s">
        <v>44</v>
      </c>
      <c r="L1093" s="12">
        <v>3225038501</v>
      </c>
      <c r="M1093" s="12" t="s">
        <v>45</v>
      </c>
      <c r="N1093" s="12" t="s">
        <v>780</v>
      </c>
      <c r="O1093" s="12" t="s">
        <v>260</v>
      </c>
      <c r="P1093" s="88" t="s">
        <v>261</v>
      </c>
      <c r="Q1093" s="13">
        <v>44685</v>
      </c>
      <c r="R1093" s="16">
        <v>0.87</v>
      </c>
      <c r="S1093" s="12" t="s">
        <v>8566</v>
      </c>
      <c r="U1093" s="12" t="s">
        <v>50</v>
      </c>
      <c r="V1093" s="13">
        <v>44889</v>
      </c>
      <c r="W1093" s="16">
        <v>0.85</v>
      </c>
      <c r="X1093" s="13" t="s">
        <v>49</v>
      </c>
      <c r="Z1093" s="12" t="s">
        <v>50</v>
      </c>
      <c r="AA1093" s="12" t="s">
        <v>51</v>
      </c>
      <c r="AB1093" s="12" t="s">
        <v>51</v>
      </c>
      <c r="AU1093" s="12" t="s">
        <v>164</v>
      </c>
    </row>
    <row r="1094" spans="1:47" s="12" customFormat="1" ht="14.4" hidden="1" x14ac:dyDescent="0.3">
      <c r="A1094" s="12" t="s">
        <v>39</v>
      </c>
      <c r="B1094" s="12" t="s">
        <v>3225</v>
      </c>
      <c r="C1094" s="12">
        <v>70</v>
      </c>
      <c r="D1094" s="12">
        <v>265</v>
      </c>
      <c r="F1094" s="12" t="s">
        <v>3303</v>
      </c>
      <c r="G1094" s="12" t="str">
        <f t="shared" si="29"/>
        <v>7026542366875</v>
      </c>
      <c r="H1094" s="12" t="s">
        <v>3304</v>
      </c>
      <c r="I1094" s="12">
        <v>42366875</v>
      </c>
      <c r="J1094" s="12" t="s">
        <v>3305</v>
      </c>
      <c r="K1094" s="12" t="s">
        <v>44</v>
      </c>
      <c r="L1094" s="12">
        <v>3126659085</v>
      </c>
      <c r="M1094" s="12" t="s">
        <v>45</v>
      </c>
      <c r="N1094" s="12" t="s">
        <v>780</v>
      </c>
      <c r="O1094" s="12" t="s">
        <v>260</v>
      </c>
      <c r="P1094" s="88" t="s">
        <v>261</v>
      </c>
      <c r="Q1094" s="13">
        <v>44391</v>
      </c>
      <c r="R1094" s="16">
        <v>0.85</v>
      </c>
      <c r="S1094" s="12" t="s">
        <v>8566</v>
      </c>
      <c r="U1094" s="12" t="s">
        <v>50</v>
      </c>
      <c r="V1094" s="13"/>
      <c r="W1094" s="13"/>
      <c r="X1094" s="13"/>
      <c r="AU1094" s="12" t="s">
        <v>164</v>
      </c>
    </row>
    <row r="1095" spans="1:47" s="12" customFormat="1" ht="14.4" hidden="1" x14ac:dyDescent="0.3">
      <c r="A1095" s="12" t="s">
        <v>505</v>
      </c>
      <c r="B1095" s="12" t="s">
        <v>3225</v>
      </c>
      <c r="C1095" s="12">
        <v>70</v>
      </c>
      <c r="D1095" s="12">
        <v>265</v>
      </c>
      <c r="F1095" s="12" t="s">
        <v>3306</v>
      </c>
      <c r="G1095" s="12" t="str">
        <f t="shared" si="29"/>
        <v>702658230013503</v>
      </c>
      <c r="H1095" s="12" t="s">
        <v>3307</v>
      </c>
      <c r="I1095" s="12">
        <v>8230013503</v>
      </c>
      <c r="J1095" s="12" t="s">
        <v>3308</v>
      </c>
      <c r="K1095" s="12" t="s">
        <v>44</v>
      </c>
      <c r="L1095" s="12" t="s">
        <v>45</v>
      </c>
      <c r="M1095" s="12" t="s">
        <v>45</v>
      </c>
      <c r="N1095" s="12" t="s">
        <v>780</v>
      </c>
      <c r="O1095" s="12" t="s">
        <v>260</v>
      </c>
      <c r="P1095" s="88" t="s">
        <v>261</v>
      </c>
      <c r="Q1095" s="13">
        <v>44704</v>
      </c>
      <c r="R1095" s="16">
        <v>0.87</v>
      </c>
      <c r="S1095" s="12" t="s">
        <v>8566</v>
      </c>
      <c r="U1095" s="12" t="s">
        <v>50</v>
      </c>
      <c r="V1095" s="13">
        <v>44427</v>
      </c>
      <c r="W1095" s="16">
        <v>0.86</v>
      </c>
      <c r="X1095" s="13" t="s">
        <v>49</v>
      </c>
      <c r="Z1095" s="12" t="s">
        <v>50</v>
      </c>
      <c r="AA1095" s="12" t="s">
        <v>51</v>
      </c>
      <c r="AB1095" s="12" t="s">
        <v>51</v>
      </c>
      <c r="AC1095" s="13">
        <v>44699</v>
      </c>
      <c r="AD1095" s="16">
        <v>0.8175</v>
      </c>
      <c r="AE1095" s="13" t="s">
        <v>49</v>
      </c>
      <c r="AF1095" s="12" t="s">
        <v>3309</v>
      </c>
      <c r="AG1095" s="12" t="s">
        <v>51</v>
      </c>
      <c r="AH1095" s="12" t="s">
        <v>51</v>
      </c>
      <c r="AU1095" s="12" t="s">
        <v>164</v>
      </c>
    </row>
    <row r="1096" spans="1:47" s="12" customFormat="1" ht="14.4" hidden="1" x14ac:dyDescent="0.3">
      <c r="A1096" s="12" t="s">
        <v>39</v>
      </c>
      <c r="B1096" s="12" t="s">
        <v>3225</v>
      </c>
      <c r="C1096" s="12">
        <v>70</v>
      </c>
      <c r="D1096" s="12">
        <v>265</v>
      </c>
      <c r="F1096" s="12" t="s">
        <v>3310</v>
      </c>
      <c r="G1096" s="12" t="str">
        <f t="shared" si="29"/>
        <v>7026522804496</v>
      </c>
      <c r="H1096" s="12" t="s">
        <v>3311</v>
      </c>
      <c r="I1096" s="12">
        <v>22804496</v>
      </c>
      <c r="J1096" s="12" t="s">
        <v>3312</v>
      </c>
      <c r="K1096" s="12" t="s">
        <v>44</v>
      </c>
      <c r="L1096" s="12" t="s">
        <v>45</v>
      </c>
      <c r="M1096" s="12" t="s">
        <v>3313</v>
      </c>
      <c r="N1096" s="12" t="s">
        <v>780</v>
      </c>
      <c r="O1096" s="12" t="s">
        <v>260</v>
      </c>
      <c r="P1096" s="88" t="s">
        <v>261</v>
      </c>
      <c r="Q1096" s="13">
        <v>45035</v>
      </c>
      <c r="R1096" s="16">
        <v>0.66249999999999998</v>
      </c>
      <c r="S1096" s="12" t="s">
        <v>8566</v>
      </c>
      <c r="U1096" s="12" t="s">
        <v>50</v>
      </c>
      <c r="V1096" s="13"/>
      <c r="W1096" s="13"/>
      <c r="X1096" s="13"/>
      <c r="AU1096" s="12" t="s">
        <v>53</v>
      </c>
    </row>
    <row r="1097" spans="1:47" s="12" customFormat="1" ht="14.4" hidden="1" x14ac:dyDescent="0.3">
      <c r="A1097" s="12" t="s">
        <v>39</v>
      </c>
      <c r="B1097" s="12" t="s">
        <v>3225</v>
      </c>
      <c r="C1097" s="12">
        <v>70</v>
      </c>
      <c r="D1097" s="12">
        <v>265</v>
      </c>
      <c r="F1097" s="12" t="s">
        <v>3314</v>
      </c>
      <c r="G1097" s="12" t="str">
        <f t="shared" si="29"/>
        <v>70265702658230013503</v>
      </c>
      <c r="H1097" s="12" t="s">
        <v>3315</v>
      </c>
      <c r="I1097" s="12">
        <v>702658230013503</v>
      </c>
      <c r="J1097" s="12" t="s">
        <v>3316</v>
      </c>
      <c r="K1097" s="12" t="s">
        <v>44</v>
      </c>
      <c r="L1097" s="12" t="s">
        <v>45</v>
      </c>
      <c r="M1097" s="12" t="s">
        <v>45</v>
      </c>
      <c r="N1097" s="12" t="s">
        <v>780</v>
      </c>
      <c r="O1097" s="12" t="s">
        <v>260</v>
      </c>
      <c r="P1097" s="88" t="s">
        <v>261</v>
      </c>
      <c r="Q1097" s="13">
        <v>44448</v>
      </c>
      <c r="R1097" s="16">
        <v>0.82</v>
      </c>
      <c r="S1097" s="12" t="s">
        <v>8566</v>
      </c>
      <c r="U1097" s="12" t="s">
        <v>50</v>
      </c>
      <c r="V1097" s="13"/>
      <c r="W1097" s="13"/>
      <c r="X1097" s="13"/>
      <c r="AU1097" s="12" t="s">
        <v>164</v>
      </c>
    </row>
    <row r="1098" spans="1:47" s="12" customFormat="1" ht="14.4" hidden="1" x14ac:dyDescent="0.3">
      <c r="A1098" s="12" t="s">
        <v>39</v>
      </c>
      <c r="B1098" s="12" t="s">
        <v>3225</v>
      </c>
      <c r="C1098" s="12">
        <v>70</v>
      </c>
      <c r="D1098" s="12">
        <v>265</v>
      </c>
      <c r="F1098" s="12" t="s">
        <v>3317</v>
      </c>
      <c r="G1098" s="12" t="str">
        <f t="shared" si="29"/>
        <v>702651101392029</v>
      </c>
      <c r="H1098" s="12" t="s">
        <v>3318</v>
      </c>
      <c r="I1098" s="12">
        <v>1101392029</v>
      </c>
      <c r="J1098" s="12" t="s">
        <v>3319</v>
      </c>
      <c r="K1098" s="12" t="s">
        <v>44</v>
      </c>
      <c r="L1098" s="12">
        <v>3117731347</v>
      </c>
      <c r="M1098" s="12" t="s">
        <v>45</v>
      </c>
      <c r="N1098" s="12" t="s">
        <v>780</v>
      </c>
      <c r="O1098" s="12" t="s">
        <v>260</v>
      </c>
      <c r="P1098" s="88" t="s">
        <v>261</v>
      </c>
      <c r="Q1098" s="13">
        <v>45149</v>
      </c>
      <c r="R1098" s="16">
        <v>0.90500000000000003</v>
      </c>
      <c r="S1098" s="13" t="s">
        <v>210</v>
      </c>
      <c r="U1098" s="12" t="s">
        <v>50</v>
      </c>
      <c r="V1098" s="13">
        <v>44447</v>
      </c>
      <c r="W1098" s="16">
        <v>0.86</v>
      </c>
      <c r="X1098" s="13" t="s">
        <v>49</v>
      </c>
      <c r="Z1098" s="12" t="s">
        <v>50</v>
      </c>
      <c r="AA1098" s="12" t="s">
        <v>51</v>
      </c>
      <c r="AB1098" s="12" t="s">
        <v>51</v>
      </c>
      <c r="AU1098" s="12" t="s">
        <v>53</v>
      </c>
    </row>
    <row r="1099" spans="1:47" s="12" customFormat="1" ht="14.4" hidden="1" x14ac:dyDescent="0.3">
      <c r="A1099" s="12" t="s">
        <v>39</v>
      </c>
      <c r="B1099" s="12" t="s">
        <v>3225</v>
      </c>
      <c r="C1099" s="12">
        <v>70</v>
      </c>
      <c r="D1099" s="12">
        <v>265</v>
      </c>
      <c r="F1099" s="12" t="s">
        <v>3320</v>
      </c>
      <c r="G1099" s="12" t="str">
        <f t="shared" si="29"/>
        <v>702651192806875</v>
      </c>
      <c r="H1099" s="12" t="s">
        <v>3321</v>
      </c>
      <c r="I1099" s="12">
        <v>1192806875</v>
      </c>
      <c r="J1099" s="12" t="s">
        <v>3322</v>
      </c>
      <c r="K1099" s="12" t="s">
        <v>44</v>
      </c>
      <c r="L1099" s="12" t="s">
        <v>45</v>
      </c>
      <c r="M1099" s="12" t="s">
        <v>3323</v>
      </c>
      <c r="N1099" s="12" t="s">
        <v>780</v>
      </c>
      <c r="O1099" s="12" t="s">
        <v>260</v>
      </c>
      <c r="P1099" s="88" t="s">
        <v>261</v>
      </c>
      <c r="Q1099" s="13">
        <v>44546</v>
      </c>
      <c r="R1099" s="16">
        <v>0.74750000000000005</v>
      </c>
      <c r="S1099" s="13" t="s">
        <v>49</v>
      </c>
      <c r="U1099" s="12" t="s">
        <v>50</v>
      </c>
      <c r="V1099" s="13">
        <v>44494</v>
      </c>
      <c r="W1099" s="16">
        <v>0.76500000000000001</v>
      </c>
      <c r="X1099" s="13" t="s">
        <v>49</v>
      </c>
      <c r="Z1099" s="12" t="s">
        <v>50</v>
      </c>
      <c r="AA1099" s="12" t="s">
        <v>51</v>
      </c>
      <c r="AB1099" s="12" t="s">
        <v>51</v>
      </c>
      <c r="AU1099" s="12" t="s">
        <v>164</v>
      </c>
    </row>
    <row r="1100" spans="1:47" s="12" customFormat="1" ht="14.4" hidden="1" x14ac:dyDescent="0.3">
      <c r="A1100" s="12" t="s">
        <v>505</v>
      </c>
      <c r="B1100" s="12" t="s">
        <v>3225</v>
      </c>
      <c r="C1100" s="12">
        <v>79</v>
      </c>
      <c r="D1100" s="12">
        <v>265</v>
      </c>
      <c r="F1100" s="12" t="s">
        <v>3324</v>
      </c>
      <c r="G1100" s="12" t="str">
        <f t="shared" si="29"/>
        <v>792651101383185</v>
      </c>
      <c r="H1100" s="12" t="s">
        <v>3325</v>
      </c>
      <c r="I1100" s="12">
        <v>1101383185</v>
      </c>
      <c r="J1100" s="12" t="s">
        <v>3326</v>
      </c>
      <c r="K1100" s="12" t="s">
        <v>44</v>
      </c>
      <c r="L1100" s="12" t="s">
        <v>3327</v>
      </c>
      <c r="M1100" s="12" t="s">
        <v>45</v>
      </c>
      <c r="N1100" s="12" t="s">
        <v>780</v>
      </c>
      <c r="O1100" s="12" t="s">
        <v>260</v>
      </c>
      <c r="P1100" s="88" t="s">
        <v>261</v>
      </c>
      <c r="Q1100" s="12" t="s">
        <v>369</v>
      </c>
      <c r="R1100" s="18">
        <v>0.79500000000000004</v>
      </c>
      <c r="S1100" s="13" t="s">
        <v>49</v>
      </c>
      <c r="T1100" s="12" t="s">
        <v>3328</v>
      </c>
      <c r="U1100" s="12" t="s">
        <v>50</v>
      </c>
      <c r="V1100" s="13"/>
      <c r="W1100" s="16"/>
      <c r="X1100" s="13"/>
      <c r="AC1100" s="13"/>
      <c r="AD1100" s="16"/>
      <c r="AE1100" s="13"/>
      <c r="AU1100" s="12" t="s">
        <v>53</v>
      </c>
    </row>
    <row r="1101" spans="1:47" s="12" customFormat="1" ht="14.4" hidden="1" x14ac:dyDescent="0.3">
      <c r="A1101" s="12" t="s">
        <v>39</v>
      </c>
      <c r="B1101" s="12" t="s">
        <v>3225</v>
      </c>
      <c r="C1101" s="12">
        <v>70</v>
      </c>
      <c r="D1101" s="12">
        <v>265</v>
      </c>
      <c r="F1101" s="12" t="s">
        <v>3329</v>
      </c>
      <c r="G1101" s="12" t="str">
        <f t="shared" si="29"/>
        <v>7026527814988</v>
      </c>
      <c r="H1101" s="12" t="s">
        <v>3330</v>
      </c>
      <c r="I1101" s="12">
        <v>27814988</v>
      </c>
      <c r="J1101" s="12" t="s">
        <v>3331</v>
      </c>
      <c r="K1101" s="12" t="s">
        <v>44</v>
      </c>
      <c r="L1101" s="12" t="s">
        <v>45</v>
      </c>
      <c r="M1101" s="12" t="s">
        <v>45</v>
      </c>
      <c r="N1101" s="12" t="s">
        <v>780</v>
      </c>
      <c r="O1101" s="12" t="s">
        <v>260</v>
      </c>
      <c r="P1101" s="88" t="s">
        <v>261</v>
      </c>
      <c r="Z1101" s="12" t="s">
        <v>50</v>
      </c>
      <c r="AA1101" s="12" t="s">
        <v>51</v>
      </c>
      <c r="AB1101" s="12" t="s">
        <v>52</v>
      </c>
      <c r="AU1101" s="12" t="s">
        <v>164</v>
      </c>
    </row>
    <row r="1102" spans="1:47" s="12" customFormat="1" ht="14.4" hidden="1" x14ac:dyDescent="0.3">
      <c r="A1102" s="12" t="s">
        <v>39</v>
      </c>
      <c r="B1102" s="12" t="s">
        <v>3225</v>
      </c>
      <c r="C1102" s="12">
        <v>70</v>
      </c>
      <c r="D1102" s="12">
        <v>265</v>
      </c>
      <c r="F1102" s="12" t="s">
        <v>3332</v>
      </c>
      <c r="G1102" s="12" t="str">
        <f t="shared" si="29"/>
        <v>70265NO REGISTRA</v>
      </c>
      <c r="H1102" s="12" t="s">
        <v>3333</v>
      </c>
      <c r="I1102" s="12" t="s">
        <v>45</v>
      </c>
      <c r="J1102" s="12" t="s">
        <v>45</v>
      </c>
      <c r="K1102" s="12" t="s">
        <v>44</v>
      </c>
      <c r="L1102" s="12" t="s">
        <v>45</v>
      </c>
      <c r="M1102" s="12" t="s">
        <v>45</v>
      </c>
      <c r="N1102" s="12" t="s">
        <v>780</v>
      </c>
      <c r="O1102" s="12" t="s">
        <v>260</v>
      </c>
      <c r="P1102" s="88" t="s">
        <v>261</v>
      </c>
      <c r="Z1102" s="12" t="s">
        <v>50</v>
      </c>
      <c r="AA1102" s="12" t="s">
        <v>51</v>
      </c>
      <c r="AB1102" s="12" t="s">
        <v>52</v>
      </c>
      <c r="AU1102" s="12" t="s">
        <v>164</v>
      </c>
    </row>
    <row r="1103" spans="1:47" s="12" customFormat="1" ht="14.4" hidden="1" x14ac:dyDescent="0.3">
      <c r="A1103" s="12" t="s">
        <v>39</v>
      </c>
      <c r="B1103" s="12" t="s">
        <v>3225</v>
      </c>
      <c r="C1103" s="12">
        <v>70</v>
      </c>
      <c r="D1103" s="12">
        <v>265</v>
      </c>
      <c r="F1103" s="12" t="s">
        <v>3334</v>
      </c>
      <c r="G1103" s="12" t="str">
        <f t="shared" si="29"/>
        <v>70265NO REGISTRA</v>
      </c>
      <c r="H1103" s="12" t="s">
        <v>3335</v>
      </c>
      <c r="I1103" s="12" t="s">
        <v>45</v>
      </c>
      <c r="J1103" s="12" t="s">
        <v>3336</v>
      </c>
      <c r="K1103" s="12" t="s">
        <v>44</v>
      </c>
      <c r="L1103" s="12" t="s">
        <v>45</v>
      </c>
      <c r="M1103" s="12" t="s">
        <v>45</v>
      </c>
      <c r="N1103" s="12" t="s">
        <v>780</v>
      </c>
      <c r="O1103" s="12" t="s">
        <v>260</v>
      </c>
      <c r="P1103" s="88" t="s">
        <v>261</v>
      </c>
      <c r="Q1103" s="13">
        <v>45147</v>
      </c>
      <c r="R1103" s="16">
        <v>0.85</v>
      </c>
      <c r="S1103" s="13" t="s">
        <v>49</v>
      </c>
      <c r="U1103" s="12" t="s">
        <v>50</v>
      </c>
      <c r="V1103" s="13">
        <v>44867</v>
      </c>
      <c r="W1103" s="16">
        <v>0.77</v>
      </c>
      <c r="X1103" s="13" t="s">
        <v>49</v>
      </c>
      <c r="Z1103" s="12" t="s">
        <v>50</v>
      </c>
      <c r="AA1103" s="12" t="s">
        <v>51</v>
      </c>
      <c r="AB1103" s="12" t="s">
        <v>51</v>
      </c>
      <c r="AU1103" s="12" t="s">
        <v>53</v>
      </c>
    </row>
    <row r="1104" spans="1:47" s="12" customFormat="1" ht="14.4" hidden="1" x14ac:dyDescent="0.3">
      <c r="A1104" s="12" t="s">
        <v>39</v>
      </c>
      <c r="B1104" s="12" t="s">
        <v>3225</v>
      </c>
      <c r="C1104" s="12">
        <v>70</v>
      </c>
      <c r="D1104" s="12">
        <v>265</v>
      </c>
      <c r="F1104" s="12" t="s">
        <v>3337</v>
      </c>
      <c r="G1104" s="12" t="str">
        <f t="shared" si="29"/>
        <v>7026522667658</v>
      </c>
      <c r="H1104" s="12" t="s">
        <v>3338</v>
      </c>
      <c r="I1104" s="12">
        <v>22667658</v>
      </c>
      <c r="J1104" s="12" t="s">
        <v>3339</v>
      </c>
      <c r="K1104" s="12" t="s">
        <v>44</v>
      </c>
      <c r="L1104" s="12" t="s">
        <v>45</v>
      </c>
      <c r="M1104" s="12" t="s">
        <v>45</v>
      </c>
      <c r="N1104" s="12" t="s">
        <v>780</v>
      </c>
      <c r="O1104" s="12" t="s">
        <v>260</v>
      </c>
      <c r="P1104" s="88" t="s">
        <v>261</v>
      </c>
      <c r="Q1104" s="13">
        <v>45162</v>
      </c>
      <c r="R1104" s="16">
        <v>0.79</v>
      </c>
      <c r="S1104" s="13" t="s">
        <v>49</v>
      </c>
      <c r="U1104" s="12" t="s">
        <v>50</v>
      </c>
      <c r="V1104" s="13">
        <v>44853</v>
      </c>
      <c r="W1104" s="16">
        <v>0.79</v>
      </c>
      <c r="X1104" s="13" t="s">
        <v>49</v>
      </c>
      <c r="Z1104" s="12" t="s">
        <v>50</v>
      </c>
      <c r="AA1104" s="12" t="s">
        <v>51</v>
      </c>
      <c r="AB1104" s="12" t="s">
        <v>51</v>
      </c>
      <c r="AU1104" s="12" t="s">
        <v>53</v>
      </c>
    </row>
    <row r="1105" spans="1:47" s="12" customFormat="1" ht="14.4" hidden="1" x14ac:dyDescent="0.3">
      <c r="A1105" s="12" t="s">
        <v>39</v>
      </c>
      <c r="B1105" s="12" t="s">
        <v>3225</v>
      </c>
      <c r="C1105" s="12">
        <v>70</v>
      </c>
      <c r="D1105" s="12">
        <v>265</v>
      </c>
      <c r="F1105" s="12" t="s">
        <v>3340</v>
      </c>
      <c r="G1105" s="12" t="str">
        <f t="shared" si="29"/>
        <v>70265228044960</v>
      </c>
      <c r="H1105" s="12" t="s">
        <v>3341</v>
      </c>
      <c r="I1105" s="12">
        <v>228044960</v>
      </c>
      <c r="J1105" s="12" t="s">
        <v>3342</v>
      </c>
      <c r="K1105" s="12" t="s">
        <v>44</v>
      </c>
      <c r="L1105" s="12">
        <v>3170601462</v>
      </c>
      <c r="M1105" s="12" t="s">
        <v>45</v>
      </c>
      <c r="N1105" s="12" t="s">
        <v>780</v>
      </c>
      <c r="O1105" s="12" t="s">
        <v>260</v>
      </c>
      <c r="P1105" s="88" t="s">
        <v>261</v>
      </c>
      <c r="Q1105" s="12" t="s">
        <v>58</v>
      </c>
      <c r="R1105" s="12" t="s">
        <v>900</v>
      </c>
      <c r="S1105" s="13" t="s">
        <v>49</v>
      </c>
      <c r="T1105" s="12" t="s">
        <v>3228</v>
      </c>
      <c r="U1105" s="12" t="s">
        <v>60</v>
      </c>
      <c r="V1105" s="13" t="s">
        <v>3289</v>
      </c>
      <c r="W1105" s="16">
        <v>0.70750000000000002</v>
      </c>
      <c r="X1105" s="13" t="s">
        <v>49</v>
      </c>
      <c r="Z1105" s="12" t="s">
        <v>50</v>
      </c>
      <c r="AA1105" s="12" t="s">
        <v>51</v>
      </c>
      <c r="AB1105" s="12" t="s">
        <v>52</v>
      </c>
      <c r="AC1105" s="13"/>
      <c r="AD1105" s="16"/>
      <c r="AE1105" s="13"/>
      <c r="AI1105" s="13"/>
      <c r="AJ1105" s="16"/>
      <c r="AK1105" s="13"/>
      <c r="AU1105" s="12" t="s">
        <v>53</v>
      </c>
    </row>
    <row r="1106" spans="1:47" s="12" customFormat="1" ht="14.4" hidden="1" x14ac:dyDescent="0.3">
      <c r="A1106" s="12" t="s">
        <v>39</v>
      </c>
      <c r="B1106" s="12" t="s">
        <v>3225</v>
      </c>
      <c r="C1106" s="12">
        <v>70</v>
      </c>
      <c r="D1106" s="12">
        <v>265</v>
      </c>
      <c r="F1106" s="12" t="s">
        <v>3343</v>
      </c>
      <c r="G1106" s="12" t="str">
        <f t="shared" si="29"/>
        <v>702651193222594</v>
      </c>
      <c r="H1106" s="12" t="s">
        <v>3344</v>
      </c>
      <c r="I1106" s="12">
        <v>1193222594</v>
      </c>
      <c r="J1106" s="12" t="s">
        <v>3345</v>
      </c>
      <c r="K1106" s="12" t="s">
        <v>44</v>
      </c>
      <c r="L1106" s="12" t="s">
        <v>45</v>
      </c>
      <c r="M1106" s="12" t="s">
        <v>45</v>
      </c>
      <c r="N1106" s="12" t="s">
        <v>780</v>
      </c>
      <c r="O1106" s="12" t="s">
        <v>260</v>
      </c>
      <c r="P1106" s="88" t="s">
        <v>261</v>
      </c>
      <c r="V1106" s="13">
        <v>45069</v>
      </c>
      <c r="W1106" s="16">
        <v>0.81</v>
      </c>
      <c r="X1106" s="13" t="s">
        <v>49</v>
      </c>
      <c r="Z1106" s="12" t="s">
        <v>50</v>
      </c>
      <c r="AA1106" s="12" t="s">
        <v>51</v>
      </c>
      <c r="AB1106" s="12" t="s">
        <v>52</v>
      </c>
      <c r="AC1106" s="13">
        <v>44869</v>
      </c>
      <c r="AD1106" s="16">
        <v>0.79</v>
      </c>
      <c r="AE1106" s="13" t="s">
        <v>49</v>
      </c>
      <c r="AF1106" s="12" t="s">
        <v>50</v>
      </c>
      <c r="AG1106" s="12" t="s">
        <v>51</v>
      </c>
      <c r="AH1106" s="12" t="s">
        <v>51</v>
      </c>
      <c r="AU1106" s="12" t="s">
        <v>53</v>
      </c>
    </row>
    <row r="1107" spans="1:47" s="12" customFormat="1" ht="14.4" hidden="1" x14ac:dyDescent="0.3">
      <c r="A1107" s="12" t="s">
        <v>39</v>
      </c>
      <c r="B1107" s="12" t="s">
        <v>3225</v>
      </c>
      <c r="C1107" s="12">
        <v>70</v>
      </c>
      <c r="D1107" s="12">
        <v>265</v>
      </c>
      <c r="F1107" s="12" t="s">
        <v>3346</v>
      </c>
      <c r="G1107" s="12" t="str">
        <f t="shared" si="29"/>
        <v>702656798007</v>
      </c>
      <c r="H1107" s="12" t="s">
        <v>3347</v>
      </c>
      <c r="I1107" s="12">
        <v>6798007</v>
      </c>
      <c r="J1107" s="12" t="s">
        <v>3348</v>
      </c>
      <c r="K1107" s="12" t="s">
        <v>44</v>
      </c>
      <c r="L1107" s="12" t="s">
        <v>45</v>
      </c>
      <c r="M1107" s="12" t="s">
        <v>45</v>
      </c>
      <c r="N1107" s="12" t="s">
        <v>780</v>
      </c>
      <c r="O1107" s="12" t="s">
        <v>260</v>
      </c>
      <c r="P1107" s="88" t="s">
        <v>261</v>
      </c>
      <c r="Q1107" s="13">
        <v>45393</v>
      </c>
      <c r="R1107" s="16">
        <v>0.75</v>
      </c>
      <c r="S1107" s="12" t="s">
        <v>7696</v>
      </c>
      <c r="T1107" s="12" t="s">
        <v>3228</v>
      </c>
      <c r="U1107" s="12" t="s">
        <v>50</v>
      </c>
      <c r="V1107" s="13">
        <v>45030</v>
      </c>
      <c r="W1107" s="16">
        <v>0.755</v>
      </c>
      <c r="X1107" s="13" t="s">
        <v>49</v>
      </c>
      <c r="Z1107" s="12" t="s">
        <v>50</v>
      </c>
      <c r="AA1107" s="12" t="s">
        <v>51</v>
      </c>
      <c r="AB1107" s="12" t="s">
        <v>52</v>
      </c>
      <c r="AC1107" s="13">
        <v>44824</v>
      </c>
      <c r="AD1107" s="16">
        <v>0.77</v>
      </c>
      <c r="AE1107" s="13" t="s">
        <v>49</v>
      </c>
      <c r="AF1107" s="12" t="s">
        <v>50</v>
      </c>
      <c r="AG1107" s="12" t="s">
        <v>51</v>
      </c>
      <c r="AH1107" s="12" t="s">
        <v>51</v>
      </c>
      <c r="AU1107" s="12" t="s">
        <v>53</v>
      </c>
    </row>
    <row r="1108" spans="1:47" s="12" customFormat="1" ht="14.4" hidden="1" x14ac:dyDescent="0.3">
      <c r="A1108" s="12" t="s">
        <v>39</v>
      </c>
      <c r="B1108" s="12" t="s">
        <v>3225</v>
      </c>
      <c r="C1108" s="12">
        <v>70</v>
      </c>
      <c r="D1108" s="12">
        <v>265</v>
      </c>
      <c r="F1108" s="12" t="s">
        <v>3349</v>
      </c>
      <c r="G1108" s="12" t="str">
        <f t="shared" si="29"/>
        <v>702651192777343</v>
      </c>
      <c r="H1108" s="12" t="s">
        <v>3350</v>
      </c>
      <c r="I1108" s="12">
        <v>1192777343</v>
      </c>
      <c r="J1108" s="12" t="s">
        <v>3351</v>
      </c>
      <c r="K1108" s="12" t="s">
        <v>44</v>
      </c>
      <c r="L1108" s="12">
        <v>317821483</v>
      </c>
      <c r="M1108" s="12" t="s">
        <v>45</v>
      </c>
      <c r="N1108" s="12" t="s">
        <v>780</v>
      </c>
      <c r="O1108" s="12" t="s">
        <v>260</v>
      </c>
      <c r="P1108" s="88" t="s">
        <v>261</v>
      </c>
      <c r="Q1108" s="13">
        <v>45607</v>
      </c>
      <c r="R1108" s="16" t="s">
        <v>3352</v>
      </c>
      <c r="S1108" s="12" t="s">
        <v>7696</v>
      </c>
      <c r="T1108" s="12" t="s">
        <v>3228</v>
      </c>
      <c r="U1108" s="12" t="s">
        <v>50</v>
      </c>
      <c r="V1108" s="13"/>
      <c r="W1108" s="16"/>
      <c r="X1108" s="13"/>
      <c r="AC1108" s="13"/>
      <c r="AD1108" s="16"/>
      <c r="AE1108" s="13"/>
      <c r="AU1108" s="12" t="s">
        <v>53</v>
      </c>
    </row>
    <row r="1109" spans="1:47" s="12" customFormat="1" ht="14.4" hidden="1" x14ac:dyDescent="0.3">
      <c r="A1109" s="12" t="s">
        <v>39</v>
      </c>
      <c r="B1109" s="12" t="s">
        <v>3225</v>
      </c>
      <c r="C1109" s="12">
        <v>70</v>
      </c>
      <c r="D1109" s="12">
        <v>265</v>
      </c>
      <c r="F1109" s="12" t="s">
        <v>3353</v>
      </c>
      <c r="G1109" s="12" t="str">
        <f t="shared" si="29"/>
        <v>7026567983801</v>
      </c>
      <c r="H1109" s="12" t="s">
        <v>3354</v>
      </c>
      <c r="I1109" s="12">
        <v>67983801</v>
      </c>
      <c r="J1109" s="12" t="s">
        <v>3355</v>
      </c>
      <c r="K1109" s="12" t="s">
        <v>44</v>
      </c>
      <c r="L1109" s="12" t="s">
        <v>45</v>
      </c>
      <c r="M1109" s="12" t="s">
        <v>45</v>
      </c>
      <c r="N1109" s="12" t="s">
        <v>780</v>
      </c>
      <c r="O1109" s="12" t="s">
        <v>260</v>
      </c>
      <c r="P1109" s="88" t="s">
        <v>261</v>
      </c>
      <c r="Q1109" s="13">
        <v>45224</v>
      </c>
      <c r="R1109" s="16">
        <v>0.83</v>
      </c>
      <c r="S1109" s="12" t="s">
        <v>7696</v>
      </c>
      <c r="U1109" s="12" t="s">
        <v>50</v>
      </c>
      <c r="V1109" s="13">
        <v>44719</v>
      </c>
      <c r="W1109" s="16">
        <v>0.7</v>
      </c>
      <c r="X1109" s="13" t="s">
        <v>49</v>
      </c>
      <c r="Z1109" s="12" t="s">
        <v>50</v>
      </c>
      <c r="AA1109" s="12" t="s">
        <v>51</v>
      </c>
      <c r="AB1109" s="12" t="s">
        <v>51</v>
      </c>
      <c r="AU1109" s="12" t="s">
        <v>53</v>
      </c>
    </row>
    <row r="1110" spans="1:47" s="12" customFormat="1" ht="14.4" hidden="1" x14ac:dyDescent="0.3">
      <c r="A1110" s="12" t="s">
        <v>505</v>
      </c>
      <c r="B1110" s="12" t="s">
        <v>3225</v>
      </c>
      <c r="C1110" s="12">
        <v>70</v>
      </c>
      <c r="D1110" s="12">
        <v>265</v>
      </c>
      <c r="F1110" s="12" t="s">
        <v>3356</v>
      </c>
      <c r="G1110" s="12" t="str">
        <f t="shared" si="29"/>
        <v>7026542366845</v>
      </c>
      <c r="H1110" s="12" t="s">
        <v>3357</v>
      </c>
      <c r="I1110" s="12">
        <v>42366845</v>
      </c>
      <c r="J1110" s="12" t="s">
        <v>3358</v>
      </c>
      <c r="K1110" s="12" t="s">
        <v>44</v>
      </c>
      <c r="L1110" s="12" t="s">
        <v>45</v>
      </c>
      <c r="M1110" s="12" t="s">
        <v>45</v>
      </c>
      <c r="N1110" s="12" t="s">
        <v>780</v>
      </c>
      <c r="O1110" s="12" t="s">
        <v>260</v>
      </c>
      <c r="P1110" s="88" t="s">
        <v>261</v>
      </c>
      <c r="Q1110" s="13">
        <v>45237</v>
      </c>
      <c r="R1110" s="16">
        <v>0.81499999999999995</v>
      </c>
      <c r="S1110" s="12" t="s">
        <v>7696</v>
      </c>
      <c r="U1110" s="12" t="s">
        <v>50</v>
      </c>
      <c r="V1110" s="13">
        <v>44687</v>
      </c>
      <c r="W1110" s="16">
        <v>0.84</v>
      </c>
      <c r="X1110" s="13" t="s">
        <v>49</v>
      </c>
      <c r="Z1110" s="12" t="s">
        <v>50</v>
      </c>
      <c r="AA1110" s="12" t="s">
        <v>51</v>
      </c>
      <c r="AB1110" s="12" t="s">
        <v>51</v>
      </c>
      <c r="AU1110" s="12" t="s">
        <v>53</v>
      </c>
    </row>
    <row r="1111" spans="1:47" s="12" customFormat="1" ht="14.4" hidden="1" x14ac:dyDescent="0.3">
      <c r="A1111" s="12" t="s">
        <v>505</v>
      </c>
      <c r="B1111" s="12" t="s">
        <v>3225</v>
      </c>
      <c r="C1111" s="12">
        <v>70</v>
      </c>
      <c r="D1111" s="12">
        <v>265</v>
      </c>
      <c r="F1111" s="12" t="s">
        <v>3359</v>
      </c>
      <c r="G1111" s="12" t="str">
        <f t="shared" si="29"/>
        <v>702651101385386</v>
      </c>
      <c r="H1111" s="12" t="s">
        <v>3360</v>
      </c>
      <c r="I1111" s="12">
        <v>1101385386</v>
      </c>
      <c r="J1111" s="12" t="s">
        <v>3361</v>
      </c>
      <c r="K1111" s="12" t="s">
        <v>44</v>
      </c>
      <c r="L1111" s="12" t="s">
        <v>45</v>
      </c>
      <c r="M1111" s="12" t="s">
        <v>45</v>
      </c>
      <c r="N1111" s="12" t="s">
        <v>780</v>
      </c>
      <c r="O1111" s="12" t="s">
        <v>260</v>
      </c>
      <c r="P1111" s="88" t="s">
        <v>261</v>
      </c>
      <c r="Q1111" s="13">
        <v>45266</v>
      </c>
      <c r="R1111" s="16">
        <v>0.93</v>
      </c>
      <c r="S1111" s="13" t="s">
        <v>210</v>
      </c>
      <c r="U1111" s="12" t="s">
        <v>50</v>
      </c>
      <c r="V1111" s="13">
        <v>44687</v>
      </c>
      <c r="W1111" s="16">
        <v>0.88</v>
      </c>
      <c r="X1111" s="13" t="s">
        <v>49</v>
      </c>
      <c r="Z1111" s="12" t="s">
        <v>50</v>
      </c>
      <c r="AA1111" s="12" t="s">
        <v>51</v>
      </c>
      <c r="AB1111" s="12" t="s">
        <v>51</v>
      </c>
      <c r="AU1111" s="12" t="s">
        <v>53</v>
      </c>
    </row>
    <row r="1112" spans="1:47" s="12" customFormat="1" ht="14.4" hidden="1" x14ac:dyDescent="0.3">
      <c r="A1112" s="12" t="s">
        <v>39</v>
      </c>
      <c r="B1112" s="12" t="s">
        <v>3225</v>
      </c>
      <c r="C1112" s="12">
        <v>70</v>
      </c>
      <c r="D1112" s="12">
        <v>265</v>
      </c>
      <c r="F1112" s="12" t="s">
        <v>3362</v>
      </c>
      <c r="G1112" s="12" t="str">
        <f t="shared" si="29"/>
        <v>70265NO REGISTRA</v>
      </c>
      <c r="H1112" s="12" t="s">
        <v>3363</v>
      </c>
      <c r="I1112" s="12" t="s">
        <v>45</v>
      </c>
      <c r="J1112" s="12" t="s">
        <v>3364</v>
      </c>
      <c r="K1112" s="12" t="s">
        <v>44</v>
      </c>
      <c r="L1112" s="12" t="s">
        <v>45</v>
      </c>
      <c r="M1112" s="12" t="s">
        <v>45</v>
      </c>
      <c r="N1112" s="12" t="s">
        <v>780</v>
      </c>
      <c r="O1112" s="12" t="s">
        <v>260</v>
      </c>
      <c r="P1112" s="88" t="s">
        <v>261</v>
      </c>
      <c r="Q1112" s="13">
        <v>45265</v>
      </c>
      <c r="R1112" s="16">
        <v>0.83</v>
      </c>
      <c r="S1112" s="13" t="s">
        <v>49</v>
      </c>
      <c r="U1112" s="12" t="s">
        <v>50</v>
      </c>
      <c r="V1112" s="13">
        <v>44656</v>
      </c>
      <c r="W1112" s="16">
        <v>0.79500000000000004</v>
      </c>
      <c r="X1112" s="13" t="s">
        <v>49</v>
      </c>
      <c r="Z1112" s="12" t="s">
        <v>50</v>
      </c>
      <c r="AA1112" s="12" t="s">
        <v>51</v>
      </c>
      <c r="AB1112" s="12" t="s">
        <v>51</v>
      </c>
      <c r="AU1112" s="12" t="s">
        <v>53</v>
      </c>
    </row>
    <row r="1113" spans="1:47" s="12" customFormat="1" ht="14.4" hidden="1" x14ac:dyDescent="0.3">
      <c r="A1113" s="12" t="s">
        <v>505</v>
      </c>
      <c r="B1113" s="12" t="s">
        <v>3225</v>
      </c>
      <c r="C1113" s="12">
        <v>70</v>
      </c>
      <c r="D1113" s="12">
        <v>265</v>
      </c>
      <c r="F1113" s="12" t="s">
        <v>3365</v>
      </c>
      <c r="G1113" s="12" t="str">
        <f t="shared" si="29"/>
        <v>70265NO REGISTRA</v>
      </c>
      <c r="H1113" s="12" t="s">
        <v>3366</v>
      </c>
      <c r="I1113" s="12" t="s">
        <v>45</v>
      </c>
      <c r="J1113" s="12" t="s">
        <v>3367</v>
      </c>
      <c r="K1113" s="12" t="s">
        <v>44</v>
      </c>
      <c r="L1113" s="12" t="s">
        <v>45</v>
      </c>
      <c r="M1113" s="12" t="s">
        <v>45</v>
      </c>
      <c r="N1113" s="12" t="s">
        <v>780</v>
      </c>
      <c r="O1113" s="12" t="s">
        <v>260</v>
      </c>
      <c r="P1113" s="88" t="s">
        <v>261</v>
      </c>
      <c r="Q1113" s="13">
        <v>45259</v>
      </c>
      <c r="R1113" s="16">
        <v>0.82</v>
      </c>
      <c r="S1113" s="13" t="s">
        <v>49</v>
      </c>
      <c r="U1113" s="12" t="s">
        <v>50</v>
      </c>
      <c r="V1113" s="13">
        <v>44540</v>
      </c>
      <c r="W1113" s="16">
        <v>0.85</v>
      </c>
      <c r="X1113" s="13" t="s">
        <v>49</v>
      </c>
      <c r="Z1113" s="12" t="s">
        <v>50</v>
      </c>
      <c r="AA1113" s="12" t="s">
        <v>51</v>
      </c>
      <c r="AB1113" s="12" t="s">
        <v>51</v>
      </c>
      <c r="AU1113" s="12" t="s">
        <v>53</v>
      </c>
    </row>
    <row r="1114" spans="1:47" s="12" customFormat="1" ht="14.4" hidden="1" x14ac:dyDescent="0.3">
      <c r="A1114" s="12" t="s">
        <v>39</v>
      </c>
      <c r="B1114" s="12" t="s">
        <v>3225</v>
      </c>
      <c r="C1114" s="12">
        <v>70</v>
      </c>
      <c r="D1114" s="12">
        <v>265</v>
      </c>
      <c r="F1114" s="12" t="s">
        <v>3368</v>
      </c>
      <c r="G1114" s="12" t="str">
        <f t="shared" si="29"/>
        <v>702651101381786</v>
      </c>
      <c r="H1114" s="12" t="s">
        <v>3369</v>
      </c>
      <c r="I1114" s="12">
        <v>1101381786</v>
      </c>
      <c r="J1114" s="12" t="s">
        <v>3370</v>
      </c>
      <c r="K1114" s="12" t="s">
        <v>44</v>
      </c>
      <c r="L1114" s="12" t="s">
        <v>45</v>
      </c>
      <c r="M1114" s="12" t="s">
        <v>45</v>
      </c>
      <c r="N1114" s="12" t="s">
        <v>780</v>
      </c>
      <c r="O1114" s="12" t="s">
        <v>260</v>
      </c>
      <c r="P1114" s="88" t="s">
        <v>261</v>
      </c>
      <c r="Q1114" s="13">
        <v>45222</v>
      </c>
      <c r="R1114" s="16">
        <v>0.91</v>
      </c>
      <c r="S1114" s="13" t="s">
        <v>210</v>
      </c>
      <c r="U1114" s="12" t="s">
        <v>50</v>
      </c>
      <c r="V1114" s="13">
        <v>44520</v>
      </c>
      <c r="W1114" s="16">
        <v>0.73750000000000004</v>
      </c>
      <c r="X1114" s="13" t="s">
        <v>49</v>
      </c>
      <c r="AU1114" s="12" t="s">
        <v>53</v>
      </c>
    </row>
    <row r="1115" spans="1:47" s="12" customFormat="1" ht="14.4" hidden="1" x14ac:dyDescent="0.3">
      <c r="A1115" s="12" t="s">
        <v>39</v>
      </c>
      <c r="B1115" s="12" t="s">
        <v>3225</v>
      </c>
      <c r="C1115" s="12">
        <v>70</v>
      </c>
      <c r="D1115" s="12">
        <v>265</v>
      </c>
      <c r="F1115" s="12" t="s">
        <v>3371</v>
      </c>
      <c r="G1115" s="12" t="str">
        <f t="shared" si="29"/>
        <v>70265NO REGISTRA</v>
      </c>
      <c r="H1115" s="12" t="s">
        <v>3372</v>
      </c>
      <c r="I1115" s="12" t="s">
        <v>45</v>
      </c>
      <c r="J1115" s="12" t="s">
        <v>3373</v>
      </c>
      <c r="K1115" s="12" t="s">
        <v>44</v>
      </c>
      <c r="L1115" s="12" t="s">
        <v>45</v>
      </c>
      <c r="M1115" s="12" t="s">
        <v>45</v>
      </c>
      <c r="N1115" s="12" t="s">
        <v>780</v>
      </c>
      <c r="O1115" s="12" t="s">
        <v>260</v>
      </c>
      <c r="P1115" s="88" t="s">
        <v>261</v>
      </c>
      <c r="Q1115" s="13">
        <v>45078</v>
      </c>
      <c r="R1115" s="16">
        <v>0.89</v>
      </c>
      <c r="S1115" s="13" t="s">
        <v>49</v>
      </c>
      <c r="U1115" s="12" t="s">
        <v>50</v>
      </c>
      <c r="V1115" s="13"/>
      <c r="W1115" s="13"/>
      <c r="X1115" s="13"/>
      <c r="AU1115" s="12" t="s">
        <v>53</v>
      </c>
    </row>
    <row r="1116" spans="1:47" s="12" customFormat="1" ht="14.4" hidden="1" x14ac:dyDescent="0.3">
      <c r="A1116" s="12" t="s">
        <v>39</v>
      </c>
      <c r="B1116" s="12" t="s">
        <v>3225</v>
      </c>
      <c r="C1116" s="12">
        <v>70</v>
      </c>
      <c r="D1116" s="12">
        <v>265</v>
      </c>
      <c r="F1116" s="12" t="s">
        <v>3374</v>
      </c>
      <c r="G1116" s="12" t="str">
        <f t="shared" si="29"/>
        <v>702651192758689</v>
      </c>
      <c r="H1116" s="12" t="s">
        <v>3375</v>
      </c>
      <c r="I1116" s="12">
        <v>1192758689</v>
      </c>
      <c r="J1116" s="12" t="s">
        <v>3376</v>
      </c>
      <c r="K1116" s="12" t="s">
        <v>44</v>
      </c>
      <c r="L1116" s="12" t="s">
        <v>45</v>
      </c>
      <c r="M1116" s="12" t="s">
        <v>45</v>
      </c>
      <c r="N1116" s="12" t="s">
        <v>780</v>
      </c>
      <c r="O1116" s="12" t="s">
        <v>260</v>
      </c>
      <c r="P1116" s="88" t="s">
        <v>261</v>
      </c>
      <c r="Q1116" s="13">
        <v>44959</v>
      </c>
      <c r="R1116" s="16">
        <v>0.82499999999999996</v>
      </c>
      <c r="S1116" s="13" t="s">
        <v>49</v>
      </c>
      <c r="U1116" s="12" t="s">
        <v>50</v>
      </c>
      <c r="V1116" s="13"/>
      <c r="W1116" s="13"/>
      <c r="X1116" s="13"/>
      <c r="AU1116" s="12" t="s">
        <v>53</v>
      </c>
    </row>
    <row r="1117" spans="1:47" s="12" customFormat="1" ht="14.4" hidden="1" x14ac:dyDescent="0.3">
      <c r="A1117" s="12" t="s">
        <v>39</v>
      </c>
      <c r="B1117" s="12" t="s">
        <v>3225</v>
      </c>
      <c r="C1117" s="12">
        <v>70</v>
      </c>
      <c r="D1117" s="12">
        <v>265</v>
      </c>
      <c r="F1117" s="12" t="s">
        <v>3377</v>
      </c>
      <c r="G1117" s="12" t="str">
        <f t="shared" si="29"/>
        <v>7026567987511</v>
      </c>
      <c r="H1117" s="12" t="s">
        <v>3378</v>
      </c>
      <c r="I1117" s="12">
        <v>67987511</v>
      </c>
      <c r="J1117" s="12" t="s">
        <v>3379</v>
      </c>
      <c r="K1117" s="12" t="s">
        <v>44</v>
      </c>
      <c r="L1117" s="12" t="s">
        <v>45</v>
      </c>
      <c r="M1117" s="12" t="s">
        <v>45</v>
      </c>
      <c r="N1117" s="12" t="s">
        <v>780</v>
      </c>
      <c r="O1117" s="12" t="s">
        <v>260</v>
      </c>
      <c r="P1117" s="88" t="s">
        <v>261</v>
      </c>
      <c r="Q1117" s="13">
        <v>44984</v>
      </c>
      <c r="R1117" s="16">
        <v>0.88</v>
      </c>
      <c r="S1117" s="13" t="s">
        <v>49</v>
      </c>
      <c r="U1117" s="12" t="s">
        <v>50</v>
      </c>
      <c r="V1117" s="13">
        <v>44911</v>
      </c>
      <c r="W1117" s="16">
        <v>0.84</v>
      </c>
      <c r="X1117" s="13" t="s">
        <v>49</v>
      </c>
      <c r="Z1117" s="12" t="s">
        <v>50</v>
      </c>
      <c r="AA1117" s="12" t="s">
        <v>51</v>
      </c>
      <c r="AB1117" s="12" t="s">
        <v>51</v>
      </c>
      <c r="AU1117" s="12" t="s">
        <v>53</v>
      </c>
    </row>
    <row r="1118" spans="1:47" s="12" customFormat="1" ht="14.4" hidden="1" x14ac:dyDescent="0.3">
      <c r="A1118" s="12" t="s">
        <v>39</v>
      </c>
      <c r="B1118" s="12" t="s">
        <v>3225</v>
      </c>
      <c r="C1118" s="12">
        <v>70</v>
      </c>
      <c r="D1118" s="12">
        <v>265</v>
      </c>
      <c r="F1118" s="12" t="s">
        <v>3380</v>
      </c>
      <c r="G1118" s="12" t="str">
        <f t="shared" si="29"/>
        <v>70265NO REGISTRA</v>
      </c>
      <c r="H1118" s="12" t="s">
        <v>3381</v>
      </c>
      <c r="I1118" s="12" t="s">
        <v>45</v>
      </c>
      <c r="J1118" s="12" t="s">
        <v>3382</v>
      </c>
      <c r="K1118" s="12" t="s">
        <v>44</v>
      </c>
      <c r="L1118" s="12" t="s">
        <v>45</v>
      </c>
      <c r="M1118" s="12" t="s">
        <v>45</v>
      </c>
      <c r="N1118" s="12" t="s">
        <v>780</v>
      </c>
      <c r="O1118" s="12" t="s">
        <v>260</v>
      </c>
      <c r="P1118" s="88" t="s">
        <v>261</v>
      </c>
      <c r="Q1118" s="13">
        <v>45029</v>
      </c>
      <c r="R1118" s="16">
        <v>0.88</v>
      </c>
      <c r="S1118" s="13" t="s">
        <v>49</v>
      </c>
      <c r="U1118" s="12" t="s">
        <v>50</v>
      </c>
      <c r="V1118" s="13">
        <v>44690</v>
      </c>
      <c r="W1118" s="16">
        <v>0.85</v>
      </c>
      <c r="X1118" s="13" t="s">
        <v>49</v>
      </c>
      <c r="Z1118" s="12" t="s">
        <v>50</v>
      </c>
      <c r="AA1118" s="12" t="s">
        <v>51</v>
      </c>
      <c r="AB1118" s="12" t="s">
        <v>51</v>
      </c>
      <c r="AU1118" s="12" t="s">
        <v>53</v>
      </c>
    </row>
    <row r="1119" spans="1:47" s="12" customFormat="1" ht="14.4" hidden="1" x14ac:dyDescent="0.3">
      <c r="A1119" s="12" t="s">
        <v>39</v>
      </c>
      <c r="B1119" s="12" t="s">
        <v>3225</v>
      </c>
      <c r="C1119" s="12">
        <v>70</v>
      </c>
      <c r="D1119" s="12">
        <v>265</v>
      </c>
      <c r="F1119" s="12" t="s">
        <v>3383</v>
      </c>
      <c r="G1119" s="12" t="str">
        <f t="shared" si="29"/>
        <v>70265NO REGISTRA</v>
      </c>
      <c r="H1119" s="12" t="s">
        <v>3384</v>
      </c>
      <c r="I1119" s="12" t="s">
        <v>45</v>
      </c>
      <c r="J1119" s="12" t="s">
        <v>3385</v>
      </c>
      <c r="K1119" s="12" t="s">
        <v>44</v>
      </c>
      <c r="L1119" s="12" t="s">
        <v>45</v>
      </c>
      <c r="M1119" s="12" t="s">
        <v>45</v>
      </c>
      <c r="N1119" s="12" t="s">
        <v>780</v>
      </c>
      <c r="O1119" s="12" t="s">
        <v>260</v>
      </c>
      <c r="P1119" s="88" t="s">
        <v>261</v>
      </c>
      <c r="Q1119" s="13">
        <v>45261</v>
      </c>
      <c r="R1119" s="16">
        <v>0.84</v>
      </c>
      <c r="S1119" s="13" t="s">
        <v>49</v>
      </c>
      <c r="U1119" s="12" t="s">
        <v>50</v>
      </c>
      <c r="V1119" s="13">
        <v>44685</v>
      </c>
      <c r="W1119" s="16">
        <v>0.85</v>
      </c>
      <c r="X1119" s="13" t="s">
        <v>49</v>
      </c>
      <c r="Z1119" s="12" t="s">
        <v>50</v>
      </c>
      <c r="AA1119" s="12" t="s">
        <v>51</v>
      </c>
      <c r="AB1119" s="12" t="s">
        <v>51</v>
      </c>
      <c r="AU1119" s="12" t="s">
        <v>53</v>
      </c>
    </row>
    <row r="1120" spans="1:47" s="12" customFormat="1" ht="14.4" hidden="1" x14ac:dyDescent="0.3">
      <c r="A1120" s="12" t="s">
        <v>39</v>
      </c>
      <c r="B1120" s="12" t="s">
        <v>3225</v>
      </c>
      <c r="C1120" s="12">
        <v>70</v>
      </c>
      <c r="D1120" s="12">
        <v>265</v>
      </c>
      <c r="F1120" s="12" t="s">
        <v>3386</v>
      </c>
      <c r="G1120" s="12" t="str">
        <f t="shared" si="29"/>
        <v>70265NO REGISTRA</v>
      </c>
      <c r="H1120" s="12" t="s">
        <v>3387</v>
      </c>
      <c r="I1120" s="12" t="s">
        <v>45</v>
      </c>
      <c r="J1120" s="12" t="s">
        <v>3388</v>
      </c>
      <c r="K1120" s="12" t="s">
        <v>44</v>
      </c>
      <c r="L1120" s="12" t="s">
        <v>45</v>
      </c>
      <c r="M1120" s="12" t="s">
        <v>45</v>
      </c>
      <c r="N1120" s="12" t="s">
        <v>780</v>
      </c>
      <c r="O1120" s="12" t="s">
        <v>260</v>
      </c>
      <c r="P1120" s="88" t="s">
        <v>261</v>
      </c>
      <c r="Q1120" s="13">
        <v>44951</v>
      </c>
      <c r="R1120" s="16">
        <v>0.88</v>
      </c>
      <c r="S1120" s="13" t="s">
        <v>49</v>
      </c>
      <c r="U1120" s="12" t="s">
        <v>50</v>
      </c>
      <c r="V1120" s="13">
        <v>44911</v>
      </c>
      <c r="W1120" s="16">
        <v>0.83</v>
      </c>
      <c r="X1120" s="13" t="s">
        <v>49</v>
      </c>
      <c r="Z1120" s="12" t="s">
        <v>50</v>
      </c>
      <c r="AA1120" s="12" t="s">
        <v>51</v>
      </c>
      <c r="AB1120" s="12" t="s">
        <v>51</v>
      </c>
      <c r="AU1120" s="12" t="s">
        <v>53</v>
      </c>
    </row>
    <row r="1121" spans="1:47" s="12" customFormat="1" ht="14.4" hidden="1" x14ac:dyDescent="0.3">
      <c r="A1121" s="12" t="s">
        <v>39</v>
      </c>
      <c r="B1121" s="12" t="s">
        <v>3225</v>
      </c>
      <c r="C1121" s="12">
        <v>70</v>
      </c>
      <c r="D1121" s="12">
        <v>265</v>
      </c>
      <c r="F1121" s="12" t="s">
        <v>3389</v>
      </c>
      <c r="G1121" s="12" t="str">
        <f t="shared" ref="G1121:G1185" si="30">C1121&amp;D1121&amp;I1121</f>
        <v>702651101384057</v>
      </c>
      <c r="H1121" s="12" t="s">
        <v>3390</v>
      </c>
      <c r="I1121" s="12">
        <v>1101384057</v>
      </c>
      <c r="J1121" s="12" t="s">
        <v>3391</v>
      </c>
      <c r="K1121" s="12" t="s">
        <v>44</v>
      </c>
      <c r="L1121" s="12" t="s">
        <v>45</v>
      </c>
      <c r="M1121" s="12" t="s">
        <v>45</v>
      </c>
      <c r="N1121" s="12" t="s">
        <v>780</v>
      </c>
      <c r="O1121" s="12" t="s">
        <v>260</v>
      </c>
      <c r="P1121" s="88" t="s">
        <v>261</v>
      </c>
      <c r="Q1121" s="13">
        <v>45044</v>
      </c>
      <c r="R1121" s="16">
        <v>0.75</v>
      </c>
      <c r="S1121" s="13" t="s">
        <v>49</v>
      </c>
      <c r="U1121" s="12" t="s">
        <v>50</v>
      </c>
      <c r="V1121" s="13">
        <v>44838</v>
      </c>
      <c r="W1121" s="16">
        <v>0.78</v>
      </c>
      <c r="X1121" s="13" t="s">
        <v>49</v>
      </c>
      <c r="Z1121" s="12" t="s">
        <v>50</v>
      </c>
      <c r="AA1121" s="12" t="s">
        <v>51</v>
      </c>
      <c r="AB1121" s="12" t="s">
        <v>51</v>
      </c>
      <c r="AU1121" s="12" t="s">
        <v>53</v>
      </c>
    </row>
    <row r="1122" spans="1:47" s="12" customFormat="1" ht="14.4" hidden="1" x14ac:dyDescent="0.3">
      <c r="A1122" s="12" t="s">
        <v>39</v>
      </c>
      <c r="B1122" s="12" t="s">
        <v>3225</v>
      </c>
      <c r="C1122" s="12">
        <v>70</v>
      </c>
      <c r="D1122" s="12">
        <v>265</v>
      </c>
      <c r="F1122" s="12" t="s">
        <v>3392</v>
      </c>
      <c r="G1122" s="12" t="str">
        <f t="shared" si="30"/>
        <v>70265NO REGISTRA</v>
      </c>
      <c r="H1122" s="12" t="s">
        <v>3393</v>
      </c>
      <c r="I1122" s="12" t="s">
        <v>45</v>
      </c>
      <c r="J1122" s="12" t="s">
        <v>3394</v>
      </c>
      <c r="K1122" s="12" t="s">
        <v>44</v>
      </c>
      <c r="L1122" s="12" t="s">
        <v>45</v>
      </c>
      <c r="M1122" s="12" t="s">
        <v>45</v>
      </c>
      <c r="N1122" s="12" t="s">
        <v>780</v>
      </c>
      <c r="O1122" s="12" t="s">
        <v>260</v>
      </c>
      <c r="P1122" s="88" t="s">
        <v>261</v>
      </c>
      <c r="Q1122" s="13">
        <v>45021</v>
      </c>
      <c r="R1122" s="16">
        <v>0.85</v>
      </c>
      <c r="S1122" s="13" t="s">
        <v>49</v>
      </c>
      <c r="U1122" s="12" t="s">
        <v>50</v>
      </c>
      <c r="V1122" s="13">
        <v>44869</v>
      </c>
      <c r="W1122" s="16">
        <v>0.77</v>
      </c>
      <c r="X1122" s="13" t="s">
        <v>49</v>
      </c>
      <c r="Z1122" s="12" t="s">
        <v>50</v>
      </c>
      <c r="AA1122" s="12" t="s">
        <v>51</v>
      </c>
      <c r="AB1122" s="12" t="s">
        <v>51</v>
      </c>
      <c r="AU1122" s="12" t="s">
        <v>53</v>
      </c>
    </row>
    <row r="1123" spans="1:47" s="12" customFormat="1" ht="14.4" hidden="1" x14ac:dyDescent="0.3">
      <c r="A1123" s="12" t="s">
        <v>39</v>
      </c>
      <c r="B1123" s="12" t="s">
        <v>3225</v>
      </c>
      <c r="C1123" s="12">
        <v>70</v>
      </c>
      <c r="D1123" s="12">
        <v>265</v>
      </c>
      <c r="F1123" s="12" t="s">
        <v>3395</v>
      </c>
      <c r="G1123" s="12" t="str">
        <f t="shared" si="30"/>
        <v>702651101384722</v>
      </c>
      <c r="H1123" s="12" t="s">
        <v>3396</v>
      </c>
      <c r="I1123" s="12">
        <v>1101384722</v>
      </c>
      <c r="J1123" s="12" t="s">
        <v>3397</v>
      </c>
      <c r="K1123" s="12" t="s">
        <v>44</v>
      </c>
      <c r="L1123" s="12" t="s">
        <v>45</v>
      </c>
      <c r="M1123" s="12" t="s">
        <v>45</v>
      </c>
      <c r="N1123" s="12" t="s">
        <v>780</v>
      </c>
      <c r="O1123" s="12" t="s">
        <v>260</v>
      </c>
      <c r="P1123" s="88" t="s">
        <v>261</v>
      </c>
      <c r="Q1123" s="13">
        <v>45182</v>
      </c>
      <c r="R1123" s="16">
        <v>0.75</v>
      </c>
      <c r="S1123" s="13" t="s">
        <v>49</v>
      </c>
      <c r="U1123" s="12" t="s">
        <v>50</v>
      </c>
      <c r="V1123" s="13">
        <v>44652</v>
      </c>
      <c r="W1123" s="16">
        <v>0.85</v>
      </c>
      <c r="X1123" s="13" t="s">
        <v>49</v>
      </c>
      <c r="Z1123" s="12" t="s">
        <v>50</v>
      </c>
      <c r="AA1123" s="12" t="s">
        <v>51</v>
      </c>
      <c r="AB1123" s="12" t="s">
        <v>51</v>
      </c>
      <c r="AU1123" s="12" t="s">
        <v>53</v>
      </c>
    </row>
    <row r="1124" spans="1:47" s="12" customFormat="1" ht="14.4" hidden="1" x14ac:dyDescent="0.3">
      <c r="A1124" s="12" t="s">
        <v>39</v>
      </c>
      <c r="B1124" s="12" t="s">
        <v>3225</v>
      </c>
      <c r="C1124" s="12">
        <v>70</v>
      </c>
      <c r="D1124" s="12">
        <v>265</v>
      </c>
      <c r="F1124" s="12" t="s">
        <v>3398</v>
      </c>
      <c r="G1124" s="12" t="str">
        <f t="shared" si="30"/>
        <v>70265NO REGISTRA</v>
      </c>
      <c r="H1124" s="12" t="s">
        <v>3399</v>
      </c>
      <c r="I1124" s="12" t="s">
        <v>45</v>
      </c>
      <c r="J1124" s="12" t="s">
        <v>3400</v>
      </c>
      <c r="K1124" s="12" t="s">
        <v>44</v>
      </c>
      <c r="L1124" s="12" t="s">
        <v>45</v>
      </c>
      <c r="M1124" s="12" t="s">
        <v>45</v>
      </c>
      <c r="N1124" s="12" t="s">
        <v>780</v>
      </c>
      <c r="O1124" s="12" t="s">
        <v>260</v>
      </c>
      <c r="P1124" s="88" t="s">
        <v>261</v>
      </c>
      <c r="Q1124" s="13" t="s">
        <v>1574</v>
      </c>
      <c r="R1124" s="16">
        <v>0.75</v>
      </c>
      <c r="S1124" s="13" t="s">
        <v>49</v>
      </c>
      <c r="U1124" s="12" t="s">
        <v>50</v>
      </c>
      <c r="V1124" s="13">
        <v>44859</v>
      </c>
      <c r="W1124" s="16">
        <v>0.77</v>
      </c>
      <c r="X1124" s="13" t="s">
        <v>49</v>
      </c>
      <c r="Z1124" s="12" t="s">
        <v>50</v>
      </c>
      <c r="AA1124" s="12" t="s">
        <v>51</v>
      </c>
      <c r="AB1124" s="12" t="s">
        <v>51</v>
      </c>
      <c r="AU1124" s="12" t="s">
        <v>164</v>
      </c>
    </row>
    <row r="1125" spans="1:47" s="12" customFormat="1" ht="14.4" hidden="1" x14ac:dyDescent="0.3">
      <c r="A1125" s="12" t="s">
        <v>39</v>
      </c>
      <c r="B1125" s="12" t="s">
        <v>3225</v>
      </c>
      <c r="C1125" s="12">
        <v>70</v>
      </c>
      <c r="D1125" s="12">
        <v>265</v>
      </c>
      <c r="F1125" s="12" t="s">
        <v>3401</v>
      </c>
      <c r="G1125" s="12" t="str">
        <f t="shared" si="30"/>
        <v>7026530824419</v>
      </c>
      <c r="H1125" s="12" t="s">
        <v>3402</v>
      </c>
      <c r="I1125" s="12">
        <v>30824419</v>
      </c>
      <c r="J1125" s="12" t="s">
        <v>3403</v>
      </c>
      <c r="K1125" s="12" t="s">
        <v>44</v>
      </c>
      <c r="L1125" s="12" t="s">
        <v>45</v>
      </c>
      <c r="M1125" s="12" t="s">
        <v>45</v>
      </c>
      <c r="N1125" s="12" t="s">
        <v>780</v>
      </c>
      <c r="O1125" s="12" t="s">
        <v>260</v>
      </c>
      <c r="P1125" s="88" t="s">
        <v>261</v>
      </c>
      <c r="Q1125" s="13">
        <v>45112</v>
      </c>
      <c r="R1125" s="16">
        <v>0.755</v>
      </c>
      <c r="S1125" s="13" t="s">
        <v>49</v>
      </c>
      <c r="U1125" s="12" t="s">
        <v>50</v>
      </c>
      <c r="V1125" s="13">
        <v>44859</v>
      </c>
      <c r="W1125" s="16">
        <v>0.77</v>
      </c>
      <c r="X1125" s="13" t="s">
        <v>49</v>
      </c>
      <c r="Z1125" s="12" t="s">
        <v>50</v>
      </c>
      <c r="AA1125" s="12" t="s">
        <v>51</v>
      </c>
      <c r="AB1125" s="12" t="s">
        <v>51</v>
      </c>
      <c r="AU1125" s="12" t="s">
        <v>53</v>
      </c>
    </row>
    <row r="1126" spans="1:47" s="12" customFormat="1" ht="14.4" hidden="1" x14ac:dyDescent="0.3">
      <c r="A1126" s="12" t="s">
        <v>39</v>
      </c>
      <c r="B1126" s="12" t="s">
        <v>3225</v>
      </c>
      <c r="C1126" s="12">
        <v>70</v>
      </c>
      <c r="D1126" s="12">
        <v>265</v>
      </c>
      <c r="F1126" s="12" t="s">
        <v>3404</v>
      </c>
      <c r="G1126" s="12" t="str">
        <f t="shared" si="30"/>
        <v>70265NO REGISTRA</v>
      </c>
      <c r="H1126" s="12" t="s">
        <v>3405</v>
      </c>
      <c r="I1126" s="12" t="s">
        <v>45</v>
      </c>
      <c r="J1126" s="12" t="s">
        <v>3406</v>
      </c>
      <c r="K1126" s="12" t="s">
        <v>44</v>
      </c>
      <c r="L1126" s="12" t="s">
        <v>45</v>
      </c>
      <c r="M1126" s="12" t="s">
        <v>45</v>
      </c>
      <c r="N1126" s="12" t="s">
        <v>780</v>
      </c>
      <c r="O1126" s="12" t="s">
        <v>260</v>
      </c>
      <c r="P1126" s="88" t="s">
        <v>261</v>
      </c>
      <c r="Q1126" s="13">
        <v>45222</v>
      </c>
      <c r="R1126" s="16">
        <v>0.83499999999999996</v>
      </c>
      <c r="S1126" s="13" t="s">
        <v>49</v>
      </c>
      <c r="U1126" s="12" t="s">
        <v>50</v>
      </c>
      <c r="V1126" s="13">
        <v>44839</v>
      </c>
      <c r="W1126" s="16">
        <v>0.79</v>
      </c>
      <c r="X1126" s="13" t="s">
        <v>49</v>
      </c>
      <c r="Z1126" s="12" t="s">
        <v>50</v>
      </c>
      <c r="AA1126" s="12" t="s">
        <v>51</v>
      </c>
      <c r="AB1126" s="12" t="s">
        <v>51</v>
      </c>
      <c r="AU1126" s="12" t="s">
        <v>53</v>
      </c>
    </row>
    <row r="1127" spans="1:47" s="12" customFormat="1" ht="14.4" hidden="1" x14ac:dyDescent="0.3">
      <c r="A1127" s="12" t="s">
        <v>39</v>
      </c>
      <c r="B1127" s="12" t="s">
        <v>3225</v>
      </c>
      <c r="C1127" s="12">
        <v>70</v>
      </c>
      <c r="D1127" s="12">
        <v>265</v>
      </c>
      <c r="F1127" s="12" t="s">
        <v>3407</v>
      </c>
      <c r="G1127" s="12" t="str">
        <f t="shared" si="30"/>
        <v>70265NO REGISTRA</v>
      </c>
      <c r="H1127" s="12" t="s">
        <v>3408</v>
      </c>
      <c r="I1127" s="12" t="s">
        <v>45</v>
      </c>
      <c r="J1127" s="12" t="s">
        <v>3409</v>
      </c>
      <c r="K1127" s="12" t="s">
        <v>44</v>
      </c>
      <c r="L1127" s="12" t="s">
        <v>45</v>
      </c>
      <c r="M1127" s="12" t="s">
        <v>45</v>
      </c>
      <c r="N1127" s="12" t="s">
        <v>780</v>
      </c>
      <c r="O1127" s="12" t="s">
        <v>260</v>
      </c>
      <c r="P1127" s="88" t="s">
        <v>261</v>
      </c>
      <c r="Q1127" s="13">
        <v>45058</v>
      </c>
      <c r="R1127" s="16">
        <v>0.76</v>
      </c>
      <c r="S1127" s="13" t="s">
        <v>49</v>
      </c>
      <c r="U1127" s="12" t="s">
        <v>50</v>
      </c>
      <c r="V1127" s="13">
        <v>44908</v>
      </c>
      <c r="W1127" s="16">
        <v>0.79</v>
      </c>
      <c r="X1127" s="13" t="s">
        <v>49</v>
      </c>
      <c r="Z1127" s="12" t="s">
        <v>50</v>
      </c>
      <c r="AA1127" s="12" t="s">
        <v>51</v>
      </c>
      <c r="AB1127" s="12" t="s">
        <v>51</v>
      </c>
      <c r="AU1127" s="12" t="s">
        <v>53</v>
      </c>
    </row>
    <row r="1128" spans="1:47" s="12" customFormat="1" ht="14.4" hidden="1" x14ac:dyDescent="0.3">
      <c r="A1128" s="12" t="s">
        <v>39</v>
      </c>
      <c r="B1128" s="12" t="s">
        <v>3225</v>
      </c>
      <c r="C1128" s="12">
        <v>70</v>
      </c>
      <c r="D1128" s="12">
        <v>265</v>
      </c>
      <c r="F1128" s="12" t="s">
        <v>3410</v>
      </c>
      <c r="G1128" s="12" t="str">
        <f t="shared" si="30"/>
        <v>70265NO REGISTRA</v>
      </c>
      <c r="H1128" s="12" t="s">
        <v>3411</v>
      </c>
      <c r="I1128" s="12" t="s">
        <v>45</v>
      </c>
      <c r="J1128" s="12" t="s">
        <v>3412</v>
      </c>
      <c r="K1128" s="12" t="s">
        <v>44</v>
      </c>
      <c r="L1128" s="12" t="s">
        <v>45</v>
      </c>
      <c r="M1128" s="12" t="s">
        <v>45</v>
      </c>
      <c r="N1128" s="12" t="s">
        <v>780</v>
      </c>
      <c r="O1128" s="12" t="s">
        <v>260</v>
      </c>
      <c r="P1128" s="88" t="s">
        <v>261</v>
      </c>
      <c r="Q1128" s="13">
        <v>45078</v>
      </c>
      <c r="R1128" s="16">
        <v>0.78</v>
      </c>
      <c r="S1128" s="13" t="s">
        <v>49</v>
      </c>
      <c r="U1128" s="12" t="s">
        <v>50</v>
      </c>
      <c r="V1128" s="13">
        <v>44655</v>
      </c>
      <c r="W1128" s="16">
        <v>0.64500000000000002</v>
      </c>
      <c r="X1128" s="13" t="s">
        <v>49</v>
      </c>
      <c r="Z1128" s="12" t="s">
        <v>50</v>
      </c>
      <c r="AA1128" s="12" t="s">
        <v>51</v>
      </c>
      <c r="AB1128" s="12" t="s">
        <v>51</v>
      </c>
      <c r="AU1128" s="12" t="s">
        <v>53</v>
      </c>
    </row>
    <row r="1129" spans="1:47" s="12" customFormat="1" ht="14.4" hidden="1" x14ac:dyDescent="0.3">
      <c r="A1129" s="12" t="s">
        <v>39</v>
      </c>
      <c r="B1129" s="12" t="s">
        <v>3225</v>
      </c>
      <c r="C1129" s="12">
        <v>70</v>
      </c>
      <c r="D1129" s="12">
        <v>265</v>
      </c>
      <c r="F1129" s="12" t="s">
        <v>3413</v>
      </c>
      <c r="G1129" s="12" t="str">
        <f t="shared" si="30"/>
        <v>70265NO REGISTRA</v>
      </c>
      <c r="H1129" s="12" t="s">
        <v>3414</v>
      </c>
      <c r="I1129" s="12" t="s">
        <v>45</v>
      </c>
      <c r="J1129" s="12" t="s">
        <v>3415</v>
      </c>
      <c r="K1129" s="12" t="s">
        <v>44</v>
      </c>
      <c r="L1129" s="12" t="s">
        <v>45</v>
      </c>
      <c r="M1129" s="12" t="s">
        <v>45</v>
      </c>
      <c r="N1129" s="12" t="s">
        <v>780</v>
      </c>
      <c r="O1129" s="12" t="s">
        <v>260</v>
      </c>
      <c r="P1129" s="88" t="s">
        <v>261</v>
      </c>
      <c r="Q1129" s="13">
        <v>45006</v>
      </c>
      <c r="R1129" s="16">
        <v>0.84250000000000003</v>
      </c>
      <c r="S1129" s="13" t="s">
        <v>49</v>
      </c>
      <c r="U1129" s="12" t="s">
        <v>50</v>
      </c>
      <c r="V1129" s="13">
        <v>44628</v>
      </c>
      <c r="W1129" s="16">
        <v>0.78</v>
      </c>
      <c r="X1129" s="13" t="s">
        <v>49</v>
      </c>
      <c r="Z1129" s="12" t="s">
        <v>50</v>
      </c>
      <c r="AA1129" s="12" t="s">
        <v>51</v>
      </c>
      <c r="AB1129" s="12" t="s">
        <v>51</v>
      </c>
      <c r="AU1129" s="12" t="s">
        <v>53</v>
      </c>
    </row>
    <row r="1130" spans="1:47" s="12" customFormat="1" ht="14.4" hidden="1" x14ac:dyDescent="0.3">
      <c r="A1130" s="12" t="s">
        <v>39</v>
      </c>
      <c r="B1130" s="12" t="s">
        <v>3225</v>
      </c>
      <c r="C1130" s="12">
        <v>70</v>
      </c>
      <c r="D1130" s="12">
        <v>265</v>
      </c>
      <c r="F1130" s="12" t="s">
        <v>3416</v>
      </c>
      <c r="G1130" s="12" t="str">
        <f t="shared" si="30"/>
        <v>70265NO REGISTRA</v>
      </c>
      <c r="H1130" s="12" t="s">
        <v>3417</v>
      </c>
      <c r="I1130" s="12" t="s">
        <v>45</v>
      </c>
      <c r="J1130" s="12" t="s">
        <v>3418</v>
      </c>
      <c r="K1130" s="12" t="s">
        <v>44</v>
      </c>
      <c r="L1130" s="12" t="s">
        <v>45</v>
      </c>
      <c r="M1130" s="12" t="s">
        <v>45</v>
      </c>
      <c r="N1130" s="12" t="s">
        <v>780</v>
      </c>
      <c r="O1130" s="12" t="s">
        <v>260</v>
      </c>
      <c r="P1130" s="88" t="s">
        <v>261</v>
      </c>
      <c r="Q1130" s="13">
        <v>45116</v>
      </c>
      <c r="R1130" s="16">
        <v>0.89</v>
      </c>
      <c r="S1130" s="13" t="s">
        <v>49</v>
      </c>
      <c r="U1130" s="12" t="s">
        <v>50</v>
      </c>
      <c r="V1130" s="13">
        <v>44711</v>
      </c>
      <c r="W1130" s="16">
        <v>0.84</v>
      </c>
      <c r="X1130" s="13" t="s">
        <v>49</v>
      </c>
      <c r="Z1130" s="12" t="s">
        <v>50</v>
      </c>
      <c r="AA1130" s="12" t="s">
        <v>51</v>
      </c>
      <c r="AB1130" s="12" t="s">
        <v>51</v>
      </c>
      <c r="AU1130" s="12" t="s">
        <v>53</v>
      </c>
    </row>
    <row r="1131" spans="1:47" s="12" customFormat="1" ht="14.4" hidden="1" x14ac:dyDescent="0.3">
      <c r="A1131" s="12" t="s">
        <v>505</v>
      </c>
      <c r="B1131" s="12" t="s">
        <v>3225</v>
      </c>
      <c r="C1131" s="12">
        <v>70</v>
      </c>
      <c r="D1131" s="12">
        <v>265</v>
      </c>
      <c r="F1131" s="12" t="s">
        <v>3419</v>
      </c>
      <c r="G1131" s="12" t="str">
        <f t="shared" si="30"/>
        <v>70265NO REGISTRA</v>
      </c>
      <c r="H1131" s="12" t="s">
        <v>3420</v>
      </c>
      <c r="I1131" s="12" t="s">
        <v>45</v>
      </c>
      <c r="J1131" s="12" t="s">
        <v>3421</v>
      </c>
      <c r="K1131" s="12" t="s">
        <v>44</v>
      </c>
      <c r="L1131" s="12" t="s">
        <v>45</v>
      </c>
      <c r="M1131" s="12" t="s">
        <v>45</v>
      </c>
      <c r="N1131" s="12" t="s">
        <v>780</v>
      </c>
      <c r="O1131" s="12" t="s">
        <v>260</v>
      </c>
      <c r="P1131" s="88" t="s">
        <v>261</v>
      </c>
      <c r="Q1131" s="13">
        <v>45210</v>
      </c>
      <c r="R1131" s="16">
        <v>0.755</v>
      </c>
      <c r="S1131" s="13" t="s">
        <v>49</v>
      </c>
      <c r="U1131" s="12" t="s">
        <v>50</v>
      </c>
      <c r="V1131" s="13">
        <v>44812</v>
      </c>
      <c r="W1131" s="16">
        <v>0.79</v>
      </c>
      <c r="X1131" s="13" t="s">
        <v>49</v>
      </c>
      <c r="Z1131" s="12" t="s">
        <v>50</v>
      </c>
      <c r="AA1131" s="12" t="s">
        <v>51</v>
      </c>
      <c r="AB1131" s="12" t="s">
        <v>51</v>
      </c>
      <c r="AU1131" s="12" t="s">
        <v>53</v>
      </c>
    </row>
    <row r="1132" spans="1:47" s="12" customFormat="1" ht="14.4" hidden="1" x14ac:dyDescent="0.3">
      <c r="A1132" s="12" t="s">
        <v>39</v>
      </c>
      <c r="B1132" s="12" t="s">
        <v>3225</v>
      </c>
      <c r="C1132" s="12">
        <v>70</v>
      </c>
      <c r="D1132" s="12">
        <v>265</v>
      </c>
      <c r="F1132" s="12" t="s">
        <v>3422</v>
      </c>
      <c r="G1132" s="12" t="str">
        <f t="shared" si="30"/>
        <v>70265NO REGISTRA</v>
      </c>
      <c r="H1132" s="12" t="s">
        <v>3423</v>
      </c>
      <c r="I1132" s="12" t="s">
        <v>45</v>
      </c>
      <c r="J1132" s="12" t="s">
        <v>3424</v>
      </c>
      <c r="K1132" s="12" t="s">
        <v>44</v>
      </c>
      <c r="L1132" s="12" t="s">
        <v>45</v>
      </c>
      <c r="M1132" s="12" t="s">
        <v>45</v>
      </c>
      <c r="N1132" s="12" t="s">
        <v>780</v>
      </c>
      <c r="O1132" s="12" t="s">
        <v>260</v>
      </c>
      <c r="P1132" s="88" t="s">
        <v>261</v>
      </c>
      <c r="Q1132" s="13">
        <v>45195</v>
      </c>
      <c r="R1132" s="16">
        <v>0.92500000000000004</v>
      </c>
      <c r="S1132" s="13" t="s">
        <v>210</v>
      </c>
      <c r="U1132" s="12" t="s">
        <v>50</v>
      </c>
      <c r="V1132" s="13">
        <v>44621</v>
      </c>
      <c r="W1132" s="16">
        <v>0.76</v>
      </c>
      <c r="X1132" s="13" t="s">
        <v>49</v>
      </c>
      <c r="Z1132" s="12" t="s">
        <v>50</v>
      </c>
      <c r="AA1132" s="12" t="s">
        <v>51</v>
      </c>
      <c r="AB1132" s="12" t="s">
        <v>51</v>
      </c>
      <c r="AU1132" s="12" t="s">
        <v>53</v>
      </c>
    </row>
    <row r="1133" spans="1:47" s="12" customFormat="1" ht="14.4" hidden="1" x14ac:dyDescent="0.3">
      <c r="A1133" s="12" t="s">
        <v>39</v>
      </c>
      <c r="B1133" s="12" t="s">
        <v>3225</v>
      </c>
      <c r="C1133" s="12">
        <v>70</v>
      </c>
      <c r="D1133" s="12">
        <v>265</v>
      </c>
      <c r="F1133" s="12" t="s">
        <v>3425</v>
      </c>
      <c r="G1133" s="12" t="str">
        <f t="shared" si="30"/>
        <v>7026567986916</v>
      </c>
      <c r="H1133" s="12" t="s">
        <v>3426</v>
      </c>
      <c r="I1133" s="12">
        <v>67986916</v>
      </c>
      <c r="J1133" s="12" t="s">
        <v>3427</v>
      </c>
      <c r="K1133" s="12" t="s">
        <v>44</v>
      </c>
      <c r="L1133" s="12" t="s">
        <v>45</v>
      </c>
      <c r="M1133" s="12" t="s">
        <v>45</v>
      </c>
      <c r="N1133" s="12" t="s">
        <v>780</v>
      </c>
      <c r="O1133" s="12" t="s">
        <v>260</v>
      </c>
      <c r="P1133" s="88" t="s">
        <v>261</v>
      </c>
      <c r="Q1133" s="13">
        <v>45079</v>
      </c>
      <c r="R1133" s="16">
        <v>0.85499999999999998</v>
      </c>
      <c r="S1133" s="13" t="s">
        <v>49</v>
      </c>
      <c r="U1133" s="12" t="s">
        <v>50</v>
      </c>
      <c r="AU1133" s="12" t="s">
        <v>53</v>
      </c>
    </row>
    <row r="1134" spans="1:47" s="12" customFormat="1" ht="14.4" hidden="1" x14ac:dyDescent="0.3">
      <c r="A1134" s="12" t="s">
        <v>39</v>
      </c>
      <c r="B1134" s="12" t="s">
        <v>3225</v>
      </c>
      <c r="C1134" s="12">
        <v>70</v>
      </c>
      <c r="D1134" s="12">
        <v>265</v>
      </c>
      <c r="F1134" s="12" t="s">
        <v>3428</v>
      </c>
      <c r="G1134" s="12" t="str">
        <f t="shared" si="30"/>
        <v>70265NO REGISTRA</v>
      </c>
      <c r="H1134" s="12" t="s">
        <v>3429</v>
      </c>
      <c r="I1134" s="12" t="s">
        <v>45</v>
      </c>
      <c r="J1134" s="12" t="s">
        <v>3430</v>
      </c>
      <c r="K1134" s="12" t="s">
        <v>44</v>
      </c>
      <c r="L1134" s="12" t="s">
        <v>45</v>
      </c>
      <c r="M1134" s="12" t="s">
        <v>45</v>
      </c>
      <c r="N1134" s="12" t="s">
        <v>780</v>
      </c>
      <c r="O1134" s="12" t="s">
        <v>260</v>
      </c>
      <c r="P1134" s="88" t="s">
        <v>261</v>
      </c>
      <c r="Q1134" s="13">
        <v>45128</v>
      </c>
      <c r="R1134" s="16">
        <v>0.82499999999999996</v>
      </c>
      <c r="S1134" s="13" t="s">
        <v>49</v>
      </c>
      <c r="U1134" s="12" t="s">
        <v>50</v>
      </c>
      <c r="AU1134" s="12" t="s">
        <v>53</v>
      </c>
    </row>
    <row r="1135" spans="1:47" s="12" customFormat="1" ht="14.4" hidden="1" x14ac:dyDescent="0.3">
      <c r="A1135" s="12" t="s">
        <v>39</v>
      </c>
      <c r="B1135" s="12" t="s">
        <v>3225</v>
      </c>
      <c r="C1135" s="12">
        <v>70</v>
      </c>
      <c r="D1135" s="12">
        <v>265</v>
      </c>
      <c r="F1135" s="12" t="s">
        <v>3431</v>
      </c>
      <c r="G1135" s="12" t="str">
        <f t="shared" si="30"/>
        <v>70265NO REGISTRA</v>
      </c>
      <c r="H1135" s="12" t="s">
        <v>3432</v>
      </c>
      <c r="I1135" s="12" t="s">
        <v>45</v>
      </c>
      <c r="J1135" s="12" t="s">
        <v>3433</v>
      </c>
      <c r="K1135" s="12" t="s">
        <v>44</v>
      </c>
      <c r="L1135" s="12" t="s">
        <v>45</v>
      </c>
      <c r="M1135" s="12" t="s">
        <v>45</v>
      </c>
      <c r="N1135" s="12" t="s">
        <v>780</v>
      </c>
      <c r="O1135" s="12" t="s">
        <v>260</v>
      </c>
      <c r="P1135" s="88" t="s">
        <v>261</v>
      </c>
      <c r="Q1135" s="13">
        <v>45155</v>
      </c>
      <c r="R1135" s="16">
        <v>0.83</v>
      </c>
      <c r="S1135" s="13" t="s">
        <v>49</v>
      </c>
      <c r="U1135" s="12" t="s">
        <v>50</v>
      </c>
      <c r="AU1135" s="12" t="s">
        <v>53</v>
      </c>
    </row>
    <row r="1136" spans="1:47" s="12" customFormat="1" ht="14.4" hidden="1" x14ac:dyDescent="0.3">
      <c r="A1136" s="12" t="s">
        <v>39</v>
      </c>
      <c r="B1136" s="12" t="s">
        <v>3225</v>
      </c>
      <c r="C1136" s="12">
        <v>70</v>
      </c>
      <c r="D1136" s="12">
        <v>265</v>
      </c>
      <c r="F1136" s="12" t="s">
        <v>3434</v>
      </c>
      <c r="G1136" s="12" t="str">
        <f t="shared" si="30"/>
        <v>7026511013858190</v>
      </c>
      <c r="H1136" s="12" t="s">
        <v>3435</v>
      </c>
      <c r="I1136" s="12">
        <v>11013858190</v>
      </c>
      <c r="J1136" s="12" t="s">
        <v>3436</v>
      </c>
      <c r="K1136" s="12" t="s">
        <v>44</v>
      </c>
      <c r="L1136" s="12" t="s">
        <v>45</v>
      </c>
      <c r="M1136" s="12" t="s">
        <v>45</v>
      </c>
      <c r="N1136" s="12" t="s">
        <v>780</v>
      </c>
      <c r="O1136" s="12" t="s">
        <v>260</v>
      </c>
      <c r="P1136" s="88" t="s">
        <v>261</v>
      </c>
      <c r="Q1136" s="13">
        <v>45093</v>
      </c>
      <c r="R1136" s="16">
        <v>0.81499999999999995</v>
      </c>
      <c r="S1136" s="13" t="s">
        <v>49</v>
      </c>
      <c r="U1136" s="12" t="s">
        <v>50</v>
      </c>
      <c r="V1136" s="12">
        <v>43906</v>
      </c>
      <c r="W1136" s="16">
        <v>0.81499999999999995</v>
      </c>
      <c r="X1136" s="12" t="s">
        <v>49</v>
      </c>
      <c r="Z1136" s="12" t="s">
        <v>50</v>
      </c>
      <c r="AA1136" s="12" t="s">
        <v>51</v>
      </c>
      <c r="AB1136" s="12" t="s">
        <v>51</v>
      </c>
      <c r="AU1136" s="12" t="s">
        <v>53</v>
      </c>
    </row>
    <row r="1137" spans="1:47" s="12" customFormat="1" ht="14.4" hidden="1" x14ac:dyDescent="0.3">
      <c r="A1137" s="12" t="s">
        <v>39</v>
      </c>
      <c r="B1137" s="12" t="s">
        <v>3225</v>
      </c>
      <c r="C1137" s="12">
        <v>70</v>
      </c>
      <c r="D1137" s="12">
        <v>265</v>
      </c>
      <c r="F1137" s="12" t="s">
        <v>2500</v>
      </c>
      <c r="G1137" s="12" t="str">
        <f t="shared" si="30"/>
        <v>70265NO REGISTRA</v>
      </c>
      <c r="H1137" s="12" t="s">
        <v>3437</v>
      </c>
      <c r="I1137" s="12" t="s">
        <v>45</v>
      </c>
      <c r="J1137" s="12" t="s">
        <v>3438</v>
      </c>
      <c r="K1137" s="12" t="s">
        <v>44</v>
      </c>
      <c r="L1137" s="12" t="s">
        <v>45</v>
      </c>
      <c r="M1137" s="12" t="s">
        <v>45</v>
      </c>
      <c r="N1137" s="12" t="s">
        <v>780</v>
      </c>
      <c r="O1137" s="12" t="s">
        <v>260</v>
      </c>
      <c r="P1137" s="88" t="s">
        <v>261</v>
      </c>
      <c r="Q1137" s="13">
        <v>45153</v>
      </c>
      <c r="R1137" s="16">
        <v>0.77</v>
      </c>
      <c r="S1137" s="13" t="s">
        <v>49</v>
      </c>
      <c r="U1137" s="12" t="s">
        <v>50</v>
      </c>
      <c r="AU1137" s="12" t="s">
        <v>53</v>
      </c>
    </row>
    <row r="1138" spans="1:47" s="12" customFormat="1" ht="14.4" hidden="1" x14ac:dyDescent="0.3">
      <c r="A1138" s="12" t="s">
        <v>39</v>
      </c>
      <c r="B1138" s="12" t="s">
        <v>3225</v>
      </c>
      <c r="C1138" s="12">
        <v>70</v>
      </c>
      <c r="D1138" s="12">
        <v>265</v>
      </c>
      <c r="F1138" s="12" t="s">
        <v>3439</v>
      </c>
      <c r="G1138" s="12" t="str">
        <f t="shared" si="30"/>
        <v>7026511013883310</v>
      </c>
      <c r="H1138" s="12" t="s">
        <v>3440</v>
      </c>
      <c r="I1138" s="12">
        <v>11013883310</v>
      </c>
      <c r="J1138" s="12" t="s">
        <v>3441</v>
      </c>
      <c r="K1138" s="12" t="s">
        <v>44</v>
      </c>
      <c r="L1138" s="12" t="s">
        <v>45</v>
      </c>
      <c r="M1138" s="12" t="s">
        <v>45</v>
      </c>
      <c r="N1138" s="12" t="s">
        <v>780</v>
      </c>
      <c r="O1138" s="12" t="s">
        <v>260</v>
      </c>
      <c r="P1138" s="88" t="s">
        <v>261</v>
      </c>
      <c r="Q1138" s="13">
        <v>45084</v>
      </c>
      <c r="R1138" s="16">
        <v>0.77</v>
      </c>
      <c r="S1138" s="13" t="s">
        <v>49</v>
      </c>
      <c r="U1138" s="12" t="s">
        <v>50</v>
      </c>
      <c r="AU1138" s="12" t="s">
        <v>53</v>
      </c>
    </row>
    <row r="1139" spans="1:47" s="12" customFormat="1" ht="14.4" hidden="1" x14ac:dyDescent="0.3">
      <c r="A1139" s="12" t="s">
        <v>39</v>
      </c>
      <c r="B1139" s="12" t="s">
        <v>3225</v>
      </c>
      <c r="C1139" s="12">
        <v>70</v>
      </c>
      <c r="D1139" s="12">
        <v>265</v>
      </c>
      <c r="F1139" s="12" t="s">
        <v>3442</v>
      </c>
      <c r="G1139" s="12" t="str">
        <f t="shared" si="30"/>
        <v>70265197910263</v>
      </c>
      <c r="H1139" s="12" t="s">
        <v>3443</v>
      </c>
      <c r="I1139" s="12">
        <v>197910263</v>
      </c>
      <c r="J1139" s="12" t="s">
        <v>3444</v>
      </c>
      <c r="K1139" s="12" t="s">
        <v>44</v>
      </c>
      <c r="L1139" s="12" t="s">
        <v>45</v>
      </c>
      <c r="M1139" s="12" t="s">
        <v>45</v>
      </c>
      <c r="N1139" s="12" t="s">
        <v>780</v>
      </c>
      <c r="O1139" s="12" t="s">
        <v>260</v>
      </c>
      <c r="P1139" s="88" t="s">
        <v>261</v>
      </c>
      <c r="Q1139" s="13">
        <v>45250</v>
      </c>
      <c r="R1139" s="16">
        <v>0.77</v>
      </c>
      <c r="S1139" s="13" t="s">
        <v>49</v>
      </c>
      <c r="U1139" s="12" t="s">
        <v>50</v>
      </c>
      <c r="AU1139" s="12" t="s">
        <v>53</v>
      </c>
    </row>
    <row r="1140" spans="1:47" s="12" customFormat="1" ht="14.4" hidden="1" x14ac:dyDescent="0.3">
      <c r="A1140" s="12" t="s">
        <v>39</v>
      </c>
      <c r="B1140" s="12" t="s">
        <v>3225</v>
      </c>
      <c r="C1140" s="12">
        <v>70</v>
      </c>
      <c r="D1140" s="12">
        <v>265</v>
      </c>
      <c r="F1140" s="12" t="s">
        <v>3445</v>
      </c>
      <c r="G1140" s="12" t="str">
        <f t="shared" si="30"/>
        <v>70265NO REGISTRA</v>
      </c>
      <c r="H1140" s="12" t="s">
        <v>3446</v>
      </c>
      <c r="I1140" s="12" t="s">
        <v>45</v>
      </c>
      <c r="J1140" s="12" t="s">
        <v>3447</v>
      </c>
      <c r="K1140" s="12" t="s">
        <v>44</v>
      </c>
      <c r="L1140" s="12" t="s">
        <v>45</v>
      </c>
      <c r="M1140" s="12" t="s">
        <v>45</v>
      </c>
      <c r="N1140" s="12" t="s">
        <v>780</v>
      </c>
      <c r="O1140" s="12" t="s">
        <v>260</v>
      </c>
      <c r="P1140" s="88" t="s">
        <v>261</v>
      </c>
      <c r="Q1140" s="13">
        <v>45138</v>
      </c>
      <c r="R1140" s="16">
        <v>0.78</v>
      </c>
      <c r="S1140" s="13" t="s">
        <v>49</v>
      </c>
      <c r="U1140" s="12" t="s">
        <v>50</v>
      </c>
      <c r="AU1140" s="12" t="s">
        <v>53</v>
      </c>
    </row>
    <row r="1141" spans="1:47" s="12" customFormat="1" ht="14.4" hidden="1" x14ac:dyDescent="0.3">
      <c r="A1141" s="12" t="s">
        <v>39</v>
      </c>
      <c r="B1141" s="12" t="s">
        <v>3225</v>
      </c>
      <c r="C1141" s="12">
        <v>70</v>
      </c>
      <c r="D1141" s="12">
        <v>265</v>
      </c>
      <c r="F1141" s="12" t="s">
        <v>3448</v>
      </c>
      <c r="G1141" s="12" t="str">
        <f t="shared" si="30"/>
        <v>702659004344405</v>
      </c>
      <c r="H1141" s="12" t="s">
        <v>3449</v>
      </c>
      <c r="I1141" s="12">
        <v>9004344405</v>
      </c>
      <c r="J1141" s="12" t="s">
        <v>3450</v>
      </c>
      <c r="K1141" s="12" t="s">
        <v>44</v>
      </c>
      <c r="L1141" s="12" t="s">
        <v>45</v>
      </c>
      <c r="M1141" s="12" t="s">
        <v>45</v>
      </c>
      <c r="N1141" s="12" t="s">
        <v>780</v>
      </c>
      <c r="O1141" s="12" t="s">
        <v>260</v>
      </c>
      <c r="P1141" s="88" t="s">
        <v>261</v>
      </c>
      <c r="Q1141" s="13">
        <v>45087</v>
      </c>
      <c r="R1141" s="16">
        <v>0.78</v>
      </c>
      <c r="S1141" s="13" t="s">
        <v>49</v>
      </c>
      <c r="U1141" s="12" t="s">
        <v>50</v>
      </c>
      <c r="AU1141" s="12" t="s">
        <v>53</v>
      </c>
    </row>
    <row r="1142" spans="1:47" s="12" customFormat="1" ht="14.4" hidden="1" x14ac:dyDescent="0.3">
      <c r="A1142" s="12" t="s">
        <v>39</v>
      </c>
      <c r="B1142" s="12" t="s">
        <v>3225</v>
      </c>
      <c r="C1142" s="12">
        <v>70</v>
      </c>
      <c r="D1142" s="12">
        <v>265</v>
      </c>
      <c r="F1142" s="12" t="s">
        <v>3451</v>
      </c>
      <c r="G1142" s="12" t="str">
        <f t="shared" si="30"/>
        <v>70265NO REGISTRA</v>
      </c>
      <c r="H1142" s="12" t="s">
        <v>3452</v>
      </c>
      <c r="I1142" s="12" t="s">
        <v>45</v>
      </c>
      <c r="J1142" s="12" t="s">
        <v>3453</v>
      </c>
      <c r="K1142" s="12" t="s">
        <v>44</v>
      </c>
      <c r="L1142" s="12" t="s">
        <v>45</v>
      </c>
      <c r="M1142" s="12" t="s">
        <v>45</v>
      </c>
      <c r="N1142" s="12" t="s">
        <v>780</v>
      </c>
      <c r="O1142" s="12" t="s">
        <v>260</v>
      </c>
      <c r="P1142" s="88" t="s">
        <v>261</v>
      </c>
      <c r="Q1142" s="13">
        <v>45154</v>
      </c>
      <c r="R1142" s="16">
        <v>0.79</v>
      </c>
      <c r="S1142" s="13" t="s">
        <v>49</v>
      </c>
      <c r="U1142" s="12" t="s">
        <v>50</v>
      </c>
      <c r="AU1142" s="12" t="s">
        <v>53</v>
      </c>
    </row>
    <row r="1143" spans="1:47" s="12" customFormat="1" ht="14.4" hidden="1" x14ac:dyDescent="0.3">
      <c r="A1143" s="12" t="s">
        <v>39</v>
      </c>
      <c r="B1143" s="12" t="s">
        <v>3225</v>
      </c>
      <c r="C1143" s="12">
        <v>70</v>
      </c>
      <c r="D1143" s="12">
        <v>265</v>
      </c>
      <c r="F1143" s="12" t="s">
        <v>3454</v>
      </c>
      <c r="G1143" s="12" t="str">
        <f t="shared" si="30"/>
        <v>70265125248553</v>
      </c>
      <c r="H1143" s="12" t="s">
        <v>3455</v>
      </c>
      <c r="I1143" s="12">
        <v>125248553</v>
      </c>
      <c r="J1143" s="12" t="s">
        <v>3456</v>
      </c>
      <c r="K1143" s="12" t="s">
        <v>44</v>
      </c>
      <c r="L1143" s="12" t="s">
        <v>45</v>
      </c>
      <c r="M1143" s="12" t="s">
        <v>45</v>
      </c>
      <c r="N1143" s="12" t="s">
        <v>780</v>
      </c>
      <c r="O1143" s="12" t="s">
        <v>260</v>
      </c>
      <c r="P1143" s="88" t="s">
        <v>261</v>
      </c>
      <c r="Q1143" s="13">
        <v>45121</v>
      </c>
      <c r="R1143" s="16">
        <v>0.83</v>
      </c>
      <c r="S1143" s="13" t="s">
        <v>49</v>
      </c>
      <c r="U1143" s="12" t="s">
        <v>50</v>
      </c>
      <c r="AU1143" s="12" t="s">
        <v>53</v>
      </c>
    </row>
    <row r="1144" spans="1:47" s="12" customFormat="1" ht="14.4" hidden="1" x14ac:dyDescent="0.3">
      <c r="A1144" s="12" t="s">
        <v>39</v>
      </c>
      <c r="B1144" s="12" t="s">
        <v>3225</v>
      </c>
      <c r="C1144" s="12">
        <v>70</v>
      </c>
      <c r="D1144" s="12">
        <v>265</v>
      </c>
      <c r="F1144" s="12" t="s">
        <v>3457</v>
      </c>
      <c r="G1144" s="12" t="str">
        <f t="shared" si="30"/>
        <v>7026542365576</v>
      </c>
      <c r="H1144" s="12" t="s">
        <v>3458</v>
      </c>
      <c r="I1144" s="12">
        <v>42365576</v>
      </c>
      <c r="J1144" s="12" t="s">
        <v>3459</v>
      </c>
      <c r="K1144" s="12" t="s">
        <v>44</v>
      </c>
      <c r="L1144" s="12" t="s">
        <v>45</v>
      </c>
      <c r="M1144" s="12" t="s">
        <v>45</v>
      </c>
      <c r="N1144" s="12" t="s">
        <v>780</v>
      </c>
      <c r="O1144" s="12" t="s">
        <v>260</v>
      </c>
      <c r="P1144" s="88" t="s">
        <v>261</v>
      </c>
      <c r="Q1144" s="13">
        <v>45161</v>
      </c>
      <c r="R1144" s="16">
        <v>0.86499999999999999</v>
      </c>
      <c r="S1144" s="13" t="s">
        <v>49</v>
      </c>
      <c r="U1144" s="12" t="s">
        <v>50</v>
      </c>
      <c r="AU1144" s="12" t="s">
        <v>53</v>
      </c>
    </row>
    <row r="1145" spans="1:47" s="12" customFormat="1" ht="14.4" hidden="1" x14ac:dyDescent="0.3">
      <c r="A1145" s="12" t="s">
        <v>39</v>
      </c>
      <c r="B1145" s="12" t="s">
        <v>3225</v>
      </c>
      <c r="C1145" s="12">
        <v>70</v>
      </c>
      <c r="D1145" s="12">
        <v>265</v>
      </c>
      <c r="F1145" s="12" t="s">
        <v>3460</v>
      </c>
      <c r="G1145" s="12" t="str">
        <f t="shared" si="30"/>
        <v>7026510473953310</v>
      </c>
      <c r="H1145" s="12" t="s">
        <v>3461</v>
      </c>
      <c r="I1145" s="12">
        <v>10473953310</v>
      </c>
      <c r="J1145" s="12" t="s">
        <v>3462</v>
      </c>
      <c r="K1145" s="12" t="s">
        <v>44</v>
      </c>
      <c r="L1145" s="12" t="s">
        <v>45</v>
      </c>
      <c r="M1145" s="12" t="s">
        <v>45</v>
      </c>
      <c r="N1145" s="12" t="s">
        <v>780</v>
      </c>
      <c r="O1145" s="12" t="s">
        <v>260</v>
      </c>
      <c r="P1145" s="88" t="s">
        <v>261</v>
      </c>
      <c r="Q1145" s="13">
        <v>45091</v>
      </c>
      <c r="R1145" s="16">
        <v>0.80500000000000005</v>
      </c>
      <c r="S1145" s="13" t="s">
        <v>49</v>
      </c>
      <c r="U1145" s="12" t="s">
        <v>50</v>
      </c>
      <c r="AU1145" s="12" t="s">
        <v>53</v>
      </c>
    </row>
    <row r="1146" spans="1:47" s="12" customFormat="1" ht="14.4" hidden="1" x14ac:dyDescent="0.3">
      <c r="A1146" s="12" t="s">
        <v>39</v>
      </c>
      <c r="B1146" s="12" t="s">
        <v>3225</v>
      </c>
      <c r="C1146" s="12">
        <v>70</v>
      </c>
      <c r="D1146" s="12">
        <v>265</v>
      </c>
      <c r="F1146" s="12" t="s">
        <v>3463</v>
      </c>
      <c r="G1146" s="12" t="str">
        <f t="shared" si="30"/>
        <v>702651102866943-8</v>
      </c>
      <c r="H1146" s="12" t="s">
        <v>3464</v>
      </c>
      <c r="I1146" s="12" t="s">
        <v>3465</v>
      </c>
      <c r="J1146" s="12" t="s">
        <v>3466</v>
      </c>
      <c r="K1146" s="12" t="s">
        <v>44</v>
      </c>
      <c r="L1146" s="12">
        <v>3015068332</v>
      </c>
      <c r="M1146" s="12" t="s">
        <v>45</v>
      </c>
      <c r="N1146" s="12" t="s">
        <v>432</v>
      </c>
      <c r="O1146" s="12" t="s">
        <v>432</v>
      </c>
      <c r="P1146" s="88" t="s">
        <v>261</v>
      </c>
      <c r="Q1146" s="13">
        <v>45149</v>
      </c>
      <c r="R1146" s="16">
        <v>0.89</v>
      </c>
      <c r="S1146" s="13" t="s">
        <v>49</v>
      </c>
      <c r="U1146" s="12" t="s">
        <v>50</v>
      </c>
      <c r="V1146" s="13">
        <v>44980</v>
      </c>
      <c r="W1146" s="16">
        <v>0.86</v>
      </c>
      <c r="X1146" s="13" t="s">
        <v>49</v>
      </c>
      <c r="Z1146" s="12" t="s">
        <v>50</v>
      </c>
      <c r="AA1146" s="12" t="s">
        <v>52</v>
      </c>
      <c r="AB1146" s="12" t="s">
        <v>52</v>
      </c>
      <c r="AU1146" s="12" t="s">
        <v>53</v>
      </c>
    </row>
    <row r="1147" spans="1:47" s="12" customFormat="1" ht="14.4" hidden="1" x14ac:dyDescent="0.3">
      <c r="A1147" s="12" t="s">
        <v>39</v>
      </c>
      <c r="B1147" s="12" t="s">
        <v>3225</v>
      </c>
      <c r="C1147" s="12">
        <v>70</v>
      </c>
      <c r="D1147" s="12">
        <v>265</v>
      </c>
      <c r="F1147" s="12" t="s">
        <v>3467</v>
      </c>
      <c r="G1147" s="12" t="str">
        <f t="shared" si="30"/>
        <v>7026572154837</v>
      </c>
      <c r="H1147" s="12" t="s">
        <v>3468</v>
      </c>
      <c r="I1147" s="12">
        <v>72154837</v>
      </c>
      <c r="J1147" s="12" t="s">
        <v>3469</v>
      </c>
      <c r="K1147" s="12" t="s">
        <v>44</v>
      </c>
      <c r="L1147" s="12" t="s">
        <v>45</v>
      </c>
      <c r="M1147" s="12" t="s">
        <v>45</v>
      </c>
      <c r="N1147" s="12" t="s">
        <v>432</v>
      </c>
      <c r="O1147" s="12" t="s">
        <v>432</v>
      </c>
      <c r="P1147" s="88" t="s">
        <v>261</v>
      </c>
      <c r="Q1147" s="12" t="s">
        <v>3470</v>
      </c>
      <c r="R1147" s="16">
        <v>0.79</v>
      </c>
      <c r="S1147" s="12" t="s">
        <v>87</v>
      </c>
      <c r="T1147" s="12" t="s">
        <v>3471</v>
      </c>
      <c r="U1147" s="12" t="s">
        <v>50</v>
      </c>
      <c r="V1147" s="13">
        <v>44417</v>
      </c>
      <c r="W1147" s="16">
        <v>0.84499999999999997</v>
      </c>
      <c r="X1147" s="13" t="s">
        <v>49</v>
      </c>
      <c r="Z1147" s="12" t="s">
        <v>50</v>
      </c>
      <c r="AA1147" s="12" t="s">
        <v>51</v>
      </c>
      <c r="AB1147" s="12" t="s">
        <v>52</v>
      </c>
      <c r="AU1147" s="12" t="s">
        <v>164</v>
      </c>
    </row>
    <row r="1148" spans="1:47" s="12" customFormat="1" ht="14.4" hidden="1" x14ac:dyDescent="0.3">
      <c r="A1148" s="12" t="s">
        <v>39</v>
      </c>
      <c r="B1148" s="12" t="s">
        <v>3225</v>
      </c>
      <c r="C1148" s="12">
        <v>70</v>
      </c>
      <c r="D1148" s="12">
        <v>265</v>
      </c>
      <c r="F1148" s="12" t="s">
        <v>3472</v>
      </c>
      <c r="G1148" s="12" t="str">
        <f t="shared" si="30"/>
        <v>702651038438623</v>
      </c>
      <c r="H1148" s="12" t="s">
        <v>3473</v>
      </c>
      <c r="I1148" s="12">
        <v>1038438623</v>
      </c>
      <c r="J1148" s="12" t="s">
        <v>3474</v>
      </c>
      <c r="K1148" s="12" t="s">
        <v>44</v>
      </c>
      <c r="L1148" s="12" t="s">
        <v>45</v>
      </c>
      <c r="M1148" s="12" t="s">
        <v>45</v>
      </c>
      <c r="N1148" s="12" t="s">
        <v>432</v>
      </c>
      <c r="O1148" s="12" t="s">
        <v>432</v>
      </c>
      <c r="P1148" s="88" t="s">
        <v>261</v>
      </c>
      <c r="Q1148" s="13">
        <v>44694</v>
      </c>
      <c r="R1148" s="16">
        <v>0.93500000000000005</v>
      </c>
      <c r="S1148" s="13" t="s">
        <v>210</v>
      </c>
      <c r="U1148" s="12" t="s">
        <v>50</v>
      </c>
      <c r="AU1148" s="12" t="s">
        <v>164</v>
      </c>
    </row>
    <row r="1149" spans="1:47" s="12" customFormat="1" ht="14.4" hidden="1" x14ac:dyDescent="0.3">
      <c r="A1149" s="12" t="s">
        <v>39</v>
      </c>
      <c r="B1149" s="12" t="s">
        <v>3225</v>
      </c>
      <c r="C1149" s="12">
        <v>70</v>
      </c>
      <c r="D1149" s="12">
        <v>265</v>
      </c>
      <c r="F1149" s="12" t="s">
        <v>3475</v>
      </c>
      <c r="G1149" s="12" t="str">
        <f t="shared" si="30"/>
        <v>702651101386469-4</v>
      </c>
      <c r="H1149" s="12" t="s">
        <v>3476</v>
      </c>
      <c r="I1149" s="12" t="s">
        <v>3477</v>
      </c>
      <c r="J1149" s="12" t="s">
        <v>3478</v>
      </c>
      <c r="K1149" s="12" t="s">
        <v>44</v>
      </c>
      <c r="L1149" s="12" t="s">
        <v>45</v>
      </c>
      <c r="M1149" s="12" t="s">
        <v>45</v>
      </c>
      <c r="N1149" s="12" t="s">
        <v>432</v>
      </c>
      <c r="O1149" s="12" t="s">
        <v>432</v>
      </c>
      <c r="P1149" s="88" t="s">
        <v>261</v>
      </c>
      <c r="Q1149" s="13">
        <v>44708</v>
      </c>
      <c r="R1149" s="16">
        <v>0.88500000000000001</v>
      </c>
      <c r="S1149" s="13" t="s">
        <v>49</v>
      </c>
      <c r="U1149" s="12" t="s">
        <v>50</v>
      </c>
      <c r="AU1149" s="12" t="s">
        <v>164</v>
      </c>
    </row>
    <row r="1150" spans="1:47" s="12" customFormat="1" ht="14.4" hidden="1" x14ac:dyDescent="0.3">
      <c r="A1150" s="12" t="s">
        <v>39</v>
      </c>
      <c r="B1150" s="12" t="s">
        <v>3225</v>
      </c>
      <c r="C1150" s="12">
        <v>70</v>
      </c>
      <c r="D1150" s="12">
        <v>265</v>
      </c>
      <c r="F1150" s="12" t="s">
        <v>3479</v>
      </c>
      <c r="G1150" s="12" t="str">
        <f t="shared" si="30"/>
        <v>7026542365142</v>
      </c>
      <c r="H1150" s="12" t="s">
        <v>3480</v>
      </c>
      <c r="I1150" s="12">
        <v>42365142</v>
      </c>
      <c r="J1150" s="12" t="s">
        <v>3481</v>
      </c>
      <c r="K1150" s="12" t="s">
        <v>44</v>
      </c>
      <c r="L1150" s="12" t="s">
        <v>45</v>
      </c>
      <c r="M1150" s="12" t="s">
        <v>45</v>
      </c>
      <c r="N1150" s="12" t="s">
        <v>432</v>
      </c>
      <c r="O1150" s="12" t="s">
        <v>432</v>
      </c>
      <c r="P1150" s="88" t="s">
        <v>261</v>
      </c>
      <c r="Q1150" s="13">
        <v>44704</v>
      </c>
      <c r="R1150" s="16">
        <v>0.87</v>
      </c>
      <c r="S1150" s="13" t="s">
        <v>49</v>
      </c>
      <c r="U1150" s="12" t="s">
        <v>50</v>
      </c>
      <c r="AU1150" s="12" t="s">
        <v>164</v>
      </c>
    </row>
    <row r="1151" spans="1:47" s="12" customFormat="1" ht="14.4" hidden="1" x14ac:dyDescent="0.3">
      <c r="A1151" s="12" t="s">
        <v>39</v>
      </c>
      <c r="B1151" s="12" t="s">
        <v>3225</v>
      </c>
      <c r="C1151" s="12">
        <v>70</v>
      </c>
      <c r="D1151" s="12">
        <v>265</v>
      </c>
      <c r="F1151" s="12" t="s">
        <v>3482</v>
      </c>
      <c r="G1151" s="12" t="str">
        <f t="shared" si="30"/>
        <v>702656797192</v>
      </c>
      <c r="H1151" s="12" t="s">
        <v>3483</v>
      </c>
      <c r="I1151" s="12">
        <v>6797192</v>
      </c>
      <c r="J1151" s="12" t="s">
        <v>3484</v>
      </c>
      <c r="K1151" s="12" t="s">
        <v>44</v>
      </c>
      <c r="L1151" s="12" t="s">
        <v>45</v>
      </c>
      <c r="M1151" s="12" t="s">
        <v>45</v>
      </c>
      <c r="N1151" s="12" t="s">
        <v>432</v>
      </c>
      <c r="O1151" s="12" t="s">
        <v>432</v>
      </c>
      <c r="P1151" s="88" t="s">
        <v>261</v>
      </c>
      <c r="AU1151" s="12" t="s">
        <v>164</v>
      </c>
    </row>
    <row r="1152" spans="1:47" s="12" customFormat="1" ht="14.4" hidden="1" x14ac:dyDescent="0.3">
      <c r="A1152" s="12" t="s">
        <v>39</v>
      </c>
      <c r="B1152" s="12" t="s">
        <v>3225</v>
      </c>
      <c r="C1152" s="12">
        <v>70</v>
      </c>
      <c r="D1152" s="12">
        <v>265</v>
      </c>
      <c r="F1152" s="12" t="s">
        <v>3491</v>
      </c>
      <c r="G1152" s="12" t="str">
        <f t="shared" si="30"/>
        <v>7026542366393</v>
      </c>
      <c r="H1152" s="12" t="s">
        <v>3492</v>
      </c>
      <c r="I1152" s="12">
        <v>42366393</v>
      </c>
      <c r="J1152" s="12" t="s">
        <v>3493</v>
      </c>
      <c r="K1152" s="12" t="s">
        <v>44</v>
      </c>
      <c r="L1152" s="12" t="s">
        <v>45</v>
      </c>
      <c r="M1152" s="12" t="s">
        <v>45</v>
      </c>
      <c r="N1152" s="12" t="s">
        <v>432</v>
      </c>
      <c r="O1152" s="12" t="s">
        <v>432</v>
      </c>
      <c r="P1152" s="88" t="s">
        <v>261</v>
      </c>
      <c r="Q1152" s="13">
        <v>45266</v>
      </c>
      <c r="R1152" s="16">
        <v>0.93</v>
      </c>
      <c r="S1152" s="12" t="s">
        <v>210</v>
      </c>
      <c r="U1152" s="12" t="s">
        <v>50</v>
      </c>
      <c r="V1152" s="13">
        <v>44844</v>
      </c>
      <c r="W1152" s="16">
        <v>0.76</v>
      </c>
      <c r="X1152" s="13" t="s">
        <v>49</v>
      </c>
      <c r="Z1152" s="12" t="s">
        <v>60</v>
      </c>
      <c r="AA1152" s="12" t="s">
        <v>51</v>
      </c>
      <c r="AB1152" s="12" t="s">
        <v>51</v>
      </c>
      <c r="AU1152" s="12" t="s">
        <v>53</v>
      </c>
    </row>
    <row r="1153" spans="1:47" s="12" customFormat="1" ht="14.4" hidden="1" x14ac:dyDescent="0.3">
      <c r="A1153" s="12" t="s">
        <v>39</v>
      </c>
      <c r="B1153" s="12" t="s">
        <v>3225</v>
      </c>
      <c r="C1153" s="12">
        <v>70</v>
      </c>
      <c r="D1153" s="12">
        <v>265</v>
      </c>
      <c r="F1153" s="12" t="s">
        <v>3494</v>
      </c>
      <c r="G1153" s="12" t="str">
        <f t="shared" si="30"/>
        <v>7026572154837</v>
      </c>
      <c r="H1153" s="12" t="s">
        <v>3495</v>
      </c>
      <c r="I1153" s="12">
        <v>72154837</v>
      </c>
      <c r="J1153" s="12" t="s">
        <v>3496</v>
      </c>
      <c r="K1153" s="12" t="s">
        <v>44</v>
      </c>
      <c r="L1153" s="12" t="s">
        <v>45</v>
      </c>
      <c r="M1153" s="12" t="s">
        <v>45</v>
      </c>
      <c r="N1153" s="12" t="s">
        <v>432</v>
      </c>
      <c r="O1153" s="12" t="s">
        <v>432</v>
      </c>
      <c r="P1153" s="88" t="s">
        <v>261</v>
      </c>
      <c r="Q1153" s="13">
        <v>45265</v>
      </c>
      <c r="R1153" s="16">
        <v>0.83</v>
      </c>
      <c r="S1153" s="12" t="s">
        <v>49</v>
      </c>
      <c r="U1153" s="12" t="s">
        <v>50</v>
      </c>
      <c r="V1153" s="13" t="s">
        <v>2754</v>
      </c>
      <c r="W1153" s="16">
        <v>0.69</v>
      </c>
      <c r="X1153" s="13" t="s">
        <v>49</v>
      </c>
      <c r="Z1153" s="12" t="s">
        <v>50</v>
      </c>
      <c r="AA1153" s="12" t="s">
        <v>52</v>
      </c>
      <c r="AB1153" s="12" t="s">
        <v>52</v>
      </c>
      <c r="AU1153" s="12" t="s">
        <v>53</v>
      </c>
    </row>
    <row r="1154" spans="1:47" s="12" customFormat="1" ht="14.4" hidden="1" x14ac:dyDescent="0.3">
      <c r="A1154" s="12" t="s">
        <v>39</v>
      </c>
      <c r="B1154" s="12" t="s">
        <v>3225</v>
      </c>
      <c r="C1154" s="12">
        <v>70</v>
      </c>
      <c r="D1154" s="12">
        <v>265</v>
      </c>
      <c r="F1154" s="12" t="s">
        <v>3497</v>
      </c>
      <c r="G1154" s="12" t="str">
        <f t="shared" si="30"/>
        <v>702651101387394</v>
      </c>
      <c r="H1154" s="12" t="s">
        <v>3498</v>
      </c>
      <c r="I1154" s="12">
        <v>1101387394</v>
      </c>
      <c r="J1154" s="12" t="s">
        <v>3499</v>
      </c>
      <c r="K1154" s="12" t="s">
        <v>44</v>
      </c>
      <c r="L1154" s="12" t="s">
        <v>45</v>
      </c>
      <c r="M1154" s="12" t="s">
        <v>45</v>
      </c>
      <c r="N1154" s="12" t="s">
        <v>432</v>
      </c>
      <c r="O1154" s="12" t="s">
        <v>432</v>
      </c>
      <c r="P1154" s="88" t="s">
        <v>261</v>
      </c>
      <c r="Q1154" s="13">
        <v>45259</v>
      </c>
      <c r="R1154" s="16">
        <v>0.82</v>
      </c>
      <c r="S1154" s="12" t="s">
        <v>49</v>
      </c>
      <c r="U1154" s="12" t="s">
        <v>50</v>
      </c>
      <c r="V1154" s="13">
        <v>44664</v>
      </c>
      <c r="W1154" s="16">
        <v>0.6925</v>
      </c>
      <c r="X1154" s="13" t="s">
        <v>49</v>
      </c>
      <c r="Z1154" s="12" t="s">
        <v>50</v>
      </c>
      <c r="AA1154" s="12" t="s">
        <v>52</v>
      </c>
      <c r="AB1154" s="12" t="s">
        <v>52</v>
      </c>
      <c r="AU1154" s="12" t="s">
        <v>53</v>
      </c>
    </row>
    <row r="1155" spans="1:47" s="12" customFormat="1" ht="14.4" hidden="1" x14ac:dyDescent="0.3">
      <c r="A1155" s="12" t="s">
        <v>39</v>
      </c>
      <c r="B1155" s="12" t="s">
        <v>3225</v>
      </c>
      <c r="C1155" s="12">
        <v>70</v>
      </c>
      <c r="D1155" s="12">
        <v>265</v>
      </c>
      <c r="F1155" s="12" t="s">
        <v>3500</v>
      </c>
      <c r="G1155" s="12" t="str">
        <f t="shared" si="30"/>
        <v>7026592129547</v>
      </c>
      <c r="H1155" s="12" t="s">
        <v>3501</v>
      </c>
      <c r="I1155" s="12">
        <v>92129547</v>
      </c>
      <c r="J1155" s="12" t="s">
        <v>3502</v>
      </c>
      <c r="K1155" s="12" t="s">
        <v>44</v>
      </c>
      <c r="L1155" s="12" t="s">
        <v>45</v>
      </c>
      <c r="M1155" s="12" t="s">
        <v>45</v>
      </c>
      <c r="N1155" s="12" t="s">
        <v>432</v>
      </c>
      <c r="O1155" s="12" t="s">
        <v>432</v>
      </c>
      <c r="P1155" s="88" t="s">
        <v>261</v>
      </c>
      <c r="Q1155" s="13">
        <v>45063</v>
      </c>
      <c r="R1155" s="16">
        <v>0.73499999999999999</v>
      </c>
      <c r="S1155" s="13" t="s">
        <v>49</v>
      </c>
      <c r="U1155" s="12" t="s">
        <v>50</v>
      </c>
      <c r="AU1155" s="12" t="s">
        <v>53</v>
      </c>
    </row>
    <row r="1156" spans="1:47" s="12" customFormat="1" ht="14.4" hidden="1" x14ac:dyDescent="0.3">
      <c r="A1156" s="12" t="s">
        <v>39</v>
      </c>
      <c r="B1156" s="12" t="s">
        <v>3225</v>
      </c>
      <c r="C1156" s="12">
        <v>70</v>
      </c>
      <c r="D1156" s="12">
        <v>265</v>
      </c>
      <c r="F1156" s="12" t="s">
        <v>3503</v>
      </c>
      <c r="G1156" s="12" t="str">
        <f t="shared" si="30"/>
        <v>7026511013890810</v>
      </c>
      <c r="H1156" s="12" t="s">
        <v>3504</v>
      </c>
      <c r="I1156" s="12">
        <v>11013890810</v>
      </c>
      <c r="J1156" s="12" t="s">
        <v>3505</v>
      </c>
      <c r="K1156" s="12" t="s">
        <v>44</v>
      </c>
      <c r="L1156" s="12" t="s">
        <v>45</v>
      </c>
      <c r="M1156" s="12" t="s">
        <v>45</v>
      </c>
      <c r="N1156" s="12" t="s">
        <v>432</v>
      </c>
      <c r="O1156" s="12" t="s">
        <v>432</v>
      </c>
      <c r="P1156" s="88" t="s">
        <v>261</v>
      </c>
      <c r="V1156" s="13"/>
      <c r="W1156" s="13"/>
      <c r="X1156" s="13"/>
      <c r="AU1156" s="12" t="s">
        <v>164</v>
      </c>
    </row>
    <row r="1157" spans="1:47" s="12" customFormat="1" ht="14.4" hidden="1" x14ac:dyDescent="0.3">
      <c r="A1157" s="12" t="s">
        <v>39</v>
      </c>
      <c r="B1157" s="12" t="s">
        <v>3225</v>
      </c>
      <c r="C1157" s="12">
        <v>70</v>
      </c>
      <c r="D1157" s="12">
        <v>265</v>
      </c>
      <c r="F1157" s="12" t="s">
        <v>3506</v>
      </c>
      <c r="G1157" s="12" t="str">
        <f t="shared" si="30"/>
        <v>7026573135601</v>
      </c>
      <c r="H1157" s="12" t="s">
        <v>3507</v>
      </c>
      <c r="I1157" s="12">
        <v>73135601</v>
      </c>
      <c r="J1157" s="12" t="s">
        <v>3508</v>
      </c>
      <c r="K1157" s="12" t="s">
        <v>44</v>
      </c>
      <c r="L1157" s="12" t="s">
        <v>45</v>
      </c>
      <c r="M1157" s="12" t="s">
        <v>45</v>
      </c>
      <c r="N1157" s="12" t="s">
        <v>432</v>
      </c>
      <c r="O1157" s="12" t="s">
        <v>432</v>
      </c>
      <c r="P1157" s="88" t="s">
        <v>261</v>
      </c>
      <c r="V1157" s="13"/>
      <c r="W1157" s="13"/>
      <c r="X1157" s="13"/>
      <c r="AU1157" s="12" t="s">
        <v>164</v>
      </c>
    </row>
    <row r="1158" spans="1:47" s="12" customFormat="1" ht="14.4" hidden="1" x14ac:dyDescent="0.3">
      <c r="A1158" s="12" t="s">
        <v>39</v>
      </c>
      <c r="B1158" s="12" t="s">
        <v>3225</v>
      </c>
      <c r="C1158" s="12">
        <v>70</v>
      </c>
      <c r="D1158" s="12">
        <v>265</v>
      </c>
      <c r="F1158" s="12" t="s">
        <v>3509</v>
      </c>
      <c r="G1158" s="12" t="str">
        <f t="shared" si="30"/>
        <v>702651101387403</v>
      </c>
      <c r="H1158" s="12" t="s">
        <v>3510</v>
      </c>
      <c r="I1158" s="12">
        <v>1101387403</v>
      </c>
      <c r="J1158" s="12" t="s">
        <v>3511</v>
      </c>
      <c r="K1158" s="12" t="s">
        <v>44</v>
      </c>
      <c r="L1158" s="12" t="s">
        <v>45</v>
      </c>
      <c r="M1158" s="12" t="s">
        <v>45</v>
      </c>
      <c r="N1158" s="12" t="s">
        <v>432</v>
      </c>
      <c r="O1158" s="12" t="s">
        <v>432</v>
      </c>
      <c r="P1158" s="88" t="s">
        <v>261</v>
      </c>
      <c r="Q1158" s="13" t="s">
        <v>2237</v>
      </c>
      <c r="R1158" s="16">
        <v>0.90500000000000003</v>
      </c>
      <c r="S1158" s="13" t="s">
        <v>210</v>
      </c>
      <c r="U1158" s="12" t="s">
        <v>50</v>
      </c>
      <c r="AU1158" s="12" t="s">
        <v>164</v>
      </c>
    </row>
    <row r="1159" spans="1:47" s="12" customFormat="1" ht="14.4" hidden="1" x14ac:dyDescent="0.3">
      <c r="A1159" s="12" t="s">
        <v>39</v>
      </c>
      <c r="B1159" s="12" t="s">
        <v>3225</v>
      </c>
      <c r="C1159" s="12">
        <v>70</v>
      </c>
      <c r="D1159" s="12">
        <v>265</v>
      </c>
      <c r="F1159" s="12" t="s">
        <v>3512</v>
      </c>
      <c r="G1159" s="12" t="str">
        <f t="shared" si="30"/>
        <v>70265</v>
      </c>
      <c r="H1159" s="12" t="s">
        <v>3513</v>
      </c>
      <c r="J1159" s="12" t="s">
        <v>3514</v>
      </c>
      <c r="K1159" s="12" t="s">
        <v>44</v>
      </c>
      <c r="L1159" s="12" t="s">
        <v>45</v>
      </c>
      <c r="M1159" s="12" t="s">
        <v>45</v>
      </c>
      <c r="N1159" s="12" t="s">
        <v>432</v>
      </c>
      <c r="O1159" s="12" t="s">
        <v>432</v>
      </c>
      <c r="P1159" s="88" t="s">
        <v>261</v>
      </c>
      <c r="Q1159" s="13">
        <v>44399</v>
      </c>
      <c r="R1159" s="16">
        <v>0.82499999999999996</v>
      </c>
      <c r="S1159" s="13" t="s">
        <v>49</v>
      </c>
      <c r="U1159" s="12" t="s">
        <v>50</v>
      </c>
      <c r="AU1159" s="12" t="s">
        <v>164</v>
      </c>
    </row>
    <row r="1160" spans="1:47" s="12" customFormat="1" ht="14.4" hidden="1" x14ac:dyDescent="0.3">
      <c r="A1160" s="12" t="s">
        <v>39</v>
      </c>
      <c r="B1160" s="12" t="s">
        <v>3225</v>
      </c>
      <c r="C1160" s="12">
        <v>70</v>
      </c>
      <c r="D1160" s="12">
        <v>265</v>
      </c>
      <c r="F1160" s="12" t="s">
        <v>3515</v>
      </c>
      <c r="G1160" s="12" t="str">
        <f t="shared" si="30"/>
        <v>70265</v>
      </c>
      <c r="H1160" s="12" t="s">
        <v>3516</v>
      </c>
      <c r="J1160" s="12" t="s">
        <v>3517</v>
      </c>
      <c r="K1160" s="12" t="s">
        <v>44</v>
      </c>
      <c r="L1160" s="12" t="s">
        <v>45</v>
      </c>
      <c r="M1160" s="12" t="s">
        <v>45</v>
      </c>
      <c r="N1160" s="12" t="s">
        <v>432</v>
      </c>
      <c r="O1160" s="12" t="s">
        <v>432</v>
      </c>
      <c r="P1160" s="88" t="s">
        <v>261</v>
      </c>
      <c r="Q1160" s="13">
        <v>45063</v>
      </c>
      <c r="R1160" s="16">
        <v>0.73499999999999999</v>
      </c>
      <c r="S1160" s="13" t="s">
        <v>49</v>
      </c>
      <c r="U1160" s="12" t="s">
        <v>50</v>
      </c>
      <c r="AU1160" s="12" t="s">
        <v>53</v>
      </c>
    </row>
    <row r="1161" spans="1:47" s="12" customFormat="1" ht="14.4" hidden="1" x14ac:dyDescent="0.3">
      <c r="A1161" s="12" t="s">
        <v>39</v>
      </c>
      <c r="B1161" s="12" t="s">
        <v>3225</v>
      </c>
      <c r="C1161" s="12">
        <v>70</v>
      </c>
      <c r="D1161" s="12">
        <v>265</v>
      </c>
      <c r="F1161" s="12" t="s">
        <v>3518</v>
      </c>
      <c r="G1161" s="12" t="str">
        <f t="shared" si="30"/>
        <v>70265</v>
      </c>
      <c r="H1161" s="12" t="s">
        <v>3519</v>
      </c>
      <c r="J1161" s="12" t="s">
        <v>3520</v>
      </c>
      <c r="K1161" s="12" t="s">
        <v>44</v>
      </c>
      <c r="L1161" s="12" t="s">
        <v>45</v>
      </c>
      <c r="M1161" s="12" t="s">
        <v>45</v>
      </c>
      <c r="N1161" s="12" t="s">
        <v>432</v>
      </c>
      <c r="O1161" s="12" t="s">
        <v>432</v>
      </c>
      <c r="P1161" s="88" t="s">
        <v>261</v>
      </c>
      <c r="Q1161" s="13">
        <v>45190</v>
      </c>
      <c r="R1161" s="16">
        <v>0.89</v>
      </c>
      <c r="S1161" s="13" t="s">
        <v>49</v>
      </c>
      <c r="U1161" s="12" t="s">
        <v>50</v>
      </c>
      <c r="AU1161" s="12" t="s">
        <v>53</v>
      </c>
    </row>
    <row r="1162" spans="1:47" s="12" customFormat="1" ht="14.4" hidden="1" x14ac:dyDescent="0.3">
      <c r="A1162" s="12" t="s">
        <v>39</v>
      </c>
      <c r="B1162" s="12" t="s">
        <v>3225</v>
      </c>
      <c r="C1162" s="12">
        <v>70</v>
      </c>
      <c r="D1162" s="12">
        <v>265</v>
      </c>
      <c r="F1162" s="12" t="s">
        <v>3521</v>
      </c>
      <c r="G1162" s="12" t="str">
        <f t="shared" si="30"/>
        <v>70265</v>
      </c>
      <c r="H1162" s="12" t="s">
        <v>3522</v>
      </c>
      <c r="J1162" s="12" t="s">
        <v>3523</v>
      </c>
      <c r="K1162" s="12" t="s">
        <v>44</v>
      </c>
      <c r="L1162" s="12" t="s">
        <v>45</v>
      </c>
      <c r="M1162" s="12" t="s">
        <v>45</v>
      </c>
      <c r="N1162" s="12" t="s">
        <v>432</v>
      </c>
      <c r="O1162" s="12" t="s">
        <v>432</v>
      </c>
      <c r="P1162" s="88" t="s">
        <v>261</v>
      </c>
      <c r="V1162" s="13"/>
      <c r="W1162" s="13"/>
      <c r="X1162" s="13"/>
      <c r="AU1162" s="12" t="s">
        <v>164</v>
      </c>
    </row>
    <row r="1163" spans="1:47" s="12" customFormat="1" ht="14.4" hidden="1" x14ac:dyDescent="0.3">
      <c r="A1163" s="12" t="s">
        <v>39</v>
      </c>
      <c r="B1163" s="12" t="s">
        <v>3225</v>
      </c>
      <c r="C1163" s="12">
        <v>70</v>
      </c>
      <c r="D1163" s="12">
        <v>265</v>
      </c>
      <c r="F1163" s="12" t="s">
        <v>3530</v>
      </c>
      <c r="G1163" s="12" t="str">
        <f t="shared" si="30"/>
        <v>7026522977033</v>
      </c>
      <c r="H1163" s="12" t="s">
        <v>3531</v>
      </c>
      <c r="I1163" s="12">
        <v>22977033</v>
      </c>
      <c r="J1163" s="12" t="s">
        <v>3532</v>
      </c>
      <c r="K1163" s="12" t="s">
        <v>44</v>
      </c>
      <c r="L1163" s="12" t="s">
        <v>45</v>
      </c>
      <c r="M1163" s="12" t="s">
        <v>45</v>
      </c>
      <c r="N1163" s="12" t="s">
        <v>432</v>
      </c>
      <c r="O1163" s="12" t="s">
        <v>432</v>
      </c>
      <c r="P1163" s="88" t="s">
        <v>261</v>
      </c>
      <c r="V1163" s="13"/>
      <c r="W1163" s="13"/>
      <c r="X1163" s="13"/>
      <c r="AU1163" s="12" t="s">
        <v>164</v>
      </c>
    </row>
    <row r="1164" spans="1:47" s="12" customFormat="1" ht="14.4" hidden="1" x14ac:dyDescent="0.3">
      <c r="A1164" s="12" t="s">
        <v>39</v>
      </c>
      <c r="B1164" s="12" t="s">
        <v>3225</v>
      </c>
      <c r="C1164" s="12">
        <v>70</v>
      </c>
      <c r="D1164" s="12">
        <v>265</v>
      </c>
      <c r="F1164" s="12" t="s">
        <v>3533</v>
      </c>
      <c r="G1164" s="12" t="str">
        <f t="shared" si="30"/>
        <v>702651005469342</v>
      </c>
      <c r="H1164" s="12" t="s">
        <v>3534</v>
      </c>
      <c r="I1164" s="12">
        <v>1005469342</v>
      </c>
      <c r="J1164" s="12" t="s">
        <v>3535</v>
      </c>
      <c r="K1164" s="12" t="s">
        <v>44</v>
      </c>
      <c r="L1164" s="12" t="s">
        <v>45</v>
      </c>
      <c r="M1164" s="12" t="s">
        <v>45</v>
      </c>
      <c r="N1164" s="12" t="s">
        <v>432</v>
      </c>
      <c r="O1164" s="12" t="s">
        <v>432</v>
      </c>
      <c r="P1164" s="88" t="s">
        <v>261</v>
      </c>
      <c r="Q1164" s="13">
        <v>45148</v>
      </c>
      <c r="R1164" s="16">
        <v>0.90500000000000003</v>
      </c>
      <c r="S1164" s="13" t="s">
        <v>210</v>
      </c>
      <c r="U1164" s="12" t="s">
        <v>50</v>
      </c>
      <c r="V1164" s="13">
        <v>44868</v>
      </c>
      <c r="W1164" s="16">
        <v>0.79</v>
      </c>
      <c r="X1164" s="13" t="s">
        <v>49</v>
      </c>
      <c r="Z1164" s="12" t="s">
        <v>50</v>
      </c>
      <c r="AA1164" s="12" t="s">
        <v>52</v>
      </c>
      <c r="AB1164" s="12" t="s">
        <v>52</v>
      </c>
      <c r="AU1164" s="12" t="s">
        <v>53</v>
      </c>
    </row>
    <row r="1165" spans="1:47" s="12" customFormat="1" ht="14.4" hidden="1" x14ac:dyDescent="0.3">
      <c r="A1165" s="12" t="s">
        <v>39</v>
      </c>
      <c r="B1165" s="12" t="s">
        <v>3225</v>
      </c>
      <c r="C1165" s="12">
        <v>70</v>
      </c>
      <c r="D1165" s="12">
        <v>265</v>
      </c>
      <c r="F1165" s="12" t="s">
        <v>3536</v>
      </c>
      <c r="G1165" s="12" t="str">
        <f t="shared" si="30"/>
        <v>702656797649</v>
      </c>
      <c r="H1165" s="12" t="s">
        <v>3537</v>
      </c>
      <c r="I1165" s="12">
        <v>6797649</v>
      </c>
      <c r="J1165" s="12" t="s">
        <v>3538</v>
      </c>
      <c r="K1165" s="12" t="s">
        <v>44</v>
      </c>
      <c r="L1165" s="12" t="s">
        <v>45</v>
      </c>
      <c r="M1165" s="12" t="s">
        <v>45</v>
      </c>
      <c r="N1165" s="12" t="s">
        <v>432</v>
      </c>
      <c r="O1165" s="12" t="s">
        <v>432</v>
      </c>
      <c r="P1165" s="88" t="s">
        <v>261</v>
      </c>
      <c r="Q1165" s="13">
        <v>45051</v>
      </c>
      <c r="R1165" s="16">
        <v>0.755</v>
      </c>
      <c r="S1165" s="13" t="s">
        <v>49</v>
      </c>
      <c r="U1165" s="12" t="s">
        <v>50</v>
      </c>
      <c r="AU1165" s="12" t="s">
        <v>53</v>
      </c>
    </row>
    <row r="1166" spans="1:47" s="12" customFormat="1" ht="14.4" hidden="1" x14ac:dyDescent="0.3">
      <c r="A1166" s="12" t="s">
        <v>39</v>
      </c>
      <c r="B1166" s="12" t="s">
        <v>3225</v>
      </c>
      <c r="C1166" s="12">
        <v>70</v>
      </c>
      <c r="D1166" s="12">
        <v>265</v>
      </c>
      <c r="F1166" s="12" t="s">
        <v>3539</v>
      </c>
      <c r="G1166" s="12" t="str">
        <f t="shared" si="30"/>
        <v>70265</v>
      </c>
      <c r="H1166" s="12" t="s">
        <v>3540</v>
      </c>
      <c r="J1166" s="12" t="s">
        <v>3541</v>
      </c>
      <c r="K1166" s="12" t="s">
        <v>44</v>
      </c>
      <c r="L1166" s="12" t="s">
        <v>45</v>
      </c>
      <c r="M1166" s="12" t="s">
        <v>45</v>
      </c>
      <c r="N1166" s="12" t="s">
        <v>432</v>
      </c>
      <c r="O1166" s="12" t="s">
        <v>432</v>
      </c>
      <c r="P1166" s="88" t="s">
        <v>261</v>
      </c>
      <c r="Q1166" s="13">
        <v>45154</v>
      </c>
      <c r="R1166" s="16">
        <v>0.98</v>
      </c>
      <c r="S1166" s="13" t="s">
        <v>210</v>
      </c>
      <c r="U1166" s="12" t="s">
        <v>50</v>
      </c>
      <c r="AU1166" s="12" t="s">
        <v>53</v>
      </c>
    </row>
    <row r="1167" spans="1:47" s="12" customFormat="1" ht="14.4" hidden="1" x14ac:dyDescent="0.3">
      <c r="A1167" s="12" t="s">
        <v>39</v>
      </c>
      <c r="B1167" s="12" t="s">
        <v>3225</v>
      </c>
      <c r="C1167" s="12">
        <v>70</v>
      </c>
      <c r="D1167" s="12">
        <v>265</v>
      </c>
      <c r="F1167" s="12" t="s">
        <v>3542</v>
      </c>
      <c r="G1167" s="12" t="str">
        <f t="shared" si="30"/>
        <v>702651101389880</v>
      </c>
      <c r="H1167" s="12" t="s">
        <v>3543</v>
      </c>
      <c r="I1167" s="12">
        <v>1101389880</v>
      </c>
      <c r="J1167" s="12" t="s">
        <v>3544</v>
      </c>
      <c r="K1167" s="12" t="s">
        <v>44</v>
      </c>
      <c r="L1167" s="12" t="s">
        <v>45</v>
      </c>
      <c r="M1167" s="12" t="s">
        <v>45</v>
      </c>
      <c r="N1167" s="12" t="s">
        <v>432</v>
      </c>
      <c r="O1167" s="12" t="s">
        <v>432</v>
      </c>
      <c r="P1167" s="88" t="s">
        <v>261</v>
      </c>
      <c r="Q1167" s="13">
        <v>45161</v>
      </c>
      <c r="R1167" s="16">
        <v>0.72499999999999998</v>
      </c>
      <c r="S1167" s="13" t="s">
        <v>49</v>
      </c>
      <c r="U1167" s="12" t="s">
        <v>50</v>
      </c>
      <c r="AU1167" s="12" t="s">
        <v>53</v>
      </c>
    </row>
    <row r="1168" spans="1:47" s="12" customFormat="1" ht="14.4" hidden="1" x14ac:dyDescent="0.3">
      <c r="A1168" s="12" t="s">
        <v>39</v>
      </c>
      <c r="B1168" s="12" t="s">
        <v>3225</v>
      </c>
      <c r="C1168" s="12">
        <v>70</v>
      </c>
      <c r="D1168" s="12">
        <v>265</v>
      </c>
      <c r="F1168" s="12" t="s">
        <v>3550</v>
      </c>
      <c r="G1168" s="12" t="str">
        <f t="shared" si="30"/>
        <v>70265</v>
      </c>
      <c r="H1168" s="12" t="s">
        <v>3551</v>
      </c>
      <c r="J1168" s="12" t="s">
        <v>3552</v>
      </c>
      <c r="K1168" s="12" t="s">
        <v>44</v>
      </c>
      <c r="L1168" s="12" t="s">
        <v>45</v>
      </c>
      <c r="M1168" s="12" t="s">
        <v>45</v>
      </c>
      <c r="N1168" s="12" t="s">
        <v>432</v>
      </c>
      <c r="O1168" s="12" t="s">
        <v>432</v>
      </c>
      <c r="P1168" s="88" t="s">
        <v>261</v>
      </c>
      <c r="V1168" s="13"/>
      <c r="W1168" s="13"/>
      <c r="X1168" s="13"/>
      <c r="AU1168" s="12" t="s">
        <v>164</v>
      </c>
    </row>
    <row r="1169" spans="1:47" s="12" customFormat="1" ht="14.4" hidden="1" x14ac:dyDescent="0.3">
      <c r="A1169" s="12" t="s">
        <v>39</v>
      </c>
      <c r="B1169" s="12" t="s">
        <v>3225</v>
      </c>
      <c r="C1169" s="12">
        <v>70</v>
      </c>
      <c r="D1169" s="12">
        <v>265</v>
      </c>
      <c r="F1169" s="12" t="s">
        <v>3553</v>
      </c>
      <c r="G1169" s="12" t="str">
        <f t="shared" si="30"/>
        <v>70265</v>
      </c>
      <c r="H1169" s="12" t="s">
        <v>3554</v>
      </c>
      <c r="J1169" s="12" t="s">
        <v>3555</v>
      </c>
      <c r="K1169" s="12" t="s">
        <v>44</v>
      </c>
      <c r="L1169" s="12" t="s">
        <v>45</v>
      </c>
      <c r="M1169" s="12" t="s">
        <v>45</v>
      </c>
      <c r="N1169" s="12" t="s">
        <v>432</v>
      </c>
      <c r="O1169" s="12" t="s">
        <v>432</v>
      </c>
      <c r="P1169" s="88" t="s">
        <v>261</v>
      </c>
      <c r="V1169" s="13"/>
      <c r="W1169" s="13"/>
      <c r="X1169" s="13"/>
      <c r="AU1169" s="12" t="s">
        <v>164</v>
      </c>
    </row>
    <row r="1170" spans="1:47" s="12" customFormat="1" ht="14.4" hidden="1" x14ac:dyDescent="0.3">
      <c r="A1170" s="12" t="s">
        <v>39</v>
      </c>
      <c r="B1170" s="12" t="s">
        <v>3225</v>
      </c>
      <c r="C1170" s="12">
        <v>70</v>
      </c>
      <c r="D1170" s="12">
        <v>265</v>
      </c>
      <c r="F1170" s="12" t="s">
        <v>3556</v>
      </c>
      <c r="G1170" s="12" t="str">
        <f t="shared" si="30"/>
        <v>70265</v>
      </c>
      <c r="H1170" s="12" t="s">
        <v>3557</v>
      </c>
      <c r="J1170" s="12" t="s">
        <v>3558</v>
      </c>
      <c r="K1170" s="12" t="s">
        <v>44</v>
      </c>
      <c r="L1170" s="12" t="s">
        <v>45</v>
      </c>
      <c r="M1170" s="12" t="s">
        <v>45</v>
      </c>
      <c r="N1170" s="12" t="s">
        <v>432</v>
      </c>
      <c r="O1170" s="12" t="s">
        <v>432</v>
      </c>
      <c r="P1170" s="88" t="s">
        <v>261</v>
      </c>
      <c r="V1170" s="13"/>
      <c r="W1170" s="13"/>
      <c r="X1170" s="13"/>
      <c r="AU1170" s="12" t="s">
        <v>164</v>
      </c>
    </row>
    <row r="1171" spans="1:47" s="12" customFormat="1" ht="14.4" hidden="1" x14ac:dyDescent="0.3">
      <c r="A1171" s="12" t="s">
        <v>39</v>
      </c>
      <c r="B1171" s="12" t="s">
        <v>3225</v>
      </c>
      <c r="C1171" s="12">
        <v>70</v>
      </c>
      <c r="D1171" s="12">
        <v>265</v>
      </c>
      <c r="F1171" s="12" t="s">
        <v>3559</v>
      </c>
      <c r="G1171" s="12" t="str">
        <f t="shared" si="30"/>
        <v>7026532655498</v>
      </c>
      <c r="H1171" s="12" t="s">
        <v>3560</v>
      </c>
      <c r="I1171" s="12">
        <v>32655498</v>
      </c>
      <c r="J1171" s="12" t="s">
        <v>3561</v>
      </c>
      <c r="K1171" s="12" t="s">
        <v>44</v>
      </c>
      <c r="L1171" s="12" t="s">
        <v>45</v>
      </c>
      <c r="M1171" s="12" t="s">
        <v>45</v>
      </c>
      <c r="N1171" s="12" t="s">
        <v>432</v>
      </c>
      <c r="O1171" s="12" t="s">
        <v>432</v>
      </c>
      <c r="P1171" s="88" t="s">
        <v>261</v>
      </c>
      <c r="Q1171" s="13">
        <v>44271</v>
      </c>
      <c r="R1171" s="16">
        <v>0.84</v>
      </c>
      <c r="S1171" s="13" t="s">
        <v>49</v>
      </c>
      <c r="U1171" s="12" t="s">
        <v>50</v>
      </c>
      <c r="AU1171" s="12" t="s">
        <v>164</v>
      </c>
    </row>
    <row r="1172" spans="1:47" s="12" customFormat="1" ht="14.4" hidden="1" x14ac:dyDescent="0.3">
      <c r="A1172" s="12" t="s">
        <v>39</v>
      </c>
      <c r="B1172" s="12" t="s">
        <v>3225</v>
      </c>
      <c r="C1172" s="12">
        <v>70</v>
      </c>
      <c r="D1172" s="12">
        <v>265</v>
      </c>
      <c r="F1172" s="12" t="s">
        <v>3562</v>
      </c>
      <c r="G1172" s="12" t="str">
        <f t="shared" si="30"/>
        <v>70265</v>
      </c>
      <c r="H1172" s="12" t="s">
        <v>3563</v>
      </c>
      <c r="J1172" s="12" t="s">
        <v>3564</v>
      </c>
      <c r="K1172" s="12" t="s">
        <v>44</v>
      </c>
      <c r="L1172" s="12" t="s">
        <v>3565</v>
      </c>
      <c r="M1172" s="12" t="s">
        <v>45</v>
      </c>
      <c r="N1172" s="12" t="s">
        <v>432</v>
      </c>
      <c r="O1172" s="12" t="s">
        <v>432</v>
      </c>
      <c r="P1172" s="88" t="s">
        <v>261</v>
      </c>
      <c r="AU1172" s="12" t="s">
        <v>164</v>
      </c>
    </row>
    <row r="1173" spans="1:47" s="12" customFormat="1" ht="14.4" hidden="1" x14ac:dyDescent="0.3">
      <c r="A1173" s="12" t="s">
        <v>39</v>
      </c>
      <c r="B1173" s="12" t="s">
        <v>3225</v>
      </c>
      <c r="C1173" s="12">
        <v>70</v>
      </c>
      <c r="D1173" s="12">
        <v>265</v>
      </c>
      <c r="F1173" s="12" t="s">
        <v>3566</v>
      </c>
      <c r="G1173" s="12" t="str">
        <f t="shared" si="30"/>
        <v>70265</v>
      </c>
      <c r="H1173" s="12" t="s">
        <v>3567</v>
      </c>
      <c r="J1173" s="12" t="s">
        <v>3568</v>
      </c>
      <c r="K1173" s="12" t="s">
        <v>44</v>
      </c>
      <c r="L1173" s="12" t="s">
        <v>45</v>
      </c>
      <c r="M1173" s="12" t="s">
        <v>45</v>
      </c>
      <c r="N1173" s="12" t="s">
        <v>432</v>
      </c>
      <c r="O1173" s="12" t="s">
        <v>432</v>
      </c>
      <c r="P1173" s="88" t="s">
        <v>261</v>
      </c>
      <c r="AU1173" s="12" t="s">
        <v>164</v>
      </c>
    </row>
    <row r="1174" spans="1:47" s="12" customFormat="1" ht="14.4" hidden="1" x14ac:dyDescent="0.3">
      <c r="A1174" s="12" t="s">
        <v>39</v>
      </c>
      <c r="B1174" s="12" t="s">
        <v>3225</v>
      </c>
      <c r="C1174" s="12">
        <v>70</v>
      </c>
      <c r="D1174" s="12">
        <v>265</v>
      </c>
      <c r="F1174" s="12" t="s">
        <v>3575</v>
      </c>
      <c r="G1174" s="12" t="str">
        <f t="shared" si="30"/>
        <v>70265</v>
      </c>
      <c r="H1174" s="12" t="s">
        <v>3576</v>
      </c>
      <c r="J1174" s="12" t="s">
        <v>3577</v>
      </c>
      <c r="K1174" s="12" t="s">
        <v>44</v>
      </c>
      <c r="L1174" s="12" t="s">
        <v>45</v>
      </c>
      <c r="M1174" s="12" t="s">
        <v>45</v>
      </c>
      <c r="N1174" s="12" t="s">
        <v>432</v>
      </c>
      <c r="O1174" s="12" t="s">
        <v>432</v>
      </c>
      <c r="P1174" s="88" t="s">
        <v>261</v>
      </c>
      <c r="AU1174" s="12" t="s">
        <v>164</v>
      </c>
    </row>
    <row r="1175" spans="1:47" s="12" customFormat="1" ht="14.4" hidden="1" x14ac:dyDescent="0.3">
      <c r="A1175" s="12" t="s">
        <v>39</v>
      </c>
      <c r="B1175" s="12" t="s">
        <v>3225</v>
      </c>
      <c r="C1175" s="12">
        <v>70</v>
      </c>
      <c r="D1175" s="12">
        <v>265</v>
      </c>
      <c r="F1175" s="12" t="s">
        <v>3578</v>
      </c>
      <c r="G1175" s="12" t="str">
        <f t="shared" si="30"/>
        <v>70265</v>
      </c>
      <c r="H1175" s="12" t="s">
        <v>3579</v>
      </c>
      <c r="J1175" s="12" t="s">
        <v>3580</v>
      </c>
      <c r="K1175" s="12" t="s">
        <v>44</v>
      </c>
      <c r="L1175" s="12">
        <v>3023401697</v>
      </c>
      <c r="M1175" s="12" t="s">
        <v>45</v>
      </c>
      <c r="N1175" s="12" t="s">
        <v>432</v>
      </c>
      <c r="O1175" s="12" t="s">
        <v>432</v>
      </c>
      <c r="P1175" s="88" t="s">
        <v>261</v>
      </c>
      <c r="AU1175" s="12" t="s">
        <v>164</v>
      </c>
    </row>
    <row r="1176" spans="1:47" s="12" customFormat="1" ht="14.4" hidden="1" x14ac:dyDescent="0.3">
      <c r="A1176" s="12" t="s">
        <v>39</v>
      </c>
      <c r="B1176" s="12" t="s">
        <v>3225</v>
      </c>
      <c r="C1176" s="12">
        <v>70</v>
      </c>
      <c r="D1176" s="12">
        <v>265</v>
      </c>
      <c r="F1176" s="12" t="s">
        <v>3581</v>
      </c>
      <c r="G1176" s="12" t="str">
        <f t="shared" si="30"/>
        <v>70265</v>
      </c>
      <c r="H1176" s="12" t="s">
        <v>3582</v>
      </c>
      <c r="J1176" s="12" t="s">
        <v>3583</v>
      </c>
      <c r="K1176" s="12" t="s">
        <v>44</v>
      </c>
      <c r="L1176" s="12" t="s">
        <v>3584</v>
      </c>
      <c r="M1176" s="12" t="s">
        <v>45</v>
      </c>
      <c r="N1176" s="12" t="s">
        <v>432</v>
      </c>
      <c r="O1176" s="12" t="s">
        <v>432</v>
      </c>
      <c r="P1176" s="88" t="s">
        <v>261</v>
      </c>
      <c r="AU1176" s="12" t="s">
        <v>164</v>
      </c>
    </row>
    <row r="1177" spans="1:47" s="12" customFormat="1" ht="14.4" hidden="1" x14ac:dyDescent="0.3">
      <c r="A1177" s="12" t="s">
        <v>39</v>
      </c>
      <c r="B1177" s="12" t="s">
        <v>3225</v>
      </c>
      <c r="C1177" s="12">
        <v>70</v>
      </c>
      <c r="D1177" s="12">
        <v>265</v>
      </c>
      <c r="F1177" s="12" t="s">
        <v>3585</v>
      </c>
      <c r="G1177" s="12" t="str">
        <f t="shared" si="30"/>
        <v>70265</v>
      </c>
      <c r="H1177" s="12" t="s">
        <v>3586</v>
      </c>
      <c r="J1177" s="12" t="s">
        <v>3587</v>
      </c>
      <c r="K1177" s="12" t="s">
        <v>44</v>
      </c>
      <c r="L1177" s="12">
        <v>3116684998</v>
      </c>
      <c r="M1177" s="12" t="s">
        <v>45</v>
      </c>
      <c r="N1177" s="12" t="s">
        <v>432</v>
      </c>
      <c r="O1177" s="12" t="s">
        <v>432</v>
      </c>
      <c r="P1177" s="88" t="s">
        <v>261</v>
      </c>
      <c r="AU1177" s="12" t="s">
        <v>164</v>
      </c>
    </row>
    <row r="1178" spans="1:47" s="12" customFormat="1" ht="14.4" hidden="1" x14ac:dyDescent="0.3">
      <c r="A1178" s="12" t="s">
        <v>39</v>
      </c>
      <c r="B1178" s="12" t="s">
        <v>3225</v>
      </c>
      <c r="C1178" s="12">
        <v>70</v>
      </c>
      <c r="D1178" s="12">
        <v>265</v>
      </c>
      <c r="F1178" s="12" t="s">
        <v>3588</v>
      </c>
      <c r="G1178" s="12" t="str">
        <f t="shared" si="30"/>
        <v>70265</v>
      </c>
      <c r="H1178" s="12" t="s">
        <v>3589</v>
      </c>
      <c r="J1178" s="12" t="s">
        <v>3590</v>
      </c>
      <c r="K1178" s="12" t="s">
        <v>44</v>
      </c>
      <c r="L1178" s="12" t="s">
        <v>45</v>
      </c>
      <c r="M1178" s="12" t="s">
        <v>45</v>
      </c>
      <c r="N1178" s="12" t="s">
        <v>432</v>
      </c>
      <c r="O1178" s="12" t="s">
        <v>432</v>
      </c>
      <c r="P1178" s="88" t="s">
        <v>261</v>
      </c>
      <c r="AU1178" s="12" t="s">
        <v>164</v>
      </c>
    </row>
    <row r="1179" spans="1:47" s="12" customFormat="1" ht="14.4" hidden="1" x14ac:dyDescent="0.3">
      <c r="A1179" s="12" t="s">
        <v>39</v>
      </c>
      <c r="B1179" s="12" t="s">
        <v>3225</v>
      </c>
      <c r="C1179" s="12">
        <v>70</v>
      </c>
      <c r="D1179" s="12">
        <v>265</v>
      </c>
      <c r="F1179" s="12" t="s">
        <v>3591</v>
      </c>
      <c r="G1179" s="12" t="str">
        <f t="shared" si="30"/>
        <v>70265</v>
      </c>
      <c r="H1179" s="12" t="s">
        <v>3592</v>
      </c>
      <c r="J1179" s="12" t="s">
        <v>3593</v>
      </c>
      <c r="K1179" s="12" t="s">
        <v>44</v>
      </c>
      <c r="L1179" s="12" t="s">
        <v>45</v>
      </c>
      <c r="M1179" s="12" t="s">
        <v>45</v>
      </c>
      <c r="N1179" s="12" t="s">
        <v>432</v>
      </c>
      <c r="O1179" s="12" t="s">
        <v>432</v>
      </c>
      <c r="P1179" s="88" t="s">
        <v>261</v>
      </c>
      <c r="AU1179" s="12" t="s">
        <v>164</v>
      </c>
    </row>
    <row r="1180" spans="1:47" s="12" customFormat="1" ht="14.4" hidden="1" x14ac:dyDescent="0.3">
      <c r="A1180" s="12" t="s">
        <v>39</v>
      </c>
      <c r="B1180" s="12" t="s">
        <v>3225</v>
      </c>
      <c r="C1180" s="12">
        <v>70</v>
      </c>
      <c r="D1180" s="12">
        <v>265</v>
      </c>
      <c r="F1180" s="275" t="s">
        <v>8423</v>
      </c>
      <c r="G1180" s="12" t="str">
        <f t="shared" si="30"/>
        <v>7026527607843</v>
      </c>
      <c r="H1180" s="12" t="s">
        <v>8424</v>
      </c>
      <c r="I1180" s="12">
        <v>27607843</v>
      </c>
      <c r="J1180" s="12" t="s">
        <v>8425</v>
      </c>
      <c r="K1180" s="12" t="s">
        <v>44</v>
      </c>
      <c r="L1180" s="12">
        <v>3164167802</v>
      </c>
      <c r="M1180" s="12" t="s">
        <v>8426</v>
      </c>
      <c r="N1180" s="12" t="s">
        <v>432</v>
      </c>
      <c r="O1180" s="12" t="s">
        <v>432</v>
      </c>
      <c r="P1180" s="88" t="s">
        <v>261</v>
      </c>
      <c r="Q1180" s="13">
        <v>46015</v>
      </c>
      <c r="R1180" s="16">
        <v>0.74</v>
      </c>
      <c r="S1180" s="12" t="s">
        <v>49</v>
      </c>
      <c r="U1180" s="12" t="s">
        <v>8427</v>
      </c>
      <c r="AU1180" s="12" t="s">
        <v>53</v>
      </c>
    </row>
    <row r="1181" spans="1:47" s="12" customFormat="1" ht="14.4" hidden="1" x14ac:dyDescent="0.3">
      <c r="A1181" s="12" t="s">
        <v>39</v>
      </c>
      <c r="B1181" s="12" t="s">
        <v>3225</v>
      </c>
      <c r="C1181" s="12">
        <v>70</v>
      </c>
      <c r="D1181" s="12">
        <v>265</v>
      </c>
      <c r="F1181" s="275" t="s">
        <v>9201</v>
      </c>
      <c r="G1181" s="12" t="str">
        <f t="shared" si="30"/>
        <v>7026527814988</v>
      </c>
      <c r="H1181" s="12" t="s">
        <v>3522</v>
      </c>
      <c r="I1181" s="12">
        <v>27814988</v>
      </c>
      <c r="J1181" s="12" t="s">
        <v>9202</v>
      </c>
      <c r="K1181" s="12" t="s">
        <v>44</v>
      </c>
      <c r="L1181" s="12">
        <v>3137805021</v>
      </c>
      <c r="M1181" s="12" t="s">
        <v>9203</v>
      </c>
      <c r="N1181" s="12" t="s">
        <v>432</v>
      </c>
      <c r="O1181" s="12" t="s">
        <v>432</v>
      </c>
      <c r="P1181" s="88" t="s">
        <v>261</v>
      </c>
      <c r="Q1181" s="13">
        <v>46202</v>
      </c>
      <c r="R1181" s="12">
        <v>72</v>
      </c>
      <c r="S1181" s="12" t="s">
        <v>49</v>
      </c>
      <c r="T1181" s="12" t="s">
        <v>3215</v>
      </c>
      <c r="U1181" s="12" t="s">
        <v>8427</v>
      </c>
      <c r="AU1181" s="12" t="s">
        <v>53</v>
      </c>
    </row>
    <row r="1182" spans="1:47" s="12" customFormat="1" ht="14.4" hidden="1" x14ac:dyDescent="0.3">
      <c r="A1182" s="12" t="s">
        <v>39</v>
      </c>
      <c r="B1182" s="12" t="s">
        <v>3225</v>
      </c>
      <c r="C1182" s="12">
        <v>70</v>
      </c>
      <c r="D1182" s="12">
        <v>265</v>
      </c>
      <c r="F1182" s="275" t="s">
        <v>8428</v>
      </c>
      <c r="G1182" s="12" t="str">
        <f t="shared" si="30"/>
        <v>7026511013897259</v>
      </c>
      <c r="H1182" s="12" t="s">
        <v>8429</v>
      </c>
      <c r="I1182" s="12">
        <v>11013897259</v>
      </c>
      <c r="J1182" s="12" t="s">
        <v>8430</v>
      </c>
      <c r="K1182" s="12" t="s">
        <v>44</v>
      </c>
      <c r="L1182" s="12">
        <v>3012061728</v>
      </c>
      <c r="M1182" s="12" t="s">
        <v>8431</v>
      </c>
      <c r="N1182" s="12" t="s">
        <v>432</v>
      </c>
      <c r="O1182" s="12" t="s">
        <v>432</v>
      </c>
      <c r="P1182" s="88" t="s">
        <v>261</v>
      </c>
      <c r="Q1182" s="13">
        <v>45996</v>
      </c>
      <c r="R1182" s="16">
        <v>0.88</v>
      </c>
      <c r="S1182" s="12" t="s">
        <v>74</v>
      </c>
      <c r="U1182" s="12" t="s">
        <v>8427</v>
      </c>
      <c r="AU1182" s="12" t="s">
        <v>53</v>
      </c>
    </row>
    <row r="1183" spans="1:47" s="12" customFormat="1" ht="14.4" hidden="1" x14ac:dyDescent="0.3">
      <c r="A1183" s="12" t="s">
        <v>39</v>
      </c>
      <c r="B1183" s="12" t="s">
        <v>3225</v>
      </c>
      <c r="C1183" s="12">
        <v>70</v>
      </c>
      <c r="D1183" s="12">
        <v>265</v>
      </c>
      <c r="F1183" s="12" t="s">
        <v>3594</v>
      </c>
      <c r="G1183" s="12" t="str">
        <f t="shared" si="30"/>
        <v>70265</v>
      </c>
      <c r="H1183" s="12" t="s">
        <v>3378</v>
      </c>
      <c r="J1183" s="12" t="s">
        <v>3595</v>
      </c>
      <c r="K1183" s="12" t="s">
        <v>44</v>
      </c>
      <c r="L1183" s="12" t="s">
        <v>45</v>
      </c>
      <c r="M1183" s="12" t="s">
        <v>45</v>
      </c>
      <c r="N1183" s="12" t="s">
        <v>432</v>
      </c>
      <c r="O1183" s="12" t="s">
        <v>432</v>
      </c>
      <c r="P1183" s="88" t="s">
        <v>261</v>
      </c>
      <c r="AU1183" s="12" t="s">
        <v>164</v>
      </c>
    </row>
    <row r="1184" spans="1:47" s="12" customFormat="1" ht="14.4" hidden="1" x14ac:dyDescent="0.3">
      <c r="A1184" s="12" t="s">
        <v>39</v>
      </c>
      <c r="B1184" s="12" t="s">
        <v>3225</v>
      </c>
      <c r="C1184" s="12">
        <v>70</v>
      </c>
      <c r="D1184" s="12">
        <v>265</v>
      </c>
      <c r="E1184" s="12" t="s">
        <v>2434</v>
      </c>
      <c r="F1184" s="12" t="s">
        <v>3596</v>
      </c>
      <c r="G1184" s="12" t="str">
        <f t="shared" si="30"/>
        <v>702659004805691</v>
      </c>
      <c r="H1184" s="12" t="s">
        <v>3597</v>
      </c>
      <c r="I1184" s="12">
        <v>9004805691</v>
      </c>
      <c r="J1184" s="12" t="s">
        <v>3598</v>
      </c>
      <c r="K1184" s="12" t="s">
        <v>44</v>
      </c>
      <c r="L1184" s="12">
        <v>3022718766</v>
      </c>
      <c r="M1184" s="99" t="s">
        <v>1756</v>
      </c>
      <c r="N1184" s="12" t="s">
        <v>1757</v>
      </c>
      <c r="O1184" s="12" t="s">
        <v>1758</v>
      </c>
      <c r="P1184" s="88" t="s">
        <v>48</v>
      </c>
      <c r="Q1184" s="13">
        <v>45972</v>
      </c>
      <c r="R1184" s="18">
        <v>0.84499999999999997</v>
      </c>
      <c r="S1184" s="13" t="s">
        <v>49</v>
      </c>
      <c r="T1184" s="12" t="s">
        <v>3599</v>
      </c>
      <c r="U1184" s="12" t="s">
        <v>408</v>
      </c>
      <c r="V1184" s="13">
        <v>45389</v>
      </c>
      <c r="W1184" s="18">
        <v>0.94499999999999995</v>
      </c>
      <c r="X1184" s="13" t="s">
        <v>49</v>
      </c>
      <c r="Z1184" s="12" t="s">
        <v>52</v>
      </c>
      <c r="AA1184" s="12" t="s">
        <v>52</v>
      </c>
      <c r="AU1184" s="12" t="s">
        <v>53</v>
      </c>
    </row>
    <row r="1185" spans="1:57" s="12" customFormat="1" ht="14.4" hidden="1" x14ac:dyDescent="0.3">
      <c r="A1185" s="12" t="s">
        <v>39</v>
      </c>
      <c r="B1185" s="12" t="s">
        <v>3225</v>
      </c>
      <c r="C1185" s="12">
        <v>70</v>
      </c>
      <c r="D1185" s="12">
        <v>265</v>
      </c>
      <c r="F1185" s="12" t="s">
        <v>3600</v>
      </c>
      <c r="G1185" s="12" t="str">
        <f t="shared" si="30"/>
        <v>702656889722</v>
      </c>
      <c r="H1185" s="12" t="s">
        <v>3601</v>
      </c>
      <c r="I1185" s="12">
        <v>6889722</v>
      </c>
      <c r="J1185" s="12" t="s">
        <v>3602</v>
      </c>
      <c r="K1185" s="12" t="s">
        <v>44</v>
      </c>
      <c r="L1185" s="12" t="s">
        <v>45</v>
      </c>
      <c r="M1185" s="12" t="s">
        <v>45</v>
      </c>
      <c r="N1185" s="12" t="s">
        <v>46</v>
      </c>
      <c r="O1185" s="12" t="s">
        <v>521</v>
      </c>
      <c r="P1185" s="88" t="s">
        <v>48</v>
      </c>
      <c r="Q1185" s="13">
        <v>45008</v>
      </c>
      <c r="R1185" s="16">
        <v>0.9</v>
      </c>
      <c r="S1185" s="13" t="s">
        <v>210</v>
      </c>
      <c r="U1185" s="12" t="s">
        <v>408</v>
      </c>
      <c r="AU1185" s="12" t="s">
        <v>53</v>
      </c>
    </row>
    <row r="1186" spans="1:57" s="12" customFormat="1" ht="14.4" x14ac:dyDescent="0.3">
      <c r="A1186" s="12" t="s">
        <v>39</v>
      </c>
      <c r="B1186" s="12" t="s">
        <v>3225</v>
      </c>
      <c r="C1186" s="12">
        <v>70</v>
      </c>
      <c r="D1186" s="12">
        <v>265</v>
      </c>
      <c r="F1186" s="12" t="s">
        <v>3603</v>
      </c>
      <c r="G1186" s="12" t="str">
        <f t="shared" ref="G1186:G1257" si="31">C1186&amp;D1186&amp;I1186</f>
        <v>702651101388085</v>
      </c>
      <c r="H1186" s="12" t="s">
        <v>3604</v>
      </c>
      <c r="I1186" s="12">
        <v>1101388085</v>
      </c>
      <c r="J1186" s="12" t="s">
        <v>3605</v>
      </c>
      <c r="K1186" s="12" t="s">
        <v>44</v>
      </c>
      <c r="L1186" s="12" t="s">
        <v>45</v>
      </c>
      <c r="M1186" s="12" t="s">
        <v>45</v>
      </c>
      <c r="N1186" s="12" t="s">
        <v>46</v>
      </c>
      <c r="O1186" s="12" t="s">
        <v>47</v>
      </c>
      <c r="P1186" s="88" t="s">
        <v>48</v>
      </c>
      <c r="Q1186" s="13">
        <v>45183</v>
      </c>
      <c r="R1186" s="16">
        <v>0.89</v>
      </c>
      <c r="S1186" s="13" t="s">
        <v>49</v>
      </c>
      <c r="U1186" s="12" t="s">
        <v>408</v>
      </c>
      <c r="AU1186" s="12" t="s">
        <v>53</v>
      </c>
    </row>
    <row r="1187" spans="1:57" s="12" customFormat="1" ht="14.4" x14ac:dyDescent="0.3">
      <c r="A1187" s="12" t="s">
        <v>39</v>
      </c>
      <c r="B1187" s="12" t="s">
        <v>3225</v>
      </c>
      <c r="C1187" s="12">
        <v>70</v>
      </c>
      <c r="D1187" s="12">
        <v>265</v>
      </c>
      <c r="F1187" s="12" t="s">
        <v>3606</v>
      </c>
      <c r="G1187" s="12" t="str">
        <f t="shared" si="31"/>
        <v>70265</v>
      </c>
      <c r="H1187" s="12" t="s">
        <v>3607</v>
      </c>
      <c r="J1187" s="12" t="s">
        <v>45</v>
      </c>
      <c r="K1187" s="12" t="s">
        <v>44</v>
      </c>
      <c r="L1187" s="12" t="s">
        <v>45</v>
      </c>
      <c r="M1187" s="12" t="s">
        <v>45</v>
      </c>
      <c r="N1187" s="12" t="s">
        <v>46</v>
      </c>
      <c r="O1187" s="12" t="s">
        <v>47</v>
      </c>
      <c r="P1187" s="88" t="s">
        <v>48</v>
      </c>
      <c r="Q1187" s="13">
        <v>44610</v>
      </c>
      <c r="R1187" s="16">
        <v>0.87</v>
      </c>
      <c r="S1187" s="13" t="s">
        <v>49</v>
      </c>
      <c r="U1187" s="12" t="s">
        <v>408</v>
      </c>
      <c r="V1187" s="13">
        <v>44610</v>
      </c>
      <c r="W1187" s="16">
        <v>0.84</v>
      </c>
      <c r="X1187" s="13" t="s">
        <v>49</v>
      </c>
      <c r="Z1187" s="12" t="s">
        <v>52</v>
      </c>
      <c r="AA1187" s="12" t="s">
        <v>52</v>
      </c>
      <c r="AU1187" s="12" t="s">
        <v>164</v>
      </c>
    </row>
    <row r="1188" spans="1:57" s="12" customFormat="1" ht="14.4" x14ac:dyDescent="0.3">
      <c r="A1188" s="12" t="s">
        <v>39</v>
      </c>
      <c r="B1188" s="12" t="s">
        <v>3225</v>
      </c>
      <c r="C1188" s="12">
        <v>70</v>
      </c>
      <c r="D1188" s="12">
        <v>265</v>
      </c>
      <c r="F1188" s="12" t="s">
        <v>3608</v>
      </c>
      <c r="G1188" s="12" t="str">
        <f t="shared" si="31"/>
        <v>7026592031517</v>
      </c>
      <c r="H1188" s="12" t="s">
        <v>3609</v>
      </c>
      <c r="I1188" s="12">
        <v>92031517</v>
      </c>
      <c r="J1188" s="12" t="s">
        <v>3610</v>
      </c>
      <c r="K1188" s="12" t="s">
        <v>44</v>
      </c>
      <c r="L1188" s="12">
        <v>3104246899</v>
      </c>
      <c r="M1188" s="12" t="s">
        <v>3611</v>
      </c>
      <c r="N1188" s="12" t="s">
        <v>46</v>
      </c>
      <c r="O1188" s="12" t="s">
        <v>47</v>
      </c>
      <c r="P1188" s="88" t="s">
        <v>48</v>
      </c>
      <c r="Q1188" s="12" t="s">
        <v>1231</v>
      </c>
      <c r="R1188" s="16">
        <v>0.78</v>
      </c>
      <c r="S1188" s="13" t="s">
        <v>49</v>
      </c>
      <c r="T1188" s="12" t="s">
        <v>3228</v>
      </c>
      <c r="U1188" s="12" t="s">
        <v>50</v>
      </c>
      <c r="V1188" s="13">
        <v>45270</v>
      </c>
      <c r="W1188" s="18">
        <v>0.80500000000000005</v>
      </c>
      <c r="X1188" s="12" t="s">
        <v>135</v>
      </c>
      <c r="Z1188" s="12" t="s">
        <v>50</v>
      </c>
      <c r="AA1188" s="12" t="s">
        <v>52</v>
      </c>
      <c r="AB1188" s="12" t="s">
        <v>52</v>
      </c>
      <c r="AC1188" s="13">
        <v>44690</v>
      </c>
      <c r="AD1188" s="16">
        <v>0.92</v>
      </c>
      <c r="AE1188" s="13" t="s">
        <v>210</v>
      </c>
      <c r="AF1188" s="12" t="s">
        <v>408</v>
      </c>
      <c r="AG1188" s="12" t="s">
        <v>52</v>
      </c>
      <c r="AH1188" s="12" t="s">
        <v>52</v>
      </c>
      <c r="AI1188" s="13">
        <v>44244</v>
      </c>
      <c r="AJ1188" s="16">
        <v>0.86</v>
      </c>
      <c r="AK1188" s="13" t="s">
        <v>49</v>
      </c>
      <c r="AL1188" s="12" t="s">
        <v>50</v>
      </c>
      <c r="AM1188" s="12" t="s">
        <v>52</v>
      </c>
      <c r="AN1188" s="12" t="s">
        <v>52</v>
      </c>
      <c r="AU1188" s="12" t="s">
        <v>164</v>
      </c>
    </row>
    <row r="1189" spans="1:57" s="12" customFormat="1" ht="14.4" hidden="1" x14ac:dyDescent="0.3">
      <c r="A1189" s="12" t="s">
        <v>39</v>
      </c>
      <c r="B1189" s="12" t="s">
        <v>3225</v>
      </c>
      <c r="C1189" s="12">
        <v>70</v>
      </c>
      <c r="D1189" s="12">
        <v>265</v>
      </c>
      <c r="F1189" s="275" t="s">
        <v>3612</v>
      </c>
      <c r="G1189" s="12" t="str">
        <f t="shared" si="31"/>
        <v>702656797092</v>
      </c>
      <c r="H1189" s="12" t="s">
        <v>3613</v>
      </c>
      <c r="I1189" s="12">
        <v>6797092</v>
      </c>
      <c r="J1189" s="12" t="s">
        <v>9192</v>
      </c>
      <c r="K1189" s="12" t="s">
        <v>44</v>
      </c>
      <c r="L1189" s="12">
        <v>3217405248</v>
      </c>
      <c r="M1189" s="12" t="s">
        <v>45</v>
      </c>
      <c r="N1189" s="12" t="s">
        <v>46</v>
      </c>
      <c r="O1189" s="12" t="s">
        <v>2797</v>
      </c>
      <c r="P1189" s="88" t="s">
        <v>80</v>
      </c>
      <c r="Q1189" s="13">
        <v>46191</v>
      </c>
      <c r="R1189" s="12" t="s">
        <v>9193</v>
      </c>
      <c r="S1189" s="13" t="s">
        <v>49</v>
      </c>
      <c r="T1189" s="12" t="s">
        <v>3221</v>
      </c>
      <c r="U1189" s="12" t="s">
        <v>9194</v>
      </c>
      <c r="V1189" s="13">
        <v>45875</v>
      </c>
      <c r="W1189" s="16" t="s">
        <v>203</v>
      </c>
      <c r="X1189" s="13" t="s">
        <v>49</v>
      </c>
      <c r="Y1189" s="12" t="s">
        <v>3206</v>
      </c>
      <c r="Z1189" s="12" t="s">
        <v>50</v>
      </c>
      <c r="AA1189" s="12" t="s">
        <v>52</v>
      </c>
      <c r="AB1189" s="12" t="s">
        <v>52</v>
      </c>
      <c r="AC1189" s="13">
        <v>45509</v>
      </c>
      <c r="AD1189" s="16">
        <v>0.74</v>
      </c>
      <c r="AE1189" s="12" t="s">
        <v>87</v>
      </c>
      <c r="AF1189" s="12" t="s">
        <v>50</v>
      </c>
      <c r="AG1189" s="12" t="s">
        <v>52</v>
      </c>
      <c r="AH1189" s="12" t="s">
        <v>52</v>
      </c>
      <c r="AI1189" s="12" t="s">
        <v>3614</v>
      </c>
      <c r="AJ1189" s="16">
        <v>0.77</v>
      </c>
      <c r="AK1189" s="12" t="s">
        <v>87</v>
      </c>
      <c r="AL1189" s="12" t="s">
        <v>50</v>
      </c>
      <c r="AM1189" s="12" t="s">
        <v>52</v>
      </c>
      <c r="AN1189" s="12" t="s">
        <v>52</v>
      </c>
      <c r="AO1189" s="13">
        <v>44708</v>
      </c>
      <c r="AP1189" s="16">
        <v>0.88500000000000001</v>
      </c>
      <c r="AQ1189" s="13" t="s">
        <v>49</v>
      </c>
      <c r="AR1189" s="12" t="s">
        <v>408</v>
      </c>
      <c r="AS1189" s="12" t="s">
        <v>52</v>
      </c>
      <c r="AT1189" s="12" t="s">
        <v>52</v>
      </c>
      <c r="AU1189" s="12" t="s">
        <v>1208</v>
      </c>
      <c r="BB1189" s="13">
        <v>44284</v>
      </c>
      <c r="BC1189" s="16">
        <v>0.86</v>
      </c>
      <c r="BD1189" s="13" t="s">
        <v>49</v>
      </c>
      <c r="BE1189" s="12" t="s">
        <v>50</v>
      </c>
    </row>
    <row r="1190" spans="1:57" s="12" customFormat="1" ht="14.4" hidden="1" x14ac:dyDescent="0.3">
      <c r="A1190" s="12" t="s">
        <v>39</v>
      </c>
      <c r="B1190" s="12" t="s">
        <v>3225</v>
      </c>
      <c r="C1190" s="12">
        <v>70</v>
      </c>
      <c r="D1190" s="12">
        <v>265</v>
      </c>
      <c r="F1190" s="12" t="s">
        <v>3615</v>
      </c>
      <c r="G1190" s="12" t="str">
        <f t="shared" si="31"/>
        <v>7026592125591</v>
      </c>
      <c r="H1190" s="12" t="s">
        <v>3616</v>
      </c>
      <c r="I1190" s="12">
        <v>92125591</v>
      </c>
      <c r="J1190" s="12" t="s">
        <v>3617</v>
      </c>
      <c r="K1190" s="12" t="s">
        <v>44</v>
      </c>
      <c r="L1190" s="12">
        <v>3215728631</v>
      </c>
      <c r="M1190" s="12" t="s">
        <v>3618</v>
      </c>
      <c r="N1190" s="12" t="s">
        <v>46</v>
      </c>
      <c r="O1190" s="12" t="s">
        <v>2797</v>
      </c>
      <c r="P1190" s="88" t="s">
        <v>80</v>
      </c>
      <c r="Q1190" s="12" t="s">
        <v>2469</v>
      </c>
      <c r="R1190" s="18">
        <v>0.78500000000000003</v>
      </c>
      <c r="S1190" s="13" t="s">
        <v>49</v>
      </c>
      <c r="T1190" s="12" t="s">
        <v>3215</v>
      </c>
      <c r="U1190" s="12" t="s">
        <v>50</v>
      </c>
      <c r="V1190" s="13">
        <v>44391</v>
      </c>
      <c r="W1190" s="16">
        <v>0.85</v>
      </c>
      <c r="X1190" s="13" t="s">
        <v>49</v>
      </c>
      <c r="Z1190" s="12" t="s">
        <v>408</v>
      </c>
      <c r="AA1190" s="12" t="s">
        <v>52</v>
      </c>
      <c r="AB1190" s="12" t="s">
        <v>52</v>
      </c>
      <c r="AC1190" s="13">
        <v>44293</v>
      </c>
      <c r="AD1190" s="16">
        <v>0.85</v>
      </c>
      <c r="AE1190" s="13" t="s">
        <v>49</v>
      </c>
      <c r="AF1190" s="12" t="s">
        <v>50</v>
      </c>
      <c r="AG1190" s="12" t="s">
        <v>52</v>
      </c>
      <c r="AH1190" s="12" t="s">
        <v>52</v>
      </c>
      <c r="AU1190" s="12" t="s">
        <v>164</v>
      </c>
    </row>
    <row r="1191" spans="1:57" s="12" customFormat="1" ht="14.4" x14ac:dyDescent="0.3">
      <c r="A1191" s="12" t="s">
        <v>39</v>
      </c>
      <c r="B1191" s="12" t="s">
        <v>3225</v>
      </c>
      <c r="C1191" s="12">
        <v>70</v>
      </c>
      <c r="D1191" s="12">
        <v>265</v>
      </c>
      <c r="F1191" s="12" t="s">
        <v>3619</v>
      </c>
      <c r="G1191" s="12" t="str">
        <f t="shared" si="31"/>
        <v>7026522796382</v>
      </c>
      <c r="H1191" s="12" t="s">
        <v>3620</v>
      </c>
      <c r="I1191" s="12">
        <v>22796382</v>
      </c>
      <c r="J1191" s="12" t="s">
        <v>3621</v>
      </c>
      <c r="K1191" s="12" t="s">
        <v>44</v>
      </c>
      <c r="L1191" s="12">
        <v>3016468650</v>
      </c>
      <c r="M1191" s="12" t="s">
        <v>3622</v>
      </c>
      <c r="N1191" s="12" t="s">
        <v>46</v>
      </c>
      <c r="O1191" s="12" t="s">
        <v>47</v>
      </c>
      <c r="P1191" s="88" t="s">
        <v>48</v>
      </c>
      <c r="Q1191" s="13">
        <v>45509</v>
      </c>
      <c r="R1191" s="16">
        <v>0.63</v>
      </c>
      <c r="S1191" s="13" t="s">
        <v>49</v>
      </c>
      <c r="T1191" s="12" t="s">
        <v>3215</v>
      </c>
      <c r="U1191" s="12" t="s">
        <v>50</v>
      </c>
      <c r="V1191" s="13">
        <v>45041</v>
      </c>
      <c r="W1191" s="16">
        <v>0.87</v>
      </c>
      <c r="X1191" s="13" t="s">
        <v>49</v>
      </c>
      <c r="Z1191" s="12" t="s">
        <v>408</v>
      </c>
      <c r="AA1191" s="12" t="s">
        <v>52</v>
      </c>
      <c r="AB1191" s="12" t="s">
        <v>52</v>
      </c>
      <c r="AU1191" s="12" t="s">
        <v>53</v>
      </c>
    </row>
    <row r="1192" spans="1:57" s="12" customFormat="1" ht="14.4" x14ac:dyDescent="0.3">
      <c r="A1192" s="12" t="s">
        <v>39</v>
      </c>
      <c r="B1192" s="12" t="s">
        <v>3225</v>
      </c>
      <c r="C1192" s="12">
        <v>70</v>
      </c>
      <c r="D1192" s="12">
        <v>265</v>
      </c>
      <c r="F1192" s="275" t="s">
        <v>3623</v>
      </c>
      <c r="G1192" s="12" t="str">
        <f t="shared" si="31"/>
        <v>7026542306896</v>
      </c>
      <c r="H1192" s="12" t="s">
        <v>9178</v>
      </c>
      <c r="I1192" s="12">
        <v>42306896</v>
      </c>
      <c r="J1192" s="12" t="s">
        <v>9175</v>
      </c>
      <c r="K1192" s="12" t="s">
        <v>44</v>
      </c>
      <c r="L1192" s="12">
        <v>3234591087</v>
      </c>
      <c r="M1192" s="12" t="s">
        <v>9179</v>
      </c>
      <c r="N1192" s="12" t="s">
        <v>46</v>
      </c>
      <c r="O1192" s="12" t="s">
        <v>47</v>
      </c>
      <c r="P1192" s="88" t="s">
        <v>48</v>
      </c>
      <c r="Q1192" s="13">
        <v>46153</v>
      </c>
      <c r="R1192" s="12" t="s">
        <v>8949</v>
      </c>
      <c r="S1192" s="13" t="s">
        <v>49</v>
      </c>
      <c r="T1192" s="12" t="s">
        <v>3228</v>
      </c>
      <c r="U1192" s="12" t="s">
        <v>60</v>
      </c>
      <c r="V1192" s="13">
        <v>44694</v>
      </c>
      <c r="W1192" s="16">
        <v>0.92</v>
      </c>
      <c r="X1192" s="13" t="s">
        <v>210</v>
      </c>
      <c r="Z1192" s="12" t="s">
        <v>408</v>
      </c>
      <c r="AU1192" s="12" t="s">
        <v>53</v>
      </c>
    </row>
    <row r="1193" spans="1:57" s="12" customFormat="1" ht="14.4" x14ac:dyDescent="0.3">
      <c r="A1193" s="12" t="s">
        <v>39</v>
      </c>
      <c r="B1193" s="12" t="s">
        <v>3225</v>
      </c>
      <c r="C1193" s="12">
        <v>70</v>
      </c>
      <c r="D1193" s="12">
        <v>265</v>
      </c>
      <c r="F1193" s="275" t="s">
        <v>9180</v>
      </c>
      <c r="G1193" s="12" t="str">
        <f t="shared" si="31"/>
        <v>7026564578164</v>
      </c>
      <c r="H1193" s="12" t="s">
        <v>9181</v>
      </c>
      <c r="I1193" s="12">
        <v>64578164</v>
      </c>
      <c r="J1193" s="12" t="s">
        <v>9182</v>
      </c>
      <c r="K1193" s="12" t="s">
        <v>44</v>
      </c>
      <c r="L1193" s="12">
        <v>3216424906</v>
      </c>
      <c r="M1193" s="12" t="s">
        <v>9183</v>
      </c>
      <c r="N1193" s="12" t="s">
        <v>46</v>
      </c>
      <c r="O1193" s="12" t="s">
        <v>47</v>
      </c>
      <c r="P1193" s="88" t="s">
        <v>48</v>
      </c>
      <c r="Q1193" s="13">
        <v>46155</v>
      </c>
      <c r="R1193" s="12">
        <v>80</v>
      </c>
      <c r="S1193" s="12" t="s">
        <v>74</v>
      </c>
      <c r="T1193" s="12" t="s">
        <v>3215</v>
      </c>
      <c r="U1193" s="12" t="s">
        <v>60</v>
      </c>
      <c r="V1193" s="13"/>
      <c r="W1193" s="16"/>
      <c r="X1193" s="13"/>
      <c r="AU1193" s="12" t="s">
        <v>53</v>
      </c>
    </row>
    <row r="1194" spans="1:57" s="12" customFormat="1" ht="14.4" x14ac:dyDescent="0.3">
      <c r="A1194" s="12" t="s">
        <v>39</v>
      </c>
      <c r="B1194" s="12" t="s">
        <v>3225</v>
      </c>
      <c r="C1194" s="12">
        <v>70</v>
      </c>
      <c r="D1194" s="12">
        <v>265</v>
      </c>
      <c r="F1194" s="275" t="s">
        <v>9204</v>
      </c>
      <c r="G1194" s="12" t="str">
        <f t="shared" si="31"/>
        <v>702656796746</v>
      </c>
      <c r="H1194" s="12" t="s">
        <v>3624</v>
      </c>
      <c r="I1194" s="12">
        <v>6796746</v>
      </c>
      <c r="J1194" s="12" t="s">
        <v>9205</v>
      </c>
      <c r="K1194" s="12" t="s">
        <v>44</v>
      </c>
      <c r="L1194" s="12">
        <v>3207262257</v>
      </c>
      <c r="M1194" s="12" t="s">
        <v>9206</v>
      </c>
      <c r="N1194" s="12" t="s">
        <v>46</v>
      </c>
      <c r="O1194" s="12" t="s">
        <v>47</v>
      </c>
      <c r="P1194" s="88" t="s">
        <v>48</v>
      </c>
      <c r="Q1194" s="13">
        <v>46224</v>
      </c>
      <c r="R1194" s="12" t="s">
        <v>7837</v>
      </c>
      <c r="S1194" s="12" t="s">
        <v>74</v>
      </c>
      <c r="T1194" s="12" t="s">
        <v>3228</v>
      </c>
      <c r="U1194" s="12" t="s">
        <v>60</v>
      </c>
      <c r="V1194" s="12" t="s">
        <v>3625</v>
      </c>
      <c r="W1194" s="16">
        <v>0.7</v>
      </c>
      <c r="X1194" s="12" t="s">
        <v>7696</v>
      </c>
      <c r="Y1194" s="12" t="s">
        <v>3215</v>
      </c>
      <c r="Z1194" s="12" t="s">
        <v>50</v>
      </c>
      <c r="AA1194" s="12" t="s">
        <v>52</v>
      </c>
      <c r="AB1194" s="12" t="s">
        <v>52</v>
      </c>
      <c r="AC1194" s="13">
        <v>44694</v>
      </c>
      <c r="AD1194" s="16">
        <v>0.93500000000000005</v>
      </c>
      <c r="AE1194" s="13" t="s">
        <v>210</v>
      </c>
      <c r="AF1194" s="12" t="s">
        <v>50</v>
      </c>
      <c r="AG1194" s="12" t="s">
        <v>52</v>
      </c>
      <c r="AH1194" s="12" t="s">
        <v>52</v>
      </c>
      <c r="AI1194" s="13">
        <v>44364</v>
      </c>
      <c r="AJ1194" s="16">
        <v>0.85</v>
      </c>
      <c r="AK1194" s="13" t="s">
        <v>49</v>
      </c>
      <c r="AL1194" s="12" t="s">
        <v>50</v>
      </c>
      <c r="AU1194" s="12" t="s">
        <v>53</v>
      </c>
    </row>
    <row r="1195" spans="1:57" s="12" customFormat="1" ht="14.4" x14ac:dyDescent="0.3">
      <c r="A1195" s="12" t="s">
        <v>39</v>
      </c>
      <c r="B1195" s="12" t="s">
        <v>3225</v>
      </c>
      <c r="C1195" s="12">
        <v>70</v>
      </c>
      <c r="D1195" s="12">
        <v>265</v>
      </c>
      <c r="F1195" s="12" t="s">
        <v>3626</v>
      </c>
      <c r="G1195" s="12" t="str">
        <f t="shared" si="31"/>
        <v>702651065570383</v>
      </c>
      <c r="H1195" s="12" t="s">
        <v>3627</v>
      </c>
      <c r="I1195" s="12">
        <v>1065570383</v>
      </c>
      <c r="J1195" s="12" t="s">
        <v>3628</v>
      </c>
      <c r="K1195" s="12" t="s">
        <v>44</v>
      </c>
      <c r="L1195" s="12" t="s">
        <v>45</v>
      </c>
      <c r="M1195" s="12" t="s">
        <v>45</v>
      </c>
      <c r="N1195" s="12" t="s">
        <v>46</v>
      </c>
      <c r="O1195" s="12" t="s">
        <v>47</v>
      </c>
      <c r="P1195" s="88" t="s">
        <v>48</v>
      </c>
      <c r="Q1195" s="13">
        <v>44685</v>
      </c>
      <c r="R1195" s="16">
        <v>0.86</v>
      </c>
      <c r="S1195" s="12" t="s">
        <v>7696</v>
      </c>
      <c r="U1195" s="12" t="s">
        <v>50</v>
      </c>
      <c r="V1195" s="13">
        <v>44448</v>
      </c>
      <c r="W1195" s="16">
        <v>0.82</v>
      </c>
      <c r="X1195" s="13" t="s">
        <v>49</v>
      </c>
      <c r="Z1195" s="12" t="s">
        <v>408</v>
      </c>
      <c r="AA1195" s="12" t="s">
        <v>52</v>
      </c>
      <c r="AB1195" s="12" t="s">
        <v>52</v>
      </c>
      <c r="AU1195" s="12" t="s">
        <v>164</v>
      </c>
    </row>
    <row r="1196" spans="1:57" s="12" customFormat="1" ht="14.4" x14ac:dyDescent="0.3">
      <c r="A1196" s="12" t="s">
        <v>39</v>
      </c>
      <c r="B1196" s="12" t="s">
        <v>3225</v>
      </c>
      <c r="C1196" s="12">
        <v>70</v>
      </c>
      <c r="D1196" s="12">
        <v>265</v>
      </c>
      <c r="F1196" s="275" t="s">
        <v>3629</v>
      </c>
      <c r="G1196" s="12" t="str">
        <f t="shared" si="31"/>
        <v>7026542365431</v>
      </c>
      <c r="H1196" s="12" t="s">
        <v>3630</v>
      </c>
      <c r="I1196" s="12">
        <v>42365431</v>
      </c>
      <c r="J1196" s="12" t="s">
        <v>3631</v>
      </c>
      <c r="K1196" s="12" t="s">
        <v>44</v>
      </c>
      <c r="L1196" s="12">
        <v>3178883354</v>
      </c>
      <c r="M1196" s="12" t="s">
        <v>3632</v>
      </c>
      <c r="N1196" s="12" t="s">
        <v>46</v>
      </c>
      <c r="O1196" s="12" t="s">
        <v>47</v>
      </c>
      <c r="P1196" s="88" t="s">
        <v>48</v>
      </c>
      <c r="Q1196" s="13">
        <v>45868</v>
      </c>
      <c r="R1196" s="16">
        <v>0.7</v>
      </c>
      <c r="S1196" s="12" t="s">
        <v>7696</v>
      </c>
      <c r="T1196" s="12" t="s">
        <v>3206</v>
      </c>
      <c r="U1196" s="12" t="s">
        <v>50</v>
      </c>
      <c r="V1196" s="13">
        <v>45388</v>
      </c>
      <c r="W1196" s="16">
        <v>0.74</v>
      </c>
      <c r="X1196" s="12" t="s">
        <v>87</v>
      </c>
      <c r="Y1196" s="12" t="s">
        <v>3221</v>
      </c>
      <c r="Z1196" s="12" t="s">
        <v>50</v>
      </c>
      <c r="AA1196" s="12" t="s">
        <v>52</v>
      </c>
      <c r="AB1196" s="12" t="s">
        <v>52</v>
      </c>
      <c r="AC1196" s="12" t="s">
        <v>3633</v>
      </c>
      <c r="AD1196" s="18">
        <v>0.755</v>
      </c>
      <c r="AE1196" s="12" t="s">
        <v>87</v>
      </c>
      <c r="AF1196" s="12" t="s">
        <v>50</v>
      </c>
      <c r="AG1196" s="12" t="s">
        <v>52</v>
      </c>
      <c r="AH1196" s="12" t="s">
        <v>52</v>
      </c>
      <c r="AI1196" s="13">
        <v>44699</v>
      </c>
      <c r="AJ1196" s="16">
        <v>0.89249999999999996</v>
      </c>
      <c r="AK1196" s="13" t="s">
        <v>49</v>
      </c>
      <c r="AL1196" s="12" t="s">
        <v>50</v>
      </c>
      <c r="AM1196" s="12" t="s">
        <v>52</v>
      </c>
      <c r="AN1196" s="12" t="s">
        <v>52</v>
      </c>
      <c r="AO1196" s="13">
        <v>44452</v>
      </c>
      <c r="AP1196" s="16">
        <v>0.84</v>
      </c>
      <c r="AQ1196" s="13" t="s">
        <v>49</v>
      </c>
      <c r="AR1196" s="12" t="s">
        <v>408</v>
      </c>
      <c r="AS1196" s="12" t="s">
        <v>52</v>
      </c>
      <c r="AT1196" s="12" t="s">
        <v>52</v>
      </c>
      <c r="AU1196" s="12" t="s">
        <v>53</v>
      </c>
    </row>
    <row r="1197" spans="1:57" s="12" customFormat="1" ht="14.4" hidden="1" x14ac:dyDescent="0.3">
      <c r="A1197" s="12" t="s">
        <v>39</v>
      </c>
      <c r="B1197" s="12" t="s">
        <v>3225</v>
      </c>
      <c r="C1197" s="12">
        <v>70</v>
      </c>
      <c r="D1197" s="12">
        <v>265</v>
      </c>
      <c r="F1197" s="275" t="s">
        <v>3634</v>
      </c>
      <c r="G1197" s="12" t="str">
        <f t="shared" si="31"/>
        <v>7026555300281-0</v>
      </c>
      <c r="H1197" s="12" t="s">
        <v>3635</v>
      </c>
      <c r="I1197" s="12" t="s">
        <v>3636</v>
      </c>
      <c r="J1197" s="12" t="s">
        <v>3637</v>
      </c>
      <c r="K1197" s="12" t="s">
        <v>44</v>
      </c>
      <c r="L1197" s="12">
        <v>3127581756</v>
      </c>
      <c r="M1197" s="17" t="s">
        <v>3638</v>
      </c>
      <c r="N1197" s="12" t="s">
        <v>46</v>
      </c>
      <c r="O1197" s="12" t="s">
        <v>2797</v>
      </c>
      <c r="P1197" s="88" t="s">
        <v>80</v>
      </c>
      <c r="Q1197" s="13">
        <v>45860</v>
      </c>
      <c r="R1197" s="18">
        <v>0.79500000000000004</v>
      </c>
      <c r="S1197" s="12" t="s">
        <v>7696</v>
      </c>
      <c r="T1197" s="12" t="s">
        <v>3206</v>
      </c>
      <c r="U1197" s="12" t="s">
        <v>50</v>
      </c>
      <c r="V1197" s="12" t="s">
        <v>3639</v>
      </c>
      <c r="W1197" s="16">
        <v>0.67</v>
      </c>
      <c r="X1197" s="12" t="s">
        <v>87</v>
      </c>
      <c r="Y1197" s="12" t="s">
        <v>3228</v>
      </c>
      <c r="Z1197" s="12" t="s">
        <v>50</v>
      </c>
      <c r="AA1197" s="12" t="s">
        <v>52</v>
      </c>
      <c r="AB1197" s="12" t="s">
        <v>52</v>
      </c>
      <c r="AC1197" s="12" t="s">
        <v>613</v>
      </c>
      <c r="AD1197" s="16">
        <v>0.74</v>
      </c>
      <c r="AE1197" s="12" t="s">
        <v>135</v>
      </c>
      <c r="AF1197" s="12" t="s">
        <v>50</v>
      </c>
      <c r="AG1197" s="12" t="s">
        <v>52</v>
      </c>
      <c r="AH1197" s="12" t="s">
        <v>52</v>
      </c>
      <c r="AI1197" s="13">
        <v>44694</v>
      </c>
      <c r="AJ1197" s="16">
        <v>0.92</v>
      </c>
      <c r="AK1197" s="13" t="s">
        <v>210</v>
      </c>
      <c r="AL1197" s="12" t="s">
        <v>408</v>
      </c>
      <c r="AM1197" s="12" t="s">
        <v>52</v>
      </c>
      <c r="AN1197" s="12" t="s">
        <v>52</v>
      </c>
      <c r="AO1197" s="13">
        <v>44722</v>
      </c>
      <c r="AP1197" s="16">
        <v>0.87</v>
      </c>
      <c r="AQ1197" s="13" t="s">
        <v>49</v>
      </c>
      <c r="AR1197" s="12" t="s">
        <v>50</v>
      </c>
      <c r="AS1197" s="12" t="s">
        <v>52</v>
      </c>
      <c r="AT1197" s="12" t="s">
        <v>52</v>
      </c>
      <c r="AU1197" s="12" t="s">
        <v>164</v>
      </c>
    </row>
    <row r="1198" spans="1:57" s="12" customFormat="1" ht="14.4" x14ac:dyDescent="0.3">
      <c r="A1198" s="12" t="s">
        <v>39</v>
      </c>
      <c r="B1198" s="12" t="s">
        <v>3225</v>
      </c>
      <c r="C1198" s="12">
        <v>70</v>
      </c>
      <c r="D1198" s="12">
        <v>265</v>
      </c>
      <c r="F1198" s="12" t="s">
        <v>3640</v>
      </c>
      <c r="G1198" s="12" t="str">
        <f t="shared" si="31"/>
        <v>7026570265823001350-3</v>
      </c>
      <c r="H1198" s="12" t="s">
        <v>3641</v>
      </c>
      <c r="I1198" s="12" t="s">
        <v>3235</v>
      </c>
      <c r="J1198" s="12" t="s">
        <v>3642</v>
      </c>
      <c r="K1198" s="12" t="s">
        <v>44</v>
      </c>
      <c r="L1198" s="12">
        <v>3127087466</v>
      </c>
      <c r="M1198" s="12" t="s">
        <v>45</v>
      </c>
      <c r="N1198" s="12" t="s">
        <v>46</v>
      </c>
      <c r="O1198" s="12" t="s">
        <v>47</v>
      </c>
      <c r="P1198" s="88" t="s">
        <v>48</v>
      </c>
      <c r="Q1198" s="13">
        <v>45873</v>
      </c>
      <c r="R1198" s="16">
        <v>0.87</v>
      </c>
      <c r="S1198" s="12" t="s">
        <v>7696</v>
      </c>
      <c r="T1198" s="12" t="s">
        <v>3206</v>
      </c>
      <c r="U1198" s="12" t="s">
        <v>50</v>
      </c>
      <c r="V1198" s="12" t="s">
        <v>3643</v>
      </c>
      <c r="W1198" s="16">
        <v>0.63</v>
      </c>
      <c r="X1198" s="12" t="s">
        <v>135</v>
      </c>
      <c r="Y1198" s="12" t="s">
        <v>3215</v>
      </c>
      <c r="Z1198" s="12" t="s">
        <v>50</v>
      </c>
      <c r="AA1198" s="12" t="s">
        <v>52</v>
      </c>
      <c r="AB1198" s="12" t="s">
        <v>52</v>
      </c>
      <c r="AC1198" s="13">
        <v>44708</v>
      </c>
      <c r="AD1198" s="16">
        <v>0.88500000000000001</v>
      </c>
      <c r="AE1198" s="13" t="s">
        <v>49</v>
      </c>
      <c r="AG1198" s="12" t="s">
        <v>408</v>
      </c>
      <c r="AH1198" s="12" t="s">
        <v>52</v>
      </c>
      <c r="AI1198" s="12" t="s">
        <v>52</v>
      </c>
      <c r="AU1198" s="12" t="s">
        <v>164</v>
      </c>
    </row>
    <row r="1199" spans="1:57" s="12" customFormat="1" ht="14.4" x14ac:dyDescent="0.3">
      <c r="A1199" s="12" t="s">
        <v>39</v>
      </c>
      <c r="B1199" s="12" t="s">
        <v>3225</v>
      </c>
      <c r="C1199" s="12">
        <v>70</v>
      </c>
      <c r="D1199" s="12">
        <v>265</v>
      </c>
      <c r="F1199" s="12" t="s">
        <v>3644</v>
      </c>
      <c r="G1199" s="12" t="str">
        <f t="shared" si="31"/>
        <v>702651101388125</v>
      </c>
      <c r="H1199" s="12" t="s">
        <v>3645</v>
      </c>
      <c r="I1199" s="12">
        <v>1101388125</v>
      </c>
      <c r="J1199" s="12" t="s">
        <v>3646</v>
      </c>
      <c r="K1199" s="12" t="s">
        <v>44</v>
      </c>
      <c r="L1199" s="12">
        <v>3012088521</v>
      </c>
      <c r="M1199" s="12" t="s">
        <v>3647</v>
      </c>
      <c r="N1199" s="12" t="s">
        <v>46</v>
      </c>
      <c r="O1199" s="12" t="s">
        <v>47</v>
      </c>
      <c r="P1199" s="88" t="s">
        <v>48</v>
      </c>
      <c r="Q1199" s="12" t="s">
        <v>1778</v>
      </c>
      <c r="R1199" s="16">
        <v>0.86</v>
      </c>
      <c r="S1199" s="12" t="s">
        <v>7696</v>
      </c>
      <c r="T1199" s="12" t="s">
        <v>3215</v>
      </c>
      <c r="U1199" s="12" t="s">
        <v>50</v>
      </c>
      <c r="V1199" s="13">
        <v>45880</v>
      </c>
      <c r="W1199" s="16">
        <v>0.87</v>
      </c>
      <c r="X1199" s="12" t="s">
        <v>87</v>
      </c>
      <c r="Y1199" s="12" t="s">
        <v>3206</v>
      </c>
      <c r="Z1199" s="12" t="s">
        <v>50</v>
      </c>
      <c r="AC1199" s="13"/>
      <c r="AD1199" s="16">
        <v>0.93500000000000005</v>
      </c>
      <c r="AE1199" s="13" t="s">
        <v>210</v>
      </c>
      <c r="AG1199" s="12" t="s">
        <v>408</v>
      </c>
      <c r="AH1199" s="12" t="s">
        <v>52</v>
      </c>
      <c r="AI1199" s="12" t="s">
        <v>52</v>
      </c>
      <c r="AJ1199" s="16">
        <v>0.87</v>
      </c>
      <c r="AK1199" s="13" t="s">
        <v>49</v>
      </c>
      <c r="AL1199" s="12" t="s">
        <v>50</v>
      </c>
      <c r="AM1199" s="12" t="s">
        <v>52</v>
      </c>
      <c r="AN1199" s="12" t="s">
        <v>52</v>
      </c>
      <c r="AU1199" s="12" t="s">
        <v>1208</v>
      </c>
    </row>
    <row r="1200" spans="1:57" s="12" customFormat="1" ht="14.4" hidden="1" x14ac:dyDescent="0.3">
      <c r="A1200" s="12" t="s">
        <v>39</v>
      </c>
      <c r="B1200" s="12" t="s">
        <v>3225</v>
      </c>
      <c r="C1200" s="12">
        <v>70</v>
      </c>
      <c r="D1200" s="12">
        <v>265</v>
      </c>
      <c r="F1200" s="12" t="s">
        <v>3648</v>
      </c>
      <c r="G1200" s="12" t="str">
        <f t="shared" si="31"/>
        <v>702651101385185</v>
      </c>
      <c r="H1200" s="12" t="s">
        <v>3649</v>
      </c>
      <c r="I1200" s="12">
        <v>1101385185</v>
      </c>
      <c r="J1200" s="12" t="s">
        <v>3650</v>
      </c>
      <c r="K1200" s="12" t="s">
        <v>44</v>
      </c>
      <c r="L1200" s="12" t="s">
        <v>45</v>
      </c>
      <c r="M1200" s="12" t="s">
        <v>45</v>
      </c>
      <c r="N1200" s="12" t="s">
        <v>46</v>
      </c>
      <c r="O1200" s="12" t="s">
        <v>2797</v>
      </c>
      <c r="P1200" s="88" t="s">
        <v>80</v>
      </c>
      <c r="Q1200" s="13">
        <v>44391</v>
      </c>
      <c r="R1200" s="16">
        <v>0.85</v>
      </c>
      <c r="S1200" s="12" t="s">
        <v>7696</v>
      </c>
      <c r="U1200" s="12" t="s">
        <v>408</v>
      </c>
      <c r="AU1200" s="12" t="s">
        <v>164</v>
      </c>
    </row>
    <row r="1201" spans="1:47" s="12" customFormat="1" ht="14.4" x14ac:dyDescent="0.3">
      <c r="A1201" s="12" t="s">
        <v>39</v>
      </c>
      <c r="B1201" s="12" t="s">
        <v>3225</v>
      </c>
      <c r="C1201" s="12">
        <v>70</v>
      </c>
      <c r="D1201" s="12">
        <v>265</v>
      </c>
      <c r="F1201" s="12" t="s">
        <v>3651</v>
      </c>
      <c r="G1201" s="12" t="str">
        <f t="shared" si="31"/>
        <v>7026564931563</v>
      </c>
      <c r="H1201" s="12" t="s">
        <v>3652</v>
      </c>
      <c r="I1201" s="12">
        <v>64931563</v>
      </c>
      <c r="J1201" s="12" t="s">
        <v>3653</v>
      </c>
      <c r="K1201" s="12" t="s">
        <v>44</v>
      </c>
      <c r="L1201" s="12">
        <v>3216925716</v>
      </c>
      <c r="M1201" s="12" t="s">
        <v>45</v>
      </c>
      <c r="N1201" s="12" t="s">
        <v>46</v>
      </c>
      <c r="O1201" s="12" t="s">
        <v>47</v>
      </c>
      <c r="P1201" s="88" t="s">
        <v>48</v>
      </c>
      <c r="Q1201" s="13">
        <v>45602</v>
      </c>
      <c r="R1201" s="16">
        <v>0.75</v>
      </c>
      <c r="S1201" s="12" t="s">
        <v>7696</v>
      </c>
      <c r="T1201" s="12" t="s">
        <v>3654</v>
      </c>
      <c r="U1201" s="12" t="s">
        <v>50</v>
      </c>
      <c r="V1201" s="12" t="s">
        <v>582</v>
      </c>
      <c r="W1201" s="16">
        <v>0.68</v>
      </c>
      <c r="X1201" s="12" t="s">
        <v>87</v>
      </c>
      <c r="Z1201" s="12" t="s">
        <v>50</v>
      </c>
      <c r="AA1201" s="12" t="s">
        <v>52</v>
      </c>
      <c r="AB1201" s="12" t="s">
        <v>52</v>
      </c>
      <c r="AC1201" s="13">
        <v>44452</v>
      </c>
      <c r="AD1201" s="16">
        <v>0.84</v>
      </c>
      <c r="AE1201" s="13" t="s">
        <v>49</v>
      </c>
      <c r="AF1201" s="12" t="s">
        <v>408</v>
      </c>
      <c r="AG1201" s="12" t="s">
        <v>52</v>
      </c>
      <c r="AH1201" s="12" t="s">
        <v>52</v>
      </c>
      <c r="AU1201" s="12" t="s">
        <v>1208</v>
      </c>
    </row>
    <row r="1202" spans="1:47" s="12" customFormat="1" ht="14.4" hidden="1" x14ac:dyDescent="0.3">
      <c r="A1202" s="12" t="s">
        <v>39</v>
      </c>
      <c r="B1202" s="12" t="s">
        <v>3225</v>
      </c>
      <c r="C1202" s="12">
        <v>70</v>
      </c>
      <c r="D1202" s="12">
        <v>265</v>
      </c>
      <c r="F1202" s="275" t="s">
        <v>3655</v>
      </c>
      <c r="G1202" s="12" t="str">
        <f t="shared" si="31"/>
        <v>7026567972822</v>
      </c>
      <c r="H1202" s="12" t="s">
        <v>9184</v>
      </c>
      <c r="I1202" s="12">
        <v>67972822</v>
      </c>
      <c r="J1202" s="12" t="s">
        <v>9185</v>
      </c>
      <c r="K1202" s="12" t="s">
        <v>44</v>
      </c>
      <c r="L1202" s="12">
        <v>3113848083</v>
      </c>
      <c r="M1202" s="12" t="s">
        <v>9186</v>
      </c>
      <c r="N1202" s="12" t="s">
        <v>46</v>
      </c>
      <c r="O1202" s="12" t="s">
        <v>2797</v>
      </c>
      <c r="P1202" s="88" t="s">
        <v>80</v>
      </c>
      <c r="Q1202" s="13">
        <v>46156</v>
      </c>
      <c r="R1202" s="12">
        <v>76</v>
      </c>
      <c r="S1202" s="12" t="s">
        <v>74</v>
      </c>
      <c r="T1202" s="12" t="s">
        <v>3206</v>
      </c>
      <c r="U1202" s="12" t="s">
        <v>60</v>
      </c>
      <c r="V1202" s="13">
        <v>45867</v>
      </c>
      <c r="W1202" s="16">
        <v>0.78</v>
      </c>
      <c r="X1202" s="12" t="s">
        <v>7696</v>
      </c>
      <c r="Y1202" s="12" t="s">
        <v>3206</v>
      </c>
      <c r="Z1202" s="12" t="s">
        <v>50</v>
      </c>
      <c r="AA1202" s="12" t="s">
        <v>52</v>
      </c>
      <c r="AB1202" s="12" t="s">
        <v>52</v>
      </c>
      <c r="AC1202" s="13" t="s">
        <v>3656</v>
      </c>
      <c r="AD1202" s="16">
        <v>0.79</v>
      </c>
      <c r="AE1202" s="13" t="s">
        <v>87</v>
      </c>
      <c r="AF1202" s="12" t="s">
        <v>50</v>
      </c>
      <c r="AH1202" s="12" t="s">
        <v>52</v>
      </c>
      <c r="AI1202" s="13">
        <v>45148</v>
      </c>
      <c r="AJ1202" s="16">
        <v>0.90500000000000003</v>
      </c>
      <c r="AK1202" s="13" t="s">
        <v>210</v>
      </c>
      <c r="AL1202" s="12" t="s">
        <v>50</v>
      </c>
      <c r="AU1202" s="12" t="s">
        <v>53</v>
      </c>
    </row>
    <row r="1203" spans="1:47" s="12" customFormat="1" ht="14.4" hidden="1" x14ac:dyDescent="0.3">
      <c r="A1203" s="12" t="s">
        <v>39</v>
      </c>
      <c r="B1203" s="12" t="s">
        <v>3225</v>
      </c>
      <c r="C1203" s="12">
        <v>70</v>
      </c>
      <c r="D1203" s="12">
        <v>265</v>
      </c>
      <c r="F1203" s="275" t="s">
        <v>3657</v>
      </c>
      <c r="G1203" s="12" t="str">
        <f t="shared" si="31"/>
        <v>702652216483</v>
      </c>
      <c r="H1203" s="12" t="s">
        <v>9177</v>
      </c>
      <c r="I1203" s="12">
        <v>2216483</v>
      </c>
      <c r="J1203" s="12" t="s">
        <v>9175</v>
      </c>
      <c r="K1203" s="12" t="s">
        <v>44</v>
      </c>
      <c r="L1203" s="12">
        <v>3133765016</v>
      </c>
      <c r="M1203" s="12" t="s">
        <v>9176</v>
      </c>
      <c r="N1203" s="12" t="s">
        <v>46</v>
      </c>
      <c r="O1203" s="12" t="s">
        <v>2797</v>
      </c>
      <c r="P1203" s="88" t="s">
        <v>80</v>
      </c>
      <c r="Q1203" s="13">
        <v>46146</v>
      </c>
      <c r="R1203" s="12" t="s">
        <v>7842</v>
      </c>
      <c r="S1203" s="12" t="s">
        <v>7696</v>
      </c>
      <c r="T1203" s="12" t="s">
        <v>3206</v>
      </c>
      <c r="U1203" s="12" t="s">
        <v>60</v>
      </c>
      <c r="V1203" s="12" t="s">
        <v>671</v>
      </c>
      <c r="W1203" s="16">
        <v>0.68</v>
      </c>
      <c r="X1203" s="12" t="s">
        <v>7696</v>
      </c>
      <c r="Y1203" s="12" t="s">
        <v>3221</v>
      </c>
      <c r="Z1203" s="12" t="s">
        <v>50</v>
      </c>
      <c r="AA1203" s="12" t="s">
        <v>52</v>
      </c>
      <c r="AB1203" s="12" t="s">
        <v>52</v>
      </c>
      <c r="AC1203" s="13" t="s">
        <v>3658</v>
      </c>
      <c r="AD1203" s="16">
        <v>0.77</v>
      </c>
      <c r="AE1203" s="13" t="s">
        <v>49</v>
      </c>
      <c r="AF1203" s="12" t="s">
        <v>50</v>
      </c>
      <c r="AG1203" s="12" t="s">
        <v>52</v>
      </c>
      <c r="AH1203" s="12" t="s">
        <v>52</v>
      </c>
      <c r="AI1203" s="13">
        <v>44425</v>
      </c>
      <c r="AJ1203" s="16">
        <v>0.83</v>
      </c>
      <c r="AK1203" s="13" t="s">
        <v>49</v>
      </c>
      <c r="AL1203" s="12" t="s">
        <v>50</v>
      </c>
      <c r="AU1203" s="12" t="s">
        <v>53</v>
      </c>
    </row>
    <row r="1204" spans="1:47" s="12" customFormat="1" ht="14.4" x14ac:dyDescent="0.3">
      <c r="A1204" s="12" t="s">
        <v>39</v>
      </c>
      <c r="B1204" s="12" t="s">
        <v>3225</v>
      </c>
      <c r="C1204" s="12">
        <v>70</v>
      </c>
      <c r="D1204" s="12">
        <v>265</v>
      </c>
      <c r="F1204" s="12" t="s">
        <v>3659</v>
      </c>
      <c r="G1204" s="12" t="str">
        <f t="shared" si="31"/>
        <v>70265NO REGISTRA</v>
      </c>
      <c r="H1204" s="12" t="s">
        <v>3660</v>
      </c>
      <c r="I1204" s="12" t="s">
        <v>45</v>
      </c>
      <c r="J1204" s="12" t="s">
        <v>3661</v>
      </c>
      <c r="K1204" s="12" t="s">
        <v>44</v>
      </c>
      <c r="L1204" s="12" t="s">
        <v>45</v>
      </c>
      <c r="M1204" s="12" t="s">
        <v>45</v>
      </c>
      <c r="N1204" s="12" t="s">
        <v>46</v>
      </c>
      <c r="O1204" s="12" t="s">
        <v>47</v>
      </c>
      <c r="P1204" s="88" t="s">
        <v>48</v>
      </c>
      <c r="Q1204" s="13" t="s">
        <v>682</v>
      </c>
      <c r="R1204" s="16">
        <v>0.78</v>
      </c>
      <c r="S1204" s="12" t="s">
        <v>7696</v>
      </c>
      <c r="U1204" s="12" t="s">
        <v>408</v>
      </c>
      <c r="AU1204" s="12" t="s">
        <v>164</v>
      </c>
    </row>
    <row r="1205" spans="1:47" s="12" customFormat="1" ht="14.4" x14ac:dyDescent="0.3">
      <c r="A1205" s="12" t="s">
        <v>39</v>
      </c>
      <c r="B1205" s="12" t="s">
        <v>3225</v>
      </c>
      <c r="C1205" s="12">
        <v>70</v>
      </c>
      <c r="D1205" s="12">
        <v>265</v>
      </c>
      <c r="F1205" s="12" t="s">
        <v>3662</v>
      </c>
      <c r="G1205" s="12" t="str">
        <f t="shared" si="31"/>
        <v>7026542365082</v>
      </c>
      <c r="H1205" s="12" t="s">
        <v>3663</v>
      </c>
      <c r="I1205" s="12">
        <v>42365082</v>
      </c>
      <c r="J1205" s="12" t="s">
        <v>3664</v>
      </c>
      <c r="K1205" s="12" t="s">
        <v>44</v>
      </c>
      <c r="L1205" s="12" t="s">
        <v>45</v>
      </c>
      <c r="M1205" s="12" t="s">
        <v>45</v>
      </c>
      <c r="N1205" s="12" t="s">
        <v>46</v>
      </c>
      <c r="O1205" s="12" t="s">
        <v>47</v>
      </c>
      <c r="P1205" s="88" t="s">
        <v>48</v>
      </c>
      <c r="U1205" s="12" t="s">
        <v>408</v>
      </c>
      <c r="AU1205" s="12" t="s">
        <v>164</v>
      </c>
    </row>
    <row r="1206" spans="1:47" s="12" customFormat="1" ht="14.4" x14ac:dyDescent="0.3">
      <c r="A1206" s="12" t="s">
        <v>39</v>
      </c>
      <c r="B1206" s="12" t="s">
        <v>3225</v>
      </c>
      <c r="C1206" s="12">
        <v>70</v>
      </c>
      <c r="D1206" s="12">
        <v>265</v>
      </c>
      <c r="F1206" s="12" t="s">
        <v>3665</v>
      </c>
      <c r="G1206" s="12" t="str">
        <f t="shared" si="31"/>
        <v>7026542365272</v>
      </c>
      <c r="H1206" s="12" t="s">
        <v>3666</v>
      </c>
      <c r="I1206" s="12">
        <v>42365272</v>
      </c>
      <c r="J1206" s="12" t="s">
        <v>3667</v>
      </c>
      <c r="K1206" s="12" t="s">
        <v>44</v>
      </c>
      <c r="L1206" s="12" t="s">
        <v>45</v>
      </c>
      <c r="M1206" s="12" t="s">
        <v>45</v>
      </c>
      <c r="N1206" s="12" t="s">
        <v>46</v>
      </c>
      <c r="O1206" s="12" t="s">
        <v>47</v>
      </c>
      <c r="P1206" s="88" t="s">
        <v>48</v>
      </c>
      <c r="Q1206" s="13">
        <v>45190</v>
      </c>
      <c r="R1206" s="16">
        <v>0.89</v>
      </c>
      <c r="S1206" s="12" t="s">
        <v>49</v>
      </c>
      <c r="U1206" s="12" t="s">
        <v>408</v>
      </c>
      <c r="AU1206" s="12" t="s">
        <v>53</v>
      </c>
    </row>
    <row r="1207" spans="1:47" s="12" customFormat="1" ht="14.4" x14ac:dyDescent="0.3">
      <c r="A1207" s="12" t="s">
        <v>39</v>
      </c>
      <c r="B1207" s="12" t="s">
        <v>3225</v>
      </c>
      <c r="C1207" s="12">
        <v>70</v>
      </c>
      <c r="D1207" s="12">
        <v>265</v>
      </c>
      <c r="F1207" s="12" t="s">
        <v>3668</v>
      </c>
      <c r="G1207" s="12" t="str">
        <f t="shared" si="31"/>
        <v>70265</v>
      </c>
      <c r="H1207" s="12" t="s">
        <v>3669</v>
      </c>
      <c r="J1207" s="12" t="s">
        <v>3670</v>
      </c>
      <c r="K1207" s="12" t="s">
        <v>44</v>
      </c>
      <c r="L1207" s="12" t="s">
        <v>45</v>
      </c>
      <c r="M1207" s="12" t="s">
        <v>45</v>
      </c>
      <c r="N1207" s="12" t="s">
        <v>46</v>
      </c>
      <c r="O1207" s="12" t="s">
        <v>47</v>
      </c>
      <c r="P1207" s="88" t="s">
        <v>48</v>
      </c>
      <c r="Q1207" s="12" t="s">
        <v>1354</v>
      </c>
      <c r="R1207" s="16">
        <v>0.98</v>
      </c>
      <c r="S1207" s="12" t="s">
        <v>210</v>
      </c>
      <c r="U1207" s="12" t="s">
        <v>408</v>
      </c>
      <c r="V1207" s="13">
        <v>44866</v>
      </c>
      <c r="W1207" s="16">
        <v>0.73</v>
      </c>
      <c r="X1207" s="13" t="s">
        <v>49</v>
      </c>
      <c r="Z1207" s="12" t="s">
        <v>50</v>
      </c>
      <c r="AA1207" s="12" t="s">
        <v>52</v>
      </c>
      <c r="AB1207" s="12" t="s">
        <v>52</v>
      </c>
      <c r="AU1207" s="12" t="s">
        <v>164</v>
      </c>
    </row>
    <row r="1208" spans="1:47" s="12" customFormat="1" ht="14.4" x14ac:dyDescent="0.3">
      <c r="A1208" s="12" t="s">
        <v>39</v>
      </c>
      <c r="B1208" s="12" t="s">
        <v>3225</v>
      </c>
      <c r="C1208" s="12">
        <v>70</v>
      </c>
      <c r="D1208" s="12">
        <v>265</v>
      </c>
      <c r="F1208" s="12" t="s">
        <v>3671</v>
      </c>
      <c r="G1208" s="12" t="str">
        <f t="shared" si="31"/>
        <v>7026522725932</v>
      </c>
      <c r="H1208" s="12" t="s">
        <v>3672</v>
      </c>
      <c r="I1208" s="12">
        <v>22725932</v>
      </c>
      <c r="J1208" s="12" t="s">
        <v>3673</v>
      </c>
      <c r="K1208" s="12" t="s">
        <v>44</v>
      </c>
      <c r="L1208" s="12" t="s">
        <v>45</v>
      </c>
      <c r="M1208" s="12" t="s">
        <v>45</v>
      </c>
      <c r="N1208" s="12" t="s">
        <v>46</v>
      </c>
      <c r="O1208" s="12" t="s">
        <v>47</v>
      </c>
      <c r="P1208" s="88" t="s">
        <v>48</v>
      </c>
      <c r="Q1208" s="13">
        <v>45097</v>
      </c>
      <c r="R1208" s="16">
        <v>0.76749999999999996</v>
      </c>
      <c r="S1208" s="12" t="s">
        <v>49</v>
      </c>
      <c r="U1208" s="12" t="s">
        <v>408</v>
      </c>
      <c r="V1208" s="13">
        <v>44869</v>
      </c>
      <c r="W1208" s="16">
        <v>0.69</v>
      </c>
      <c r="X1208" s="13" t="s">
        <v>49</v>
      </c>
      <c r="Z1208" s="12" t="s">
        <v>50</v>
      </c>
      <c r="AA1208" s="12" t="s">
        <v>52</v>
      </c>
      <c r="AB1208" s="12" t="s">
        <v>52</v>
      </c>
      <c r="AU1208" s="12" t="s">
        <v>53</v>
      </c>
    </row>
    <row r="1209" spans="1:47" s="12" customFormat="1" ht="14.4" x14ac:dyDescent="0.3">
      <c r="A1209" s="12" t="s">
        <v>39</v>
      </c>
      <c r="B1209" s="12" t="s">
        <v>3225</v>
      </c>
      <c r="C1209" s="12">
        <v>70</v>
      </c>
      <c r="D1209" s="12">
        <v>265</v>
      </c>
      <c r="F1209" s="275" t="s">
        <v>3674</v>
      </c>
      <c r="G1209" s="12" t="str">
        <f t="shared" si="31"/>
        <v>70265</v>
      </c>
      <c r="H1209" s="12" t="s">
        <v>3675</v>
      </c>
      <c r="J1209" s="12" t="s">
        <v>3676</v>
      </c>
      <c r="K1209" s="12" t="s">
        <v>44</v>
      </c>
      <c r="L1209" s="12" t="s">
        <v>45</v>
      </c>
      <c r="M1209" s="12" t="s">
        <v>45</v>
      </c>
      <c r="N1209" s="12" t="s">
        <v>46</v>
      </c>
      <c r="O1209" s="12" t="s">
        <v>47</v>
      </c>
      <c r="P1209" s="88" t="s">
        <v>48</v>
      </c>
      <c r="Q1209" s="13">
        <v>45149</v>
      </c>
      <c r="R1209" s="16">
        <v>0.90500000000000003</v>
      </c>
      <c r="S1209" s="12" t="s">
        <v>210</v>
      </c>
      <c r="U1209" s="12" t="s">
        <v>408</v>
      </c>
      <c r="V1209" s="13">
        <v>44868</v>
      </c>
      <c r="W1209" s="16">
        <v>0.83</v>
      </c>
      <c r="X1209" s="13" t="s">
        <v>49</v>
      </c>
      <c r="Z1209" s="12" t="s">
        <v>50</v>
      </c>
      <c r="AA1209" s="12" t="s">
        <v>52</v>
      </c>
      <c r="AB1209" s="12" t="s">
        <v>52</v>
      </c>
      <c r="AU1209" s="12" t="s">
        <v>53</v>
      </c>
    </row>
    <row r="1210" spans="1:47" s="12" customFormat="1" ht="14.4" x14ac:dyDescent="0.3">
      <c r="A1210" s="12" t="s">
        <v>39</v>
      </c>
      <c r="B1210" s="12" t="s">
        <v>3225</v>
      </c>
      <c r="C1210" s="12">
        <v>70</v>
      </c>
      <c r="D1210" s="12">
        <v>265</v>
      </c>
      <c r="F1210" s="12" t="s">
        <v>3677</v>
      </c>
      <c r="G1210" s="12" t="str">
        <f t="shared" si="31"/>
        <v>702651149562466</v>
      </c>
      <c r="H1210" s="12" t="s">
        <v>3678</v>
      </c>
      <c r="I1210" s="12">
        <v>1149562466</v>
      </c>
      <c r="J1210" s="12" t="s">
        <v>3541</v>
      </c>
      <c r="K1210" s="12" t="s">
        <v>44</v>
      </c>
      <c r="L1210" s="12" t="s">
        <v>45</v>
      </c>
      <c r="M1210" s="12" t="s">
        <v>45</v>
      </c>
      <c r="N1210" s="12" t="s">
        <v>46</v>
      </c>
      <c r="O1210" s="12" t="s">
        <v>47</v>
      </c>
      <c r="P1210" s="88" t="s">
        <v>48</v>
      </c>
      <c r="Q1210" s="13">
        <v>45148</v>
      </c>
      <c r="R1210" s="16">
        <v>0.85</v>
      </c>
      <c r="S1210" s="12" t="s">
        <v>49</v>
      </c>
      <c r="U1210" s="12" t="s">
        <v>408</v>
      </c>
      <c r="V1210" s="13">
        <v>44868</v>
      </c>
      <c r="W1210" s="16">
        <v>0.8</v>
      </c>
      <c r="X1210" s="13" t="s">
        <v>49</v>
      </c>
      <c r="Z1210" s="12" t="s">
        <v>50</v>
      </c>
      <c r="AA1210" s="12" t="s">
        <v>52</v>
      </c>
      <c r="AB1210" s="12" t="s">
        <v>52</v>
      </c>
      <c r="AU1210" s="12" t="s">
        <v>53</v>
      </c>
    </row>
    <row r="1211" spans="1:47" s="12" customFormat="1" ht="14.4" hidden="1" x14ac:dyDescent="0.3">
      <c r="A1211" s="12" t="s">
        <v>39</v>
      </c>
      <c r="B1211" s="12" t="s">
        <v>3225</v>
      </c>
      <c r="C1211" s="12">
        <v>70</v>
      </c>
      <c r="D1211" s="12">
        <v>265</v>
      </c>
      <c r="F1211" s="12" t="s">
        <v>3679</v>
      </c>
      <c r="G1211" s="12" t="str">
        <f t="shared" si="31"/>
        <v>7026515725225</v>
      </c>
      <c r="H1211" s="12" t="s">
        <v>3680</v>
      </c>
      <c r="I1211" s="12">
        <v>15725225</v>
      </c>
      <c r="J1211" s="12" t="s">
        <v>3681</v>
      </c>
      <c r="K1211" s="12" t="s">
        <v>44</v>
      </c>
      <c r="L1211" s="12" t="s">
        <v>45</v>
      </c>
      <c r="M1211" s="12" t="s">
        <v>45</v>
      </c>
      <c r="N1211" s="12" t="s">
        <v>46</v>
      </c>
      <c r="O1211" s="12" t="s">
        <v>521</v>
      </c>
      <c r="P1211" s="88" t="s">
        <v>48</v>
      </c>
      <c r="AU1211" s="12" t="s">
        <v>164</v>
      </c>
    </row>
    <row r="1212" spans="1:47" s="12" customFormat="1" ht="14.4" hidden="1" x14ac:dyDescent="0.3">
      <c r="A1212" s="12" t="s">
        <v>505</v>
      </c>
      <c r="B1212" s="12" t="s">
        <v>3225</v>
      </c>
      <c r="C1212" s="12">
        <v>70</v>
      </c>
      <c r="D1212" s="12">
        <v>265</v>
      </c>
      <c r="F1212" s="12" t="s">
        <v>3682</v>
      </c>
      <c r="G1212" s="12" t="str">
        <f t="shared" si="31"/>
        <v>70265</v>
      </c>
      <c r="H1212" s="12" t="s">
        <v>3683</v>
      </c>
      <c r="J1212" s="12" t="s">
        <v>3684</v>
      </c>
      <c r="K1212" s="12" t="s">
        <v>44</v>
      </c>
      <c r="L1212" s="12" t="s">
        <v>45</v>
      </c>
      <c r="M1212" s="12" t="s">
        <v>45</v>
      </c>
      <c r="N1212" s="12" t="s">
        <v>46</v>
      </c>
      <c r="O1212" s="12" t="s">
        <v>521</v>
      </c>
      <c r="P1212" s="88" t="s">
        <v>48</v>
      </c>
      <c r="AU1212" s="12" t="s">
        <v>164</v>
      </c>
    </row>
    <row r="1213" spans="1:47" s="12" customFormat="1" ht="14.4" hidden="1" x14ac:dyDescent="0.3">
      <c r="A1213" s="12" t="s">
        <v>39</v>
      </c>
      <c r="B1213" s="12" t="s">
        <v>3225</v>
      </c>
      <c r="C1213" s="12">
        <v>70</v>
      </c>
      <c r="D1213" s="12">
        <v>265</v>
      </c>
      <c r="F1213" s="12" t="s">
        <v>3685</v>
      </c>
      <c r="G1213" s="12" t="str">
        <f t="shared" si="31"/>
        <v>702658867546</v>
      </c>
      <c r="H1213" s="12" t="s">
        <v>3686</v>
      </c>
      <c r="I1213" s="12">
        <v>8867546</v>
      </c>
      <c r="J1213" s="12" t="s">
        <v>3687</v>
      </c>
      <c r="K1213" s="12" t="s">
        <v>44</v>
      </c>
      <c r="L1213" s="12" t="s">
        <v>45</v>
      </c>
      <c r="M1213" s="12" t="s">
        <v>45</v>
      </c>
      <c r="N1213" s="12" t="s">
        <v>46</v>
      </c>
      <c r="O1213" s="12" t="s">
        <v>521</v>
      </c>
      <c r="P1213" s="88" t="s">
        <v>48</v>
      </c>
      <c r="Q1213" s="13">
        <v>45544</v>
      </c>
      <c r="R1213" s="18">
        <v>0.745</v>
      </c>
      <c r="S1213" s="12" t="s">
        <v>7696</v>
      </c>
      <c r="T1213" s="12" t="s">
        <v>3221</v>
      </c>
      <c r="U1213" s="12" t="s">
        <v>50</v>
      </c>
      <c r="AU1213" s="12" t="s">
        <v>53</v>
      </c>
    </row>
    <row r="1214" spans="1:47" s="12" customFormat="1" ht="14.4" hidden="1" x14ac:dyDescent="0.3">
      <c r="A1214" s="12" t="s">
        <v>39</v>
      </c>
      <c r="B1214" s="12" t="s">
        <v>3225</v>
      </c>
      <c r="C1214" s="12">
        <v>79</v>
      </c>
      <c r="D1214" s="12">
        <v>265</v>
      </c>
      <c r="F1214" s="12" t="s">
        <v>3688</v>
      </c>
      <c r="G1214" s="12" t="str">
        <f t="shared" si="31"/>
        <v>79265104309162</v>
      </c>
      <c r="H1214" s="12" t="s">
        <v>3689</v>
      </c>
      <c r="I1214" s="12">
        <v>104309162</v>
      </c>
      <c r="J1214" s="12" t="s">
        <v>3690</v>
      </c>
      <c r="K1214" s="12" t="s">
        <v>44</v>
      </c>
      <c r="L1214" s="12">
        <v>3108999906</v>
      </c>
      <c r="M1214" s="12" t="s">
        <v>45</v>
      </c>
      <c r="N1214" s="12" t="s">
        <v>46</v>
      </c>
      <c r="O1214" s="12" t="s">
        <v>521</v>
      </c>
      <c r="P1214" s="88" t="s">
        <v>48</v>
      </c>
      <c r="Q1214" s="13" t="s">
        <v>3691</v>
      </c>
      <c r="R1214" s="18">
        <v>0.76</v>
      </c>
      <c r="S1214" s="12" t="s">
        <v>7696</v>
      </c>
      <c r="T1214" s="12" t="s">
        <v>3221</v>
      </c>
      <c r="U1214" s="12" t="s">
        <v>50</v>
      </c>
      <c r="AU1214" s="12" t="s">
        <v>53</v>
      </c>
    </row>
    <row r="1215" spans="1:47" s="12" customFormat="1" ht="14.4" x14ac:dyDescent="0.3">
      <c r="A1215" s="12" t="s">
        <v>39</v>
      </c>
      <c r="B1215" s="12" t="s">
        <v>3225</v>
      </c>
      <c r="C1215" s="12">
        <v>70</v>
      </c>
      <c r="D1215" s="12">
        <v>265</v>
      </c>
      <c r="F1215" s="12" t="s">
        <v>3692</v>
      </c>
      <c r="G1215" s="12" t="str">
        <f t="shared" si="31"/>
        <v>7026557462980</v>
      </c>
      <c r="H1215" s="12" t="s">
        <v>3693</v>
      </c>
      <c r="I1215" s="12">
        <v>57462980</v>
      </c>
      <c r="J1215" s="12" t="s">
        <v>3694</v>
      </c>
      <c r="K1215" s="12" t="s">
        <v>44</v>
      </c>
      <c r="L1215" s="12">
        <v>3235343185</v>
      </c>
      <c r="M1215" s="12" t="s">
        <v>45</v>
      </c>
      <c r="N1215" s="12" t="s">
        <v>46</v>
      </c>
      <c r="O1215" s="12" t="s">
        <v>47</v>
      </c>
      <c r="P1215" s="88" t="s">
        <v>48</v>
      </c>
      <c r="AU1215" s="12" t="s">
        <v>164</v>
      </c>
    </row>
    <row r="1216" spans="1:47" s="12" customFormat="1" ht="14.4" hidden="1" x14ac:dyDescent="0.3">
      <c r="A1216" s="12" t="s">
        <v>39</v>
      </c>
      <c r="B1216" s="12" t="s">
        <v>3225</v>
      </c>
      <c r="C1216" s="12">
        <v>70</v>
      </c>
      <c r="D1216" s="12">
        <v>265</v>
      </c>
      <c r="F1216" s="12" t="s">
        <v>3695</v>
      </c>
      <c r="G1216" s="12" t="str">
        <f t="shared" si="31"/>
        <v>702651101387723-5</v>
      </c>
      <c r="H1216" s="12" t="s">
        <v>3696</v>
      </c>
      <c r="I1216" s="12" t="s">
        <v>3697</v>
      </c>
      <c r="J1216" s="12" t="s">
        <v>3698</v>
      </c>
      <c r="K1216" s="12" t="s">
        <v>44</v>
      </c>
      <c r="L1216" s="12">
        <v>3126980315</v>
      </c>
      <c r="M1216" s="12" t="s">
        <v>3699</v>
      </c>
      <c r="N1216" s="12" t="s">
        <v>46</v>
      </c>
      <c r="O1216" s="12" t="s">
        <v>521</v>
      </c>
      <c r="P1216" s="88" t="s">
        <v>48</v>
      </c>
      <c r="Q1216" s="13">
        <v>45422</v>
      </c>
      <c r="R1216" s="18">
        <v>0.77500000000000002</v>
      </c>
      <c r="S1216" s="12" t="s">
        <v>7696</v>
      </c>
      <c r="T1216" s="12" t="s">
        <v>3221</v>
      </c>
      <c r="U1216" s="12" t="s">
        <v>50</v>
      </c>
      <c r="AU1216" s="12" t="s">
        <v>1208</v>
      </c>
    </row>
    <row r="1217" spans="1:47" s="12" customFormat="1" ht="14.4" hidden="1" x14ac:dyDescent="0.3">
      <c r="A1217" s="12" t="s">
        <v>39</v>
      </c>
      <c r="B1217" s="12" t="s">
        <v>3225</v>
      </c>
      <c r="C1217" s="12">
        <v>70</v>
      </c>
      <c r="D1217" s="12">
        <v>265</v>
      </c>
      <c r="F1217" s="12" t="s">
        <v>3700</v>
      </c>
      <c r="G1217" s="12" t="str">
        <f t="shared" si="31"/>
        <v>70265NO REGISTRA</v>
      </c>
      <c r="H1217" s="12" t="s">
        <v>3701</v>
      </c>
      <c r="I1217" s="12" t="s">
        <v>45</v>
      </c>
      <c r="J1217" s="12" t="s">
        <v>3702</v>
      </c>
      <c r="K1217" s="12" t="s">
        <v>44</v>
      </c>
      <c r="L1217" s="12" t="s">
        <v>45</v>
      </c>
      <c r="M1217" s="12" t="s">
        <v>45</v>
      </c>
      <c r="N1217" s="12" t="s">
        <v>46</v>
      </c>
      <c r="O1217" s="12" t="s">
        <v>1773</v>
      </c>
      <c r="P1217" s="88" t="s">
        <v>261</v>
      </c>
      <c r="AU1217" s="12" t="s">
        <v>164</v>
      </c>
    </row>
    <row r="1218" spans="1:47" s="12" customFormat="1" ht="14.4" hidden="1" x14ac:dyDescent="0.3">
      <c r="A1218" s="12" t="s">
        <v>39</v>
      </c>
      <c r="B1218" s="12" t="s">
        <v>3225</v>
      </c>
      <c r="C1218" s="12">
        <v>70</v>
      </c>
      <c r="D1218" s="12">
        <v>265</v>
      </c>
      <c r="F1218" s="12" t="s">
        <v>3703</v>
      </c>
      <c r="G1218" s="12" t="str">
        <f t="shared" si="31"/>
        <v>70265NO REGISTRA</v>
      </c>
      <c r="H1218" s="12" t="s">
        <v>3704</v>
      </c>
      <c r="I1218" s="12" t="s">
        <v>45</v>
      </c>
      <c r="J1218" s="12" t="s">
        <v>3705</v>
      </c>
      <c r="K1218" s="12" t="s">
        <v>44</v>
      </c>
      <c r="L1218" s="12" t="s">
        <v>45</v>
      </c>
      <c r="M1218" s="12" t="s">
        <v>45</v>
      </c>
      <c r="N1218" s="12" t="s">
        <v>46</v>
      </c>
      <c r="O1218" s="12" t="s">
        <v>1773</v>
      </c>
      <c r="P1218" s="88" t="s">
        <v>261</v>
      </c>
      <c r="AU1218" s="12" t="s">
        <v>164</v>
      </c>
    </row>
    <row r="1219" spans="1:47" s="12" customFormat="1" ht="14.4" x14ac:dyDescent="0.3">
      <c r="A1219" s="12" t="s">
        <v>39</v>
      </c>
      <c r="B1219" s="12" t="s">
        <v>3225</v>
      </c>
      <c r="C1219" s="12">
        <v>70</v>
      </c>
      <c r="D1219" s="12">
        <v>265</v>
      </c>
      <c r="F1219" s="12" t="s">
        <v>3706</v>
      </c>
      <c r="G1219" s="12" t="str">
        <f t="shared" si="31"/>
        <v>702651101385386-7</v>
      </c>
      <c r="H1219" s="12" t="s">
        <v>3707</v>
      </c>
      <c r="I1219" s="12" t="s">
        <v>3708</v>
      </c>
      <c r="J1219" s="12" t="s">
        <v>3709</v>
      </c>
      <c r="K1219" s="12" t="s">
        <v>44</v>
      </c>
      <c r="L1219" s="12" t="s">
        <v>45</v>
      </c>
      <c r="M1219" s="12" t="s">
        <v>45</v>
      </c>
      <c r="N1219" s="12" t="s">
        <v>46</v>
      </c>
      <c r="O1219" s="12" t="s">
        <v>47</v>
      </c>
      <c r="P1219" s="88" t="s">
        <v>48</v>
      </c>
      <c r="Q1219" s="13">
        <v>45525</v>
      </c>
      <c r="R1219" s="16">
        <v>0.74</v>
      </c>
      <c r="S1219" s="13" t="s">
        <v>49</v>
      </c>
      <c r="U1219" s="12" t="s">
        <v>50</v>
      </c>
      <c r="AU1219" s="12" t="s">
        <v>53</v>
      </c>
    </row>
    <row r="1220" spans="1:47" s="12" customFormat="1" ht="14.4" hidden="1" x14ac:dyDescent="0.3">
      <c r="A1220" s="12" t="s">
        <v>39</v>
      </c>
      <c r="B1220" s="12" t="s">
        <v>3225</v>
      </c>
      <c r="C1220" s="12">
        <v>70</v>
      </c>
      <c r="D1220" s="12">
        <v>265</v>
      </c>
      <c r="F1220" s="12" t="s">
        <v>3710</v>
      </c>
      <c r="G1220" s="12" t="str">
        <f t="shared" si="31"/>
        <v>702651101389887</v>
      </c>
      <c r="H1220" s="12" t="s">
        <v>3711</v>
      </c>
      <c r="I1220" s="12">
        <v>1101389887</v>
      </c>
      <c r="J1220" s="12" t="s">
        <v>3712</v>
      </c>
      <c r="K1220" s="12" t="s">
        <v>44</v>
      </c>
      <c r="L1220" s="12">
        <v>3249187781</v>
      </c>
      <c r="M1220" s="12" t="s">
        <v>45</v>
      </c>
      <c r="N1220" s="12" t="s">
        <v>46</v>
      </c>
      <c r="O1220" s="12" t="s">
        <v>521</v>
      </c>
      <c r="P1220" s="88" t="s">
        <v>48</v>
      </c>
      <c r="Q1220" s="13">
        <v>45532</v>
      </c>
      <c r="R1220" s="16">
        <v>0.76500000000000001</v>
      </c>
      <c r="S1220" s="13" t="s">
        <v>49</v>
      </c>
      <c r="U1220" s="12" t="s">
        <v>50</v>
      </c>
      <c r="AU1220" s="12" t="s">
        <v>53</v>
      </c>
    </row>
    <row r="1221" spans="1:47" s="12" customFormat="1" ht="14.4" hidden="1" x14ac:dyDescent="0.3">
      <c r="A1221" s="12" t="s">
        <v>39</v>
      </c>
      <c r="B1221" s="12" t="s">
        <v>3225</v>
      </c>
      <c r="C1221" s="12">
        <v>70</v>
      </c>
      <c r="D1221" s="12">
        <v>265</v>
      </c>
      <c r="F1221" s="12" t="s">
        <v>3679</v>
      </c>
      <c r="G1221" s="12" t="str">
        <f t="shared" si="31"/>
        <v>70265</v>
      </c>
      <c r="H1221" s="12" t="s">
        <v>3713</v>
      </c>
      <c r="J1221" s="12" t="s">
        <v>3714</v>
      </c>
      <c r="K1221" s="12" t="s">
        <v>44</v>
      </c>
      <c r="L1221" s="12">
        <v>321519732</v>
      </c>
      <c r="M1221" s="12" t="s">
        <v>45</v>
      </c>
      <c r="N1221" s="12" t="s">
        <v>46</v>
      </c>
      <c r="O1221" s="12" t="s">
        <v>521</v>
      </c>
      <c r="P1221" s="88" t="s">
        <v>48</v>
      </c>
      <c r="AU1221" s="12" t="s">
        <v>164</v>
      </c>
    </row>
    <row r="1222" spans="1:47" s="12" customFormat="1" ht="14.4" hidden="1" x14ac:dyDescent="0.3">
      <c r="A1222" s="12" t="s">
        <v>39</v>
      </c>
      <c r="B1222" s="12" t="s">
        <v>3225</v>
      </c>
      <c r="C1222" s="12">
        <v>70</v>
      </c>
      <c r="D1222" s="12">
        <v>265</v>
      </c>
      <c r="F1222" s="12" t="s">
        <v>3715</v>
      </c>
      <c r="G1222" s="12" t="str">
        <f t="shared" si="31"/>
        <v>70265</v>
      </c>
      <c r="H1222" s="12" t="s">
        <v>3716</v>
      </c>
      <c r="J1222" s="12" t="s">
        <v>3717</v>
      </c>
      <c r="K1222" s="12" t="s">
        <v>44</v>
      </c>
      <c r="L1222" s="12">
        <v>3205736845</v>
      </c>
      <c r="M1222" s="12" t="s">
        <v>45</v>
      </c>
      <c r="N1222" s="12" t="s">
        <v>46</v>
      </c>
      <c r="O1222" s="12" t="s">
        <v>521</v>
      </c>
      <c r="P1222" s="88" t="s">
        <v>48</v>
      </c>
      <c r="AU1222" s="12" t="s">
        <v>164</v>
      </c>
    </row>
    <row r="1223" spans="1:47" s="12" customFormat="1" ht="14.4" x14ac:dyDescent="0.3">
      <c r="A1223" s="12" t="s">
        <v>39</v>
      </c>
      <c r="B1223" s="12" t="s">
        <v>3225</v>
      </c>
      <c r="C1223" s="12">
        <v>70</v>
      </c>
      <c r="D1223" s="12">
        <v>265</v>
      </c>
      <c r="F1223" s="12" t="s">
        <v>3662</v>
      </c>
      <c r="G1223" s="12" t="str">
        <f t="shared" si="31"/>
        <v>70265</v>
      </c>
      <c r="H1223" s="12" t="s">
        <v>3663</v>
      </c>
      <c r="J1223" s="12" t="s">
        <v>3718</v>
      </c>
      <c r="K1223" s="12" t="s">
        <v>44</v>
      </c>
      <c r="L1223" s="12">
        <v>3205672887</v>
      </c>
      <c r="M1223" s="12" t="s">
        <v>45</v>
      </c>
      <c r="N1223" s="12" t="s">
        <v>46</v>
      </c>
      <c r="O1223" s="12" t="s">
        <v>47</v>
      </c>
      <c r="P1223" s="88" t="s">
        <v>48</v>
      </c>
      <c r="AU1223" s="12" t="s">
        <v>164</v>
      </c>
    </row>
    <row r="1224" spans="1:47" s="12" customFormat="1" ht="14.4" hidden="1" x14ac:dyDescent="0.3">
      <c r="A1224" s="12" t="s">
        <v>505</v>
      </c>
      <c r="B1224" s="12" t="s">
        <v>3225</v>
      </c>
      <c r="C1224" s="12">
        <v>70</v>
      </c>
      <c r="D1224" s="12">
        <v>265</v>
      </c>
      <c r="F1224" s="12" t="s">
        <v>3682</v>
      </c>
      <c r="G1224" s="12" t="str">
        <f t="shared" si="31"/>
        <v>70265</v>
      </c>
      <c r="H1224" s="12" t="s">
        <v>3719</v>
      </c>
      <c r="J1224" s="12" t="s">
        <v>3720</v>
      </c>
      <c r="K1224" s="12" t="s">
        <v>44</v>
      </c>
      <c r="L1224" s="12">
        <v>3145895378</v>
      </c>
      <c r="M1224" s="12" t="s">
        <v>45</v>
      </c>
      <c r="N1224" s="12" t="s">
        <v>46</v>
      </c>
      <c r="O1224" s="12" t="s">
        <v>521</v>
      </c>
      <c r="P1224" s="88" t="s">
        <v>48</v>
      </c>
      <c r="AU1224" s="12" t="s">
        <v>164</v>
      </c>
    </row>
    <row r="1225" spans="1:47" s="12" customFormat="1" ht="14.4" hidden="1" x14ac:dyDescent="0.3">
      <c r="A1225" s="12" t="s">
        <v>39</v>
      </c>
      <c r="B1225" s="12" t="s">
        <v>3225</v>
      </c>
      <c r="C1225" s="12">
        <v>70</v>
      </c>
      <c r="D1225" s="12">
        <v>265</v>
      </c>
      <c r="F1225" s="12" t="s">
        <v>3721</v>
      </c>
      <c r="G1225" s="12" t="str">
        <f t="shared" si="31"/>
        <v>70265</v>
      </c>
      <c r="H1225" s="12" t="s">
        <v>3649</v>
      </c>
      <c r="J1225" s="12" t="s">
        <v>3722</v>
      </c>
      <c r="K1225" s="12" t="s">
        <v>44</v>
      </c>
      <c r="L1225" s="12" t="s">
        <v>3723</v>
      </c>
      <c r="M1225" s="12" t="s">
        <v>45</v>
      </c>
      <c r="N1225" s="12" t="s">
        <v>46</v>
      </c>
      <c r="O1225" s="12" t="s">
        <v>2797</v>
      </c>
      <c r="P1225" s="88" t="s">
        <v>80</v>
      </c>
      <c r="AU1225" s="12" t="s">
        <v>164</v>
      </c>
    </row>
    <row r="1226" spans="1:47" s="12" customFormat="1" ht="14.4" x14ac:dyDescent="0.3">
      <c r="A1226" s="12" t="s">
        <v>39</v>
      </c>
      <c r="B1226" s="12" t="s">
        <v>3225</v>
      </c>
      <c r="C1226" s="12">
        <v>70</v>
      </c>
      <c r="D1226" s="12">
        <v>265</v>
      </c>
      <c r="F1226" s="12" t="s">
        <v>3724</v>
      </c>
      <c r="G1226" s="12" t="str">
        <f t="shared" si="31"/>
        <v>70265</v>
      </c>
      <c r="H1226" s="12" t="s">
        <v>3725</v>
      </c>
      <c r="J1226" s="12" t="s">
        <v>3726</v>
      </c>
      <c r="K1226" s="12" t="s">
        <v>44</v>
      </c>
      <c r="L1226" s="12">
        <v>3216952648</v>
      </c>
      <c r="M1226" s="12" t="s">
        <v>45</v>
      </c>
      <c r="N1226" s="12" t="s">
        <v>46</v>
      </c>
      <c r="O1226" s="12" t="s">
        <v>47</v>
      </c>
      <c r="P1226" s="88" t="s">
        <v>48</v>
      </c>
      <c r="AU1226" s="12" t="s">
        <v>164</v>
      </c>
    </row>
    <row r="1227" spans="1:47" s="12" customFormat="1" ht="14.4" x14ac:dyDescent="0.3">
      <c r="A1227" s="12" t="s">
        <v>39</v>
      </c>
      <c r="B1227" s="12" t="s">
        <v>3225</v>
      </c>
      <c r="C1227" s="12">
        <v>70</v>
      </c>
      <c r="D1227" s="12">
        <v>265</v>
      </c>
      <c r="F1227" s="12" t="s">
        <v>3727</v>
      </c>
      <c r="G1227" s="12" t="str">
        <f t="shared" si="31"/>
        <v>70265</v>
      </c>
      <c r="H1227" s="12" t="s">
        <v>3728</v>
      </c>
      <c r="J1227" s="12" t="s">
        <v>3729</v>
      </c>
      <c r="K1227" s="12" t="s">
        <v>44</v>
      </c>
      <c r="L1227" s="12" t="s">
        <v>3730</v>
      </c>
      <c r="M1227" s="12" t="s">
        <v>45</v>
      </c>
      <c r="N1227" s="12" t="s">
        <v>46</v>
      </c>
      <c r="O1227" s="12" t="s">
        <v>47</v>
      </c>
      <c r="P1227" s="88" t="s">
        <v>48</v>
      </c>
      <c r="AU1227" s="12" t="s">
        <v>164</v>
      </c>
    </row>
    <row r="1228" spans="1:47" s="12" customFormat="1" ht="14.4" x14ac:dyDescent="0.3">
      <c r="A1228" s="12" t="s">
        <v>39</v>
      </c>
      <c r="B1228" s="12" t="s">
        <v>3225</v>
      </c>
      <c r="C1228" s="12">
        <v>70</v>
      </c>
      <c r="D1228" s="12">
        <v>265</v>
      </c>
      <c r="F1228" s="12" t="s">
        <v>3731</v>
      </c>
      <c r="G1228" s="12" t="str">
        <f t="shared" si="31"/>
        <v>70265</v>
      </c>
      <c r="H1228" s="12" t="s">
        <v>3660</v>
      </c>
      <c r="J1228" s="12" t="s">
        <v>3732</v>
      </c>
      <c r="K1228" s="12" t="s">
        <v>44</v>
      </c>
      <c r="L1228" s="12" t="s">
        <v>3733</v>
      </c>
      <c r="M1228" s="12" t="s">
        <v>45</v>
      </c>
      <c r="N1228" s="12" t="s">
        <v>46</v>
      </c>
      <c r="O1228" s="12" t="s">
        <v>47</v>
      </c>
      <c r="P1228" s="88" t="s">
        <v>48</v>
      </c>
      <c r="AU1228" s="12" t="s">
        <v>164</v>
      </c>
    </row>
    <row r="1229" spans="1:47" s="12" customFormat="1" ht="14.4" hidden="1" x14ac:dyDescent="0.3">
      <c r="A1229" s="12" t="s">
        <v>39</v>
      </c>
      <c r="B1229" s="12" t="s">
        <v>3225</v>
      </c>
      <c r="C1229" s="12">
        <v>70</v>
      </c>
      <c r="D1229" s="12">
        <v>265</v>
      </c>
      <c r="F1229" s="12" t="s">
        <v>3734</v>
      </c>
      <c r="G1229" s="12" t="str">
        <f t="shared" si="31"/>
        <v>70265</v>
      </c>
      <c r="H1229" s="12" t="s">
        <v>3735</v>
      </c>
      <c r="J1229" s="12" t="s">
        <v>3736</v>
      </c>
      <c r="K1229" s="12" t="s">
        <v>44</v>
      </c>
      <c r="L1229" s="12" t="s">
        <v>45</v>
      </c>
      <c r="M1229" s="12" t="s">
        <v>45</v>
      </c>
      <c r="N1229" s="12" t="s">
        <v>46</v>
      </c>
      <c r="O1229" s="12" t="s">
        <v>2797</v>
      </c>
      <c r="P1229" s="88" t="s">
        <v>80</v>
      </c>
      <c r="AU1229" s="12" t="s">
        <v>164</v>
      </c>
    </row>
    <row r="1230" spans="1:47" s="12" customFormat="1" ht="14.4" x14ac:dyDescent="0.3">
      <c r="A1230" s="12" t="s">
        <v>39</v>
      </c>
      <c r="B1230" s="12" t="s">
        <v>3225</v>
      </c>
      <c r="C1230" s="12">
        <v>70</v>
      </c>
      <c r="D1230" s="12">
        <v>265</v>
      </c>
      <c r="F1230" s="275" t="s">
        <v>3737</v>
      </c>
      <c r="G1230" s="12" t="str">
        <f t="shared" si="31"/>
        <v>702651169334</v>
      </c>
      <c r="H1230" s="12" t="s">
        <v>9207</v>
      </c>
      <c r="I1230" s="12">
        <v>1169334</v>
      </c>
      <c r="J1230" s="12" t="s">
        <v>9208</v>
      </c>
      <c r="K1230" s="12" t="s">
        <v>44</v>
      </c>
      <c r="L1230" s="12">
        <v>3018917528</v>
      </c>
      <c r="M1230" s="12" t="s">
        <v>9209</v>
      </c>
      <c r="N1230" s="12" t="s">
        <v>46</v>
      </c>
      <c r="O1230" s="12" t="s">
        <v>47</v>
      </c>
      <c r="P1230" s="88" t="s">
        <v>48</v>
      </c>
      <c r="Q1230" s="13">
        <v>46216</v>
      </c>
      <c r="R1230" s="12" t="s">
        <v>8588</v>
      </c>
      <c r="S1230" s="12" t="s">
        <v>49</v>
      </c>
      <c r="AU1230" s="12" t="s">
        <v>1208</v>
      </c>
    </row>
    <row r="1231" spans="1:47" s="12" customFormat="1" ht="14.4" hidden="1" x14ac:dyDescent="0.3">
      <c r="A1231" s="12" t="s">
        <v>39</v>
      </c>
      <c r="B1231" s="12" t="s">
        <v>3225</v>
      </c>
      <c r="C1231" s="12">
        <v>70</v>
      </c>
      <c r="D1231" s="12">
        <v>265</v>
      </c>
      <c r="F1231" s="275" t="s">
        <v>3738</v>
      </c>
      <c r="G1231" s="12" t="str">
        <f t="shared" si="31"/>
        <v>70265</v>
      </c>
      <c r="H1231" s="12" t="s">
        <v>3739</v>
      </c>
      <c r="J1231" s="12" t="s">
        <v>3740</v>
      </c>
      <c r="K1231" s="12" t="s">
        <v>44</v>
      </c>
      <c r="L1231" s="12" t="s">
        <v>45</v>
      </c>
      <c r="M1231" s="12" t="s">
        <v>45</v>
      </c>
      <c r="N1231" s="12" t="s">
        <v>46</v>
      </c>
      <c r="O1231" s="12" t="s">
        <v>2797</v>
      </c>
      <c r="P1231" s="88" t="s">
        <v>80</v>
      </c>
      <c r="AU1231" s="12" t="s">
        <v>164</v>
      </c>
    </row>
    <row r="1232" spans="1:47" s="12" customFormat="1" ht="14.4" hidden="1" x14ac:dyDescent="0.3">
      <c r="A1232" s="12" t="s">
        <v>39</v>
      </c>
      <c r="B1232" s="12" t="s">
        <v>3225</v>
      </c>
      <c r="C1232" s="12">
        <v>70</v>
      </c>
      <c r="D1232" s="12">
        <v>265</v>
      </c>
      <c r="F1232" s="12" t="s">
        <v>3741</v>
      </c>
      <c r="G1232" s="12" t="str">
        <f t="shared" si="31"/>
        <v>70265</v>
      </c>
      <c r="H1232" s="12" t="s">
        <v>3742</v>
      </c>
      <c r="J1232" s="12" t="s">
        <v>3743</v>
      </c>
      <c r="K1232" s="12" t="s">
        <v>44</v>
      </c>
      <c r="L1232" s="12" t="s">
        <v>45</v>
      </c>
      <c r="M1232" s="12" t="s">
        <v>45</v>
      </c>
      <c r="N1232" s="12" t="s">
        <v>46</v>
      </c>
      <c r="O1232" s="12" t="s">
        <v>521</v>
      </c>
      <c r="P1232" s="88" t="s">
        <v>48</v>
      </c>
      <c r="AU1232" s="12" t="s">
        <v>164</v>
      </c>
    </row>
    <row r="1233" spans="1:52" s="12" customFormat="1" ht="14.4" x14ac:dyDescent="0.3">
      <c r="A1233" s="12" t="s">
        <v>39</v>
      </c>
      <c r="B1233" s="12" t="s">
        <v>3225</v>
      </c>
      <c r="C1233" s="12">
        <v>70</v>
      </c>
      <c r="D1233" s="12">
        <v>265</v>
      </c>
      <c r="F1233" s="12" t="s">
        <v>3744</v>
      </c>
      <c r="G1233" s="12" t="str">
        <f t="shared" si="31"/>
        <v>70265</v>
      </c>
      <c r="H1233" s="12" t="s">
        <v>3745</v>
      </c>
      <c r="J1233" s="12" t="s">
        <v>3746</v>
      </c>
      <c r="K1233" s="12" t="s">
        <v>44</v>
      </c>
      <c r="L1233" s="12" t="s">
        <v>45</v>
      </c>
      <c r="M1233" s="12" t="s">
        <v>45</v>
      </c>
      <c r="N1233" s="12" t="s">
        <v>46</v>
      </c>
      <c r="O1233" s="12" t="s">
        <v>47</v>
      </c>
      <c r="P1233" s="88" t="s">
        <v>48</v>
      </c>
      <c r="AU1233" s="12" t="s">
        <v>164</v>
      </c>
    </row>
    <row r="1234" spans="1:52" s="12" customFormat="1" ht="14.4" x14ac:dyDescent="0.3">
      <c r="A1234" s="12" t="s">
        <v>505</v>
      </c>
      <c r="B1234" s="12" t="s">
        <v>3225</v>
      </c>
      <c r="C1234" s="12">
        <v>70</v>
      </c>
      <c r="D1234" s="12">
        <v>265</v>
      </c>
      <c r="F1234" s="12" t="s">
        <v>3747</v>
      </c>
      <c r="G1234" s="12" t="str">
        <f t="shared" si="31"/>
        <v>70265</v>
      </c>
      <c r="H1234" s="12" t="s">
        <v>3748</v>
      </c>
      <c r="J1234" s="12" t="s">
        <v>3749</v>
      </c>
      <c r="K1234" s="12" t="s">
        <v>44</v>
      </c>
      <c r="L1234" s="12" t="s">
        <v>45</v>
      </c>
      <c r="M1234" s="12" t="s">
        <v>45</v>
      </c>
      <c r="N1234" s="12" t="s">
        <v>46</v>
      </c>
      <c r="O1234" s="12" t="s">
        <v>47</v>
      </c>
      <c r="P1234" s="88" t="s">
        <v>48</v>
      </c>
      <c r="AU1234" s="12" t="s">
        <v>164</v>
      </c>
    </row>
    <row r="1235" spans="1:52" s="12" customFormat="1" ht="14.4" x14ac:dyDescent="0.3">
      <c r="A1235" s="12" t="s">
        <v>39</v>
      </c>
      <c r="B1235" s="12" t="s">
        <v>3225</v>
      </c>
      <c r="C1235" s="12">
        <v>70</v>
      </c>
      <c r="D1235" s="12">
        <v>265</v>
      </c>
      <c r="F1235" s="12" t="s">
        <v>3750</v>
      </c>
      <c r="G1235" s="12" t="str">
        <f t="shared" si="31"/>
        <v>7026533083722-5</v>
      </c>
      <c r="H1235" s="12" t="s">
        <v>3751</v>
      </c>
      <c r="I1235" s="12" t="s">
        <v>3752</v>
      </c>
      <c r="J1235" s="12" t="s">
        <v>3753</v>
      </c>
      <c r="K1235" s="12" t="s">
        <v>44</v>
      </c>
      <c r="L1235" s="12">
        <v>3006703115</v>
      </c>
      <c r="M1235" s="17" t="s">
        <v>3754</v>
      </c>
      <c r="N1235" s="12" t="s">
        <v>46</v>
      </c>
      <c r="O1235" s="12" t="s">
        <v>47</v>
      </c>
      <c r="P1235" s="88" t="s">
        <v>48</v>
      </c>
      <c r="Q1235" s="13">
        <v>45811</v>
      </c>
      <c r="R1235" s="16">
        <v>0.71</v>
      </c>
      <c r="S1235" s="12" t="s">
        <v>8566</v>
      </c>
      <c r="T1235" s="12" t="s">
        <v>3206</v>
      </c>
      <c r="U1235" s="12" t="s">
        <v>50</v>
      </c>
      <c r="AU1235" s="12" t="s">
        <v>53</v>
      </c>
    </row>
    <row r="1236" spans="1:52" s="12" customFormat="1" ht="14.4" x14ac:dyDescent="0.3">
      <c r="A1236" s="12" t="s">
        <v>39</v>
      </c>
      <c r="B1236" s="12" t="s">
        <v>3225</v>
      </c>
      <c r="C1236" s="12">
        <v>70</v>
      </c>
      <c r="D1236" s="12">
        <v>265</v>
      </c>
      <c r="F1236" s="12" t="s">
        <v>3755</v>
      </c>
      <c r="G1236" s="12" t="str">
        <f t="shared" si="31"/>
        <v>70265</v>
      </c>
      <c r="H1236" s="12" t="s">
        <v>3756</v>
      </c>
      <c r="J1236" s="12" t="s">
        <v>3757</v>
      </c>
      <c r="K1236" s="12" t="s">
        <v>44</v>
      </c>
      <c r="L1236" s="12" t="s">
        <v>45</v>
      </c>
      <c r="M1236" s="12" t="s">
        <v>45</v>
      </c>
      <c r="N1236" s="12" t="s">
        <v>46</v>
      </c>
      <c r="O1236" s="12" t="s">
        <v>47</v>
      </c>
      <c r="P1236" s="88" t="s">
        <v>48</v>
      </c>
      <c r="AU1236" s="12" t="s">
        <v>164</v>
      </c>
    </row>
    <row r="1237" spans="1:52" s="12" customFormat="1" ht="14.4" x14ac:dyDescent="0.3">
      <c r="A1237" s="12" t="s">
        <v>39</v>
      </c>
      <c r="B1237" s="12" t="s">
        <v>3225</v>
      </c>
      <c r="C1237" s="12">
        <v>70</v>
      </c>
      <c r="D1237" s="12">
        <v>265</v>
      </c>
      <c r="F1237" s="12" t="s">
        <v>3758</v>
      </c>
      <c r="G1237" s="12" t="str">
        <f t="shared" si="31"/>
        <v>70265</v>
      </c>
      <c r="H1237" s="12" t="s">
        <v>3759</v>
      </c>
      <c r="J1237" s="12" t="s">
        <v>3760</v>
      </c>
      <c r="K1237" s="12" t="s">
        <v>44</v>
      </c>
      <c r="L1237" s="12" t="s">
        <v>45</v>
      </c>
      <c r="M1237" s="12" t="s">
        <v>45</v>
      </c>
      <c r="N1237" s="12" t="s">
        <v>46</v>
      </c>
      <c r="O1237" s="12" t="s">
        <v>47</v>
      </c>
      <c r="P1237" s="88" t="s">
        <v>48</v>
      </c>
      <c r="AU1237" s="12" t="s">
        <v>164</v>
      </c>
    </row>
    <row r="1238" spans="1:52" s="12" customFormat="1" ht="14.4" x14ac:dyDescent="0.3">
      <c r="A1238" s="12" t="s">
        <v>39</v>
      </c>
      <c r="B1238" s="12" t="s">
        <v>3225</v>
      </c>
      <c r="C1238" s="12">
        <v>70</v>
      </c>
      <c r="D1238" s="12">
        <v>265</v>
      </c>
      <c r="F1238" s="12" t="s">
        <v>3761</v>
      </c>
      <c r="G1238" s="12" t="str">
        <f t="shared" si="31"/>
        <v>70265</v>
      </c>
      <c r="H1238" s="12" t="s">
        <v>3762</v>
      </c>
      <c r="J1238" s="12" t="s">
        <v>3763</v>
      </c>
      <c r="K1238" s="12" t="s">
        <v>44</v>
      </c>
      <c r="L1238" s="12" t="s">
        <v>45</v>
      </c>
      <c r="M1238" s="12" t="s">
        <v>45</v>
      </c>
      <c r="N1238" s="12" t="s">
        <v>46</v>
      </c>
      <c r="O1238" s="12" t="s">
        <v>47</v>
      </c>
      <c r="P1238" s="88" t="s">
        <v>48</v>
      </c>
      <c r="AU1238" s="12" t="s">
        <v>164</v>
      </c>
    </row>
    <row r="1239" spans="1:52" s="12" customFormat="1" ht="14.4" hidden="1" x14ac:dyDescent="0.3">
      <c r="A1239" s="12" t="s">
        <v>39</v>
      </c>
      <c r="B1239" s="12" t="s">
        <v>3225</v>
      </c>
      <c r="C1239" s="12">
        <v>70</v>
      </c>
      <c r="D1239" s="12">
        <v>265</v>
      </c>
      <c r="F1239" s="12" t="s">
        <v>3764</v>
      </c>
      <c r="G1239" s="12" t="str">
        <f t="shared" si="31"/>
        <v>70265</v>
      </c>
      <c r="H1239" s="12" t="s">
        <v>3765</v>
      </c>
      <c r="J1239" s="12" t="s">
        <v>3766</v>
      </c>
      <c r="K1239" s="12" t="s">
        <v>44</v>
      </c>
      <c r="L1239" s="12" t="s">
        <v>45</v>
      </c>
      <c r="M1239" s="12" t="s">
        <v>45</v>
      </c>
      <c r="N1239" s="12" t="s">
        <v>46</v>
      </c>
      <c r="O1239" s="12" t="s">
        <v>2797</v>
      </c>
      <c r="P1239" s="88" t="s">
        <v>80</v>
      </c>
      <c r="AU1239" s="12" t="s">
        <v>164</v>
      </c>
    </row>
    <row r="1240" spans="1:52" s="12" customFormat="1" ht="14.4" x14ac:dyDescent="0.3">
      <c r="A1240" s="12" t="s">
        <v>39</v>
      </c>
      <c r="B1240" s="12" t="s">
        <v>3225</v>
      </c>
      <c r="C1240" s="12">
        <v>70</v>
      </c>
      <c r="D1240" s="12">
        <v>265</v>
      </c>
      <c r="F1240" s="12" t="s">
        <v>3767</v>
      </c>
      <c r="G1240" s="12" t="str">
        <f t="shared" si="31"/>
        <v>70265</v>
      </c>
      <c r="H1240" s="12" t="s">
        <v>3768</v>
      </c>
      <c r="J1240" s="12" t="s">
        <v>3769</v>
      </c>
      <c r="K1240" s="12" t="s">
        <v>44</v>
      </c>
      <c r="L1240" s="12" t="s">
        <v>45</v>
      </c>
      <c r="M1240" s="12" t="s">
        <v>45</v>
      </c>
      <c r="N1240" s="12" t="s">
        <v>46</v>
      </c>
      <c r="O1240" s="12" t="s">
        <v>47</v>
      </c>
      <c r="P1240" s="88" t="s">
        <v>48</v>
      </c>
      <c r="AU1240" s="12" t="s">
        <v>164</v>
      </c>
    </row>
    <row r="1241" spans="1:52" s="12" customFormat="1" ht="14.4" x14ac:dyDescent="0.3">
      <c r="A1241" s="12" t="s">
        <v>39</v>
      </c>
      <c r="B1241" s="12" t="s">
        <v>3225</v>
      </c>
      <c r="C1241" s="12">
        <v>70</v>
      </c>
      <c r="D1241" s="12">
        <v>265</v>
      </c>
      <c r="F1241" s="12" t="s">
        <v>3770</v>
      </c>
      <c r="G1241" s="12" t="str">
        <f t="shared" si="31"/>
        <v>70265</v>
      </c>
      <c r="H1241" s="12" t="s">
        <v>3771</v>
      </c>
      <c r="J1241" s="12" t="s">
        <v>3772</v>
      </c>
      <c r="K1241" s="12" t="s">
        <v>44</v>
      </c>
      <c r="L1241" s="12" t="s">
        <v>45</v>
      </c>
      <c r="M1241" s="12" t="s">
        <v>45</v>
      </c>
      <c r="N1241" s="12" t="s">
        <v>46</v>
      </c>
      <c r="O1241" s="12" t="s">
        <v>47</v>
      </c>
      <c r="P1241" s="88" t="s">
        <v>48</v>
      </c>
      <c r="AU1241" s="12" t="s">
        <v>164</v>
      </c>
    </row>
    <row r="1242" spans="1:52" s="12" customFormat="1" ht="14.4" x14ac:dyDescent="0.3">
      <c r="A1242" s="12" t="s">
        <v>39</v>
      </c>
      <c r="B1242" s="12" t="s">
        <v>3225</v>
      </c>
      <c r="C1242" s="12">
        <v>70</v>
      </c>
      <c r="D1242" s="12">
        <v>265</v>
      </c>
      <c r="F1242" s="12" t="s">
        <v>3773</v>
      </c>
      <c r="G1242" s="12" t="str">
        <f t="shared" si="31"/>
        <v>702658761406</v>
      </c>
      <c r="H1242" s="12" t="s">
        <v>3774</v>
      </c>
      <c r="I1242" s="12">
        <v>8761406</v>
      </c>
      <c r="J1242" s="12" t="s">
        <v>3775</v>
      </c>
      <c r="K1242" s="12" t="s">
        <v>44</v>
      </c>
      <c r="L1242" s="12">
        <v>3116107718</v>
      </c>
      <c r="M1242" s="12" t="s">
        <v>45</v>
      </c>
      <c r="N1242" s="12" t="s">
        <v>46</v>
      </c>
      <c r="O1242" s="12" t="s">
        <v>47</v>
      </c>
      <c r="P1242" s="88" t="s">
        <v>48</v>
      </c>
      <c r="Q1242" s="13">
        <v>45331</v>
      </c>
      <c r="R1242" s="12">
        <v>68.5</v>
      </c>
      <c r="S1242" s="12" t="s">
        <v>7696</v>
      </c>
      <c r="T1242" s="12" t="s">
        <v>3206</v>
      </c>
      <c r="U1242" s="12" t="s">
        <v>50</v>
      </c>
      <c r="AU1242" s="12" t="s">
        <v>53</v>
      </c>
    </row>
    <row r="1243" spans="1:52" s="12" customFormat="1" ht="14.4" hidden="1" x14ac:dyDescent="0.3">
      <c r="A1243" s="12" t="s">
        <v>39</v>
      </c>
      <c r="B1243" s="12" t="s">
        <v>3225</v>
      </c>
      <c r="C1243" s="12">
        <v>70</v>
      </c>
      <c r="D1243" s="12">
        <v>265</v>
      </c>
      <c r="E1243" s="12" t="s">
        <v>7913</v>
      </c>
      <c r="F1243" s="12" t="s">
        <v>7914</v>
      </c>
      <c r="G1243" s="12" t="str">
        <f t="shared" si="31"/>
        <v>702659019918908</v>
      </c>
      <c r="H1243" s="12" t="s">
        <v>7635</v>
      </c>
      <c r="I1243" s="12">
        <v>9019918908</v>
      </c>
      <c r="J1243" s="12" t="s">
        <v>7915</v>
      </c>
      <c r="K1243" s="12" t="s">
        <v>44</v>
      </c>
      <c r="L1243" s="12">
        <v>3213531674</v>
      </c>
      <c r="M1243" s="17" t="s">
        <v>7636</v>
      </c>
      <c r="N1243" s="12" t="s">
        <v>7916</v>
      </c>
      <c r="O1243" s="12" t="s">
        <v>2907</v>
      </c>
      <c r="P1243" s="88" t="s">
        <v>80</v>
      </c>
      <c r="Q1243" s="13">
        <v>45972</v>
      </c>
      <c r="R1243" s="12" t="s">
        <v>1937</v>
      </c>
      <c r="S1243" s="12" t="s">
        <v>49</v>
      </c>
      <c r="T1243" s="12" t="s">
        <v>7917</v>
      </c>
      <c r="U1243" s="12" t="s">
        <v>2456</v>
      </c>
    </row>
    <row r="1244" spans="1:52" s="12" customFormat="1" ht="14.4" x14ac:dyDescent="0.3">
      <c r="A1244" s="12" t="s">
        <v>39</v>
      </c>
      <c r="B1244" s="12" t="s">
        <v>3225</v>
      </c>
      <c r="C1244" s="12">
        <v>70</v>
      </c>
      <c r="D1244" s="12">
        <v>265</v>
      </c>
      <c r="F1244" s="12" t="s">
        <v>3776</v>
      </c>
      <c r="G1244" s="12" t="str">
        <f t="shared" si="31"/>
        <v>702656798499</v>
      </c>
      <c r="H1244" s="12" t="s">
        <v>3777</v>
      </c>
      <c r="I1244" s="12">
        <v>6798499</v>
      </c>
      <c r="J1244" s="12" t="s">
        <v>3778</v>
      </c>
      <c r="K1244" s="12" t="s">
        <v>44</v>
      </c>
      <c r="L1244" s="12">
        <v>3123041124</v>
      </c>
      <c r="M1244" s="12" t="s">
        <v>45</v>
      </c>
      <c r="N1244" s="12" t="s">
        <v>46</v>
      </c>
      <c r="O1244" s="12" t="s">
        <v>47</v>
      </c>
      <c r="P1244" s="88" t="s">
        <v>48</v>
      </c>
      <c r="Q1244" s="12" t="s">
        <v>3779</v>
      </c>
      <c r="R1244" s="18">
        <v>0.78500000000000003</v>
      </c>
      <c r="S1244" s="12" t="s">
        <v>8566</v>
      </c>
      <c r="T1244" s="12" t="s">
        <v>3215</v>
      </c>
      <c r="U1244" s="12" t="s">
        <v>3780</v>
      </c>
      <c r="AU1244" s="12" t="s">
        <v>53</v>
      </c>
    </row>
    <row r="1245" spans="1:52" s="12" customFormat="1" x14ac:dyDescent="0.3">
      <c r="A1245" s="12" t="s">
        <v>505</v>
      </c>
      <c r="B1245" s="42" t="s">
        <v>2492</v>
      </c>
      <c r="C1245" s="12">
        <v>70</v>
      </c>
      <c r="D1245" s="12">
        <v>221</v>
      </c>
      <c r="E1245" s="12" t="s">
        <v>7603</v>
      </c>
      <c r="F1245" s="275" t="s">
        <v>2152</v>
      </c>
      <c r="G1245" s="12" t="str">
        <f t="shared" ref="G1245:G1251" si="32">C1245&amp;D1245&amp;I1245</f>
        <v>702219004648982</v>
      </c>
      <c r="H1245" s="12" t="s">
        <v>2153</v>
      </c>
      <c r="I1245" s="12">
        <v>9004648982</v>
      </c>
      <c r="J1245" s="12" t="s">
        <v>7604</v>
      </c>
      <c r="K1245" s="12" t="s">
        <v>230</v>
      </c>
      <c r="L1245" s="12">
        <v>3145536947</v>
      </c>
      <c r="M1245" s="95" t="s">
        <v>7605</v>
      </c>
      <c r="N1245" s="12" t="s">
        <v>46</v>
      </c>
      <c r="O1245" s="12" t="s">
        <v>47</v>
      </c>
      <c r="P1245" s="88" t="s">
        <v>48</v>
      </c>
      <c r="Q1245" s="13">
        <v>46157</v>
      </c>
      <c r="R1245" s="12" t="s">
        <v>8421</v>
      </c>
      <c r="S1245" s="12" t="s">
        <v>49</v>
      </c>
      <c r="U1245" s="12" t="s">
        <v>50</v>
      </c>
      <c r="V1245" s="12" t="s">
        <v>809</v>
      </c>
      <c r="W1245" s="16">
        <v>0.81</v>
      </c>
      <c r="X1245" s="12" t="s">
        <v>49</v>
      </c>
      <c r="Y1245" s="12" t="s">
        <v>1198</v>
      </c>
      <c r="Z1245" s="12" t="s">
        <v>60</v>
      </c>
      <c r="AC1245" s="12" t="s">
        <v>5538</v>
      </c>
      <c r="AD1245" s="18">
        <v>0.95499999999999996</v>
      </c>
      <c r="AE1245" s="12" t="s">
        <v>210</v>
      </c>
      <c r="AF1245" s="12" t="s">
        <v>60</v>
      </c>
      <c r="AG1245" s="12" t="s">
        <v>51</v>
      </c>
      <c r="AH1245" s="12" t="s">
        <v>51</v>
      </c>
      <c r="AI1245" s="12" t="s">
        <v>51</v>
      </c>
      <c r="AU1245" s="12" t="s">
        <v>53</v>
      </c>
      <c r="AX1245" s="12" t="s">
        <v>1920</v>
      </c>
      <c r="AZ1245" s="12" t="s">
        <v>1921</v>
      </c>
    </row>
    <row r="1246" spans="1:52" s="12" customFormat="1" x14ac:dyDescent="0.3">
      <c r="A1246" s="12" t="s">
        <v>505</v>
      </c>
      <c r="B1246" s="42" t="s">
        <v>2492</v>
      </c>
      <c r="C1246" s="12">
        <v>70</v>
      </c>
      <c r="D1246" s="12">
        <v>221</v>
      </c>
      <c r="E1246" s="12" t="s">
        <v>7942</v>
      </c>
      <c r="F1246" s="275" t="s">
        <v>2194</v>
      </c>
      <c r="G1246" s="12" t="str">
        <f t="shared" si="32"/>
        <v>702219004648982</v>
      </c>
      <c r="H1246" s="12" t="s">
        <v>7943</v>
      </c>
      <c r="I1246" s="12">
        <v>9004648982</v>
      </c>
      <c r="J1246" s="12" t="s">
        <v>7944</v>
      </c>
      <c r="K1246" s="12" t="s">
        <v>230</v>
      </c>
      <c r="L1246" s="12">
        <v>3024360265</v>
      </c>
      <c r="M1246" s="17" t="s">
        <v>7945</v>
      </c>
      <c r="N1246" s="12" t="s">
        <v>46</v>
      </c>
      <c r="O1246" s="12" t="s">
        <v>47</v>
      </c>
      <c r="P1246" s="88" t="s">
        <v>48</v>
      </c>
      <c r="Q1246" s="13">
        <v>46156</v>
      </c>
      <c r="R1246" s="12" t="s">
        <v>8942</v>
      </c>
      <c r="S1246" s="12" t="s">
        <v>49</v>
      </c>
      <c r="U1246" s="12" t="s">
        <v>60</v>
      </c>
      <c r="V1246" s="13">
        <v>45954</v>
      </c>
      <c r="W1246" s="16" t="s">
        <v>5870</v>
      </c>
      <c r="X1246" s="12" t="s">
        <v>49</v>
      </c>
      <c r="Z1246" s="12" t="s">
        <v>60</v>
      </c>
      <c r="AU1246" s="12" t="s">
        <v>53</v>
      </c>
    </row>
    <row r="1247" spans="1:52" s="12" customFormat="1" x14ac:dyDescent="0.3">
      <c r="A1247" s="12" t="s">
        <v>505</v>
      </c>
      <c r="B1247" s="42" t="s">
        <v>2492</v>
      </c>
      <c r="C1247" s="12">
        <v>70</v>
      </c>
      <c r="D1247" s="12">
        <v>221</v>
      </c>
      <c r="E1247" s="12" t="s">
        <v>7942</v>
      </c>
      <c r="F1247" s="275" t="s">
        <v>8943</v>
      </c>
      <c r="G1247" s="12" t="str">
        <f t="shared" si="32"/>
        <v>702219004648982</v>
      </c>
      <c r="H1247" s="12" t="s">
        <v>7943</v>
      </c>
      <c r="I1247" s="12">
        <v>9004648982</v>
      </c>
      <c r="J1247" s="12" t="s">
        <v>7944</v>
      </c>
      <c r="K1247" s="12" t="s">
        <v>230</v>
      </c>
      <c r="L1247" s="12">
        <v>3024360265</v>
      </c>
      <c r="M1247" s="17" t="s">
        <v>8944</v>
      </c>
      <c r="N1247" s="12" t="s">
        <v>46</v>
      </c>
      <c r="O1247" s="12" t="s">
        <v>47</v>
      </c>
      <c r="P1247" s="88" t="s">
        <v>48</v>
      </c>
      <c r="Q1247" s="13">
        <v>46156</v>
      </c>
      <c r="R1247" s="12">
        <v>77</v>
      </c>
      <c r="S1247" s="12" t="s">
        <v>49</v>
      </c>
      <c r="U1247" s="12" t="s">
        <v>50</v>
      </c>
      <c r="V1247" s="13"/>
      <c r="W1247" s="16"/>
      <c r="AU1247" s="12" t="s">
        <v>53</v>
      </c>
    </row>
    <row r="1248" spans="1:52" s="12" customFormat="1" hidden="1" x14ac:dyDescent="0.3">
      <c r="A1248" s="12" t="s">
        <v>505</v>
      </c>
      <c r="B1248" s="42" t="s">
        <v>2492</v>
      </c>
      <c r="C1248" s="12">
        <v>70</v>
      </c>
      <c r="D1248" s="12">
        <v>221</v>
      </c>
      <c r="E1248" s="12" t="s">
        <v>7606</v>
      </c>
      <c r="F1248" s="12" t="s">
        <v>2033</v>
      </c>
      <c r="G1248" s="12" t="str">
        <f t="shared" si="32"/>
        <v>702219011081453</v>
      </c>
      <c r="H1248" s="12" t="s">
        <v>2034</v>
      </c>
      <c r="I1248" s="12">
        <v>9011081453</v>
      </c>
      <c r="J1248" s="12" t="s">
        <v>7607</v>
      </c>
      <c r="K1248" s="12" t="s">
        <v>230</v>
      </c>
      <c r="L1248" s="12">
        <v>3157421629</v>
      </c>
      <c r="M1248" s="95" t="s">
        <v>7608</v>
      </c>
      <c r="N1248" s="12" t="s">
        <v>7648</v>
      </c>
      <c r="O1248" s="12" t="s">
        <v>7653</v>
      </c>
      <c r="P1248" s="88" t="s">
        <v>48</v>
      </c>
      <c r="Q1248" s="12" t="s">
        <v>2445</v>
      </c>
      <c r="R1248" s="16">
        <v>0.77</v>
      </c>
      <c r="S1248" s="12" t="s">
        <v>49</v>
      </c>
      <c r="T1248" s="12" t="s">
        <v>7609</v>
      </c>
      <c r="U1248" s="12" t="s">
        <v>60</v>
      </c>
      <c r="AA1248" s="12" t="s">
        <v>51</v>
      </c>
      <c r="AB1248" s="12" t="s">
        <v>51</v>
      </c>
      <c r="AU1248" s="12" t="s">
        <v>53</v>
      </c>
    </row>
    <row r="1249" spans="1:52" s="12" customFormat="1" x14ac:dyDescent="0.3">
      <c r="A1249" s="12" t="s">
        <v>505</v>
      </c>
      <c r="B1249" s="42" t="s">
        <v>2492</v>
      </c>
      <c r="C1249" s="12">
        <v>70</v>
      </c>
      <c r="D1249" s="12">
        <v>221</v>
      </c>
      <c r="E1249" s="12" t="s">
        <v>7610</v>
      </c>
      <c r="F1249" s="275" t="s">
        <v>1911</v>
      </c>
      <c r="G1249" s="12" t="str">
        <f t="shared" si="32"/>
        <v>702219001923629</v>
      </c>
      <c r="H1249" s="12" t="s">
        <v>7611</v>
      </c>
      <c r="I1249" s="12">
        <v>9001923629</v>
      </c>
      <c r="J1249" s="12" t="s">
        <v>7612</v>
      </c>
      <c r="K1249" s="12" t="s">
        <v>230</v>
      </c>
      <c r="L1249" s="12">
        <v>3235750007</v>
      </c>
      <c r="M1249" s="95" t="s">
        <v>1912</v>
      </c>
      <c r="N1249" s="12" t="s">
        <v>46</v>
      </c>
      <c r="O1249" s="88" t="s">
        <v>47</v>
      </c>
      <c r="P1249" s="88" t="s">
        <v>48</v>
      </c>
      <c r="Q1249" s="13">
        <v>46101</v>
      </c>
      <c r="R1249" s="12" t="s">
        <v>8543</v>
      </c>
      <c r="S1249" s="12" t="s">
        <v>210</v>
      </c>
      <c r="T1249" s="12" t="s">
        <v>1198</v>
      </c>
      <c r="U1249" s="12" t="s">
        <v>60</v>
      </c>
      <c r="V1249" s="12" t="s">
        <v>7613</v>
      </c>
      <c r="W1249" s="18">
        <v>0.92500000000000004</v>
      </c>
      <c r="X1249" s="12" t="s">
        <v>210</v>
      </c>
      <c r="Y1249" s="12" t="s">
        <v>1198</v>
      </c>
      <c r="Z1249" s="12" t="s">
        <v>60</v>
      </c>
      <c r="AA1249" s="12" t="s">
        <v>51</v>
      </c>
      <c r="AB1249" s="12" t="s">
        <v>1920</v>
      </c>
      <c r="AC1249" s="13">
        <v>45906</v>
      </c>
      <c r="AD1249" s="16">
        <v>0.67</v>
      </c>
      <c r="AE1249" s="12" t="s">
        <v>49</v>
      </c>
      <c r="AU1249" s="12" t="s">
        <v>53</v>
      </c>
      <c r="AX1249" s="12" t="s">
        <v>1920</v>
      </c>
      <c r="AZ1249" s="12" t="s">
        <v>1921</v>
      </c>
    </row>
    <row r="1250" spans="1:52" s="12" customFormat="1" x14ac:dyDescent="0.3">
      <c r="A1250" s="12" t="s">
        <v>505</v>
      </c>
      <c r="B1250" s="42" t="s">
        <v>1899</v>
      </c>
      <c r="C1250" s="12">
        <v>70</v>
      </c>
      <c r="D1250" s="12">
        <v>221</v>
      </c>
      <c r="E1250" s="12" t="s">
        <v>7614</v>
      </c>
      <c r="F1250" s="275" t="s">
        <v>7615</v>
      </c>
      <c r="G1250" s="12" t="str">
        <f t="shared" si="32"/>
        <v>702218001416883</v>
      </c>
      <c r="H1250" s="12" t="s">
        <v>8540</v>
      </c>
      <c r="I1250" s="12">
        <v>8001416883</v>
      </c>
      <c r="J1250" s="12" t="s">
        <v>7612</v>
      </c>
      <c r="K1250" s="12" t="s">
        <v>230</v>
      </c>
      <c r="L1250" s="12">
        <v>3145889459</v>
      </c>
      <c r="M1250" s="95" t="s">
        <v>8541</v>
      </c>
      <c r="N1250" s="12" t="s">
        <v>46</v>
      </c>
      <c r="O1250" s="88" t="s">
        <v>47</v>
      </c>
      <c r="P1250" s="88" t="s">
        <v>48</v>
      </c>
      <c r="Q1250" s="13">
        <v>46101</v>
      </c>
      <c r="R1250" s="12" t="s">
        <v>8542</v>
      </c>
      <c r="S1250" s="12" t="s">
        <v>210</v>
      </c>
      <c r="T1250" s="12" t="s">
        <v>1198</v>
      </c>
      <c r="U1250" s="12" t="s">
        <v>2456</v>
      </c>
      <c r="V1250" s="12" t="s">
        <v>7613</v>
      </c>
      <c r="W1250" s="16">
        <v>0.96</v>
      </c>
      <c r="X1250" s="12" t="s">
        <v>210</v>
      </c>
      <c r="Y1250" s="12" t="s">
        <v>7616</v>
      </c>
      <c r="Z1250" s="12" t="s">
        <v>2456</v>
      </c>
      <c r="AA1250" s="12" t="s">
        <v>51</v>
      </c>
      <c r="AB1250" s="12" t="s">
        <v>1920</v>
      </c>
      <c r="AC1250" s="13">
        <v>45175</v>
      </c>
      <c r="AD1250" s="18">
        <v>0.79500000000000004</v>
      </c>
      <c r="AE1250" s="12" t="s">
        <v>49</v>
      </c>
      <c r="AU1250" s="12" t="s">
        <v>53</v>
      </c>
      <c r="AX1250" s="12" t="s">
        <v>1920</v>
      </c>
      <c r="AY1250" s="12" t="s">
        <v>5539</v>
      </c>
    </row>
    <row r="1251" spans="1:52" s="12" customFormat="1" hidden="1" x14ac:dyDescent="0.3">
      <c r="A1251" s="12" t="s">
        <v>505</v>
      </c>
      <c r="B1251" s="42" t="s">
        <v>2492</v>
      </c>
      <c r="C1251" s="12">
        <v>70</v>
      </c>
      <c r="D1251" s="12">
        <v>221</v>
      </c>
      <c r="E1251" s="12" t="s">
        <v>7606</v>
      </c>
      <c r="F1251" s="12" t="s">
        <v>7617</v>
      </c>
      <c r="G1251" s="12" t="str">
        <f t="shared" si="32"/>
        <v>702219011081453</v>
      </c>
      <c r="H1251" s="12" t="s">
        <v>7618</v>
      </c>
      <c r="I1251" s="12">
        <v>9011081453</v>
      </c>
      <c r="J1251" s="12" t="s">
        <v>7619</v>
      </c>
      <c r="K1251" s="12" t="s">
        <v>230</v>
      </c>
      <c r="L1251" s="12">
        <v>3157421629</v>
      </c>
      <c r="M1251" s="95" t="s">
        <v>7608</v>
      </c>
      <c r="N1251" s="12" t="s">
        <v>259</v>
      </c>
      <c r="O1251" s="12" t="s">
        <v>260</v>
      </c>
      <c r="P1251" s="88" t="s">
        <v>261</v>
      </c>
      <c r="Q1251" s="12" t="s">
        <v>2445</v>
      </c>
      <c r="R1251" s="18">
        <v>0.78749999999999998</v>
      </c>
      <c r="S1251" s="12" t="s">
        <v>49</v>
      </c>
      <c r="T1251" s="12" t="s">
        <v>1198</v>
      </c>
      <c r="U1251" s="12" t="s">
        <v>7620</v>
      </c>
      <c r="Z1251" s="12" t="s">
        <v>60</v>
      </c>
      <c r="AA1251" s="12" t="s">
        <v>51</v>
      </c>
      <c r="AB1251" s="12" t="s">
        <v>51</v>
      </c>
      <c r="AU1251" s="12" t="s">
        <v>53</v>
      </c>
      <c r="AX1251" s="12" t="s">
        <v>1920</v>
      </c>
      <c r="AZ1251" s="12" t="s">
        <v>1921</v>
      </c>
    </row>
    <row r="1252" spans="1:52" s="12" customFormat="1" ht="14.4" hidden="1" x14ac:dyDescent="0.3">
      <c r="A1252" s="12" t="s">
        <v>39</v>
      </c>
      <c r="B1252" s="12" t="s">
        <v>3815</v>
      </c>
      <c r="C1252" s="12">
        <v>70</v>
      </c>
      <c r="D1252" s="12">
        <v>400</v>
      </c>
      <c r="E1252" s="12" t="s">
        <v>701</v>
      </c>
      <c r="F1252" s="14" t="s">
        <v>7922</v>
      </c>
      <c r="G1252" s="12" t="str">
        <f t="shared" si="31"/>
        <v>70400901767658-6</v>
      </c>
      <c r="H1252" s="12" t="s">
        <v>703</v>
      </c>
      <c r="I1252" s="12" t="s">
        <v>704</v>
      </c>
      <c r="J1252" s="12" t="s">
        <v>3781</v>
      </c>
      <c r="K1252" s="12" t="s">
        <v>44</v>
      </c>
      <c r="L1252" s="12">
        <v>3017194238</v>
      </c>
      <c r="M1252" s="12" t="s">
        <v>3782</v>
      </c>
      <c r="N1252" s="12" t="s">
        <v>127</v>
      </c>
      <c r="O1252" s="12" t="s">
        <v>2822</v>
      </c>
      <c r="P1252" s="88" t="s">
        <v>48</v>
      </c>
      <c r="Q1252" s="13" t="s">
        <v>2801</v>
      </c>
      <c r="R1252" s="16">
        <v>0.95499999999999996</v>
      </c>
      <c r="S1252" s="12" t="s">
        <v>210</v>
      </c>
      <c r="V1252" s="13" t="s">
        <v>2801</v>
      </c>
      <c r="W1252" s="11">
        <v>0.95499999999999996</v>
      </c>
      <c r="X1252" s="12" t="s">
        <v>210</v>
      </c>
      <c r="AU1252" s="12" t="s">
        <v>164</v>
      </c>
    </row>
    <row r="1253" spans="1:52" s="12" customFormat="1" ht="14.4" hidden="1" x14ac:dyDescent="0.3">
      <c r="A1253" s="12" t="s">
        <v>39</v>
      </c>
      <c r="B1253" s="12" t="s">
        <v>3815</v>
      </c>
      <c r="C1253" s="12">
        <v>70</v>
      </c>
      <c r="D1253" s="12">
        <v>400</v>
      </c>
      <c r="E1253" s="12" t="s">
        <v>9227</v>
      </c>
      <c r="F1253" s="276" t="s">
        <v>9228</v>
      </c>
      <c r="G1253" s="12" t="str">
        <f t="shared" si="31"/>
        <v>704009004062692</v>
      </c>
      <c r="H1253" s="12" t="s">
        <v>9224</v>
      </c>
      <c r="I1253" s="12">
        <v>9004062692</v>
      </c>
      <c r="J1253" s="12" t="s">
        <v>9229</v>
      </c>
      <c r="K1253" s="12" t="s">
        <v>44</v>
      </c>
      <c r="L1253" s="12">
        <v>3017672777</v>
      </c>
      <c r="M1253" s="12" t="s">
        <v>4322</v>
      </c>
      <c r="N1253" s="12" t="s">
        <v>127</v>
      </c>
      <c r="O1253" s="12" t="s">
        <v>2822</v>
      </c>
      <c r="P1253" s="88" t="s">
        <v>48</v>
      </c>
      <c r="Q1253" s="13">
        <v>46220</v>
      </c>
      <c r="R1253" s="12">
        <v>89</v>
      </c>
      <c r="S1253" s="12" t="s">
        <v>49</v>
      </c>
      <c r="T1253" s="12" t="s">
        <v>4011</v>
      </c>
      <c r="U1253" s="12" t="s">
        <v>60</v>
      </c>
      <c r="V1253" s="13"/>
      <c r="W1253" s="11"/>
      <c r="AU1253" s="12" t="s">
        <v>53</v>
      </c>
    </row>
    <row r="1254" spans="1:52" s="12" customFormat="1" ht="14.4" hidden="1" x14ac:dyDescent="0.3">
      <c r="A1254" s="12" t="s">
        <v>39</v>
      </c>
      <c r="B1254" s="12" t="s">
        <v>3815</v>
      </c>
      <c r="C1254" s="12">
        <v>70</v>
      </c>
      <c r="D1254" s="12">
        <v>400</v>
      </c>
      <c r="F1254" s="14" t="s">
        <v>3783</v>
      </c>
      <c r="G1254" s="12" t="str">
        <f t="shared" si="31"/>
        <v>70400823005303-5</v>
      </c>
      <c r="H1254" s="12" t="s">
        <v>3784</v>
      </c>
      <c r="I1254" s="12" t="s">
        <v>3785</v>
      </c>
      <c r="J1254" s="12" t="s">
        <v>3786</v>
      </c>
      <c r="K1254" s="12" t="s">
        <v>44</v>
      </c>
      <c r="L1254" s="12">
        <v>3046361470</v>
      </c>
      <c r="M1254" s="12" t="s">
        <v>45</v>
      </c>
      <c r="N1254" s="12" t="s">
        <v>127</v>
      </c>
      <c r="O1254" s="12" t="s">
        <v>2822</v>
      </c>
      <c r="P1254" s="88" t="s">
        <v>48</v>
      </c>
      <c r="Q1254" s="13" t="s">
        <v>2801</v>
      </c>
      <c r="R1254" s="16">
        <v>0.95499999999999996</v>
      </c>
      <c r="S1254" s="12" t="s">
        <v>210</v>
      </c>
      <c r="V1254" s="13" t="s">
        <v>2801</v>
      </c>
      <c r="W1254" s="11">
        <v>0.95499999999999996</v>
      </c>
      <c r="X1254" s="12" t="s">
        <v>210</v>
      </c>
      <c r="AU1254" s="12" t="s">
        <v>164</v>
      </c>
    </row>
    <row r="1255" spans="1:52" s="12" customFormat="1" ht="14.4" hidden="1" x14ac:dyDescent="0.3">
      <c r="A1255" s="12" t="s">
        <v>39</v>
      </c>
      <c r="B1255" s="12" t="s">
        <v>3815</v>
      </c>
      <c r="C1255" s="12">
        <v>70</v>
      </c>
      <c r="D1255" s="12">
        <v>400</v>
      </c>
      <c r="F1255" s="14" t="s">
        <v>3787</v>
      </c>
      <c r="G1255" s="12" t="str">
        <f t="shared" si="31"/>
        <v>70400823002765-0</v>
      </c>
      <c r="H1255" s="12" t="s">
        <v>3788</v>
      </c>
      <c r="I1255" s="12" t="s">
        <v>1172</v>
      </c>
      <c r="J1255" s="12" t="s">
        <v>3789</v>
      </c>
      <c r="K1255" s="12" t="s">
        <v>44</v>
      </c>
      <c r="L1255" s="12">
        <v>3145401180</v>
      </c>
      <c r="M1255" s="12" t="s">
        <v>3790</v>
      </c>
      <c r="N1255" s="12" t="s">
        <v>127</v>
      </c>
      <c r="O1255" s="12" t="s">
        <v>2822</v>
      </c>
      <c r="P1255" s="88" t="s">
        <v>48</v>
      </c>
      <c r="Q1255" s="13">
        <v>45126</v>
      </c>
      <c r="R1255" s="16">
        <v>0.96</v>
      </c>
      <c r="S1255" s="12" t="s">
        <v>210</v>
      </c>
      <c r="V1255" s="13">
        <v>45126</v>
      </c>
      <c r="W1255" s="11">
        <v>0.96</v>
      </c>
      <c r="X1255" s="12" t="s">
        <v>210</v>
      </c>
      <c r="AU1255" s="12" t="s">
        <v>53</v>
      </c>
    </row>
    <row r="1256" spans="1:52" s="12" customFormat="1" ht="14.4" hidden="1" x14ac:dyDescent="0.3">
      <c r="A1256" s="12" t="s">
        <v>39</v>
      </c>
      <c r="B1256" s="12" t="s">
        <v>3815</v>
      </c>
      <c r="C1256" s="12">
        <v>70</v>
      </c>
      <c r="D1256" s="12">
        <v>400</v>
      </c>
      <c r="E1256" s="12" t="s">
        <v>3791</v>
      </c>
      <c r="F1256" s="14" t="s">
        <v>3792</v>
      </c>
      <c r="G1256" s="12" t="str">
        <f t="shared" si="31"/>
        <v>704009005258755-5</v>
      </c>
      <c r="H1256" s="12" t="s">
        <v>3793</v>
      </c>
      <c r="I1256" s="12" t="s">
        <v>3794</v>
      </c>
      <c r="J1256" s="12" t="s">
        <v>3795</v>
      </c>
      <c r="K1256" s="12" t="s">
        <v>44</v>
      </c>
      <c r="L1256" s="12">
        <v>3003994214</v>
      </c>
      <c r="M1256" s="12" t="s">
        <v>3796</v>
      </c>
      <c r="N1256" s="12" t="s">
        <v>127</v>
      </c>
      <c r="O1256" s="12" t="s">
        <v>2822</v>
      </c>
      <c r="P1256" s="88" t="s">
        <v>48</v>
      </c>
      <c r="Q1256" s="13" t="s">
        <v>911</v>
      </c>
      <c r="R1256" s="16">
        <v>0.84</v>
      </c>
      <c r="S1256" s="12" t="s">
        <v>49</v>
      </c>
      <c r="T1256" s="12" t="s">
        <v>3797</v>
      </c>
      <c r="V1256" s="13"/>
      <c r="W1256" s="11"/>
      <c r="AU1256" s="12" t="s">
        <v>164</v>
      </c>
    </row>
    <row r="1257" spans="1:52" s="12" customFormat="1" ht="14.25" hidden="1" customHeight="1" x14ac:dyDescent="0.3">
      <c r="A1257" s="12" t="s">
        <v>39</v>
      </c>
      <c r="B1257" s="12" t="s">
        <v>3815</v>
      </c>
      <c r="C1257" s="12">
        <v>70</v>
      </c>
      <c r="D1257" s="12">
        <v>400</v>
      </c>
      <c r="F1257" s="14" t="s">
        <v>3798</v>
      </c>
      <c r="G1257" s="12" t="str">
        <f t="shared" si="31"/>
        <v>704008230053035</v>
      </c>
      <c r="H1257" s="12" t="s">
        <v>3799</v>
      </c>
      <c r="I1257" s="12">
        <v>8230053035</v>
      </c>
      <c r="J1257" s="12" t="s">
        <v>3800</v>
      </c>
      <c r="K1257" s="12" t="s">
        <v>44</v>
      </c>
      <c r="L1257" s="12">
        <v>3127648366</v>
      </c>
      <c r="M1257" s="12" t="s">
        <v>45</v>
      </c>
      <c r="N1257" s="12" t="s">
        <v>127</v>
      </c>
      <c r="O1257" s="12" t="s">
        <v>2822</v>
      </c>
      <c r="P1257" s="88" t="s">
        <v>48</v>
      </c>
      <c r="Q1257" s="13">
        <v>45044</v>
      </c>
      <c r="R1257" s="16">
        <v>0.83</v>
      </c>
      <c r="S1257" s="12" t="s">
        <v>49</v>
      </c>
      <c r="V1257" s="13">
        <v>45044</v>
      </c>
      <c r="W1257" s="11">
        <v>0.83</v>
      </c>
      <c r="X1257" s="12" t="s">
        <v>49</v>
      </c>
      <c r="AU1257" s="12" t="s">
        <v>53</v>
      </c>
    </row>
    <row r="1258" spans="1:52" s="12" customFormat="1" ht="14.4" hidden="1" x14ac:dyDescent="0.3">
      <c r="A1258" s="12" t="s">
        <v>39</v>
      </c>
      <c r="B1258" s="12" t="s">
        <v>3815</v>
      </c>
      <c r="C1258" s="12">
        <v>70</v>
      </c>
      <c r="D1258" s="12">
        <v>400</v>
      </c>
      <c r="F1258" s="14" t="s">
        <v>3801</v>
      </c>
      <c r="G1258" s="12" t="str">
        <f t="shared" ref="G1258:G1321" si="33">C1258&amp;D1258&amp;I1258</f>
        <v>70400800227558-5</v>
      </c>
      <c r="H1258" s="12" t="s">
        <v>3802</v>
      </c>
      <c r="I1258" s="12" t="s">
        <v>3803</v>
      </c>
      <c r="J1258" s="12" t="s">
        <v>2705</v>
      </c>
      <c r="K1258" s="12" t="s">
        <v>44</v>
      </c>
      <c r="L1258" s="12" t="s">
        <v>45</v>
      </c>
      <c r="M1258" s="12" t="s">
        <v>45</v>
      </c>
      <c r="N1258" s="12" t="s">
        <v>127</v>
      </c>
      <c r="O1258" s="12" t="s">
        <v>2822</v>
      </c>
      <c r="P1258" s="88" t="s">
        <v>48</v>
      </c>
      <c r="Q1258" s="13">
        <v>44522</v>
      </c>
      <c r="R1258" s="16">
        <v>0.85</v>
      </c>
      <c r="S1258" s="12" t="s">
        <v>49</v>
      </c>
      <c r="V1258" s="13">
        <v>44522</v>
      </c>
      <c r="W1258" s="11">
        <v>0.85</v>
      </c>
      <c r="X1258" s="12" t="s">
        <v>49</v>
      </c>
      <c r="AU1258" s="12" t="s">
        <v>164</v>
      </c>
    </row>
    <row r="1259" spans="1:52" s="12" customFormat="1" ht="14.4" hidden="1" x14ac:dyDescent="0.3">
      <c r="A1259" s="12" t="s">
        <v>39</v>
      </c>
      <c r="B1259" s="12" t="s">
        <v>3815</v>
      </c>
      <c r="C1259" s="12">
        <v>70</v>
      </c>
      <c r="D1259" s="12">
        <v>400</v>
      </c>
      <c r="F1259" s="14" t="s">
        <v>3804</v>
      </c>
      <c r="G1259" s="12" t="str">
        <f t="shared" si="33"/>
        <v>70400800137102-4</v>
      </c>
      <c r="H1259" s="12" t="s">
        <v>3805</v>
      </c>
      <c r="I1259" s="12" t="s">
        <v>3806</v>
      </c>
      <c r="J1259" s="12" t="s">
        <v>3807</v>
      </c>
      <c r="K1259" s="12" t="s">
        <v>44</v>
      </c>
      <c r="L1259" s="12">
        <v>3006725328</v>
      </c>
      <c r="M1259" s="12" t="s">
        <v>45</v>
      </c>
      <c r="N1259" s="12" t="s">
        <v>127</v>
      </c>
      <c r="O1259" s="12" t="s">
        <v>2822</v>
      </c>
      <c r="P1259" s="88" t="s">
        <v>48</v>
      </c>
      <c r="Q1259" s="13">
        <v>44491</v>
      </c>
      <c r="R1259" s="16">
        <v>0.85</v>
      </c>
      <c r="S1259" s="12" t="s">
        <v>49</v>
      </c>
      <c r="V1259" s="13">
        <v>44491</v>
      </c>
      <c r="W1259" s="11">
        <v>0.85</v>
      </c>
      <c r="X1259" s="12" t="s">
        <v>49</v>
      </c>
      <c r="AU1259" s="12" t="s">
        <v>164</v>
      </c>
    </row>
    <row r="1260" spans="1:52" s="12" customFormat="1" ht="14.4" hidden="1" x14ac:dyDescent="0.3">
      <c r="A1260" s="12" t="s">
        <v>39</v>
      </c>
      <c r="B1260" s="12" t="s">
        <v>3815</v>
      </c>
      <c r="C1260" s="12">
        <v>70</v>
      </c>
      <c r="D1260" s="12">
        <v>400</v>
      </c>
      <c r="F1260" s="14" t="s">
        <v>3808</v>
      </c>
      <c r="G1260" s="12" t="str">
        <f t="shared" si="33"/>
        <v>704003005303-5</v>
      </c>
      <c r="H1260" s="12" t="s">
        <v>3784</v>
      </c>
      <c r="I1260" s="12" t="s">
        <v>3809</v>
      </c>
      <c r="J1260" s="12" t="s">
        <v>3810</v>
      </c>
      <c r="K1260" s="12" t="s">
        <v>44</v>
      </c>
      <c r="L1260" s="12" t="s">
        <v>45</v>
      </c>
      <c r="M1260" s="12" t="s">
        <v>45</v>
      </c>
      <c r="N1260" s="12" t="s">
        <v>127</v>
      </c>
      <c r="O1260" s="12" t="s">
        <v>2822</v>
      </c>
      <c r="P1260" s="88" t="s">
        <v>48</v>
      </c>
      <c r="Q1260" s="13">
        <v>44880</v>
      </c>
      <c r="R1260" s="16">
        <v>0.9</v>
      </c>
      <c r="S1260" s="12" t="s">
        <v>210</v>
      </c>
      <c r="V1260" s="13">
        <v>44880</v>
      </c>
      <c r="W1260" s="11">
        <v>0.9</v>
      </c>
      <c r="X1260" s="12" t="s">
        <v>210</v>
      </c>
      <c r="AU1260" s="12" t="s">
        <v>164</v>
      </c>
    </row>
    <row r="1261" spans="1:52" s="12" customFormat="1" ht="14.4" hidden="1" x14ac:dyDescent="0.3">
      <c r="A1261" s="12" t="s">
        <v>39</v>
      </c>
      <c r="B1261" s="12" t="s">
        <v>3815</v>
      </c>
      <c r="C1261" s="12">
        <v>70</v>
      </c>
      <c r="D1261" s="12">
        <v>400</v>
      </c>
      <c r="F1261" s="14" t="s">
        <v>3811</v>
      </c>
      <c r="G1261" s="12" t="str">
        <f t="shared" si="33"/>
        <v>70400823005303-5</v>
      </c>
      <c r="H1261" s="12" t="s">
        <v>3784</v>
      </c>
      <c r="I1261" s="12" t="s">
        <v>3785</v>
      </c>
      <c r="J1261" s="12" t="s">
        <v>3812</v>
      </c>
      <c r="K1261" s="12" t="s">
        <v>44</v>
      </c>
      <c r="L1261" s="12" t="s">
        <v>45</v>
      </c>
      <c r="M1261" s="12" t="s">
        <v>45</v>
      </c>
      <c r="N1261" s="12" t="s">
        <v>127</v>
      </c>
      <c r="O1261" s="12" t="s">
        <v>2822</v>
      </c>
      <c r="P1261" s="88" t="s">
        <v>48</v>
      </c>
      <c r="Q1261" s="13">
        <v>44630</v>
      </c>
      <c r="R1261" s="16">
        <v>0.77</v>
      </c>
      <c r="S1261" s="12" t="s">
        <v>49</v>
      </c>
      <c r="V1261" s="13">
        <v>44630</v>
      </c>
      <c r="W1261" s="11">
        <v>0.77</v>
      </c>
      <c r="X1261" s="12" t="s">
        <v>49</v>
      </c>
      <c r="AU1261" s="12" t="s">
        <v>164</v>
      </c>
    </row>
    <row r="1262" spans="1:52" s="12" customFormat="1" ht="14.4" hidden="1" x14ac:dyDescent="0.3">
      <c r="A1262" s="12" t="s">
        <v>39</v>
      </c>
      <c r="B1262" s="12" t="s">
        <v>3815</v>
      </c>
      <c r="C1262" s="12">
        <v>70</v>
      </c>
      <c r="D1262" s="12">
        <v>400</v>
      </c>
      <c r="F1262" s="14" t="s">
        <v>3813</v>
      </c>
      <c r="G1262" s="12" t="str">
        <f t="shared" si="33"/>
        <v>70400800137102-4</v>
      </c>
      <c r="H1262" s="12" t="s">
        <v>3805</v>
      </c>
      <c r="I1262" s="12" t="s">
        <v>3806</v>
      </c>
      <c r="J1262" s="12" t="s">
        <v>3814</v>
      </c>
      <c r="K1262" s="12" t="s">
        <v>44</v>
      </c>
      <c r="L1262" s="12">
        <v>3006112936</v>
      </c>
      <c r="M1262" s="12" t="s">
        <v>45</v>
      </c>
      <c r="N1262" s="12" t="s">
        <v>127</v>
      </c>
      <c r="O1262" s="12" t="s">
        <v>2822</v>
      </c>
      <c r="P1262" s="88" t="s">
        <v>48</v>
      </c>
      <c r="Q1262" s="13" t="s">
        <v>1354</v>
      </c>
      <c r="R1262" s="16">
        <v>0.98</v>
      </c>
      <c r="S1262" s="12" t="s">
        <v>210</v>
      </c>
      <c r="V1262" s="13" t="s">
        <v>1354</v>
      </c>
      <c r="W1262" s="11">
        <v>0.98</v>
      </c>
      <c r="X1262" s="12" t="s">
        <v>210</v>
      </c>
      <c r="AU1262" s="12" t="s">
        <v>164</v>
      </c>
    </row>
    <row r="1263" spans="1:52" s="12" customFormat="1" ht="14.4" hidden="1" x14ac:dyDescent="0.3">
      <c r="A1263" s="12" t="s">
        <v>39</v>
      </c>
      <c r="B1263" s="12" t="s">
        <v>3815</v>
      </c>
      <c r="C1263" s="12">
        <v>70</v>
      </c>
      <c r="D1263" s="12">
        <v>400</v>
      </c>
      <c r="F1263" s="14" t="s">
        <v>3816</v>
      </c>
      <c r="G1263" s="12" t="str">
        <f t="shared" si="33"/>
        <v>70400800137102-4</v>
      </c>
      <c r="H1263" s="12" t="s">
        <v>3805</v>
      </c>
      <c r="I1263" s="12" t="s">
        <v>3806</v>
      </c>
      <c r="J1263" s="12" t="s">
        <v>3817</v>
      </c>
      <c r="K1263" s="12" t="s">
        <v>44</v>
      </c>
      <c r="L1263" s="12">
        <v>3116701303</v>
      </c>
      <c r="M1263" s="12" t="s">
        <v>45</v>
      </c>
      <c r="N1263" s="12" t="s">
        <v>127</v>
      </c>
      <c r="O1263" s="12" t="s">
        <v>2822</v>
      </c>
      <c r="P1263" s="88" t="s">
        <v>48</v>
      </c>
      <c r="Q1263" s="13">
        <v>45147</v>
      </c>
      <c r="R1263" s="16">
        <v>0.85</v>
      </c>
      <c r="S1263" s="12" t="s">
        <v>49</v>
      </c>
      <c r="V1263" s="13">
        <v>45147</v>
      </c>
      <c r="W1263" s="11">
        <v>0.85</v>
      </c>
      <c r="X1263" s="12" t="s">
        <v>49</v>
      </c>
      <c r="AU1263" s="12" t="s">
        <v>53</v>
      </c>
    </row>
    <row r="1264" spans="1:52" s="12" customFormat="1" ht="28.8" hidden="1" x14ac:dyDescent="0.3">
      <c r="A1264" s="12" t="s">
        <v>39</v>
      </c>
      <c r="B1264" s="12" t="s">
        <v>3815</v>
      </c>
      <c r="C1264" s="12">
        <v>70</v>
      </c>
      <c r="D1264" s="12">
        <v>400</v>
      </c>
      <c r="F1264" s="14" t="s">
        <v>3818</v>
      </c>
      <c r="G1264" s="12" t="str">
        <f t="shared" si="33"/>
        <v>70400823002765-0</v>
      </c>
      <c r="H1264" s="12" t="s">
        <v>3788</v>
      </c>
      <c r="I1264" s="12" t="s">
        <v>1172</v>
      </c>
      <c r="J1264" s="12" t="s">
        <v>3819</v>
      </c>
      <c r="K1264" s="12" t="s">
        <v>44</v>
      </c>
      <c r="L1264" s="12">
        <v>3145401180</v>
      </c>
      <c r="M1264" s="12" t="s">
        <v>45</v>
      </c>
      <c r="N1264" s="12" t="s">
        <v>127</v>
      </c>
      <c r="O1264" s="12" t="s">
        <v>2822</v>
      </c>
      <c r="P1264" s="88" t="s">
        <v>48</v>
      </c>
      <c r="Q1264" s="13">
        <v>45114</v>
      </c>
      <c r="R1264" s="16">
        <v>0.96</v>
      </c>
      <c r="S1264" s="12" t="s">
        <v>210</v>
      </c>
      <c r="V1264" s="13">
        <v>45114</v>
      </c>
      <c r="W1264" s="11">
        <v>0.96</v>
      </c>
      <c r="X1264" s="12" t="s">
        <v>210</v>
      </c>
      <c r="AU1264" s="12" t="s">
        <v>53</v>
      </c>
    </row>
    <row r="1265" spans="1:47" s="12" customFormat="1" ht="14.4" hidden="1" x14ac:dyDescent="0.3">
      <c r="A1265" s="12" t="s">
        <v>39</v>
      </c>
      <c r="B1265" s="12" t="s">
        <v>3815</v>
      </c>
      <c r="C1265" s="12">
        <v>70</v>
      </c>
      <c r="D1265" s="12">
        <v>400</v>
      </c>
      <c r="F1265" s="14" t="s">
        <v>3820</v>
      </c>
      <c r="G1265" s="12" t="str">
        <f t="shared" si="33"/>
        <v>70400800137102-4</v>
      </c>
      <c r="H1265" s="12" t="s">
        <v>3805</v>
      </c>
      <c r="I1265" s="12" t="s">
        <v>3806</v>
      </c>
      <c r="J1265" s="12" t="s">
        <v>3821</v>
      </c>
      <c r="K1265" s="12" t="s">
        <v>44</v>
      </c>
      <c r="L1265" s="12">
        <v>3015669061</v>
      </c>
      <c r="M1265" s="12" t="s">
        <v>45</v>
      </c>
      <c r="N1265" s="12" t="s">
        <v>127</v>
      </c>
      <c r="O1265" s="12" t="s">
        <v>2822</v>
      </c>
      <c r="P1265" s="88" t="s">
        <v>48</v>
      </c>
      <c r="R1265" s="16"/>
      <c r="W1265" s="11"/>
      <c r="AU1265" s="12" t="s">
        <v>164</v>
      </c>
    </row>
    <row r="1266" spans="1:47" s="12" customFormat="1" ht="28.8" hidden="1" x14ac:dyDescent="0.3">
      <c r="A1266" s="12" t="s">
        <v>39</v>
      </c>
      <c r="B1266" s="12" t="s">
        <v>3815</v>
      </c>
      <c r="C1266" s="12">
        <v>70</v>
      </c>
      <c r="D1266" s="12">
        <v>400</v>
      </c>
      <c r="F1266" s="14" t="s">
        <v>3822</v>
      </c>
      <c r="G1266" s="12" t="str">
        <f t="shared" si="33"/>
        <v>70400823005303-5</v>
      </c>
      <c r="H1266" s="12" t="s">
        <v>3805</v>
      </c>
      <c r="I1266" s="12" t="s">
        <v>3785</v>
      </c>
      <c r="J1266" s="12" t="s">
        <v>3823</v>
      </c>
      <c r="K1266" s="12" t="s">
        <v>44</v>
      </c>
      <c r="L1266" s="12">
        <v>3103698964</v>
      </c>
      <c r="M1266" s="12" t="s">
        <v>45</v>
      </c>
      <c r="N1266" s="12" t="s">
        <v>127</v>
      </c>
      <c r="O1266" s="12" t="s">
        <v>2822</v>
      </c>
      <c r="P1266" s="88" t="s">
        <v>48</v>
      </c>
      <c r="Q1266" s="13">
        <v>45148</v>
      </c>
      <c r="R1266" s="16">
        <v>0.90500000000000003</v>
      </c>
      <c r="S1266" s="12" t="s">
        <v>210</v>
      </c>
      <c r="V1266" s="13">
        <v>45148</v>
      </c>
      <c r="W1266" s="11">
        <v>0.90500000000000003</v>
      </c>
      <c r="X1266" s="12" t="s">
        <v>210</v>
      </c>
      <c r="AU1266" s="12" t="s">
        <v>53</v>
      </c>
    </row>
    <row r="1267" spans="1:47" s="12" customFormat="1" ht="14.4" hidden="1" x14ac:dyDescent="0.3">
      <c r="A1267" s="12" t="s">
        <v>39</v>
      </c>
      <c r="B1267" s="12" t="s">
        <v>3815</v>
      </c>
      <c r="C1267" s="12">
        <v>70</v>
      </c>
      <c r="D1267" s="12">
        <v>400</v>
      </c>
      <c r="F1267" s="14" t="s">
        <v>3824</v>
      </c>
      <c r="G1267" s="12" t="str">
        <f t="shared" si="33"/>
        <v>7040080037102-4</v>
      </c>
      <c r="H1267" s="12" t="s">
        <v>3825</v>
      </c>
      <c r="I1267" s="12" t="s">
        <v>3826</v>
      </c>
      <c r="J1267" s="12" t="s">
        <v>3827</v>
      </c>
      <c r="K1267" s="12" t="s">
        <v>44</v>
      </c>
      <c r="L1267" s="12">
        <v>3014660486</v>
      </c>
      <c r="M1267" s="12" t="s">
        <v>45</v>
      </c>
      <c r="N1267" s="12" t="s">
        <v>127</v>
      </c>
      <c r="O1267" s="12" t="s">
        <v>2822</v>
      </c>
      <c r="P1267" s="88" t="s">
        <v>48</v>
      </c>
      <c r="Q1267" s="13">
        <v>45034</v>
      </c>
      <c r="R1267" s="16">
        <v>0.77500000000000002</v>
      </c>
      <c r="S1267" s="12" t="s">
        <v>49</v>
      </c>
      <c r="V1267" s="13">
        <v>45034</v>
      </c>
      <c r="W1267" s="11">
        <v>0.77500000000000002</v>
      </c>
      <c r="X1267" s="12" t="s">
        <v>49</v>
      </c>
      <c r="AU1267" s="12" t="s">
        <v>53</v>
      </c>
    </row>
    <row r="1268" spans="1:47" s="12" customFormat="1" ht="14.4" hidden="1" x14ac:dyDescent="0.3">
      <c r="A1268" s="12" t="s">
        <v>39</v>
      </c>
      <c r="B1268" s="12" t="s">
        <v>3815</v>
      </c>
      <c r="C1268" s="12">
        <v>70</v>
      </c>
      <c r="D1268" s="12">
        <v>400</v>
      </c>
      <c r="E1268" s="12" t="s">
        <v>3828</v>
      </c>
      <c r="F1268" s="14" t="s">
        <v>3829</v>
      </c>
      <c r="G1268" s="12" t="str">
        <f t="shared" si="33"/>
        <v>70400900525875-5</v>
      </c>
      <c r="H1268" s="12" t="s">
        <v>3830</v>
      </c>
      <c r="I1268" s="12" t="s">
        <v>3831</v>
      </c>
      <c r="J1268" s="12" t="s">
        <v>3832</v>
      </c>
      <c r="K1268" s="12" t="s">
        <v>44</v>
      </c>
      <c r="L1268" s="12">
        <v>3042740375</v>
      </c>
      <c r="M1268" s="99" t="s">
        <v>3833</v>
      </c>
      <c r="N1268" s="12" t="s">
        <v>127</v>
      </c>
      <c r="O1268" s="12" t="s">
        <v>2822</v>
      </c>
      <c r="P1268" s="88" t="s">
        <v>48</v>
      </c>
      <c r="Q1268" s="13" t="s">
        <v>3834</v>
      </c>
      <c r="R1268" s="16">
        <v>0.88</v>
      </c>
      <c r="S1268" s="12" t="s">
        <v>49</v>
      </c>
      <c r="T1268" s="12" t="s">
        <v>3835</v>
      </c>
      <c r="U1268" s="12" t="s">
        <v>60</v>
      </c>
      <c r="V1268" s="13"/>
      <c r="W1268" s="11"/>
      <c r="AU1268" s="12" t="s">
        <v>53</v>
      </c>
    </row>
    <row r="1269" spans="1:47" s="12" customFormat="1" ht="14.4" hidden="1" x14ac:dyDescent="0.3">
      <c r="A1269" s="12" t="s">
        <v>39</v>
      </c>
      <c r="B1269" s="12" t="s">
        <v>3815</v>
      </c>
      <c r="C1269" s="12">
        <v>70</v>
      </c>
      <c r="D1269" s="12">
        <v>400</v>
      </c>
      <c r="E1269" s="12" t="s">
        <v>9223</v>
      </c>
      <c r="F1269" s="276" t="s">
        <v>3836</v>
      </c>
      <c r="G1269" s="12" t="str">
        <f t="shared" si="33"/>
        <v>704009004062692</v>
      </c>
      <c r="H1269" s="12" t="s">
        <v>9224</v>
      </c>
      <c r="I1269" s="12">
        <v>9004062692</v>
      </c>
      <c r="J1269" s="12" t="s">
        <v>9225</v>
      </c>
      <c r="K1269" s="12" t="s">
        <v>44</v>
      </c>
      <c r="L1269" s="12">
        <v>3005905690</v>
      </c>
      <c r="M1269" s="17" t="s">
        <v>9226</v>
      </c>
      <c r="N1269" s="12" t="s">
        <v>127</v>
      </c>
      <c r="O1269" s="12" t="s">
        <v>2822</v>
      </c>
      <c r="P1269" s="88" t="s">
        <v>48</v>
      </c>
      <c r="Q1269" s="13">
        <v>46217</v>
      </c>
      <c r="R1269" s="12">
        <v>70</v>
      </c>
      <c r="S1269" s="12" t="s">
        <v>49</v>
      </c>
      <c r="T1269" s="12" t="s">
        <v>3835</v>
      </c>
      <c r="U1269" s="12" t="s">
        <v>60</v>
      </c>
      <c r="V1269" s="13">
        <v>45995</v>
      </c>
      <c r="W1269" s="16">
        <v>0.76</v>
      </c>
      <c r="X1269" s="12" t="s">
        <v>49</v>
      </c>
      <c r="Z1269" s="12" t="s">
        <v>9041</v>
      </c>
      <c r="AC1269" s="13">
        <v>45106</v>
      </c>
      <c r="AD1269" s="16">
        <v>0.97</v>
      </c>
      <c r="AE1269" s="12" t="s">
        <v>210</v>
      </c>
      <c r="AF1269" s="12" t="s">
        <v>60</v>
      </c>
      <c r="AU1269" s="12" t="s">
        <v>53</v>
      </c>
    </row>
    <row r="1270" spans="1:47" s="12" customFormat="1" ht="14.4" hidden="1" x14ac:dyDescent="0.3">
      <c r="A1270" s="12" t="s">
        <v>39</v>
      </c>
      <c r="B1270" s="12" t="s">
        <v>3815</v>
      </c>
      <c r="C1270" s="12">
        <v>70</v>
      </c>
      <c r="D1270" s="12">
        <v>400</v>
      </c>
      <c r="F1270" s="14" t="s">
        <v>3838</v>
      </c>
      <c r="G1270" s="12" t="str">
        <f t="shared" si="33"/>
        <v>70400900221359-9</v>
      </c>
      <c r="H1270" s="12" t="s">
        <v>3839</v>
      </c>
      <c r="I1270" s="12" t="s">
        <v>3840</v>
      </c>
      <c r="J1270" s="12" t="s">
        <v>3841</v>
      </c>
      <c r="K1270" s="12" t="s">
        <v>44</v>
      </c>
      <c r="L1270" s="12">
        <v>3122926855</v>
      </c>
      <c r="M1270" s="12" t="s">
        <v>45</v>
      </c>
      <c r="N1270" s="12" t="s">
        <v>127</v>
      </c>
      <c r="O1270" s="12" t="s">
        <v>2822</v>
      </c>
      <c r="P1270" s="88" t="s">
        <v>48</v>
      </c>
      <c r="Q1270" s="13">
        <v>45555</v>
      </c>
      <c r="R1270" s="16">
        <v>0.97</v>
      </c>
      <c r="S1270" s="12" t="s">
        <v>210</v>
      </c>
      <c r="V1270" s="13">
        <v>45555</v>
      </c>
      <c r="W1270" s="11">
        <v>0.97</v>
      </c>
      <c r="X1270" s="12" t="s">
        <v>210</v>
      </c>
      <c r="AU1270" s="12" t="s">
        <v>53</v>
      </c>
    </row>
    <row r="1271" spans="1:47" s="12" customFormat="1" ht="14.4" hidden="1" x14ac:dyDescent="0.3">
      <c r="A1271" s="12" t="s">
        <v>39</v>
      </c>
      <c r="B1271" s="12" t="s">
        <v>3815</v>
      </c>
      <c r="C1271" s="12">
        <v>70</v>
      </c>
      <c r="D1271" s="12">
        <v>400</v>
      </c>
      <c r="F1271" s="14" t="s">
        <v>3842</v>
      </c>
      <c r="G1271" s="12" t="str">
        <f t="shared" si="33"/>
        <v>7040080024359-9</v>
      </c>
      <c r="H1271" s="12" t="s">
        <v>3843</v>
      </c>
      <c r="I1271" s="12" t="s">
        <v>3844</v>
      </c>
      <c r="J1271" s="12" t="s">
        <v>3845</v>
      </c>
      <c r="K1271" s="12" t="s">
        <v>44</v>
      </c>
      <c r="L1271" s="12">
        <v>3002964988</v>
      </c>
      <c r="M1271" s="12" t="s">
        <v>45</v>
      </c>
      <c r="N1271" s="12" t="s">
        <v>127</v>
      </c>
      <c r="O1271" s="12" t="s">
        <v>2822</v>
      </c>
      <c r="P1271" s="88" t="s">
        <v>48</v>
      </c>
      <c r="Q1271" s="13">
        <v>45547</v>
      </c>
      <c r="R1271" s="16">
        <v>0.95499999999999996</v>
      </c>
      <c r="S1271" s="12" t="s">
        <v>210</v>
      </c>
      <c r="V1271" s="13">
        <v>45547</v>
      </c>
      <c r="W1271" s="11">
        <v>0.95499999999999996</v>
      </c>
      <c r="X1271" s="12" t="s">
        <v>210</v>
      </c>
      <c r="AU1271" s="12" t="s">
        <v>53</v>
      </c>
    </row>
    <row r="1272" spans="1:47" s="12" customFormat="1" ht="14.4" hidden="1" x14ac:dyDescent="0.3">
      <c r="A1272" s="12" t="s">
        <v>39</v>
      </c>
      <c r="B1272" s="12" t="s">
        <v>3815</v>
      </c>
      <c r="C1272" s="12">
        <v>70</v>
      </c>
      <c r="D1272" s="12">
        <v>400</v>
      </c>
      <c r="F1272" s="14" t="s">
        <v>3846</v>
      </c>
      <c r="G1272" s="12" t="str">
        <f t="shared" si="33"/>
        <v>7040080024359-9</v>
      </c>
      <c r="H1272" s="12" t="s">
        <v>3847</v>
      </c>
      <c r="I1272" s="12" t="s">
        <v>3844</v>
      </c>
      <c r="J1272" s="12" t="s">
        <v>3848</v>
      </c>
      <c r="K1272" s="12" t="s">
        <v>44</v>
      </c>
      <c r="L1272" s="12" t="s">
        <v>45</v>
      </c>
      <c r="M1272" s="12" t="s">
        <v>45</v>
      </c>
      <c r="N1272" s="12" t="s">
        <v>127</v>
      </c>
      <c r="O1272" s="12" t="s">
        <v>2822</v>
      </c>
      <c r="P1272" s="88" t="s">
        <v>48</v>
      </c>
      <c r="Q1272" s="13">
        <v>45553</v>
      </c>
      <c r="R1272" s="16">
        <v>0.99</v>
      </c>
      <c r="S1272" s="12" t="s">
        <v>210</v>
      </c>
      <c r="V1272" s="13">
        <v>45553</v>
      </c>
      <c r="W1272" s="11">
        <v>0.99</v>
      </c>
      <c r="X1272" s="12" t="s">
        <v>210</v>
      </c>
      <c r="AU1272" s="12" t="s">
        <v>53</v>
      </c>
    </row>
    <row r="1273" spans="1:47" s="12" customFormat="1" ht="14.4" hidden="1" x14ac:dyDescent="0.3">
      <c r="A1273" s="12" t="s">
        <v>39</v>
      </c>
      <c r="B1273" s="12" t="s">
        <v>3815</v>
      </c>
      <c r="C1273" s="12">
        <v>70</v>
      </c>
      <c r="D1273" s="12">
        <v>400</v>
      </c>
      <c r="F1273" s="14" t="s">
        <v>3849</v>
      </c>
      <c r="G1273" s="12" t="str">
        <f t="shared" si="33"/>
        <v>7040011051684</v>
      </c>
      <c r="H1273" s="12" t="s">
        <v>3850</v>
      </c>
      <c r="I1273" s="15">
        <v>11051684</v>
      </c>
      <c r="J1273" s="12" t="s">
        <v>3851</v>
      </c>
      <c r="K1273" s="12" t="s">
        <v>44</v>
      </c>
      <c r="L1273" s="12" t="s">
        <v>45</v>
      </c>
      <c r="M1273" s="12" t="s">
        <v>45</v>
      </c>
      <c r="N1273" s="12" t="s">
        <v>780</v>
      </c>
      <c r="O1273" s="12" t="s">
        <v>260</v>
      </c>
      <c r="P1273" s="88" t="s">
        <v>261</v>
      </c>
      <c r="R1273" s="16"/>
      <c r="W1273" s="11"/>
      <c r="AC1273" s="16"/>
      <c r="AH1273" s="13"/>
      <c r="AI1273" s="16"/>
      <c r="AU1273" s="12" t="s">
        <v>53</v>
      </c>
    </row>
    <row r="1274" spans="1:47" s="12" customFormat="1" ht="14.4" hidden="1" x14ac:dyDescent="0.3">
      <c r="A1274" s="12" t="s">
        <v>39</v>
      </c>
      <c r="B1274" s="12" t="s">
        <v>3815</v>
      </c>
      <c r="C1274" s="12">
        <v>70</v>
      </c>
      <c r="D1274" s="12">
        <v>400</v>
      </c>
      <c r="F1274" s="14" t="s">
        <v>3852</v>
      </c>
      <c r="G1274" s="12" t="str">
        <f t="shared" si="33"/>
        <v>7040066813554-1</v>
      </c>
      <c r="H1274" s="12" t="s">
        <v>3853</v>
      </c>
      <c r="I1274" s="15" t="s">
        <v>3854</v>
      </c>
      <c r="J1274" s="12" t="s">
        <v>3855</v>
      </c>
      <c r="K1274" s="12" t="s">
        <v>44</v>
      </c>
      <c r="L1274" s="12">
        <v>3017899505</v>
      </c>
      <c r="M1274" s="12" t="s">
        <v>45</v>
      </c>
      <c r="N1274" s="12" t="s">
        <v>780</v>
      </c>
      <c r="O1274" s="12" t="s">
        <v>260</v>
      </c>
      <c r="P1274" s="88" t="s">
        <v>261</v>
      </c>
      <c r="Q1274" s="13">
        <v>45117</v>
      </c>
      <c r="R1274" s="16">
        <v>0.92</v>
      </c>
      <c r="S1274" s="12" t="s">
        <v>210</v>
      </c>
      <c r="W1274" s="11"/>
      <c r="AC1274" s="16"/>
      <c r="AH1274" s="13"/>
      <c r="AI1274" s="16"/>
      <c r="AU1274" s="12" t="s">
        <v>53</v>
      </c>
    </row>
    <row r="1275" spans="1:47" s="12" customFormat="1" ht="14.4" hidden="1" x14ac:dyDescent="0.3">
      <c r="A1275" s="12" t="s">
        <v>39</v>
      </c>
      <c r="B1275" s="12" t="s">
        <v>3815</v>
      </c>
      <c r="C1275" s="12">
        <v>70</v>
      </c>
      <c r="D1275" s="12">
        <v>400</v>
      </c>
      <c r="F1275" s="14" t="s">
        <v>3856</v>
      </c>
      <c r="G1275" s="12" t="str">
        <f t="shared" si="33"/>
        <v>7040064915484</v>
      </c>
      <c r="H1275" s="12" t="s">
        <v>3857</v>
      </c>
      <c r="I1275" s="15">
        <v>64915484</v>
      </c>
      <c r="J1275" s="12" t="s">
        <v>3858</v>
      </c>
      <c r="K1275" s="12" t="s">
        <v>44</v>
      </c>
      <c r="L1275" s="12" t="s">
        <v>45</v>
      </c>
      <c r="M1275" s="12" t="s">
        <v>45</v>
      </c>
      <c r="N1275" s="12" t="s">
        <v>780</v>
      </c>
      <c r="O1275" s="12" t="s">
        <v>260</v>
      </c>
      <c r="P1275" s="88" t="s">
        <v>261</v>
      </c>
      <c r="R1275" s="16"/>
      <c r="W1275" s="11"/>
      <c r="AC1275" s="16"/>
      <c r="AI1275" s="16"/>
      <c r="AU1275" s="12" t="s">
        <v>53</v>
      </c>
    </row>
    <row r="1276" spans="1:47" s="12" customFormat="1" ht="14.4" hidden="1" x14ac:dyDescent="0.3">
      <c r="A1276" s="12" t="s">
        <v>39</v>
      </c>
      <c r="B1276" s="12" t="s">
        <v>3815</v>
      </c>
      <c r="C1276" s="12">
        <v>70</v>
      </c>
      <c r="D1276" s="12">
        <v>400</v>
      </c>
      <c r="F1276" s="14" t="s">
        <v>3859</v>
      </c>
      <c r="G1276" s="12" t="str">
        <f t="shared" si="33"/>
        <v>7040022840951</v>
      </c>
      <c r="H1276" s="12" t="s">
        <v>3860</v>
      </c>
      <c r="I1276" s="15">
        <v>22840951</v>
      </c>
      <c r="J1276" s="12" t="s">
        <v>3861</v>
      </c>
      <c r="K1276" s="12" t="s">
        <v>44</v>
      </c>
      <c r="L1276" s="12" t="s">
        <v>45</v>
      </c>
      <c r="M1276" s="12" t="s">
        <v>45</v>
      </c>
      <c r="N1276" s="12" t="s">
        <v>780</v>
      </c>
      <c r="O1276" s="12" t="s">
        <v>260</v>
      </c>
      <c r="P1276" s="88" t="s">
        <v>261</v>
      </c>
      <c r="Q1276" s="13" t="s">
        <v>3862</v>
      </c>
      <c r="R1276" s="16">
        <v>0.88</v>
      </c>
      <c r="S1276" s="12" t="s">
        <v>49</v>
      </c>
      <c r="V1276" s="13"/>
      <c r="W1276" s="11"/>
      <c r="AC1276" s="16"/>
      <c r="AH1276" s="13"/>
      <c r="AI1276" s="16"/>
      <c r="AU1276" s="12" t="s">
        <v>53</v>
      </c>
    </row>
    <row r="1277" spans="1:47" s="12" customFormat="1" ht="14.4" hidden="1" x14ac:dyDescent="0.3">
      <c r="A1277" s="12" t="s">
        <v>39</v>
      </c>
      <c r="B1277" s="12" t="s">
        <v>3815</v>
      </c>
      <c r="C1277" s="12">
        <v>70</v>
      </c>
      <c r="D1277" s="12">
        <v>400</v>
      </c>
      <c r="F1277" s="14" t="s">
        <v>3863</v>
      </c>
      <c r="G1277" s="12" t="str">
        <f t="shared" si="33"/>
        <v>704005896601</v>
      </c>
      <c r="H1277" s="12" t="s">
        <v>3864</v>
      </c>
      <c r="I1277" s="15">
        <v>5896601</v>
      </c>
      <c r="J1277" s="12" t="s">
        <v>3865</v>
      </c>
      <c r="K1277" s="12" t="s">
        <v>44</v>
      </c>
      <c r="L1277" s="12" t="s">
        <v>45</v>
      </c>
      <c r="M1277" s="12" t="s">
        <v>45</v>
      </c>
      <c r="N1277" s="12" t="s">
        <v>780</v>
      </c>
      <c r="O1277" s="12" t="s">
        <v>260</v>
      </c>
      <c r="P1277" s="88" t="s">
        <v>261</v>
      </c>
      <c r="Q1277" s="13" t="s">
        <v>3866</v>
      </c>
      <c r="R1277" s="16">
        <v>0.89</v>
      </c>
      <c r="S1277" s="12" t="s">
        <v>49</v>
      </c>
      <c r="V1277" s="13"/>
      <c r="W1277" s="11"/>
      <c r="AC1277" s="16"/>
      <c r="AH1277" s="13"/>
      <c r="AI1277" s="16"/>
      <c r="AU1277" s="12" t="s">
        <v>53</v>
      </c>
    </row>
    <row r="1278" spans="1:47" s="12" customFormat="1" ht="14.4" hidden="1" x14ac:dyDescent="0.3">
      <c r="A1278" s="12" t="s">
        <v>39</v>
      </c>
      <c r="B1278" s="12" t="s">
        <v>3815</v>
      </c>
      <c r="C1278" s="12">
        <v>70</v>
      </c>
      <c r="D1278" s="12">
        <v>400</v>
      </c>
      <c r="F1278" s="14" t="s">
        <v>3867</v>
      </c>
      <c r="G1278" s="12" t="str">
        <f t="shared" si="33"/>
        <v>7040011052342</v>
      </c>
      <c r="H1278" s="12" t="s">
        <v>3868</v>
      </c>
      <c r="I1278" s="15">
        <v>11052342</v>
      </c>
      <c r="J1278" s="12" t="s">
        <v>3869</v>
      </c>
      <c r="K1278" s="12" t="s">
        <v>44</v>
      </c>
      <c r="L1278" s="12" t="s">
        <v>45</v>
      </c>
      <c r="M1278" s="12" t="s">
        <v>45</v>
      </c>
      <c r="N1278" s="12" t="s">
        <v>780</v>
      </c>
      <c r="O1278" s="12" t="s">
        <v>260</v>
      </c>
      <c r="P1278" s="88" t="s">
        <v>261</v>
      </c>
      <c r="Q1278" s="13" t="s">
        <v>1048</v>
      </c>
      <c r="R1278" s="16">
        <v>0.79</v>
      </c>
      <c r="S1278" s="12" t="s">
        <v>49</v>
      </c>
      <c r="V1278" s="13"/>
      <c r="W1278" s="11"/>
      <c r="AC1278" s="16"/>
      <c r="AH1278" s="13"/>
      <c r="AI1278" s="16"/>
      <c r="AU1278" s="12" t="s">
        <v>53</v>
      </c>
    </row>
    <row r="1279" spans="1:47" s="12" customFormat="1" ht="14.4" hidden="1" x14ac:dyDescent="0.3">
      <c r="A1279" s="12" t="s">
        <v>39</v>
      </c>
      <c r="B1279" s="12" t="s">
        <v>3815</v>
      </c>
      <c r="C1279" s="12">
        <v>70</v>
      </c>
      <c r="D1279" s="12">
        <v>400</v>
      </c>
      <c r="F1279" s="14" t="s">
        <v>3870</v>
      </c>
      <c r="G1279" s="12" t="str">
        <f t="shared" si="33"/>
        <v>7040011050651</v>
      </c>
      <c r="H1279" s="12" t="s">
        <v>3871</v>
      </c>
      <c r="I1279" s="15">
        <v>11050651</v>
      </c>
      <c r="J1279" s="12" t="s">
        <v>3872</v>
      </c>
      <c r="K1279" s="12" t="s">
        <v>44</v>
      </c>
      <c r="L1279" s="12" t="s">
        <v>45</v>
      </c>
      <c r="M1279" s="12" t="s">
        <v>45</v>
      </c>
      <c r="N1279" s="12" t="s">
        <v>780</v>
      </c>
      <c r="O1279" s="12" t="s">
        <v>260</v>
      </c>
      <c r="P1279" s="88" t="s">
        <v>261</v>
      </c>
      <c r="Q1279" s="13" t="s">
        <v>990</v>
      </c>
      <c r="R1279" s="16">
        <v>0.82</v>
      </c>
      <c r="S1279" s="12" t="s">
        <v>49</v>
      </c>
      <c r="W1279" s="11"/>
      <c r="AC1279" s="16"/>
      <c r="AH1279" s="13"/>
      <c r="AI1279" s="16"/>
      <c r="AU1279" s="12" t="s">
        <v>53</v>
      </c>
    </row>
    <row r="1280" spans="1:47" s="12" customFormat="1" ht="14.4" hidden="1" x14ac:dyDescent="0.3">
      <c r="A1280" s="12" t="s">
        <v>39</v>
      </c>
      <c r="B1280" s="12" t="s">
        <v>3815</v>
      </c>
      <c r="C1280" s="12">
        <v>70</v>
      </c>
      <c r="D1280" s="12">
        <v>400</v>
      </c>
      <c r="F1280" s="14" t="s">
        <v>3873</v>
      </c>
      <c r="G1280" s="12" t="str">
        <f t="shared" si="33"/>
        <v>7040064706253</v>
      </c>
      <c r="H1280" s="12" t="s">
        <v>3874</v>
      </c>
      <c r="I1280" s="15">
        <v>64706253</v>
      </c>
      <c r="J1280" s="12" t="s">
        <v>3875</v>
      </c>
      <c r="K1280" s="12" t="s">
        <v>44</v>
      </c>
      <c r="L1280" s="12" t="s">
        <v>45</v>
      </c>
      <c r="M1280" s="12" t="s">
        <v>45</v>
      </c>
      <c r="N1280" s="12" t="s">
        <v>780</v>
      </c>
      <c r="O1280" s="12" t="s">
        <v>260</v>
      </c>
      <c r="P1280" s="88" t="s">
        <v>261</v>
      </c>
      <c r="Q1280" s="13">
        <v>44664</v>
      </c>
      <c r="R1280" s="16">
        <v>0.77</v>
      </c>
      <c r="S1280" s="12" t="s">
        <v>49</v>
      </c>
      <c r="V1280" s="13">
        <v>44645</v>
      </c>
      <c r="W1280" s="11">
        <v>0.79</v>
      </c>
      <c r="X1280" s="12" t="s">
        <v>49</v>
      </c>
      <c r="AB1280" s="13"/>
      <c r="AC1280" s="16"/>
      <c r="AH1280" s="13"/>
      <c r="AI1280" s="16"/>
      <c r="AU1280" s="12" t="s">
        <v>53</v>
      </c>
    </row>
    <row r="1281" spans="1:47" s="12" customFormat="1" ht="14.4" hidden="1" x14ac:dyDescent="0.3">
      <c r="A1281" s="12" t="s">
        <v>39</v>
      </c>
      <c r="B1281" s="12" t="s">
        <v>3815</v>
      </c>
      <c r="C1281" s="12">
        <v>70</v>
      </c>
      <c r="D1281" s="12">
        <v>400</v>
      </c>
      <c r="F1281" s="14" t="s">
        <v>3876</v>
      </c>
      <c r="G1281" s="12" t="str">
        <f t="shared" si="33"/>
        <v>7040042206954</v>
      </c>
      <c r="H1281" s="12" t="s">
        <v>3877</v>
      </c>
      <c r="I1281" s="15">
        <v>42206954</v>
      </c>
      <c r="J1281" s="12" t="s">
        <v>3878</v>
      </c>
      <c r="K1281" s="12" t="s">
        <v>44</v>
      </c>
      <c r="L1281" s="12" t="s">
        <v>45</v>
      </c>
      <c r="M1281" s="12" t="s">
        <v>45</v>
      </c>
      <c r="N1281" s="12" t="s">
        <v>780</v>
      </c>
      <c r="O1281" s="12" t="s">
        <v>260</v>
      </c>
      <c r="P1281" s="88" t="s">
        <v>261</v>
      </c>
      <c r="Q1281" s="13">
        <v>44455</v>
      </c>
      <c r="R1281" s="16">
        <v>0.86499999999999999</v>
      </c>
      <c r="S1281" s="12" t="s">
        <v>49</v>
      </c>
      <c r="V1281" s="13">
        <v>44039</v>
      </c>
      <c r="W1281" s="11">
        <v>0.79</v>
      </c>
      <c r="X1281" s="12" t="s">
        <v>49</v>
      </c>
      <c r="AB1281" s="13"/>
      <c r="AC1281" s="16"/>
      <c r="AH1281" s="13"/>
      <c r="AI1281" s="16"/>
      <c r="AU1281" s="12" t="s">
        <v>53</v>
      </c>
    </row>
    <row r="1282" spans="1:47" s="12" customFormat="1" ht="14.4" hidden="1" x14ac:dyDescent="0.3">
      <c r="A1282" s="12" t="s">
        <v>39</v>
      </c>
      <c r="B1282" s="12" t="s">
        <v>3815</v>
      </c>
      <c r="C1282" s="12">
        <v>70</v>
      </c>
      <c r="D1282" s="12">
        <v>400</v>
      </c>
      <c r="F1282" s="14" t="s">
        <v>3879</v>
      </c>
      <c r="G1282" s="12" t="str">
        <f t="shared" si="33"/>
        <v>7040011051073</v>
      </c>
      <c r="H1282" s="12" t="s">
        <v>3880</v>
      </c>
      <c r="I1282" s="15">
        <v>11051073</v>
      </c>
      <c r="J1282" s="12" t="s">
        <v>3881</v>
      </c>
      <c r="K1282" s="12" t="s">
        <v>44</v>
      </c>
      <c r="L1282" s="12" t="s">
        <v>45</v>
      </c>
      <c r="M1282" s="12" t="s">
        <v>45</v>
      </c>
      <c r="N1282" s="12" t="s">
        <v>780</v>
      </c>
      <c r="O1282" s="12" t="s">
        <v>260</v>
      </c>
      <c r="P1282" s="88" t="s">
        <v>261</v>
      </c>
      <c r="R1282" s="16"/>
      <c r="W1282" s="11"/>
      <c r="AB1282" s="13"/>
      <c r="AC1282" s="16"/>
      <c r="AI1282" s="16"/>
      <c r="AU1282" s="12" t="s">
        <v>53</v>
      </c>
    </row>
    <row r="1283" spans="1:47" s="12" customFormat="1" ht="14.4" hidden="1" x14ac:dyDescent="0.3">
      <c r="A1283" s="12" t="s">
        <v>39</v>
      </c>
      <c r="B1283" s="12" t="s">
        <v>3815</v>
      </c>
      <c r="C1283" s="12">
        <v>70</v>
      </c>
      <c r="D1283" s="12">
        <v>400</v>
      </c>
      <c r="F1283" s="14" t="s">
        <v>3882</v>
      </c>
      <c r="G1283" s="12" t="str">
        <f t="shared" si="33"/>
        <v>704001010141701</v>
      </c>
      <c r="H1283" s="12" t="s">
        <v>3883</v>
      </c>
      <c r="I1283" s="15">
        <v>1010141701</v>
      </c>
      <c r="J1283" s="12" t="s">
        <v>3884</v>
      </c>
      <c r="K1283" s="12" t="s">
        <v>44</v>
      </c>
      <c r="L1283" s="12" t="s">
        <v>45</v>
      </c>
      <c r="M1283" s="12" t="s">
        <v>45</v>
      </c>
      <c r="N1283" s="12" t="s">
        <v>780</v>
      </c>
      <c r="O1283" s="12" t="s">
        <v>260</v>
      </c>
      <c r="P1283" s="88" t="s">
        <v>261</v>
      </c>
      <c r="Q1283" s="13">
        <v>44817</v>
      </c>
      <c r="R1283" s="16">
        <v>0.93</v>
      </c>
      <c r="S1283" s="12" t="s">
        <v>210</v>
      </c>
      <c r="V1283" s="13">
        <v>44425</v>
      </c>
      <c r="W1283" s="11">
        <v>0.83</v>
      </c>
      <c r="X1283" s="12" t="s">
        <v>49</v>
      </c>
      <c r="AB1283" s="13"/>
      <c r="AC1283" s="16"/>
      <c r="AH1283" s="13"/>
      <c r="AI1283" s="16"/>
      <c r="AU1283" s="12" t="s">
        <v>53</v>
      </c>
    </row>
    <row r="1284" spans="1:47" s="12" customFormat="1" ht="14.4" hidden="1" x14ac:dyDescent="0.3">
      <c r="A1284" s="12" t="s">
        <v>39</v>
      </c>
      <c r="B1284" s="12" t="s">
        <v>3815</v>
      </c>
      <c r="C1284" s="12">
        <v>70</v>
      </c>
      <c r="D1284" s="12">
        <v>400</v>
      </c>
      <c r="F1284" s="14" t="s">
        <v>3885</v>
      </c>
      <c r="G1284" s="12" t="str">
        <f t="shared" si="33"/>
        <v>70400</v>
      </c>
      <c r="H1284" s="12" t="s">
        <v>3886</v>
      </c>
      <c r="I1284" s="15"/>
      <c r="J1284" s="12" t="s">
        <v>3887</v>
      </c>
      <c r="K1284" s="12" t="s">
        <v>44</v>
      </c>
      <c r="L1284" s="12" t="s">
        <v>45</v>
      </c>
      <c r="M1284" s="12" t="s">
        <v>45</v>
      </c>
      <c r="N1284" s="12" t="s">
        <v>780</v>
      </c>
      <c r="O1284" s="12" t="s">
        <v>260</v>
      </c>
      <c r="P1284" s="88" t="s">
        <v>261</v>
      </c>
      <c r="R1284" s="16"/>
      <c r="V1284" s="13"/>
      <c r="W1284" s="11"/>
      <c r="AB1284" s="13"/>
      <c r="AC1284" s="16"/>
      <c r="AH1284" s="13"/>
      <c r="AI1284" s="16"/>
      <c r="AU1284" s="12" t="s">
        <v>53</v>
      </c>
    </row>
    <row r="1285" spans="1:47" s="12" customFormat="1" ht="14.4" hidden="1" x14ac:dyDescent="0.3">
      <c r="A1285" s="12" t="s">
        <v>39</v>
      </c>
      <c r="B1285" s="12" t="s">
        <v>3815</v>
      </c>
      <c r="C1285" s="12">
        <v>70</v>
      </c>
      <c r="D1285" s="12">
        <v>400</v>
      </c>
      <c r="F1285" s="14" t="s">
        <v>3888</v>
      </c>
      <c r="G1285" s="12" t="str">
        <f t="shared" si="33"/>
        <v>7040011052740</v>
      </c>
      <c r="H1285" s="12" t="s">
        <v>3889</v>
      </c>
      <c r="I1285" s="15">
        <v>11052740</v>
      </c>
      <c r="J1285" s="12" t="s">
        <v>3890</v>
      </c>
      <c r="K1285" s="12" t="s">
        <v>44</v>
      </c>
      <c r="L1285" s="12" t="s">
        <v>45</v>
      </c>
      <c r="M1285" s="12" t="s">
        <v>45</v>
      </c>
      <c r="N1285" s="12" t="s">
        <v>780</v>
      </c>
      <c r="O1285" s="12" t="s">
        <v>260</v>
      </c>
      <c r="P1285" s="88" t="s">
        <v>261</v>
      </c>
      <c r="R1285" s="16"/>
      <c r="V1285" s="13"/>
      <c r="W1285" s="11"/>
      <c r="AB1285" s="13"/>
      <c r="AC1285" s="16"/>
      <c r="AH1285" s="13"/>
      <c r="AI1285" s="16"/>
      <c r="AU1285" s="12" t="s">
        <v>53</v>
      </c>
    </row>
    <row r="1286" spans="1:47" s="12" customFormat="1" ht="14.4" hidden="1" x14ac:dyDescent="0.3">
      <c r="A1286" s="12" t="s">
        <v>39</v>
      </c>
      <c r="B1286" s="12" t="s">
        <v>3815</v>
      </c>
      <c r="C1286" s="12">
        <v>70</v>
      </c>
      <c r="D1286" s="12">
        <v>400</v>
      </c>
      <c r="F1286" s="14" t="s">
        <v>3891</v>
      </c>
      <c r="G1286" s="12" t="str">
        <f t="shared" si="33"/>
        <v>7040092540613</v>
      </c>
      <c r="H1286" s="12" t="s">
        <v>3892</v>
      </c>
      <c r="I1286" s="15">
        <v>92540613</v>
      </c>
      <c r="J1286" s="12" t="s">
        <v>3893</v>
      </c>
      <c r="K1286" s="12" t="s">
        <v>44</v>
      </c>
      <c r="L1286" s="12" t="s">
        <v>45</v>
      </c>
      <c r="M1286" s="12" t="s">
        <v>45</v>
      </c>
      <c r="N1286" s="12" t="s">
        <v>780</v>
      </c>
      <c r="O1286" s="12" t="s">
        <v>260</v>
      </c>
      <c r="P1286" s="88" t="s">
        <v>261</v>
      </c>
      <c r="Q1286" s="13">
        <v>45148</v>
      </c>
      <c r="R1286" s="16">
        <v>0.85</v>
      </c>
      <c r="S1286" s="12" t="s">
        <v>49</v>
      </c>
      <c r="W1286" s="11"/>
      <c r="AB1286" s="13"/>
      <c r="AC1286" s="16"/>
      <c r="AI1286" s="16"/>
      <c r="AU1286" s="12" t="s">
        <v>53</v>
      </c>
    </row>
    <row r="1287" spans="1:47" s="12" customFormat="1" ht="14.4" hidden="1" x14ac:dyDescent="0.3">
      <c r="A1287" s="12" t="s">
        <v>39</v>
      </c>
      <c r="B1287" s="12" t="s">
        <v>3815</v>
      </c>
      <c r="C1287" s="12">
        <v>70</v>
      </c>
      <c r="D1287" s="12">
        <v>400</v>
      </c>
      <c r="F1287" s="14" t="s">
        <v>3894</v>
      </c>
      <c r="G1287" s="12" t="str">
        <f t="shared" si="33"/>
        <v>7040078028959</v>
      </c>
      <c r="H1287" s="12" t="s">
        <v>3895</v>
      </c>
      <c r="I1287" s="15">
        <v>78028959</v>
      </c>
      <c r="J1287" s="12" t="s">
        <v>3896</v>
      </c>
      <c r="K1287" s="12" t="s">
        <v>44</v>
      </c>
      <c r="L1287" s="12" t="s">
        <v>45</v>
      </c>
      <c r="M1287" s="12" t="s">
        <v>45</v>
      </c>
      <c r="N1287" s="12" t="s">
        <v>780</v>
      </c>
      <c r="O1287" s="12" t="s">
        <v>260</v>
      </c>
      <c r="P1287" s="88" t="s">
        <v>261</v>
      </c>
      <c r="Q1287" s="13">
        <v>44908</v>
      </c>
      <c r="R1287" s="16">
        <v>0.79</v>
      </c>
      <c r="S1287" s="12" t="s">
        <v>49</v>
      </c>
      <c r="V1287" s="13">
        <v>44908</v>
      </c>
      <c r="W1287" s="11">
        <v>0.79</v>
      </c>
      <c r="X1287" s="12" t="s">
        <v>49</v>
      </c>
      <c r="AC1287" s="16"/>
      <c r="AH1287" s="13"/>
      <c r="AI1287" s="16"/>
      <c r="AU1287" s="12" t="s">
        <v>53</v>
      </c>
    </row>
    <row r="1288" spans="1:47" s="12" customFormat="1" ht="14.4" hidden="1" x14ac:dyDescent="0.3">
      <c r="A1288" s="12" t="s">
        <v>39</v>
      </c>
      <c r="B1288" s="12" t="s">
        <v>3815</v>
      </c>
      <c r="C1288" s="12">
        <v>70</v>
      </c>
      <c r="D1288" s="12">
        <v>400</v>
      </c>
      <c r="F1288" s="14" t="s">
        <v>3897</v>
      </c>
      <c r="G1288" s="12" t="str">
        <f t="shared" si="33"/>
        <v>7040078028959</v>
      </c>
      <c r="H1288" s="12" t="s">
        <v>3895</v>
      </c>
      <c r="I1288" s="15">
        <v>78028959</v>
      </c>
      <c r="J1288" s="12" t="s">
        <v>3898</v>
      </c>
      <c r="K1288" s="12" t="s">
        <v>44</v>
      </c>
      <c r="L1288" s="12">
        <v>3014334976</v>
      </c>
      <c r="M1288" s="12" t="s">
        <v>45</v>
      </c>
      <c r="N1288" s="12" t="s">
        <v>780</v>
      </c>
      <c r="O1288" s="12" t="s">
        <v>260</v>
      </c>
      <c r="P1288" s="88" t="s">
        <v>261</v>
      </c>
      <c r="Q1288" s="13">
        <v>44628</v>
      </c>
      <c r="R1288" s="16">
        <v>0.78</v>
      </c>
      <c r="S1288" s="12" t="s">
        <v>49</v>
      </c>
      <c r="V1288" s="13">
        <v>44628</v>
      </c>
      <c r="W1288" s="11">
        <v>0.79</v>
      </c>
      <c r="X1288" s="12" t="s">
        <v>49</v>
      </c>
      <c r="AC1288" s="16"/>
      <c r="AH1288" s="13"/>
      <c r="AI1288" s="16"/>
      <c r="AU1288" s="12" t="s">
        <v>53</v>
      </c>
    </row>
    <row r="1289" spans="1:47" s="12" customFormat="1" ht="14.4" hidden="1" x14ac:dyDescent="0.3">
      <c r="A1289" s="12" t="s">
        <v>39</v>
      </c>
      <c r="B1289" s="12" t="s">
        <v>3815</v>
      </c>
      <c r="C1289" s="12">
        <v>70</v>
      </c>
      <c r="D1289" s="12">
        <v>400</v>
      </c>
      <c r="F1289" s="14" t="s">
        <v>3899</v>
      </c>
      <c r="G1289" s="12" t="str">
        <f t="shared" si="33"/>
        <v>704001102121133</v>
      </c>
      <c r="H1289" s="12" t="s">
        <v>3900</v>
      </c>
      <c r="I1289" s="15">
        <v>1102121133</v>
      </c>
      <c r="J1289" s="12" t="s">
        <v>3789</v>
      </c>
      <c r="K1289" s="12" t="s">
        <v>44</v>
      </c>
      <c r="L1289" s="12" t="s">
        <v>45</v>
      </c>
      <c r="M1289" s="12" t="s">
        <v>45</v>
      </c>
      <c r="N1289" s="12" t="s">
        <v>780</v>
      </c>
      <c r="O1289" s="12" t="s">
        <v>260</v>
      </c>
      <c r="P1289" s="88" t="s">
        <v>261</v>
      </c>
      <c r="Q1289" s="13">
        <v>44812</v>
      </c>
      <c r="R1289" s="16">
        <v>0.79500000000000004</v>
      </c>
      <c r="S1289" s="12" t="s">
        <v>49</v>
      </c>
      <c r="V1289" s="13">
        <v>44812</v>
      </c>
      <c r="W1289" s="11">
        <v>0.79</v>
      </c>
      <c r="X1289" s="12" t="s">
        <v>49</v>
      </c>
      <c r="AC1289" s="16"/>
      <c r="AH1289" s="13"/>
      <c r="AI1289" s="16"/>
      <c r="AU1289" s="12" t="s">
        <v>53</v>
      </c>
    </row>
    <row r="1290" spans="1:47" s="12" customFormat="1" ht="14.4" hidden="1" x14ac:dyDescent="0.3">
      <c r="A1290" s="12" t="s">
        <v>39</v>
      </c>
      <c r="B1290" s="12" t="s">
        <v>3815</v>
      </c>
      <c r="C1290" s="12">
        <v>70</v>
      </c>
      <c r="D1290" s="12">
        <v>400</v>
      </c>
      <c r="F1290" s="14" t="s">
        <v>3901</v>
      </c>
      <c r="G1290" s="12" t="str">
        <f t="shared" si="33"/>
        <v>704001069469059</v>
      </c>
      <c r="H1290" s="12" t="s">
        <v>3902</v>
      </c>
      <c r="I1290" s="15">
        <v>1069469059</v>
      </c>
      <c r="J1290" s="12" t="s">
        <v>3903</v>
      </c>
      <c r="K1290" s="12" t="s">
        <v>44</v>
      </c>
      <c r="L1290" s="12">
        <v>3233531279</v>
      </c>
      <c r="M1290" s="12" t="s">
        <v>45</v>
      </c>
      <c r="N1290" s="12" t="s">
        <v>780</v>
      </c>
      <c r="O1290" s="12" t="s">
        <v>260</v>
      </c>
      <c r="P1290" s="88" t="s">
        <v>261</v>
      </c>
      <c r="Q1290" s="13">
        <v>45053</v>
      </c>
      <c r="R1290" s="16">
        <v>0.86499999999999999</v>
      </c>
      <c r="S1290" s="12" t="s">
        <v>49</v>
      </c>
      <c r="W1290" s="11"/>
      <c r="AC1290" s="16"/>
      <c r="AH1290" s="13"/>
      <c r="AI1290" s="16"/>
      <c r="AU1290" s="12" t="s">
        <v>53</v>
      </c>
    </row>
    <row r="1291" spans="1:47" s="12" customFormat="1" ht="14.4" hidden="1" x14ac:dyDescent="0.3">
      <c r="A1291" s="12" t="s">
        <v>39</v>
      </c>
      <c r="B1291" s="12" t="s">
        <v>3815</v>
      </c>
      <c r="C1291" s="12">
        <v>70</v>
      </c>
      <c r="D1291" s="12">
        <v>400</v>
      </c>
      <c r="F1291" s="14" t="s">
        <v>3904</v>
      </c>
      <c r="G1291" s="12" t="str">
        <f t="shared" si="33"/>
        <v>7040011052835</v>
      </c>
      <c r="H1291" s="12" t="s">
        <v>3905</v>
      </c>
      <c r="I1291" s="15">
        <v>11052835</v>
      </c>
      <c r="J1291" s="12" t="s">
        <v>3906</v>
      </c>
      <c r="K1291" s="12" t="s">
        <v>44</v>
      </c>
      <c r="L1291" s="12" t="s">
        <v>45</v>
      </c>
      <c r="M1291" s="12" t="s">
        <v>45</v>
      </c>
      <c r="N1291" s="12" t="s">
        <v>780</v>
      </c>
      <c r="O1291" s="12" t="s">
        <v>260</v>
      </c>
      <c r="P1291" s="88" t="s">
        <v>261</v>
      </c>
      <c r="R1291" s="16"/>
      <c r="W1291" s="11"/>
      <c r="AC1291" s="16"/>
      <c r="AH1291" s="13"/>
      <c r="AI1291" s="16"/>
      <c r="AU1291" s="12" t="s">
        <v>53</v>
      </c>
    </row>
    <row r="1292" spans="1:47" s="12" customFormat="1" ht="14.4" hidden="1" x14ac:dyDescent="0.3">
      <c r="A1292" s="12" t="s">
        <v>39</v>
      </c>
      <c r="B1292" s="12" t="s">
        <v>3815</v>
      </c>
      <c r="C1292" s="12">
        <v>70</v>
      </c>
      <c r="D1292" s="12">
        <v>400</v>
      </c>
      <c r="F1292" s="14" t="s">
        <v>3907</v>
      </c>
      <c r="G1292" s="12" t="str">
        <f t="shared" si="33"/>
        <v>7040064577197</v>
      </c>
      <c r="H1292" s="12" t="s">
        <v>3908</v>
      </c>
      <c r="I1292" s="15">
        <v>64577197</v>
      </c>
      <c r="J1292" s="12" t="s">
        <v>3909</v>
      </c>
      <c r="K1292" s="12" t="s">
        <v>44</v>
      </c>
      <c r="L1292" s="12" t="s">
        <v>45</v>
      </c>
      <c r="M1292" s="12" t="s">
        <v>45</v>
      </c>
      <c r="N1292" s="12" t="s">
        <v>780</v>
      </c>
      <c r="O1292" s="12" t="s">
        <v>260</v>
      </c>
      <c r="P1292" s="88" t="s">
        <v>261</v>
      </c>
      <c r="Q1292" s="13">
        <v>45149</v>
      </c>
      <c r="R1292" s="16">
        <v>0.90500000000000003</v>
      </c>
      <c r="S1292" s="12" t="s">
        <v>210</v>
      </c>
      <c r="V1292" s="13"/>
      <c r="W1292" s="11"/>
      <c r="AC1292" s="16"/>
      <c r="AH1292" s="13"/>
      <c r="AI1292" s="16"/>
      <c r="AU1292" s="12" t="s">
        <v>53</v>
      </c>
    </row>
    <row r="1293" spans="1:47" s="12" customFormat="1" ht="14.4" hidden="1" x14ac:dyDescent="0.3">
      <c r="A1293" s="12" t="s">
        <v>39</v>
      </c>
      <c r="B1293" s="12" t="s">
        <v>3815</v>
      </c>
      <c r="C1293" s="12">
        <v>70</v>
      </c>
      <c r="D1293" s="12">
        <v>400</v>
      </c>
      <c r="F1293" s="14" t="s">
        <v>3910</v>
      </c>
      <c r="G1293" s="12" t="str">
        <f t="shared" si="33"/>
        <v>7040011100682270</v>
      </c>
      <c r="H1293" s="12" t="s">
        <v>3911</v>
      </c>
      <c r="I1293" s="15">
        <v>11100682270</v>
      </c>
      <c r="J1293" s="12" t="s">
        <v>3912</v>
      </c>
      <c r="K1293" s="12" t="s">
        <v>44</v>
      </c>
      <c r="L1293" s="12" t="s">
        <v>45</v>
      </c>
      <c r="M1293" s="12" t="s">
        <v>45</v>
      </c>
      <c r="N1293" s="12" t="s">
        <v>780</v>
      </c>
      <c r="O1293" s="12" t="s">
        <v>260</v>
      </c>
      <c r="P1293" s="88" t="s">
        <v>261</v>
      </c>
      <c r="Q1293" s="13">
        <v>45148</v>
      </c>
      <c r="R1293" s="16">
        <v>0.85</v>
      </c>
      <c r="S1293" s="12" t="s">
        <v>49</v>
      </c>
      <c r="V1293" s="13"/>
      <c r="W1293" s="11"/>
      <c r="AC1293" s="16"/>
      <c r="AH1293" s="13"/>
      <c r="AI1293" s="16"/>
      <c r="AU1293" s="12" t="s">
        <v>53</v>
      </c>
    </row>
    <row r="1294" spans="1:47" s="12" customFormat="1" ht="14.4" hidden="1" x14ac:dyDescent="0.3">
      <c r="A1294" s="12" t="s">
        <v>39</v>
      </c>
      <c r="B1294" s="12" t="s">
        <v>3815</v>
      </c>
      <c r="C1294" s="12">
        <v>70</v>
      </c>
      <c r="D1294" s="12">
        <v>400</v>
      </c>
      <c r="F1294" s="14" t="s">
        <v>3913</v>
      </c>
      <c r="G1294" s="12" t="str">
        <f t="shared" si="33"/>
        <v>7040011050651</v>
      </c>
      <c r="H1294" s="12" t="s">
        <v>3914</v>
      </c>
      <c r="I1294" s="15">
        <v>11050651</v>
      </c>
      <c r="J1294" s="12" t="s">
        <v>3915</v>
      </c>
      <c r="K1294" s="12" t="s">
        <v>44</v>
      </c>
      <c r="L1294" s="12" t="s">
        <v>45</v>
      </c>
      <c r="M1294" s="12" t="s">
        <v>45</v>
      </c>
      <c r="N1294" s="12" t="s">
        <v>780</v>
      </c>
      <c r="O1294" s="12" t="s">
        <v>260</v>
      </c>
      <c r="P1294" s="88" t="s">
        <v>261</v>
      </c>
      <c r="Q1294" s="13">
        <v>45147</v>
      </c>
      <c r="R1294" s="16">
        <v>0.85</v>
      </c>
      <c r="S1294" s="12" t="s">
        <v>49</v>
      </c>
      <c r="V1294" s="13" t="s">
        <v>3916</v>
      </c>
      <c r="W1294" s="11">
        <v>0.88</v>
      </c>
      <c r="X1294" s="12" t="s">
        <v>49</v>
      </c>
      <c r="AC1294" s="16"/>
      <c r="AH1294" s="13"/>
      <c r="AI1294" s="16"/>
      <c r="AU1294" s="12" t="s">
        <v>53</v>
      </c>
    </row>
    <row r="1295" spans="1:47" s="12" customFormat="1" ht="14.4" hidden="1" x14ac:dyDescent="0.3">
      <c r="A1295" s="12" t="s">
        <v>39</v>
      </c>
      <c r="B1295" s="12" t="s">
        <v>3815</v>
      </c>
      <c r="C1295" s="12">
        <v>70</v>
      </c>
      <c r="D1295" s="12">
        <v>400</v>
      </c>
      <c r="F1295" s="14" t="s">
        <v>3917</v>
      </c>
      <c r="G1295" s="12" t="str">
        <f t="shared" si="33"/>
        <v>7040026046934</v>
      </c>
      <c r="H1295" s="12" t="s">
        <v>3918</v>
      </c>
      <c r="I1295" s="15">
        <v>26046934</v>
      </c>
      <c r="J1295" s="12" t="s">
        <v>3919</v>
      </c>
      <c r="K1295" s="12" t="s">
        <v>44</v>
      </c>
      <c r="L1295" s="12">
        <v>3209195184</v>
      </c>
      <c r="M1295" s="12" t="s">
        <v>45</v>
      </c>
      <c r="N1295" s="12" t="s">
        <v>780</v>
      </c>
      <c r="O1295" s="12" t="s">
        <v>260</v>
      </c>
      <c r="P1295" s="88" t="s">
        <v>261</v>
      </c>
      <c r="Q1295" s="13">
        <v>45162</v>
      </c>
      <c r="R1295" s="16">
        <v>0.79</v>
      </c>
      <c r="S1295" s="12" t="s">
        <v>49</v>
      </c>
      <c r="V1295" s="13">
        <v>44546</v>
      </c>
      <c r="W1295" s="11">
        <v>0.74750000000000005</v>
      </c>
      <c r="X1295" s="12" t="s">
        <v>49</v>
      </c>
      <c r="AC1295" s="16"/>
      <c r="AH1295" s="13"/>
      <c r="AI1295" s="16"/>
      <c r="AU1295" s="12" t="s">
        <v>53</v>
      </c>
    </row>
    <row r="1296" spans="1:47" s="12" customFormat="1" ht="14.4" hidden="1" x14ac:dyDescent="0.3">
      <c r="A1296" s="12" t="s">
        <v>39</v>
      </c>
      <c r="B1296" s="12" t="s">
        <v>3815</v>
      </c>
      <c r="C1296" s="12">
        <v>70</v>
      </c>
      <c r="D1296" s="12">
        <v>400</v>
      </c>
      <c r="F1296" s="14" t="s">
        <v>3920</v>
      </c>
      <c r="G1296" s="12" t="str">
        <f t="shared" si="33"/>
        <v>7040052661594</v>
      </c>
      <c r="H1296" s="12" t="s">
        <v>3921</v>
      </c>
      <c r="I1296" s="15">
        <v>52661594</v>
      </c>
      <c r="J1296" s="12" t="s">
        <v>3922</v>
      </c>
      <c r="K1296" s="12" t="s">
        <v>44</v>
      </c>
      <c r="L1296" s="12">
        <v>3216427983</v>
      </c>
      <c r="M1296" s="12" t="s">
        <v>45</v>
      </c>
      <c r="N1296" s="12" t="s">
        <v>780</v>
      </c>
      <c r="O1296" s="12" t="s">
        <v>260</v>
      </c>
      <c r="P1296" s="88" t="s">
        <v>261</v>
      </c>
      <c r="Q1296" s="13">
        <v>45069</v>
      </c>
      <c r="R1296" s="16">
        <v>0.81</v>
      </c>
      <c r="S1296" s="12" t="s">
        <v>49</v>
      </c>
      <c r="V1296" s="13"/>
      <c r="W1296" s="11"/>
      <c r="AC1296" s="16"/>
      <c r="AH1296" s="13"/>
      <c r="AI1296" s="16"/>
      <c r="AU1296" s="12" t="s">
        <v>53</v>
      </c>
    </row>
    <row r="1297" spans="1:47" s="12" customFormat="1" ht="14.4" hidden="1" x14ac:dyDescent="0.3">
      <c r="A1297" s="12" t="s">
        <v>39</v>
      </c>
      <c r="B1297" s="12" t="s">
        <v>3815</v>
      </c>
      <c r="C1297" s="12">
        <v>70</v>
      </c>
      <c r="D1297" s="12">
        <v>400</v>
      </c>
      <c r="F1297" s="14" t="s">
        <v>3923</v>
      </c>
      <c r="G1297" s="12" t="str">
        <f t="shared" si="33"/>
        <v>7040064706191</v>
      </c>
      <c r="H1297" s="12" t="s">
        <v>3924</v>
      </c>
      <c r="I1297" s="15">
        <v>64706191</v>
      </c>
      <c r="J1297" s="12" t="s">
        <v>3925</v>
      </c>
      <c r="K1297" s="12" t="s">
        <v>44</v>
      </c>
      <c r="L1297" s="12">
        <v>3052787351</v>
      </c>
      <c r="M1297" s="12" t="s">
        <v>45</v>
      </c>
      <c r="N1297" s="12" t="s">
        <v>780</v>
      </c>
      <c r="O1297" s="12" t="s">
        <v>260</v>
      </c>
      <c r="P1297" s="88" t="s">
        <v>261</v>
      </c>
      <c r="Q1297" s="13">
        <v>45030</v>
      </c>
      <c r="R1297" s="16">
        <v>0.755</v>
      </c>
      <c r="S1297" s="12" t="s">
        <v>49</v>
      </c>
      <c r="V1297" s="13"/>
      <c r="W1297" s="11"/>
      <c r="AC1297" s="16"/>
      <c r="AH1297" s="13"/>
      <c r="AI1297" s="16"/>
      <c r="AU1297" s="12" t="s">
        <v>53</v>
      </c>
    </row>
    <row r="1298" spans="1:47" s="12" customFormat="1" ht="14.4" hidden="1" x14ac:dyDescent="0.3">
      <c r="A1298" s="12" t="s">
        <v>39</v>
      </c>
      <c r="B1298" s="12" t="s">
        <v>3815</v>
      </c>
      <c r="C1298" s="12">
        <v>70</v>
      </c>
      <c r="D1298" s="12">
        <v>400</v>
      </c>
      <c r="F1298" s="14" t="s">
        <v>3926</v>
      </c>
      <c r="G1298" s="12" t="str">
        <f t="shared" si="33"/>
        <v>704006819103</v>
      </c>
      <c r="H1298" s="12" t="s">
        <v>3927</v>
      </c>
      <c r="I1298" s="15">
        <v>6819103</v>
      </c>
      <c r="J1298" s="12" t="s">
        <v>3928</v>
      </c>
      <c r="K1298" s="12" t="s">
        <v>44</v>
      </c>
      <c r="L1298" s="12" t="s">
        <v>45</v>
      </c>
      <c r="M1298" s="12" t="s">
        <v>45</v>
      </c>
      <c r="N1298" s="12" t="s">
        <v>780</v>
      </c>
      <c r="O1298" s="12" t="s">
        <v>260</v>
      </c>
      <c r="P1298" s="88" t="s">
        <v>261</v>
      </c>
      <c r="Q1298" s="13">
        <v>45266</v>
      </c>
      <c r="R1298" s="16">
        <v>0.93</v>
      </c>
      <c r="S1298" s="12" t="s">
        <v>210</v>
      </c>
      <c r="V1298" s="13">
        <v>44505</v>
      </c>
      <c r="W1298" s="11">
        <v>0.84</v>
      </c>
      <c r="X1298" s="12" t="s">
        <v>49</v>
      </c>
      <c r="AC1298" s="16"/>
      <c r="AI1298" s="16"/>
      <c r="AU1298" s="12" t="s">
        <v>53</v>
      </c>
    </row>
    <row r="1299" spans="1:47" s="12" customFormat="1" ht="14.4" hidden="1" x14ac:dyDescent="0.3">
      <c r="A1299" s="12" t="s">
        <v>39</v>
      </c>
      <c r="B1299" s="12" t="s">
        <v>3815</v>
      </c>
      <c r="C1299" s="12">
        <v>70</v>
      </c>
      <c r="D1299" s="12">
        <v>400</v>
      </c>
      <c r="F1299" s="14" t="s">
        <v>3929</v>
      </c>
      <c r="G1299" s="12" t="str">
        <f t="shared" si="33"/>
        <v>704003824934</v>
      </c>
      <c r="H1299" s="12" t="s">
        <v>3930</v>
      </c>
      <c r="I1299" s="15">
        <v>3824934</v>
      </c>
      <c r="J1299" s="12" t="s">
        <v>3931</v>
      </c>
      <c r="K1299" s="12" t="s">
        <v>44</v>
      </c>
      <c r="L1299" s="12">
        <v>3135736324</v>
      </c>
      <c r="M1299" s="12" t="s">
        <v>45</v>
      </c>
      <c r="N1299" s="12" t="s">
        <v>780</v>
      </c>
      <c r="O1299" s="12" t="s">
        <v>260</v>
      </c>
      <c r="P1299" s="88" t="s">
        <v>261</v>
      </c>
      <c r="Q1299" s="13">
        <v>45265</v>
      </c>
      <c r="R1299" s="16">
        <v>0.83</v>
      </c>
      <c r="S1299" s="12" t="s">
        <v>49</v>
      </c>
      <c r="V1299" s="13">
        <v>44664</v>
      </c>
      <c r="W1299" s="11">
        <v>0.74</v>
      </c>
      <c r="X1299" s="12" t="s">
        <v>49</v>
      </c>
      <c r="AC1299" s="16"/>
      <c r="AH1299" s="13"/>
      <c r="AI1299" s="16"/>
      <c r="AU1299" s="12" t="s">
        <v>53</v>
      </c>
    </row>
    <row r="1300" spans="1:47" s="12" customFormat="1" ht="14.4" hidden="1" x14ac:dyDescent="0.3">
      <c r="A1300" s="12" t="s">
        <v>39</v>
      </c>
      <c r="B1300" s="12" t="s">
        <v>3815</v>
      </c>
      <c r="C1300" s="12">
        <v>70</v>
      </c>
      <c r="D1300" s="12">
        <v>400</v>
      </c>
      <c r="F1300" s="14" t="s">
        <v>3932</v>
      </c>
      <c r="G1300" s="12" t="str">
        <f t="shared" si="33"/>
        <v>704001067917299</v>
      </c>
      <c r="H1300" s="12" t="s">
        <v>3933</v>
      </c>
      <c r="I1300" s="15">
        <v>1067917299</v>
      </c>
      <c r="J1300" s="12" t="s">
        <v>3934</v>
      </c>
      <c r="K1300" s="12" t="s">
        <v>44</v>
      </c>
      <c r="L1300" s="12">
        <v>3024483647</v>
      </c>
      <c r="M1300" s="12" t="s">
        <v>45</v>
      </c>
      <c r="N1300" s="12" t="s">
        <v>780</v>
      </c>
      <c r="O1300" s="12" t="s">
        <v>260</v>
      </c>
      <c r="P1300" s="88" t="s">
        <v>261</v>
      </c>
      <c r="Q1300" s="13">
        <v>45259</v>
      </c>
      <c r="R1300" s="16">
        <v>0.82</v>
      </c>
      <c r="S1300" s="12" t="s">
        <v>49</v>
      </c>
      <c r="V1300" s="13"/>
      <c r="W1300" s="11"/>
      <c r="AC1300" s="16"/>
      <c r="AI1300" s="16"/>
      <c r="AU1300" s="12" t="s">
        <v>53</v>
      </c>
    </row>
    <row r="1301" spans="1:47" s="12" customFormat="1" ht="14.4" hidden="1" x14ac:dyDescent="0.3">
      <c r="A1301" s="12" t="s">
        <v>39</v>
      </c>
      <c r="B1301" s="12" t="s">
        <v>3815</v>
      </c>
      <c r="C1301" s="12">
        <v>70</v>
      </c>
      <c r="D1301" s="12">
        <v>400</v>
      </c>
      <c r="F1301" s="14" t="s">
        <v>3935</v>
      </c>
      <c r="G1301" s="12" t="str">
        <f t="shared" si="33"/>
        <v>7040064548828</v>
      </c>
      <c r="H1301" s="12" t="s">
        <v>3936</v>
      </c>
      <c r="I1301" s="15">
        <v>64548828</v>
      </c>
      <c r="J1301" s="12" t="s">
        <v>3937</v>
      </c>
      <c r="K1301" s="12" t="s">
        <v>44</v>
      </c>
      <c r="L1301" s="12" t="s">
        <v>45</v>
      </c>
      <c r="M1301" s="12" t="s">
        <v>45</v>
      </c>
      <c r="N1301" s="12" t="s">
        <v>780</v>
      </c>
      <c r="O1301" s="12" t="s">
        <v>260</v>
      </c>
      <c r="P1301" s="88" t="s">
        <v>261</v>
      </c>
      <c r="Q1301" s="13">
        <v>44672</v>
      </c>
      <c r="R1301" s="16">
        <v>0.745</v>
      </c>
      <c r="S1301" s="12" t="s">
        <v>49</v>
      </c>
      <c r="V1301" s="13"/>
      <c r="W1301" s="11"/>
      <c r="AC1301" s="16"/>
      <c r="AI1301" s="16"/>
      <c r="AU1301" s="12" t="s">
        <v>53</v>
      </c>
    </row>
    <row r="1302" spans="1:47" s="12" customFormat="1" ht="14.4" hidden="1" x14ac:dyDescent="0.3">
      <c r="A1302" s="12" t="s">
        <v>39</v>
      </c>
      <c r="B1302" s="12" t="s">
        <v>3815</v>
      </c>
      <c r="C1302" s="12">
        <v>70</v>
      </c>
      <c r="D1302" s="12">
        <v>400</v>
      </c>
      <c r="F1302" s="14" t="s">
        <v>567</v>
      </c>
      <c r="G1302" s="12" t="str">
        <f t="shared" si="33"/>
        <v>704001102121169</v>
      </c>
      <c r="H1302" s="12" t="s">
        <v>3938</v>
      </c>
      <c r="I1302" s="15">
        <v>1102121169</v>
      </c>
      <c r="J1302" s="12" t="s">
        <v>3939</v>
      </c>
      <c r="K1302" s="12" t="s">
        <v>44</v>
      </c>
      <c r="L1302" s="12" t="s">
        <v>45</v>
      </c>
      <c r="M1302" s="12" t="s">
        <v>45</v>
      </c>
      <c r="N1302" s="12" t="s">
        <v>780</v>
      </c>
      <c r="O1302" s="12" t="s">
        <v>260</v>
      </c>
      <c r="P1302" s="88" t="s">
        <v>261</v>
      </c>
      <c r="Q1302" s="12" t="s">
        <v>3940</v>
      </c>
      <c r="R1302" s="16">
        <v>0.76</v>
      </c>
      <c r="S1302" s="12" t="s">
        <v>49</v>
      </c>
      <c r="W1302" s="11"/>
      <c r="AC1302" s="16"/>
      <c r="AI1302" s="16"/>
      <c r="AU1302" s="12" t="s">
        <v>53</v>
      </c>
    </row>
    <row r="1303" spans="1:47" s="12" customFormat="1" ht="14.4" hidden="1" x14ac:dyDescent="0.3">
      <c r="A1303" s="12" t="s">
        <v>39</v>
      </c>
      <c r="B1303" s="12" t="s">
        <v>3815</v>
      </c>
      <c r="C1303" s="12">
        <v>70</v>
      </c>
      <c r="D1303" s="12">
        <v>400</v>
      </c>
      <c r="F1303" s="14" t="s">
        <v>3941</v>
      </c>
      <c r="G1303" s="12" t="str">
        <f t="shared" si="33"/>
        <v>7040070692621</v>
      </c>
      <c r="H1303" s="12" t="s">
        <v>3942</v>
      </c>
      <c r="I1303" s="15">
        <v>70692621</v>
      </c>
      <c r="J1303" s="12" t="s">
        <v>3943</v>
      </c>
      <c r="K1303" s="12" t="s">
        <v>44</v>
      </c>
      <c r="L1303" s="12" t="s">
        <v>45</v>
      </c>
      <c r="M1303" s="12" t="s">
        <v>45</v>
      </c>
      <c r="N1303" s="12" t="s">
        <v>780</v>
      </c>
      <c r="O1303" s="12" t="s">
        <v>260</v>
      </c>
      <c r="P1303" s="88" t="s">
        <v>261</v>
      </c>
      <c r="R1303" s="16"/>
      <c r="W1303" s="11"/>
      <c r="AC1303" s="16"/>
      <c r="AH1303" s="13"/>
      <c r="AI1303" s="16"/>
      <c r="AU1303" s="12" t="s">
        <v>53</v>
      </c>
    </row>
    <row r="1304" spans="1:47" s="12" customFormat="1" ht="14.4" hidden="1" x14ac:dyDescent="0.3">
      <c r="A1304" s="12" t="s">
        <v>39</v>
      </c>
      <c r="B1304" s="12" t="s">
        <v>3815</v>
      </c>
      <c r="C1304" s="12">
        <v>70</v>
      </c>
      <c r="D1304" s="12">
        <v>400</v>
      </c>
      <c r="F1304" s="14" t="s">
        <v>3944</v>
      </c>
      <c r="G1304" s="12" t="str">
        <f t="shared" si="33"/>
        <v>704003864730</v>
      </c>
      <c r="H1304" s="12" t="s">
        <v>3945</v>
      </c>
      <c r="I1304" s="15">
        <v>3864730</v>
      </c>
      <c r="J1304" s="12" t="s">
        <v>3946</v>
      </c>
      <c r="K1304" s="12" t="s">
        <v>44</v>
      </c>
      <c r="L1304" s="12" t="s">
        <v>45</v>
      </c>
      <c r="M1304" s="12" t="s">
        <v>45</v>
      </c>
      <c r="N1304" s="12" t="s">
        <v>780</v>
      </c>
      <c r="O1304" s="12" t="s">
        <v>260</v>
      </c>
      <c r="P1304" s="88" t="s">
        <v>261</v>
      </c>
      <c r="Q1304" s="13">
        <v>45266</v>
      </c>
      <c r="R1304" s="16">
        <v>0.93</v>
      </c>
      <c r="S1304" s="12" t="s">
        <v>210</v>
      </c>
      <c r="V1304" s="13"/>
      <c r="W1304" s="11"/>
      <c r="AC1304" s="16"/>
      <c r="AH1304" s="13"/>
      <c r="AI1304" s="16"/>
      <c r="AU1304" s="12" t="s">
        <v>53</v>
      </c>
    </row>
    <row r="1305" spans="1:47" s="12" customFormat="1" ht="14.4" hidden="1" x14ac:dyDescent="0.3">
      <c r="A1305" s="12" t="s">
        <v>39</v>
      </c>
      <c r="B1305" s="12" t="s">
        <v>3815</v>
      </c>
      <c r="C1305" s="12">
        <v>70</v>
      </c>
      <c r="D1305" s="12">
        <v>400</v>
      </c>
      <c r="F1305" s="14" t="s">
        <v>3947</v>
      </c>
      <c r="G1305" s="12" t="str">
        <f t="shared" si="33"/>
        <v>7040011052205</v>
      </c>
      <c r="H1305" s="12" t="s">
        <v>3948</v>
      </c>
      <c r="I1305" s="15">
        <v>11052205</v>
      </c>
      <c r="J1305" s="12" t="s">
        <v>3949</v>
      </c>
      <c r="K1305" s="12" t="s">
        <v>44</v>
      </c>
      <c r="L1305" s="12" t="s">
        <v>45</v>
      </c>
      <c r="M1305" s="12" t="s">
        <v>45</v>
      </c>
      <c r="N1305" s="12" t="s">
        <v>780</v>
      </c>
      <c r="O1305" s="12" t="s">
        <v>260</v>
      </c>
      <c r="P1305" s="88" t="s">
        <v>261</v>
      </c>
      <c r="Q1305" s="13">
        <v>45265</v>
      </c>
      <c r="R1305" s="16">
        <v>0.83</v>
      </c>
      <c r="S1305" s="12" t="s">
        <v>49</v>
      </c>
      <c r="V1305" s="13"/>
      <c r="W1305" s="11"/>
      <c r="AC1305" s="16"/>
      <c r="AH1305" s="13"/>
      <c r="AI1305" s="16"/>
      <c r="AU1305" s="12" t="s">
        <v>53</v>
      </c>
    </row>
    <row r="1306" spans="1:47" s="12" customFormat="1" ht="14.4" hidden="1" x14ac:dyDescent="0.3">
      <c r="A1306" s="12" t="s">
        <v>39</v>
      </c>
      <c r="B1306" s="12" t="s">
        <v>3815</v>
      </c>
      <c r="C1306" s="12">
        <v>70</v>
      </c>
      <c r="D1306" s="12">
        <v>400</v>
      </c>
      <c r="F1306" s="14" t="s">
        <v>3950</v>
      </c>
      <c r="G1306" s="12" t="str">
        <f t="shared" si="33"/>
        <v>7040078028459</v>
      </c>
      <c r="H1306" s="12" t="s">
        <v>3895</v>
      </c>
      <c r="I1306" s="15">
        <v>78028459</v>
      </c>
      <c r="J1306" s="12" t="s">
        <v>3951</v>
      </c>
      <c r="K1306" s="12" t="s">
        <v>44</v>
      </c>
      <c r="L1306" s="12" t="s">
        <v>45</v>
      </c>
      <c r="M1306" s="12" t="s">
        <v>45</v>
      </c>
      <c r="N1306" s="12" t="s">
        <v>780</v>
      </c>
      <c r="O1306" s="12" t="s">
        <v>260</v>
      </c>
      <c r="P1306" s="88" t="s">
        <v>261</v>
      </c>
      <c r="Q1306" s="13">
        <v>45259</v>
      </c>
      <c r="R1306" s="16">
        <v>0.82</v>
      </c>
      <c r="S1306" s="12" t="s">
        <v>49</v>
      </c>
      <c r="V1306" s="13">
        <v>44965</v>
      </c>
      <c r="W1306" s="11">
        <v>0.92</v>
      </c>
      <c r="X1306" s="12" t="s">
        <v>210</v>
      </c>
      <c r="AC1306" s="16"/>
      <c r="AH1306" s="13"/>
      <c r="AI1306" s="16"/>
      <c r="AU1306" s="12" t="s">
        <v>53</v>
      </c>
    </row>
    <row r="1307" spans="1:47" s="12" customFormat="1" ht="14.4" hidden="1" x14ac:dyDescent="0.3">
      <c r="A1307" s="12" t="s">
        <v>39</v>
      </c>
      <c r="B1307" s="12" t="s">
        <v>3815</v>
      </c>
      <c r="C1307" s="12">
        <v>70</v>
      </c>
      <c r="D1307" s="12">
        <v>400</v>
      </c>
      <c r="F1307" s="14" t="s">
        <v>3952</v>
      </c>
      <c r="G1307" s="12" t="str">
        <f t="shared" si="33"/>
        <v>7040052661594</v>
      </c>
      <c r="H1307" s="12" t="s">
        <v>3953</v>
      </c>
      <c r="I1307" s="12">
        <v>52661594</v>
      </c>
      <c r="J1307" s="12" t="s">
        <v>3954</v>
      </c>
      <c r="K1307" s="12" t="s">
        <v>44</v>
      </c>
      <c r="L1307" s="12">
        <v>3216427983</v>
      </c>
      <c r="M1307" s="12" t="s">
        <v>45</v>
      </c>
      <c r="N1307" s="12" t="s">
        <v>780</v>
      </c>
      <c r="O1307" s="12" t="s">
        <v>260</v>
      </c>
      <c r="P1307" s="88" t="s">
        <v>261</v>
      </c>
      <c r="Q1307" s="13">
        <v>45541</v>
      </c>
      <c r="R1307" s="16">
        <v>0.89</v>
      </c>
      <c r="S1307" s="12" t="s">
        <v>49</v>
      </c>
      <c r="W1307" s="11"/>
      <c r="AC1307" s="16"/>
      <c r="AH1307" s="13"/>
      <c r="AI1307" s="16"/>
      <c r="AU1307" s="12" t="s">
        <v>53</v>
      </c>
    </row>
    <row r="1308" spans="1:47" s="12" customFormat="1" ht="14.4" hidden="1" x14ac:dyDescent="0.3">
      <c r="A1308" s="12" t="s">
        <v>39</v>
      </c>
      <c r="B1308" s="12" t="s">
        <v>3815</v>
      </c>
      <c r="C1308" s="12">
        <v>70</v>
      </c>
      <c r="D1308" s="12">
        <v>400</v>
      </c>
      <c r="F1308" s="14" t="s">
        <v>3955</v>
      </c>
      <c r="G1308" s="12" t="str">
        <f t="shared" si="33"/>
        <v>704003824334</v>
      </c>
      <c r="H1308" s="12" t="s">
        <v>3956</v>
      </c>
      <c r="I1308" s="12">
        <v>3824334</v>
      </c>
      <c r="J1308" s="12" t="s">
        <v>3957</v>
      </c>
      <c r="K1308" s="12" t="s">
        <v>44</v>
      </c>
      <c r="L1308" s="12">
        <v>3135372324</v>
      </c>
      <c r="M1308" s="12" t="s">
        <v>45</v>
      </c>
      <c r="N1308" s="12" t="s">
        <v>780</v>
      </c>
      <c r="O1308" s="12" t="s">
        <v>260</v>
      </c>
      <c r="P1308" s="88" t="s">
        <v>261</v>
      </c>
      <c r="R1308" s="16"/>
      <c r="W1308" s="11"/>
      <c r="AC1308" s="16"/>
      <c r="AI1308" s="16"/>
      <c r="AU1308" s="12" t="s">
        <v>53</v>
      </c>
    </row>
    <row r="1309" spans="1:47" s="12" customFormat="1" ht="14.4" hidden="1" x14ac:dyDescent="0.3">
      <c r="A1309" s="12" t="s">
        <v>39</v>
      </c>
      <c r="B1309" s="12" t="s">
        <v>3815</v>
      </c>
      <c r="C1309" s="12">
        <v>70</v>
      </c>
      <c r="D1309" s="12">
        <v>400</v>
      </c>
      <c r="F1309" s="14" t="s">
        <v>610</v>
      </c>
      <c r="G1309" s="12" t="str">
        <f t="shared" si="33"/>
        <v>7040011052752</v>
      </c>
      <c r="H1309" s="12" t="s">
        <v>3958</v>
      </c>
      <c r="I1309" s="12">
        <v>11052752</v>
      </c>
      <c r="J1309" s="12" t="s">
        <v>3959</v>
      </c>
      <c r="K1309" s="12" t="s">
        <v>44</v>
      </c>
      <c r="L1309" s="12" t="s">
        <v>45</v>
      </c>
      <c r="M1309" s="12" t="s">
        <v>45</v>
      </c>
      <c r="N1309" s="12" t="s">
        <v>780</v>
      </c>
      <c r="O1309" s="12" t="s">
        <v>260</v>
      </c>
      <c r="P1309" s="88" t="s">
        <v>261</v>
      </c>
      <c r="R1309" s="16"/>
      <c r="W1309" s="11"/>
      <c r="AC1309" s="16"/>
      <c r="AI1309" s="16"/>
      <c r="AU1309" s="12" t="s">
        <v>53</v>
      </c>
    </row>
    <row r="1310" spans="1:47" s="12" customFormat="1" ht="14.4" hidden="1" x14ac:dyDescent="0.3">
      <c r="A1310" s="12" t="s">
        <v>39</v>
      </c>
      <c r="B1310" s="12" t="s">
        <v>3815</v>
      </c>
      <c r="C1310" s="12">
        <v>70</v>
      </c>
      <c r="D1310" s="12">
        <v>400</v>
      </c>
      <c r="F1310" s="14" t="s">
        <v>3960</v>
      </c>
      <c r="G1310" s="12" t="str">
        <f t="shared" si="33"/>
        <v>7040064575244</v>
      </c>
      <c r="H1310" s="12" t="s">
        <v>3961</v>
      </c>
      <c r="I1310" s="12">
        <v>64575244</v>
      </c>
      <c r="J1310" s="12" t="s">
        <v>3962</v>
      </c>
      <c r="K1310" s="12" t="s">
        <v>44</v>
      </c>
      <c r="L1310" s="12">
        <v>3007620091</v>
      </c>
      <c r="M1310" s="12" t="s">
        <v>45</v>
      </c>
      <c r="N1310" s="12" t="s">
        <v>780</v>
      </c>
      <c r="O1310" s="12" t="s">
        <v>260</v>
      </c>
      <c r="P1310" s="88" t="s">
        <v>261</v>
      </c>
      <c r="R1310" s="16"/>
      <c r="W1310" s="11"/>
      <c r="AC1310" s="16"/>
      <c r="AI1310" s="16"/>
      <c r="AU1310" s="12" t="s">
        <v>53</v>
      </c>
    </row>
    <row r="1311" spans="1:47" s="12" customFormat="1" ht="14.4" hidden="1" x14ac:dyDescent="0.3">
      <c r="A1311" s="12" t="s">
        <v>39</v>
      </c>
      <c r="B1311" s="12" t="s">
        <v>3815</v>
      </c>
      <c r="C1311" s="12">
        <v>70</v>
      </c>
      <c r="D1311" s="12">
        <v>400</v>
      </c>
      <c r="F1311" s="14" t="s">
        <v>3963</v>
      </c>
      <c r="G1311" s="12" t="str">
        <f t="shared" si="33"/>
        <v>7040064915409</v>
      </c>
      <c r="H1311" s="12" t="s">
        <v>3964</v>
      </c>
      <c r="I1311" s="15">
        <v>64915409</v>
      </c>
      <c r="J1311" s="12" t="s">
        <v>3965</v>
      </c>
      <c r="K1311" s="12" t="s">
        <v>44</v>
      </c>
      <c r="L1311" s="12" t="s">
        <v>45</v>
      </c>
      <c r="M1311" s="12" t="s">
        <v>45</v>
      </c>
      <c r="N1311" s="12" t="s">
        <v>432</v>
      </c>
      <c r="O1311" s="12" t="s">
        <v>432</v>
      </c>
      <c r="P1311" s="88" t="s">
        <v>261</v>
      </c>
      <c r="R1311" s="16"/>
      <c r="W1311" s="11"/>
      <c r="AU1311" s="12" t="s">
        <v>164</v>
      </c>
    </row>
    <row r="1312" spans="1:47" s="12" customFormat="1" ht="14.4" hidden="1" x14ac:dyDescent="0.3">
      <c r="A1312" s="12" t="s">
        <v>39</v>
      </c>
      <c r="B1312" s="12" t="s">
        <v>3815</v>
      </c>
      <c r="C1312" s="12">
        <v>70</v>
      </c>
      <c r="D1312" s="12">
        <v>400</v>
      </c>
      <c r="F1312" s="14" t="s">
        <v>3966</v>
      </c>
      <c r="G1312" s="12" t="str">
        <f t="shared" si="33"/>
        <v>7040064915132</v>
      </c>
      <c r="H1312" s="12" t="s">
        <v>3967</v>
      </c>
      <c r="I1312" s="12">
        <v>64915132</v>
      </c>
      <c r="J1312" s="12" t="s">
        <v>3968</v>
      </c>
      <c r="K1312" s="12" t="s">
        <v>44</v>
      </c>
      <c r="L1312" s="12">
        <v>3008243241</v>
      </c>
      <c r="M1312" s="12" t="s">
        <v>45</v>
      </c>
      <c r="N1312" s="12" t="s">
        <v>432</v>
      </c>
      <c r="O1312" s="12" t="s">
        <v>432</v>
      </c>
      <c r="P1312" s="88" t="s">
        <v>261</v>
      </c>
      <c r="R1312" s="16"/>
      <c r="W1312" s="11"/>
      <c r="AU1312" s="12" t="s">
        <v>164</v>
      </c>
    </row>
    <row r="1313" spans="1:47" s="12" customFormat="1" ht="14.4" hidden="1" x14ac:dyDescent="0.3">
      <c r="A1313" s="12" t="s">
        <v>39</v>
      </c>
      <c r="B1313" s="12" t="s">
        <v>3815</v>
      </c>
      <c r="C1313" s="12">
        <v>70</v>
      </c>
      <c r="D1313" s="12">
        <v>400</v>
      </c>
      <c r="F1313" s="14" t="s">
        <v>3969</v>
      </c>
      <c r="G1313" s="12" t="str">
        <f t="shared" si="33"/>
        <v>7040011051221</v>
      </c>
      <c r="H1313" s="12" t="s">
        <v>3970</v>
      </c>
      <c r="I1313" s="15">
        <v>11051221</v>
      </c>
      <c r="J1313" s="12" t="s">
        <v>3971</v>
      </c>
      <c r="K1313" s="12" t="s">
        <v>44</v>
      </c>
      <c r="L1313" s="12" t="s">
        <v>45</v>
      </c>
      <c r="M1313" s="12" t="s">
        <v>45</v>
      </c>
      <c r="N1313" s="12" t="s">
        <v>432</v>
      </c>
      <c r="O1313" s="12" t="s">
        <v>432</v>
      </c>
      <c r="P1313" s="88" t="s">
        <v>261</v>
      </c>
      <c r="Q1313" s="13"/>
      <c r="R1313" s="16"/>
      <c r="W1313" s="11"/>
      <c r="AU1313" s="12" t="s">
        <v>164</v>
      </c>
    </row>
    <row r="1314" spans="1:47" s="12" customFormat="1" ht="14.4" hidden="1" x14ac:dyDescent="0.3">
      <c r="A1314" s="12" t="s">
        <v>39</v>
      </c>
      <c r="B1314" s="12" t="s">
        <v>3815</v>
      </c>
      <c r="C1314" s="12">
        <v>70</v>
      </c>
      <c r="D1314" s="12">
        <v>400</v>
      </c>
      <c r="F1314" s="14" t="s">
        <v>3972</v>
      </c>
      <c r="G1314" s="12" t="str">
        <f t="shared" si="33"/>
        <v>7040011050482</v>
      </c>
      <c r="H1314" s="12" t="s">
        <v>3973</v>
      </c>
      <c r="I1314" s="15">
        <v>11050482</v>
      </c>
      <c r="J1314" s="12" t="s">
        <v>3974</v>
      </c>
      <c r="K1314" s="12" t="s">
        <v>44</v>
      </c>
      <c r="L1314" s="12" t="s">
        <v>45</v>
      </c>
      <c r="M1314" s="12" t="s">
        <v>45</v>
      </c>
      <c r="N1314" s="12" t="s">
        <v>432</v>
      </c>
      <c r="O1314" s="12" t="s">
        <v>432</v>
      </c>
      <c r="P1314" s="88" t="s">
        <v>261</v>
      </c>
      <c r="Q1314" s="13">
        <v>44406</v>
      </c>
      <c r="R1314" s="16">
        <v>0.78</v>
      </c>
      <c r="S1314" s="12" t="s">
        <v>49</v>
      </c>
      <c r="W1314" s="11"/>
      <c r="AU1314" s="12" t="s">
        <v>164</v>
      </c>
    </row>
    <row r="1315" spans="1:47" s="12" customFormat="1" ht="14.4" hidden="1" x14ac:dyDescent="0.3">
      <c r="A1315" s="12" t="s">
        <v>39</v>
      </c>
      <c r="B1315" s="12" t="s">
        <v>3815</v>
      </c>
      <c r="C1315" s="12">
        <v>70</v>
      </c>
      <c r="D1315" s="12">
        <v>400</v>
      </c>
      <c r="F1315" s="14" t="s">
        <v>3975</v>
      </c>
      <c r="G1315" s="12" t="str">
        <f t="shared" si="33"/>
        <v>7040064558270</v>
      </c>
      <c r="H1315" s="12" t="s">
        <v>3976</v>
      </c>
      <c r="I1315" s="15">
        <v>64558270</v>
      </c>
      <c r="J1315" s="12" t="s">
        <v>3977</v>
      </c>
      <c r="K1315" s="12" t="s">
        <v>44</v>
      </c>
      <c r="L1315" s="12">
        <v>3125568290</v>
      </c>
      <c r="M1315" s="12" t="s">
        <v>45</v>
      </c>
      <c r="N1315" s="12" t="s">
        <v>432</v>
      </c>
      <c r="O1315" s="12" t="s">
        <v>432</v>
      </c>
      <c r="P1315" s="88" t="s">
        <v>261</v>
      </c>
      <c r="Q1315" s="13">
        <v>44824</v>
      </c>
      <c r="R1315" s="16">
        <v>0.74</v>
      </c>
      <c r="S1315" s="12" t="s">
        <v>49</v>
      </c>
      <c r="W1315" s="11"/>
      <c r="AU1315" s="12" t="s">
        <v>164</v>
      </c>
    </row>
    <row r="1316" spans="1:47" s="12" customFormat="1" ht="14.4" hidden="1" x14ac:dyDescent="0.3">
      <c r="A1316" s="12" t="s">
        <v>39</v>
      </c>
      <c r="B1316" s="12" t="s">
        <v>3815</v>
      </c>
      <c r="C1316" s="12">
        <v>70</v>
      </c>
      <c r="D1316" s="12">
        <v>400</v>
      </c>
      <c r="F1316" s="14" t="s">
        <v>3978</v>
      </c>
      <c r="G1316" s="12" t="str">
        <f t="shared" si="33"/>
        <v>704005977623</v>
      </c>
      <c r="H1316" s="12" t="s">
        <v>3979</v>
      </c>
      <c r="I1316" s="15">
        <v>5977623</v>
      </c>
      <c r="J1316" s="12" t="s">
        <v>3980</v>
      </c>
      <c r="K1316" s="12" t="s">
        <v>44</v>
      </c>
      <c r="L1316" s="12">
        <v>3246374967</v>
      </c>
      <c r="M1316" s="12" t="s">
        <v>45</v>
      </c>
      <c r="N1316" s="12" t="s">
        <v>432</v>
      </c>
      <c r="O1316" s="12" t="s">
        <v>432</v>
      </c>
      <c r="P1316" s="88" t="s">
        <v>261</v>
      </c>
      <c r="R1316" s="16"/>
      <c r="W1316" s="11"/>
      <c r="AU1316" s="12" t="s">
        <v>164</v>
      </c>
    </row>
    <row r="1317" spans="1:47" s="12" customFormat="1" ht="14.4" hidden="1" x14ac:dyDescent="0.3">
      <c r="A1317" s="12" t="s">
        <v>39</v>
      </c>
      <c r="B1317" s="12" t="s">
        <v>3815</v>
      </c>
      <c r="C1317" s="12">
        <v>70</v>
      </c>
      <c r="D1317" s="12">
        <v>400</v>
      </c>
      <c r="F1317" s="14" t="s">
        <v>3981</v>
      </c>
      <c r="G1317" s="12" t="str">
        <f t="shared" si="33"/>
        <v>704001007573508</v>
      </c>
      <c r="H1317" s="12" t="s">
        <v>3982</v>
      </c>
      <c r="I1317" s="15">
        <v>1007573508</v>
      </c>
      <c r="J1317" s="12" t="s">
        <v>3983</v>
      </c>
      <c r="K1317" s="12" t="s">
        <v>44</v>
      </c>
      <c r="L1317" s="12" t="s">
        <v>45</v>
      </c>
      <c r="M1317" s="12" t="s">
        <v>45</v>
      </c>
      <c r="N1317" s="12" t="s">
        <v>432</v>
      </c>
      <c r="O1317" s="12" t="s">
        <v>432</v>
      </c>
      <c r="P1317" s="88" t="s">
        <v>261</v>
      </c>
      <c r="R1317" s="16"/>
      <c r="W1317" s="11"/>
      <c r="AU1317" s="12" t="s">
        <v>164</v>
      </c>
    </row>
    <row r="1318" spans="1:47" s="12" customFormat="1" ht="14.4" hidden="1" x14ac:dyDescent="0.3">
      <c r="A1318" s="12" t="s">
        <v>39</v>
      </c>
      <c r="B1318" s="12" t="s">
        <v>3815</v>
      </c>
      <c r="C1318" s="12">
        <v>70</v>
      </c>
      <c r="D1318" s="12">
        <v>400</v>
      </c>
      <c r="F1318" s="14" t="s">
        <v>3984</v>
      </c>
      <c r="G1318" s="12" t="str">
        <f t="shared" si="33"/>
        <v>704001128324899</v>
      </c>
      <c r="H1318" s="12" t="s">
        <v>3985</v>
      </c>
      <c r="I1318" s="15">
        <v>1128324899</v>
      </c>
      <c r="J1318" s="12" t="s">
        <v>3986</v>
      </c>
      <c r="K1318" s="12" t="s">
        <v>44</v>
      </c>
      <c r="L1318" s="12">
        <v>3003515886</v>
      </c>
      <c r="M1318" s="12" t="s">
        <v>45</v>
      </c>
      <c r="N1318" s="12" t="s">
        <v>432</v>
      </c>
      <c r="O1318" s="12" t="s">
        <v>432</v>
      </c>
      <c r="P1318" s="88" t="s">
        <v>261</v>
      </c>
      <c r="Q1318" s="13">
        <v>45224</v>
      </c>
      <c r="R1318" s="16">
        <v>0.83</v>
      </c>
      <c r="S1318" s="12" t="s">
        <v>49</v>
      </c>
      <c r="W1318" s="11"/>
      <c r="AU1318" s="12" t="s">
        <v>53</v>
      </c>
    </row>
    <row r="1319" spans="1:47" s="12" customFormat="1" ht="14.4" hidden="1" x14ac:dyDescent="0.3">
      <c r="A1319" s="12" t="s">
        <v>39</v>
      </c>
      <c r="B1319" s="12" t="s">
        <v>3815</v>
      </c>
      <c r="C1319" s="12">
        <v>70</v>
      </c>
      <c r="D1319" s="12">
        <v>400</v>
      </c>
      <c r="F1319" s="14" t="s">
        <v>3987</v>
      </c>
      <c r="G1319" s="12" t="str">
        <f t="shared" si="33"/>
        <v>704001102119163</v>
      </c>
      <c r="H1319" s="12" t="s">
        <v>3988</v>
      </c>
      <c r="I1319" s="15">
        <v>1102119163</v>
      </c>
      <c r="J1319" s="12" t="s">
        <v>3989</v>
      </c>
      <c r="K1319" s="12" t="s">
        <v>44</v>
      </c>
      <c r="L1319" s="12">
        <v>3113982294</v>
      </c>
      <c r="M1319" s="12" t="s">
        <v>45</v>
      </c>
      <c r="N1319" s="12" t="s">
        <v>432</v>
      </c>
      <c r="O1319" s="12" t="s">
        <v>432</v>
      </c>
      <c r="P1319" s="88" t="s">
        <v>261</v>
      </c>
      <c r="Q1319" s="13">
        <v>45237</v>
      </c>
      <c r="R1319" s="16">
        <v>0.81499999999999995</v>
      </c>
      <c r="S1319" s="12" t="s">
        <v>49</v>
      </c>
      <c r="W1319" s="11"/>
      <c r="AU1319" s="12" t="s">
        <v>53</v>
      </c>
    </row>
    <row r="1320" spans="1:47" s="12" customFormat="1" ht="14.4" hidden="1" x14ac:dyDescent="0.3">
      <c r="A1320" s="12" t="s">
        <v>39</v>
      </c>
      <c r="B1320" s="12" t="s">
        <v>3815</v>
      </c>
      <c r="C1320" s="12">
        <v>70</v>
      </c>
      <c r="D1320" s="12">
        <v>400</v>
      </c>
      <c r="F1320" s="14" t="s">
        <v>3990</v>
      </c>
      <c r="G1320" s="12" t="str">
        <f t="shared" si="33"/>
        <v>70400</v>
      </c>
      <c r="H1320" s="12" t="s">
        <v>3991</v>
      </c>
      <c r="I1320" s="15"/>
      <c r="J1320" s="12" t="s">
        <v>3992</v>
      </c>
      <c r="K1320" s="12" t="s">
        <v>44</v>
      </c>
      <c r="L1320" s="12">
        <v>3207839520</v>
      </c>
      <c r="M1320" s="12" t="s">
        <v>45</v>
      </c>
      <c r="N1320" s="12" t="s">
        <v>432</v>
      </c>
      <c r="O1320" s="12" t="s">
        <v>432</v>
      </c>
      <c r="P1320" s="88" t="s">
        <v>261</v>
      </c>
      <c r="R1320" s="16"/>
      <c r="W1320" s="11"/>
      <c r="AU1320" s="12" t="s">
        <v>164</v>
      </c>
    </row>
    <row r="1321" spans="1:47" s="12" customFormat="1" ht="14.4" x14ac:dyDescent="0.3">
      <c r="A1321" s="12" t="s">
        <v>39</v>
      </c>
      <c r="B1321" s="12" t="s">
        <v>3815</v>
      </c>
      <c r="C1321" s="12">
        <v>70</v>
      </c>
      <c r="D1321" s="12">
        <v>400</v>
      </c>
      <c r="F1321" s="276" t="s">
        <v>3993</v>
      </c>
      <c r="G1321" s="12" t="str">
        <f t="shared" si="33"/>
        <v>7040064705573</v>
      </c>
      <c r="H1321" s="12" t="s">
        <v>3994</v>
      </c>
      <c r="I1321" s="15">
        <v>64705573</v>
      </c>
      <c r="J1321" s="12" t="s">
        <v>3995</v>
      </c>
      <c r="K1321" s="12" t="s">
        <v>230</v>
      </c>
      <c r="L1321" s="12">
        <v>3145409093</v>
      </c>
      <c r="M1321" s="12" t="s">
        <v>9213</v>
      </c>
      <c r="N1321" s="12" t="s">
        <v>46</v>
      </c>
      <c r="O1321" s="12" t="s">
        <v>47</v>
      </c>
      <c r="P1321" s="88" t="s">
        <v>48</v>
      </c>
      <c r="Q1321" s="13">
        <v>46162</v>
      </c>
      <c r="R1321" s="12">
        <v>87</v>
      </c>
      <c r="S1321" s="12" t="s">
        <v>49</v>
      </c>
      <c r="T1321" s="12" t="s">
        <v>9211</v>
      </c>
      <c r="U1321" s="12" t="s">
        <v>60</v>
      </c>
      <c r="V1321" s="13">
        <v>45820</v>
      </c>
      <c r="W1321" s="16">
        <v>0.81</v>
      </c>
      <c r="X1321" s="12" t="s">
        <v>49</v>
      </c>
      <c r="Y1321" s="12" t="s">
        <v>3996</v>
      </c>
      <c r="Z1321" s="12" t="s">
        <v>60</v>
      </c>
      <c r="AC1321" s="13">
        <v>45527</v>
      </c>
      <c r="AD1321" s="11">
        <v>0.95</v>
      </c>
      <c r="AE1321" s="12" t="s">
        <v>210</v>
      </c>
      <c r="AF1321" s="12" t="s">
        <v>60</v>
      </c>
      <c r="AI1321" s="13">
        <v>45252</v>
      </c>
      <c r="AJ1321" s="16">
        <v>0.755</v>
      </c>
      <c r="AK1321" s="12" t="s">
        <v>49</v>
      </c>
      <c r="AL1321" s="12" t="s">
        <v>60</v>
      </c>
      <c r="AU1321" s="12" t="s">
        <v>53</v>
      </c>
    </row>
    <row r="1322" spans="1:47" s="12" customFormat="1" ht="14.4" hidden="1" x14ac:dyDescent="0.3">
      <c r="A1322" s="12" t="s">
        <v>39</v>
      </c>
      <c r="B1322" s="12" t="s">
        <v>3815</v>
      </c>
      <c r="C1322" s="12">
        <v>70</v>
      </c>
      <c r="D1322" s="12">
        <v>400</v>
      </c>
      <c r="F1322" s="14" t="s">
        <v>3997</v>
      </c>
      <c r="G1322" s="12" t="str">
        <f t="shared" ref="G1322:G1337" si="34">C1322&amp;D1322&amp;I1322</f>
        <v>70400</v>
      </c>
      <c r="H1322" s="12" t="s">
        <v>3998</v>
      </c>
      <c r="I1322" s="15"/>
      <c r="J1322" s="12" t="s">
        <v>3999</v>
      </c>
      <c r="K1322" s="12" t="s">
        <v>230</v>
      </c>
      <c r="L1322" s="12" t="s">
        <v>45</v>
      </c>
      <c r="M1322" s="12" t="s">
        <v>45</v>
      </c>
      <c r="N1322" s="12" t="s">
        <v>46</v>
      </c>
      <c r="O1322" s="12" t="s">
        <v>521</v>
      </c>
      <c r="P1322" s="88" t="s">
        <v>48</v>
      </c>
      <c r="Q1322" s="12" t="s">
        <v>904</v>
      </c>
      <c r="R1322" s="16">
        <v>0.79500000000000004</v>
      </c>
      <c r="S1322" s="12" t="s">
        <v>49</v>
      </c>
      <c r="W1322" s="11"/>
      <c r="AU1322" s="12" t="s">
        <v>164</v>
      </c>
    </row>
    <row r="1323" spans="1:47" s="12" customFormat="1" ht="14.4" hidden="1" x14ac:dyDescent="0.3">
      <c r="A1323" s="12" t="s">
        <v>39</v>
      </c>
      <c r="B1323" s="12" t="s">
        <v>3815</v>
      </c>
      <c r="C1323" s="12">
        <v>70</v>
      </c>
      <c r="D1323" s="12">
        <v>400</v>
      </c>
      <c r="F1323" s="14" t="s">
        <v>4000</v>
      </c>
      <c r="G1323" s="12" t="str">
        <f t="shared" si="34"/>
        <v>7040011050939</v>
      </c>
      <c r="H1323" s="12" t="s">
        <v>4001</v>
      </c>
      <c r="I1323" s="12">
        <v>11050939</v>
      </c>
      <c r="J1323" s="12" t="s">
        <v>4002</v>
      </c>
      <c r="K1323" s="12" t="s">
        <v>230</v>
      </c>
      <c r="L1323" s="12">
        <v>3124493860</v>
      </c>
      <c r="M1323" s="12" t="s">
        <v>45</v>
      </c>
      <c r="N1323" s="12" t="s">
        <v>46</v>
      </c>
      <c r="O1323" s="12" t="s">
        <v>521</v>
      </c>
      <c r="P1323" s="88" t="s">
        <v>48</v>
      </c>
      <c r="Q1323" s="12" t="s">
        <v>904</v>
      </c>
      <c r="R1323" s="16">
        <v>0.79500000000000004</v>
      </c>
      <c r="S1323" s="12" t="s">
        <v>49</v>
      </c>
      <c r="W1323" s="11"/>
      <c r="AU1323" s="12" t="s">
        <v>164</v>
      </c>
    </row>
    <row r="1324" spans="1:47" s="12" customFormat="1" ht="14.4" hidden="1" x14ac:dyDescent="0.3">
      <c r="A1324" s="12" t="s">
        <v>39</v>
      </c>
      <c r="B1324" s="12" t="s">
        <v>3815</v>
      </c>
      <c r="C1324" s="12">
        <v>70</v>
      </c>
      <c r="D1324" s="12">
        <v>400</v>
      </c>
      <c r="F1324" s="14" t="s">
        <v>4003</v>
      </c>
      <c r="G1324" s="12" t="str">
        <f t="shared" si="34"/>
        <v>7040092513817</v>
      </c>
      <c r="H1324" s="12" t="s">
        <v>4004</v>
      </c>
      <c r="I1324" s="12">
        <v>92513817</v>
      </c>
      <c r="J1324" s="12" t="s">
        <v>4005</v>
      </c>
      <c r="K1324" s="12" t="s">
        <v>230</v>
      </c>
      <c r="L1324" s="12">
        <v>3217409051</v>
      </c>
      <c r="M1324" s="12" t="s">
        <v>45</v>
      </c>
      <c r="N1324" s="12" t="s">
        <v>46</v>
      </c>
      <c r="O1324" s="12" t="s">
        <v>521</v>
      </c>
      <c r="P1324" s="88" t="s">
        <v>48</v>
      </c>
      <c r="R1324" s="16"/>
      <c r="W1324" s="11"/>
      <c r="AU1324" s="12" t="s">
        <v>164</v>
      </c>
    </row>
    <row r="1325" spans="1:47" s="12" customFormat="1" ht="14.4" x14ac:dyDescent="0.3">
      <c r="A1325" s="12" t="s">
        <v>39</v>
      </c>
      <c r="B1325" s="12" t="s">
        <v>3815</v>
      </c>
      <c r="C1325" s="12">
        <v>70</v>
      </c>
      <c r="D1325" s="12">
        <v>400</v>
      </c>
      <c r="F1325" s="276" t="s">
        <v>4006</v>
      </c>
      <c r="G1325" s="12" t="str">
        <f t="shared" si="34"/>
        <v>7040064705714-1</v>
      </c>
      <c r="H1325" s="12" t="s">
        <v>4007</v>
      </c>
      <c r="I1325" s="15" t="s">
        <v>4008</v>
      </c>
      <c r="J1325" s="12" t="s">
        <v>4009</v>
      </c>
      <c r="K1325" s="12" t="s">
        <v>230</v>
      </c>
      <c r="L1325" s="12">
        <v>3146856233</v>
      </c>
      <c r="M1325" s="99" t="s">
        <v>4010</v>
      </c>
      <c r="N1325" s="12" t="s">
        <v>46</v>
      </c>
      <c r="O1325" s="12" t="s">
        <v>47</v>
      </c>
      <c r="P1325" s="88" t="s">
        <v>48</v>
      </c>
      <c r="Q1325" s="13" t="s">
        <v>2326</v>
      </c>
      <c r="R1325" s="16">
        <v>0.87</v>
      </c>
      <c r="S1325" s="12" t="s">
        <v>49</v>
      </c>
      <c r="T1325" s="12" t="s">
        <v>4011</v>
      </c>
      <c r="U1325" s="12" t="s">
        <v>60</v>
      </c>
      <c r="V1325" s="13" t="s">
        <v>4012</v>
      </c>
      <c r="W1325" s="11">
        <v>0.82</v>
      </c>
      <c r="X1325" s="12" t="s">
        <v>139</v>
      </c>
      <c r="Z1325" s="12" t="s">
        <v>60</v>
      </c>
      <c r="AU1325" s="12" t="s">
        <v>53</v>
      </c>
    </row>
    <row r="1326" spans="1:47" s="12" customFormat="1" ht="14.4" x14ac:dyDescent="0.3">
      <c r="A1326" s="12" t="s">
        <v>39</v>
      </c>
      <c r="B1326" s="12" t="s">
        <v>3815</v>
      </c>
      <c r="C1326" s="12">
        <v>70</v>
      </c>
      <c r="D1326" s="12">
        <v>400</v>
      </c>
      <c r="F1326" s="276" t="s">
        <v>4013</v>
      </c>
      <c r="G1326" s="12" t="str">
        <f t="shared" si="34"/>
        <v>704008703793</v>
      </c>
      <c r="H1326" s="12" t="s">
        <v>4014</v>
      </c>
      <c r="I1326" s="15">
        <v>8703793</v>
      </c>
      <c r="J1326" s="12" t="s">
        <v>4015</v>
      </c>
      <c r="K1326" s="12" t="s">
        <v>230</v>
      </c>
      <c r="L1326" s="12" t="s">
        <v>45</v>
      </c>
      <c r="M1326" s="12" t="s">
        <v>45</v>
      </c>
      <c r="N1326" s="12" t="s">
        <v>46</v>
      </c>
      <c r="O1326" s="12" t="s">
        <v>47</v>
      </c>
      <c r="P1326" s="88" t="s">
        <v>48</v>
      </c>
      <c r="R1326" s="16"/>
      <c r="W1326" s="11"/>
      <c r="AU1326" s="12" t="s">
        <v>53</v>
      </c>
    </row>
    <row r="1327" spans="1:47" s="12" customFormat="1" ht="14.4" x14ac:dyDescent="0.3">
      <c r="A1327" s="12" t="s">
        <v>39</v>
      </c>
      <c r="B1327" s="12" t="s">
        <v>3815</v>
      </c>
      <c r="C1327" s="12">
        <v>70</v>
      </c>
      <c r="D1327" s="12">
        <v>400</v>
      </c>
      <c r="F1327" s="276" t="s">
        <v>4016</v>
      </c>
      <c r="G1327" s="12" t="str">
        <f t="shared" si="34"/>
        <v>704001100686986</v>
      </c>
      <c r="H1327" s="12" t="s">
        <v>9221</v>
      </c>
      <c r="I1327" s="15">
        <v>1100686986</v>
      </c>
      <c r="J1327" s="12" t="s">
        <v>4017</v>
      </c>
      <c r="K1327" s="12" t="s">
        <v>230</v>
      </c>
      <c r="L1327" s="12">
        <v>3128545676</v>
      </c>
      <c r="M1327" s="12" t="s">
        <v>9222</v>
      </c>
      <c r="N1327" s="12" t="s">
        <v>46</v>
      </c>
      <c r="O1327" s="12" t="s">
        <v>47</v>
      </c>
      <c r="P1327" s="88" t="s">
        <v>48</v>
      </c>
      <c r="Q1327" s="13">
        <v>46217</v>
      </c>
      <c r="R1327" s="12" t="s">
        <v>8595</v>
      </c>
      <c r="S1327" s="12" t="s">
        <v>49</v>
      </c>
      <c r="T1327" s="12" t="s">
        <v>3996</v>
      </c>
      <c r="U1327" s="12" t="s">
        <v>60</v>
      </c>
      <c r="V1327" s="13">
        <v>44845</v>
      </c>
      <c r="W1327" s="16">
        <v>0.76500000000000001</v>
      </c>
      <c r="X1327" s="12" t="s">
        <v>49</v>
      </c>
      <c r="Y1327" s="12" t="s">
        <v>3996</v>
      </c>
      <c r="Z1327" s="12" t="s">
        <v>60</v>
      </c>
      <c r="AC1327" s="13">
        <v>44455</v>
      </c>
      <c r="AD1327" s="11">
        <v>0.75</v>
      </c>
      <c r="AE1327" s="12" t="s">
        <v>49</v>
      </c>
      <c r="AF1327" s="12" t="s">
        <v>60</v>
      </c>
      <c r="AU1327" s="12" t="s">
        <v>53</v>
      </c>
    </row>
    <row r="1328" spans="1:47" s="12" customFormat="1" ht="14.4" x14ac:dyDescent="0.3">
      <c r="A1328" s="12" t="s">
        <v>39</v>
      </c>
      <c r="B1328" s="12" t="s">
        <v>3815</v>
      </c>
      <c r="C1328" s="12">
        <v>70</v>
      </c>
      <c r="D1328" s="12">
        <v>400</v>
      </c>
      <c r="F1328" s="14" t="s">
        <v>4018</v>
      </c>
      <c r="G1328" s="12" t="str">
        <f t="shared" si="34"/>
        <v>70400</v>
      </c>
      <c r="H1328" s="12" t="s">
        <v>4019</v>
      </c>
      <c r="I1328" s="15"/>
      <c r="J1328" s="12" t="s">
        <v>4020</v>
      </c>
      <c r="K1328" s="12" t="s">
        <v>230</v>
      </c>
      <c r="L1328" s="12" t="s">
        <v>45</v>
      </c>
      <c r="M1328" s="12" t="s">
        <v>45</v>
      </c>
      <c r="N1328" s="12" t="s">
        <v>46</v>
      </c>
      <c r="O1328" s="12" t="s">
        <v>47</v>
      </c>
      <c r="P1328" s="88" t="s">
        <v>48</v>
      </c>
      <c r="Q1328" s="13">
        <v>44840</v>
      </c>
      <c r="R1328" s="16">
        <v>0.76500000000000001</v>
      </c>
      <c r="S1328" s="12" t="s">
        <v>49</v>
      </c>
      <c r="V1328" s="13">
        <v>44305</v>
      </c>
      <c r="W1328" s="11">
        <v>0.75</v>
      </c>
      <c r="X1328" s="12" t="s">
        <v>49</v>
      </c>
      <c r="AU1328" s="12" t="s">
        <v>164</v>
      </c>
    </row>
    <row r="1329" spans="1:47" s="12" customFormat="1" ht="14.4" x14ac:dyDescent="0.3">
      <c r="A1329" s="12" t="s">
        <v>39</v>
      </c>
      <c r="B1329" s="12" t="s">
        <v>3815</v>
      </c>
      <c r="C1329" s="12">
        <v>70</v>
      </c>
      <c r="D1329" s="12">
        <v>400</v>
      </c>
      <c r="F1329" s="276" t="s">
        <v>4021</v>
      </c>
      <c r="G1329" s="12" t="str">
        <f t="shared" si="34"/>
        <v>7040064706014</v>
      </c>
      <c r="H1329" s="12" t="s">
        <v>9705</v>
      </c>
      <c r="I1329" s="12">
        <v>64706014</v>
      </c>
      <c r="J1329" s="12" t="s">
        <v>9706</v>
      </c>
      <c r="K1329" s="12" t="s">
        <v>44</v>
      </c>
      <c r="L1329" s="12">
        <v>3001412202</v>
      </c>
      <c r="M1329" s="12" t="s">
        <v>8980</v>
      </c>
      <c r="N1329" s="12" t="s">
        <v>46</v>
      </c>
      <c r="O1329" s="12" t="s">
        <v>47</v>
      </c>
      <c r="P1329" s="88" t="s">
        <v>48</v>
      </c>
      <c r="Q1329" s="13">
        <v>46191</v>
      </c>
      <c r="R1329" s="12" t="s">
        <v>4833</v>
      </c>
      <c r="S1329" s="12" t="s">
        <v>49</v>
      </c>
      <c r="U1329" s="12" t="s">
        <v>60</v>
      </c>
      <c r="V1329" s="13">
        <v>45873</v>
      </c>
      <c r="W1329" s="16">
        <v>0.81</v>
      </c>
      <c r="X1329" s="12" t="s">
        <v>49</v>
      </c>
      <c r="Y1329" s="12" t="s">
        <v>3996</v>
      </c>
      <c r="Z1329" s="12" t="s">
        <v>60</v>
      </c>
      <c r="AC1329" s="13">
        <v>45490</v>
      </c>
      <c r="AD1329" s="11">
        <v>0.94</v>
      </c>
      <c r="AE1329" s="12" t="s">
        <v>210</v>
      </c>
      <c r="AU1329" s="12" t="s">
        <v>53</v>
      </c>
    </row>
    <row r="1330" spans="1:47" s="12" customFormat="1" ht="14.4" hidden="1" x14ac:dyDescent="0.3">
      <c r="A1330" s="12" t="s">
        <v>39</v>
      </c>
      <c r="B1330" s="12" t="s">
        <v>3815</v>
      </c>
      <c r="C1330" s="12">
        <v>70</v>
      </c>
      <c r="D1330" s="12">
        <v>400</v>
      </c>
      <c r="F1330" s="276" t="s">
        <v>4022</v>
      </c>
      <c r="G1330" s="12" t="str">
        <f t="shared" si="34"/>
        <v>704001069472904</v>
      </c>
      <c r="H1330" s="12" t="s">
        <v>4023</v>
      </c>
      <c r="I1330" s="15">
        <v>1069472904</v>
      </c>
      <c r="J1330" s="12" t="s">
        <v>4024</v>
      </c>
      <c r="K1330" s="12" t="s">
        <v>230</v>
      </c>
      <c r="L1330" s="12">
        <v>3145348423</v>
      </c>
      <c r="M1330" s="12" t="s">
        <v>8978</v>
      </c>
      <c r="N1330" s="12" t="s">
        <v>46</v>
      </c>
      <c r="O1330" s="12" t="s">
        <v>2797</v>
      </c>
      <c r="P1330" s="88" t="s">
        <v>80</v>
      </c>
      <c r="Q1330" s="13">
        <v>46178</v>
      </c>
      <c r="R1330" s="12" t="s">
        <v>8538</v>
      </c>
      <c r="S1330" s="12" t="s">
        <v>49</v>
      </c>
      <c r="T1330" s="12" t="s">
        <v>3996</v>
      </c>
      <c r="U1330" s="12" t="s">
        <v>60</v>
      </c>
      <c r="V1330" s="13">
        <v>45841</v>
      </c>
      <c r="W1330" s="16">
        <v>0.78</v>
      </c>
      <c r="X1330" s="12" t="s">
        <v>49</v>
      </c>
      <c r="Y1330" s="12" t="s">
        <v>3996</v>
      </c>
      <c r="Z1330" s="12" t="s">
        <v>60</v>
      </c>
      <c r="AC1330" s="13">
        <v>45097</v>
      </c>
      <c r="AD1330" s="16">
        <v>0.76749999999999996</v>
      </c>
      <c r="AE1330" s="12" t="s">
        <v>49</v>
      </c>
      <c r="AF1330" s="12" t="s">
        <v>60</v>
      </c>
      <c r="AI1330" s="12" t="s">
        <v>4025</v>
      </c>
      <c r="AJ1330" s="11">
        <v>0.76</v>
      </c>
      <c r="AK1330" s="12" t="s">
        <v>49</v>
      </c>
      <c r="AL1330" s="12" t="s">
        <v>60</v>
      </c>
      <c r="AU1330" s="12" t="s">
        <v>53</v>
      </c>
    </row>
    <row r="1331" spans="1:47" s="12" customFormat="1" ht="14.4" x14ac:dyDescent="0.3">
      <c r="A1331" s="12" t="s">
        <v>39</v>
      </c>
      <c r="B1331" s="12" t="s">
        <v>3815</v>
      </c>
      <c r="C1331" s="12">
        <v>70</v>
      </c>
      <c r="D1331" s="12">
        <v>400</v>
      </c>
      <c r="F1331" s="276" t="s">
        <v>4026</v>
      </c>
      <c r="G1331" s="12" t="str">
        <f t="shared" si="34"/>
        <v>704003824635</v>
      </c>
      <c r="H1331" s="12" t="s">
        <v>4027</v>
      </c>
      <c r="I1331" s="15">
        <v>3824635</v>
      </c>
      <c r="J1331" s="12" t="s">
        <v>4028</v>
      </c>
      <c r="K1331" s="12" t="s">
        <v>230</v>
      </c>
      <c r="L1331" s="12" t="s">
        <v>45</v>
      </c>
      <c r="M1331" s="12" t="s">
        <v>45</v>
      </c>
      <c r="N1331" s="12" t="s">
        <v>46</v>
      </c>
      <c r="O1331" s="12" t="s">
        <v>47</v>
      </c>
      <c r="P1331" s="88" t="s">
        <v>48</v>
      </c>
      <c r="Q1331" s="13">
        <v>45149</v>
      </c>
      <c r="R1331" s="16">
        <v>0.90500000000000003</v>
      </c>
      <c r="S1331" s="12" t="s">
        <v>210</v>
      </c>
      <c r="V1331" s="13" t="s">
        <v>4025</v>
      </c>
      <c r="W1331" s="11">
        <v>0.76</v>
      </c>
      <c r="X1331" s="12" t="s">
        <v>49</v>
      </c>
      <c r="AU1331" s="12" t="s">
        <v>53</v>
      </c>
    </row>
    <row r="1332" spans="1:47" s="12" customFormat="1" ht="14.4" x14ac:dyDescent="0.3">
      <c r="A1332" s="12" t="s">
        <v>39</v>
      </c>
      <c r="B1332" s="12" t="s">
        <v>3815</v>
      </c>
      <c r="C1332" s="12">
        <v>70</v>
      </c>
      <c r="D1332" s="12">
        <v>400</v>
      </c>
      <c r="F1332" s="276" t="s">
        <v>4029</v>
      </c>
      <c r="G1332" s="12" t="str">
        <f t="shared" si="34"/>
        <v>7040064700005</v>
      </c>
      <c r="H1332" s="12" t="s">
        <v>4030</v>
      </c>
      <c r="I1332" s="15">
        <v>64700005</v>
      </c>
      <c r="J1332" s="12" t="s">
        <v>5094</v>
      </c>
      <c r="K1332" s="12" t="s">
        <v>230</v>
      </c>
      <c r="L1332" s="12" t="s">
        <v>45</v>
      </c>
      <c r="M1332" s="12" t="s">
        <v>45</v>
      </c>
      <c r="N1332" s="12" t="s">
        <v>46</v>
      </c>
      <c r="O1332" s="12" t="s">
        <v>47</v>
      </c>
      <c r="P1332" s="88" t="s">
        <v>48</v>
      </c>
      <c r="Q1332" s="13">
        <v>45148</v>
      </c>
      <c r="R1332" s="16">
        <v>0.90500000000000003</v>
      </c>
      <c r="S1332" s="12" t="s">
        <v>210</v>
      </c>
      <c r="V1332" s="12" t="s">
        <v>4031</v>
      </c>
      <c r="W1332" s="11">
        <v>0.82</v>
      </c>
      <c r="X1332" s="12" t="s">
        <v>49</v>
      </c>
      <c r="AU1332" s="12" t="s">
        <v>53</v>
      </c>
    </row>
    <row r="1333" spans="1:47" s="12" customFormat="1" ht="14.4" x14ac:dyDescent="0.3">
      <c r="A1333" s="12" t="s">
        <v>39</v>
      </c>
      <c r="B1333" s="12" t="s">
        <v>3815</v>
      </c>
      <c r="C1333" s="12">
        <v>70</v>
      </c>
      <c r="D1333" s="12">
        <v>400</v>
      </c>
      <c r="F1333" s="276" t="s">
        <v>4032</v>
      </c>
      <c r="G1333" s="12" t="str">
        <f t="shared" si="34"/>
        <v>7040039275240.3</v>
      </c>
      <c r="H1333" s="12" t="s">
        <v>4033</v>
      </c>
      <c r="I1333" s="12" t="s">
        <v>9217</v>
      </c>
      <c r="J1333" s="12" t="s">
        <v>9218</v>
      </c>
      <c r="K1333" s="12" t="s">
        <v>230</v>
      </c>
      <c r="L1333" s="12">
        <v>3043802928</v>
      </c>
      <c r="M1333" s="12" t="s">
        <v>9219</v>
      </c>
      <c r="N1333" s="12" t="s">
        <v>46</v>
      </c>
      <c r="O1333" s="12" t="s">
        <v>47</v>
      </c>
      <c r="P1333" s="88" t="s">
        <v>48</v>
      </c>
      <c r="Q1333" s="13">
        <v>46209</v>
      </c>
      <c r="R1333" s="12" t="s">
        <v>8405</v>
      </c>
      <c r="S1333" s="12" t="s">
        <v>49</v>
      </c>
      <c r="T1333" s="12" t="s">
        <v>9220</v>
      </c>
      <c r="U1333" s="12" t="s">
        <v>60</v>
      </c>
      <c r="V1333" s="13">
        <v>45842</v>
      </c>
      <c r="W1333" s="16">
        <v>0.82</v>
      </c>
      <c r="X1333" s="12" t="s">
        <v>49</v>
      </c>
      <c r="Y1333" s="12" t="s">
        <v>3996</v>
      </c>
      <c r="Z1333" s="12" t="s">
        <v>60</v>
      </c>
      <c r="AC1333" s="13">
        <v>45463</v>
      </c>
      <c r="AD1333" s="11">
        <v>0.95</v>
      </c>
      <c r="AE1333" s="12" t="s">
        <v>210</v>
      </c>
      <c r="AF1333" s="12" t="s">
        <v>60</v>
      </c>
      <c r="AI1333" s="13">
        <v>45162</v>
      </c>
      <c r="AJ1333" s="16">
        <v>0.79</v>
      </c>
      <c r="AK1333" s="12" t="s">
        <v>49</v>
      </c>
      <c r="AL1333" s="12" t="s">
        <v>60</v>
      </c>
      <c r="AU1333" s="12" t="s">
        <v>53</v>
      </c>
    </row>
    <row r="1334" spans="1:47" s="12" customFormat="1" ht="14.4" hidden="1" x14ac:dyDescent="0.3">
      <c r="A1334" s="12" t="s">
        <v>39</v>
      </c>
      <c r="B1334" s="12" t="s">
        <v>3815</v>
      </c>
      <c r="C1334" s="12">
        <v>70</v>
      </c>
      <c r="D1334" s="12">
        <v>400</v>
      </c>
      <c r="F1334" s="14" t="s">
        <v>4034</v>
      </c>
      <c r="G1334" s="12" t="str">
        <f t="shared" si="34"/>
        <v>7040064705536</v>
      </c>
      <c r="H1334" s="12" t="s">
        <v>4035</v>
      </c>
      <c r="I1334" s="15">
        <v>64705536</v>
      </c>
      <c r="J1334" s="12" t="s">
        <v>4036</v>
      </c>
      <c r="K1334" s="12" t="s">
        <v>230</v>
      </c>
      <c r="L1334" s="12" t="s">
        <v>45</v>
      </c>
      <c r="M1334" s="12" t="s">
        <v>45</v>
      </c>
      <c r="N1334" s="12" t="s">
        <v>46</v>
      </c>
      <c r="O1334" s="12" t="s">
        <v>1773</v>
      </c>
      <c r="P1334" s="88" t="s">
        <v>80</v>
      </c>
      <c r="Q1334" s="13">
        <v>44630</v>
      </c>
      <c r="R1334" s="16">
        <v>0.79500000000000004</v>
      </c>
      <c r="S1334" s="12" t="s">
        <v>49</v>
      </c>
      <c r="V1334" s="13">
        <v>44617</v>
      </c>
      <c r="W1334" s="11">
        <v>0.77500000000000002</v>
      </c>
      <c r="X1334" s="12" t="s">
        <v>49</v>
      </c>
      <c r="AU1334" s="12" t="s">
        <v>164</v>
      </c>
    </row>
    <row r="1335" spans="1:47" s="12" customFormat="1" ht="14.4" x14ac:dyDescent="0.3">
      <c r="A1335" s="12" t="s">
        <v>39</v>
      </c>
      <c r="B1335" s="12" t="s">
        <v>3815</v>
      </c>
      <c r="C1335" s="12">
        <v>70</v>
      </c>
      <c r="D1335" s="12">
        <v>400</v>
      </c>
      <c r="F1335" s="14" t="s">
        <v>4037</v>
      </c>
      <c r="G1335" s="12" t="str">
        <f t="shared" si="34"/>
        <v>7040064705817</v>
      </c>
      <c r="H1335" s="12" t="s">
        <v>4038</v>
      </c>
      <c r="I1335" s="15">
        <v>64705817</v>
      </c>
      <c r="J1335" s="12" t="s">
        <v>4039</v>
      </c>
      <c r="K1335" s="12" t="s">
        <v>230</v>
      </c>
      <c r="L1335" s="12">
        <v>3125979068</v>
      </c>
      <c r="M1335" s="12" t="s">
        <v>45</v>
      </c>
      <c r="N1335" s="12" t="s">
        <v>46</v>
      </c>
      <c r="O1335" s="12" t="s">
        <v>47</v>
      </c>
      <c r="P1335" s="88" t="s">
        <v>48</v>
      </c>
      <c r="R1335" s="16"/>
      <c r="W1335" s="11"/>
      <c r="AU1335" s="12" t="s">
        <v>164</v>
      </c>
    </row>
    <row r="1336" spans="1:47" s="12" customFormat="1" ht="14.4" x14ac:dyDescent="0.3">
      <c r="A1336" s="12" t="s">
        <v>39</v>
      </c>
      <c r="B1336" s="12" t="s">
        <v>3815</v>
      </c>
      <c r="C1336" s="12">
        <v>70</v>
      </c>
      <c r="D1336" s="12">
        <v>400</v>
      </c>
      <c r="F1336" s="276" t="s">
        <v>9214</v>
      </c>
      <c r="G1336" s="12" t="str">
        <f t="shared" si="34"/>
        <v>7040064706014</v>
      </c>
      <c r="H1336" s="12" t="s">
        <v>9215</v>
      </c>
      <c r="I1336" s="12">
        <v>64706014</v>
      </c>
      <c r="J1336" s="12" t="s">
        <v>9216</v>
      </c>
      <c r="K1336" s="12" t="s">
        <v>44</v>
      </c>
      <c r="L1336" s="12">
        <v>3001412202</v>
      </c>
      <c r="M1336" s="12" t="s">
        <v>45</v>
      </c>
      <c r="N1336" s="12" t="s">
        <v>46</v>
      </c>
      <c r="O1336" s="12" t="s">
        <v>47</v>
      </c>
      <c r="P1336" s="88" t="s">
        <v>48</v>
      </c>
      <c r="Q1336" s="13">
        <v>46191</v>
      </c>
      <c r="R1336" s="12" t="s">
        <v>4833</v>
      </c>
      <c r="S1336" s="12" t="s">
        <v>49</v>
      </c>
      <c r="T1336" s="12" t="s">
        <v>3996</v>
      </c>
      <c r="U1336" s="12" t="s">
        <v>60</v>
      </c>
      <c r="W1336" s="11"/>
      <c r="AU1336" s="12" t="s">
        <v>53</v>
      </c>
    </row>
    <row r="1337" spans="1:47" s="12" customFormat="1" ht="14.4" x14ac:dyDescent="0.3">
      <c r="A1337" s="12" t="s">
        <v>39</v>
      </c>
      <c r="B1337" s="12" t="s">
        <v>3815</v>
      </c>
      <c r="C1337" s="12">
        <v>70</v>
      </c>
      <c r="D1337" s="12">
        <v>400</v>
      </c>
      <c r="F1337" s="276" t="s">
        <v>4040</v>
      </c>
      <c r="G1337" s="12" t="str">
        <f t="shared" si="34"/>
        <v>7040050943624</v>
      </c>
      <c r="H1337" s="12" t="s">
        <v>4041</v>
      </c>
      <c r="I1337" s="15">
        <v>50943624</v>
      </c>
      <c r="J1337" s="12" t="s">
        <v>4042</v>
      </c>
      <c r="K1337" s="12" t="s">
        <v>230</v>
      </c>
      <c r="L1337" s="12">
        <v>3022362587</v>
      </c>
      <c r="M1337" s="12" t="s">
        <v>45</v>
      </c>
      <c r="N1337" s="12" t="s">
        <v>46</v>
      </c>
      <c r="O1337" s="12" t="s">
        <v>47</v>
      </c>
      <c r="P1337" s="88" t="s">
        <v>48</v>
      </c>
      <c r="Q1337" s="13">
        <v>45120</v>
      </c>
      <c r="R1337" s="16">
        <v>0.84499999999999997</v>
      </c>
      <c r="S1337" s="12" t="s">
        <v>49</v>
      </c>
      <c r="W1337" s="11"/>
      <c r="AU1337" s="12" t="s">
        <v>53</v>
      </c>
    </row>
    <row r="1338" spans="1:47" s="12" customFormat="1" ht="14.4" hidden="1" x14ac:dyDescent="0.3">
      <c r="A1338" s="12" t="s">
        <v>39</v>
      </c>
      <c r="B1338" s="12" t="s">
        <v>3815</v>
      </c>
      <c r="C1338" s="12">
        <v>70</v>
      </c>
      <c r="D1338" s="12">
        <v>400</v>
      </c>
      <c r="E1338" s="12" t="s">
        <v>4043</v>
      </c>
      <c r="F1338" s="276" t="s">
        <v>2716</v>
      </c>
      <c r="G1338" s="12" t="s">
        <v>4045</v>
      </c>
      <c r="H1338" s="12" t="s">
        <v>3793</v>
      </c>
      <c r="I1338" s="12">
        <v>9005258755</v>
      </c>
      <c r="J1338" s="12" t="s">
        <v>4047</v>
      </c>
      <c r="K1338" s="12" t="s">
        <v>230</v>
      </c>
      <c r="L1338" s="12">
        <v>3003553040</v>
      </c>
      <c r="M1338" s="12" t="s">
        <v>8979</v>
      </c>
      <c r="N1338" s="12" t="s">
        <v>127</v>
      </c>
      <c r="O1338" s="12" t="s">
        <v>2822</v>
      </c>
      <c r="P1338" s="88" t="s">
        <v>48</v>
      </c>
      <c r="Q1338" s="13">
        <v>46182</v>
      </c>
      <c r="R1338" s="12" t="s">
        <v>8405</v>
      </c>
      <c r="S1338" s="12" t="s">
        <v>49</v>
      </c>
      <c r="U1338" s="12" t="s">
        <v>60</v>
      </c>
      <c r="V1338" s="13">
        <v>45783</v>
      </c>
      <c r="W1338" s="18">
        <v>0.77500000000000002</v>
      </c>
      <c r="X1338" s="12" t="s">
        <v>49</v>
      </c>
      <c r="Y1338" s="12" t="s">
        <v>2461</v>
      </c>
      <c r="Z1338" s="12" t="s">
        <v>60</v>
      </c>
      <c r="AU1338" s="12" t="s">
        <v>53</v>
      </c>
    </row>
    <row r="1339" spans="1:47" s="12" customFormat="1" ht="28.8" hidden="1" x14ac:dyDescent="0.3">
      <c r="A1339" s="12" t="s">
        <v>39</v>
      </c>
      <c r="B1339" s="12" t="s">
        <v>3815</v>
      </c>
      <c r="C1339" s="12">
        <v>70</v>
      </c>
      <c r="D1339" s="12">
        <v>400</v>
      </c>
      <c r="E1339" s="12" t="s">
        <v>8791</v>
      </c>
      <c r="F1339" s="276" t="s">
        <v>4048</v>
      </c>
      <c r="G1339" s="12" t="s">
        <v>4049</v>
      </c>
      <c r="H1339" s="12" t="s">
        <v>4897</v>
      </c>
      <c r="I1339" s="12">
        <v>9019269537</v>
      </c>
      <c r="J1339" s="12" t="s">
        <v>8794</v>
      </c>
      <c r="K1339" s="12" t="s">
        <v>133</v>
      </c>
      <c r="L1339" s="12">
        <v>3006565203</v>
      </c>
      <c r="M1339" s="12" t="s">
        <v>8793</v>
      </c>
      <c r="N1339" s="12" t="s">
        <v>127</v>
      </c>
      <c r="O1339" s="12" t="s">
        <v>2822</v>
      </c>
      <c r="P1339" s="88" t="s">
        <v>48</v>
      </c>
      <c r="Q1339" s="13">
        <v>46139</v>
      </c>
      <c r="R1339" s="12">
        <v>83</v>
      </c>
      <c r="S1339" s="12" t="s">
        <v>49</v>
      </c>
      <c r="T1339" s="12" t="s">
        <v>3996</v>
      </c>
      <c r="U1339" s="12" t="s">
        <v>60</v>
      </c>
      <c r="V1339" s="13">
        <v>45817</v>
      </c>
      <c r="W1339" s="11">
        <v>0.8</v>
      </c>
      <c r="X1339" s="12" t="s">
        <v>49</v>
      </c>
      <c r="Y1339" s="12" t="s">
        <v>3996</v>
      </c>
      <c r="Z1339" s="12" t="s">
        <v>2881</v>
      </c>
      <c r="AU1339" s="12" t="s">
        <v>53</v>
      </c>
    </row>
    <row r="1340" spans="1:47" s="12" customFormat="1" ht="14.4" hidden="1" x14ac:dyDescent="0.3">
      <c r="A1340" s="12" t="s">
        <v>39</v>
      </c>
      <c r="B1340" s="12" t="s">
        <v>3815</v>
      </c>
      <c r="C1340" s="12">
        <v>70</v>
      </c>
      <c r="D1340" s="12">
        <v>400</v>
      </c>
      <c r="E1340" s="12" t="s">
        <v>8791</v>
      </c>
      <c r="F1340" s="276" t="s">
        <v>4050</v>
      </c>
      <c r="G1340" s="12" t="s">
        <v>4049</v>
      </c>
      <c r="H1340" s="12" t="s">
        <v>4897</v>
      </c>
      <c r="I1340" s="12">
        <v>9019269537</v>
      </c>
      <c r="J1340" s="12" t="s">
        <v>8792</v>
      </c>
      <c r="K1340" s="12" t="s">
        <v>133</v>
      </c>
      <c r="L1340" s="12">
        <v>3506582688</v>
      </c>
      <c r="M1340" s="12" t="s">
        <v>8793</v>
      </c>
      <c r="N1340" s="12" t="s">
        <v>127</v>
      </c>
      <c r="O1340" s="12" t="s">
        <v>2822</v>
      </c>
      <c r="P1340" s="88" t="s">
        <v>48</v>
      </c>
      <c r="Q1340" s="13">
        <v>46133</v>
      </c>
      <c r="R1340" s="12" t="s">
        <v>7842</v>
      </c>
      <c r="S1340" s="12" t="s">
        <v>74</v>
      </c>
      <c r="T1340" s="12" t="s">
        <v>3996</v>
      </c>
      <c r="U1340" s="12" t="s">
        <v>60</v>
      </c>
      <c r="V1340" s="13">
        <v>45733</v>
      </c>
      <c r="W1340" s="16">
        <v>0.79</v>
      </c>
      <c r="X1340" s="12" t="s">
        <v>49</v>
      </c>
      <c r="Y1340" s="12" t="s">
        <v>3996</v>
      </c>
      <c r="Z1340" s="12" t="s">
        <v>2881</v>
      </c>
      <c r="AU1340" s="12" t="s">
        <v>53</v>
      </c>
    </row>
    <row r="1341" spans="1:47" s="12" customFormat="1" ht="14.4" hidden="1" x14ac:dyDescent="0.3">
      <c r="A1341" s="12" t="s">
        <v>39</v>
      </c>
      <c r="B1341" s="12" t="s">
        <v>3815</v>
      </c>
      <c r="C1341" s="12">
        <v>70</v>
      </c>
      <c r="D1341" s="12">
        <v>400</v>
      </c>
      <c r="E1341" s="12" t="s">
        <v>8582</v>
      </c>
      <c r="F1341" s="276" t="s">
        <v>4051</v>
      </c>
      <c r="G1341" s="12" t="s">
        <v>4052</v>
      </c>
      <c r="H1341" s="12" t="s">
        <v>710</v>
      </c>
      <c r="I1341" s="12" t="s">
        <v>4053</v>
      </c>
      <c r="J1341" s="12" t="s">
        <v>4054</v>
      </c>
      <c r="K1341" s="12" t="s">
        <v>133</v>
      </c>
      <c r="L1341" s="12">
        <v>3233674170</v>
      </c>
      <c r="M1341" s="12" t="s">
        <v>8335</v>
      </c>
      <c r="N1341" s="12" t="s">
        <v>127</v>
      </c>
      <c r="O1341" s="12" t="s">
        <v>2822</v>
      </c>
      <c r="P1341" s="88" t="s">
        <v>48</v>
      </c>
      <c r="Q1341" s="13">
        <v>46065</v>
      </c>
      <c r="R1341" s="12">
        <v>80</v>
      </c>
      <c r="S1341" s="12" t="s">
        <v>49</v>
      </c>
      <c r="T1341" s="12" t="s">
        <v>3996</v>
      </c>
      <c r="U1341" s="12" t="s">
        <v>60</v>
      </c>
      <c r="V1341" s="13">
        <v>45733</v>
      </c>
      <c r="W1341" s="16">
        <v>0.8</v>
      </c>
      <c r="X1341" s="12" t="s">
        <v>49</v>
      </c>
      <c r="AU1341" s="12" t="s">
        <v>53</v>
      </c>
    </row>
    <row r="1342" spans="1:47" s="12" customFormat="1" ht="14.4" hidden="1" x14ac:dyDescent="0.3">
      <c r="A1342" s="12" t="s">
        <v>39</v>
      </c>
      <c r="B1342" s="12" t="s">
        <v>3815</v>
      </c>
      <c r="C1342" s="12">
        <v>70</v>
      </c>
      <c r="D1342" s="12">
        <v>400</v>
      </c>
      <c r="E1342" s="12" t="s">
        <v>8582</v>
      </c>
      <c r="F1342" s="276" t="s">
        <v>4055</v>
      </c>
      <c r="G1342" s="12" t="s">
        <v>4049</v>
      </c>
      <c r="H1342" s="12" t="s">
        <v>710</v>
      </c>
      <c r="I1342" s="12">
        <v>9020247794</v>
      </c>
      <c r="J1342" s="12" t="s">
        <v>4056</v>
      </c>
      <c r="K1342" s="12" t="s">
        <v>133</v>
      </c>
      <c r="L1342" s="12">
        <v>3007231860</v>
      </c>
      <c r="M1342" s="12" t="s">
        <v>8335</v>
      </c>
      <c r="N1342" s="12" t="s">
        <v>127</v>
      </c>
      <c r="O1342" s="12" t="s">
        <v>2822</v>
      </c>
      <c r="P1342" s="88" t="s">
        <v>48</v>
      </c>
      <c r="Q1342" s="13">
        <v>46091</v>
      </c>
      <c r="R1342" s="12" t="s">
        <v>7842</v>
      </c>
      <c r="S1342" s="12" t="s">
        <v>49</v>
      </c>
      <c r="V1342" s="13">
        <v>45729</v>
      </c>
      <c r="W1342" s="16">
        <v>0.75</v>
      </c>
      <c r="X1342" s="12" t="s">
        <v>49</v>
      </c>
      <c r="Y1342" s="12" t="s">
        <v>3996</v>
      </c>
      <c r="Z1342" s="12" t="s">
        <v>60</v>
      </c>
      <c r="AU1342" s="12" t="s">
        <v>53</v>
      </c>
    </row>
    <row r="1343" spans="1:47" s="12" customFormat="1" ht="14.4" hidden="1" x14ac:dyDescent="0.3">
      <c r="A1343" s="12" t="s">
        <v>39</v>
      </c>
      <c r="B1343" s="12" t="s">
        <v>3815</v>
      </c>
      <c r="C1343" s="12">
        <v>70</v>
      </c>
      <c r="D1343" s="12">
        <v>400</v>
      </c>
      <c r="E1343" s="12" t="s">
        <v>8582</v>
      </c>
      <c r="F1343" s="276" t="s">
        <v>4057</v>
      </c>
      <c r="G1343" s="12" t="s">
        <v>4058</v>
      </c>
      <c r="H1343" s="12" t="s">
        <v>710</v>
      </c>
      <c r="I1343" s="12">
        <v>9020247794</v>
      </c>
      <c r="J1343" s="12" t="s">
        <v>4059</v>
      </c>
      <c r="K1343" s="12" t="s">
        <v>133</v>
      </c>
      <c r="L1343" s="12">
        <v>3007231860</v>
      </c>
      <c r="M1343" s="12" t="s">
        <v>8335</v>
      </c>
      <c r="N1343" s="12" t="s">
        <v>127</v>
      </c>
      <c r="O1343" s="12" t="s">
        <v>2822</v>
      </c>
      <c r="P1343" s="88" t="s">
        <v>48</v>
      </c>
      <c r="Q1343" s="13">
        <v>46099</v>
      </c>
      <c r="R1343" s="12">
        <v>84</v>
      </c>
      <c r="S1343" s="12" t="s">
        <v>49</v>
      </c>
      <c r="U1343" s="12" t="s">
        <v>60</v>
      </c>
      <c r="V1343" s="13">
        <v>45733</v>
      </c>
      <c r="W1343" s="16">
        <v>0.74</v>
      </c>
      <c r="X1343" s="12" t="s">
        <v>49</v>
      </c>
      <c r="Z1343" s="12" t="s">
        <v>2881</v>
      </c>
      <c r="AU1343" s="12" t="s">
        <v>53</v>
      </c>
    </row>
    <row r="1344" spans="1:47" s="12" customFormat="1" ht="14.4" hidden="1" x14ac:dyDescent="0.3">
      <c r="A1344" s="12" t="s">
        <v>39</v>
      </c>
      <c r="B1344" s="12" t="s">
        <v>3815</v>
      </c>
      <c r="C1344" s="12">
        <v>70</v>
      </c>
      <c r="D1344" s="12">
        <v>400</v>
      </c>
      <c r="E1344" s="12" t="s">
        <v>8582</v>
      </c>
      <c r="F1344" s="276" t="s">
        <v>4060</v>
      </c>
      <c r="G1344" s="12" t="s">
        <v>4049</v>
      </c>
      <c r="H1344" s="12" t="s">
        <v>710</v>
      </c>
      <c r="I1344" s="12" t="s">
        <v>2701</v>
      </c>
      <c r="J1344" s="12" t="s">
        <v>4061</v>
      </c>
      <c r="K1344" s="12" t="s">
        <v>133</v>
      </c>
      <c r="L1344" s="12">
        <v>3233674170</v>
      </c>
      <c r="M1344" s="12" t="s">
        <v>8335</v>
      </c>
      <c r="N1344" s="12" t="s">
        <v>127</v>
      </c>
      <c r="O1344" s="12" t="s">
        <v>2822</v>
      </c>
      <c r="P1344" s="88" t="s">
        <v>48</v>
      </c>
      <c r="Q1344" s="13">
        <v>46065</v>
      </c>
      <c r="R1344" s="16">
        <v>0.8</v>
      </c>
      <c r="S1344" s="12" t="s">
        <v>49</v>
      </c>
      <c r="T1344" s="12" t="s">
        <v>3996</v>
      </c>
      <c r="U1344" s="12" t="s">
        <v>60</v>
      </c>
      <c r="V1344" s="13">
        <v>45729</v>
      </c>
      <c r="W1344" s="11">
        <v>0.76</v>
      </c>
      <c r="X1344" s="12" t="s">
        <v>49</v>
      </c>
      <c r="AU1344" s="12" t="s">
        <v>53</v>
      </c>
    </row>
    <row r="1345" spans="1:52" s="12" customFormat="1" ht="14.4" hidden="1" x14ac:dyDescent="0.3">
      <c r="A1345" s="12" t="s">
        <v>39</v>
      </c>
      <c r="B1345" s="12" t="s">
        <v>3815</v>
      </c>
      <c r="C1345" s="12">
        <v>70</v>
      </c>
      <c r="D1345" s="12">
        <v>400</v>
      </c>
      <c r="E1345" s="12" t="s">
        <v>4043</v>
      </c>
      <c r="F1345" s="14" t="s">
        <v>4062</v>
      </c>
      <c r="G1345" s="12" t="s">
        <v>4045</v>
      </c>
      <c r="H1345" s="12" t="s">
        <v>4046</v>
      </c>
      <c r="I1345" s="12" t="s">
        <v>3831</v>
      </c>
      <c r="J1345" s="12" t="s">
        <v>4063</v>
      </c>
      <c r="K1345" s="12" t="s">
        <v>230</v>
      </c>
      <c r="L1345" s="12">
        <v>3002964188</v>
      </c>
      <c r="M1345" s="12" t="s">
        <v>45</v>
      </c>
      <c r="N1345" s="12" t="s">
        <v>127</v>
      </c>
      <c r="O1345" s="12" t="s">
        <v>2822</v>
      </c>
      <c r="P1345" s="88" t="s">
        <v>102</v>
      </c>
      <c r="Q1345" s="13">
        <v>45870</v>
      </c>
      <c r="R1345" s="16">
        <v>0.87</v>
      </c>
      <c r="S1345" s="12" t="s">
        <v>74</v>
      </c>
      <c r="T1345" s="12" t="s">
        <v>3996</v>
      </c>
      <c r="U1345" s="12" t="s">
        <v>60</v>
      </c>
      <c r="V1345" s="13">
        <v>45635</v>
      </c>
      <c r="W1345" s="11">
        <v>0.95499999999999996</v>
      </c>
      <c r="X1345" s="12" t="s">
        <v>210</v>
      </c>
      <c r="AU1345" s="12" t="s">
        <v>53</v>
      </c>
    </row>
    <row r="1346" spans="1:52" s="12" customFormat="1" ht="14.4" hidden="1" x14ac:dyDescent="0.3">
      <c r="A1346" s="12" t="s">
        <v>39</v>
      </c>
      <c r="B1346" s="12" t="s">
        <v>3815</v>
      </c>
      <c r="C1346" s="12">
        <v>70</v>
      </c>
      <c r="D1346" s="12">
        <v>400</v>
      </c>
      <c r="E1346" s="12" t="s">
        <v>4043</v>
      </c>
      <c r="F1346" s="14" t="s">
        <v>4064</v>
      </c>
      <c r="G1346" s="12" t="s">
        <v>4045</v>
      </c>
      <c r="H1346" s="12" t="s">
        <v>4046</v>
      </c>
      <c r="I1346" s="12" t="s">
        <v>3831</v>
      </c>
      <c r="J1346" s="12" t="s">
        <v>4065</v>
      </c>
      <c r="K1346" s="12" t="s">
        <v>230</v>
      </c>
      <c r="L1346" s="12">
        <v>3137298039</v>
      </c>
      <c r="M1346" s="12" t="s">
        <v>45</v>
      </c>
      <c r="N1346" s="12" t="s">
        <v>127</v>
      </c>
      <c r="O1346" s="12" t="s">
        <v>2822</v>
      </c>
      <c r="P1346" s="88" t="s">
        <v>102</v>
      </c>
      <c r="Q1346" s="13">
        <v>45874</v>
      </c>
      <c r="R1346" s="16">
        <v>0.88</v>
      </c>
      <c r="S1346" s="12" t="s">
        <v>74</v>
      </c>
      <c r="T1346" s="12" t="s">
        <v>3996</v>
      </c>
      <c r="U1346" s="12" t="s">
        <v>60</v>
      </c>
      <c r="V1346" s="13">
        <v>45093</v>
      </c>
      <c r="W1346" s="11">
        <v>0.96</v>
      </c>
      <c r="X1346" s="12" t="s">
        <v>210</v>
      </c>
      <c r="AU1346" s="12" t="s">
        <v>53</v>
      </c>
    </row>
    <row r="1347" spans="1:52" s="12" customFormat="1" ht="14.4" hidden="1" x14ac:dyDescent="0.3">
      <c r="A1347" s="12" t="s">
        <v>39</v>
      </c>
      <c r="B1347" s="12" t="s">
        <v>3815</v>
      </c>
      <c r="C1347" s="12">
        <v>70</v>
      </c>
      <c r="D1347" s="12">
        <v>400</v>
      </c>
      <c r="E1347" s="12" t="s">
        <v>4043</v>
      </c>
      <c r="F1347" s="14" t="s">
        <v>4066</v>
      </c>
      <c r="G1347" s="12" t="s">
        <v>4045</v>
      </c>
      <c r="H1347" s="12" t="s">
        <v>4046</v>
      </c>
      <c r="I1347" s="12" t="s">
        <v>3831</v>
      </c>
      <c r="J1347" s="12" t="s">
        <v>4067</v>
      </c>
      <c r="K1347" s="12" t="s">
        <v>192</v>
      </c>
      <c r="L1347" s="12">
        <v>3116468170</v>
      </c>
      <c r="M1347" s="12" t="s">
        <v>45</v>
      </c>
      <c r="N1347" s="12" t="s">
        <v>127</v>
      </c>
      <c r="O1347" s="12" t="s">
        <v>2822</v>
      </c>
      <c r="P1347" s="88" t="s">
        <v>102</v>
      </c>
      <c r="Q1347" s="13">
        <v>45845</v>
      </c>
      <c r="R1347" s="12" t="s">
        <v>4068</v>
      </c>
      <c r="S1347" s="12" t="s">
        <v>74</v>
      </c>
      <c r="T1347" s="12" t="s">
        <v>3996</v>
      </c>
      <c r="U1347" s="12" t="s">
        <v>60</v>
      </c>
      <c r="V1347" s="12" t="s">
        <v>4069</v>
      </c>
      <c r="W1347" s="11">
        <v>0.97</v>
      </c>
      <c r="X1347" s="12" t="s">
        <v>210</v>
      </c>
      <c r="AU1347" s="12" t="s">
        <v>53</v>
      </c>
    </row>
    <row r="1348" spans="1:52" s="12" customFormat="1" ht="14.4" hidden="1" x14ac:dyDescent="0.3">
      <c r="A1348" s="12" t="s">
        <v>39</v>
      </c>
      <c r="B1348" s="12" t="s">
        <v>3815</v>
      </c>
      <c r="C1348" s="12">
        <v>70</v>
      </c>
      <c r="D1348" s="12">
        <v>400</v>
      </c>
      <c r="E1348" s="12" t="s">
        <v>4043</v>
      </c>
      <c r="F1348" s="14" t="s">
        <v>4070</v>
      </c>
      <c r="G1348" s="12" t="s">
        <v>4045</v>
      </c>
      <c r="H1348" s="12" t="s">
        <v>4046</v>
      </c>
      <c r="I1348" s="12" t="s">
        <v>3831</v>
      </c>
      <c r="J1348" s="12" t="s">
        <v>4071</v>
      </c>
      <c r="K1348" s="12" t="s">
        <v>230</v>
      </c>
      <c r="L1348" s="12">
        <v>3022333842</v>
      </c>
      <c r="M1348" s="12" t="s">
        <v>45</v>
      </c>
      <c r="N1348" s="12" t="s">
        <v>127</v>
      </c>
      <c r="O1348" s="12" t="s">
        <v>2822</v>
      </c>
      <c r="P1348" s="88" t="s">
        <v>102</v>
      </c>
      <c r="Q1348" s="13">
        <v>45821</v>
      </c>
      <c r="R1348" s="16">
        <v>0.87</v>
      </c>
      <c r="S1348" s="12" t="s">
        <v>74</v>
      </c>
      <c r="T1348" s="12" t="s">
        <v>3996</v>
      </c>
      <c r="U1348" s="12" t="s">
        <v>60</v>
      </c>
      <c r="V1348" s="89">
        <v>45553</v>
      </c>
      <c r="W1348" s="11"/>
      <c r="AU1348" s="12" t="s">
        <v>53</v>
      </c>
    </row>
    <row r="1349" spans="1:52" s="12" customFormat="1" ht="14.4" hidden="1" x14ac:dyDescent="0.3">
      <c r="A1349" s="12" t="s">
        <v>39</v>
      </c>
      <c r="B1349" s="12" t="s">
        <v>3815</v>
      </c>
      <c r="C1349" s="12">
        <v>70</v>
      </c>
      <c r="D1349" s="12">
        <v>400</v>
      </c>
      <c r="E1349" s="12" t="s">
        <v>4043</v>
      </c>
      <c r="F1349" s="14" t="s">
        <v>4072</v>
      </c>
      <c r="G1349" s="12" t="s">
        <v>4073</v>
      </c>
      <c r="H1349" s="12" t="s">
        <v>4046</v>
      </c>
      <c r="I1349" s="12" t="s">
        <v>4074</v>
      </c>
      <c r="J1349" s="12" t="s">
        <v>4075</v>
      </c>
      <c r="K1349" s="12" t="s">
        <v>230</v>
      </c>
      <c r="L1349" s="12">
        <v>3105733614</v>
      </c>
      <c r="M1349" s="17" t="s">
        <v>4076</v>
      </c>
      <c r="N1349" s="12" t="s">
        <v>127</v>
      </c>
      <c r="O1349" s="12" t="s">
        <v>2822</v>
      </c>
      <c r="P1349" s="88" t="s">
        <v>102</v>
      </c>
      <c r="Q1349" s="13">
        <v>45783</v>
      </c>
      <c r="R1349" s="16">
        <v>0.79</v>
      </c>
      <c r="S1349" s="12" t="s">
        <v>74</v>
      </c>
      <c r="T1349" s="12" t="s">
        <v>3996</v>
      </c>
      <c r="U1349" s="12" t="s">
        <v>60</v>
      </c>
      <c r="V1349" s="13">
        <v>45034</v>
      </c>
      <c r="W1349" s="11">
        <v>0.78</v>
      </c>
      <c r="X1349" s="12" t="s">
        <v>49</v>
      </c>
      <c r="AU1349" s="12" t="s">
        <v>53</v>
      </c>
    </row>
    <row r="1350" spans="1:52" s="12" customFormat="1" ht="14.4" hidden="1" x14ac:dyDescent="0.3">
      <c r="A1350" s="12" t="s">
        <v>39</v>
      </c>
      <c r="B1350" s="12" t="s">
        <v>3815</v>
      </c>
      <c r="C1350" s="12">
        <v>70</v>
      </c>
      <c r="D1350" s="12">
        <v>400</v>
      </c>
      <c r="E1350" s="12" t="s">
        <v>4043</v>
      </c>
      <c r="F1350" s="14" t="s">
        <v>4077</v>
      </c>
      <c r="G1350" s="12" t="s">
        <v>4073</v>
      </c>
      <c r="H1350" s="12" t="s">
        <v>4046</v>
      </c>
      <c r="I1350" s="12" t="s">
        <v>4074</v>
      </c>
      <c r="J1350" s="12" t="s">
        <v>4078</v>
      </c>
      <c r="K1350" s="12" t="s">
        <v>230</v>
      </c>
      <c r="L1350" s="12">
        <v>3146978291</v>
      </c>
      <c r="M1350" s="17" t="s">
        <v>4079</v>
      </c>
      <c r="N1350" s="12" t="s">
        <v>127</v>
      </c>
      <c r="O1350" s="12" t="s">
        <v>2822</v>
      </c>
      <c r="P1350" s="88" t="s">
        <v>102</v>
      </c>
      <c r="Q1350" s="12" t="s">
        <v>4080</v>
      </c>
      <c r="R1350" s="16">
        <v>0.8</v>
      </c>
      <c r="S1350" s="12" t="s">
        <v>74</v>
      </c>
      <c r="T1350" s="12" t="s">
        <v>3996</v>
      </c>
      <c r="U1350" s="12" t="s">
        <v>60</v>
      </c>
      <c r="V1350" s="13">
        <v>44880</v>
      </c>
      <c r="W1350" s="11">
        <v>0.9</v>
      </c>
      <c r="X1350" s="12" t="s">
        <v>210</v>
      </c>
      <c r="AU1350" s="12" t="s">
        <v>53</v>
      </c>
    </row>
    <row r="1351" spans="1:52" s="12" customFormat="1" ht="14.4" hidden="1" x14ac:dyDescent="0.3">
      <c r="A1351" s="12" t="s">
        <v>39</v>
      </c>
      <c r="B1351" s="12" t="s">
        <v>3815</v>
      </c>
      <c r="C1351" s="12">
        <v>70</v>
      </c>
      <c r="D1351" s="12">
        <v>400</v>
      </c>
      <c r="E1351" s="12" t="s">
        <v>4043</v>
      </c>
      <c r="F1351" s="14" t="s">
        <v>752</v>
      </c>
      <c r="G1351" s="12" t="s">
        <v>4073</v>
      </c>
      <c r="H1351" s="12" t="s">
        <v>4046</v>
      </c>
      <c r="I1351" s="12" t="s">
        <v>4074</v>
      </c>
      <c r="J1351" s="12" t="s">
        <v>4081</v>
      </c>
      <c r="K1351" s="12" t="s">
        <v>230</v>
      </c>
      <c r="L1351" s="12">
        <v>3006725328</v>
      </c>
      <c r="M1351" s="12" t="s">
        <v>45</v>
      </c>
      <c r="N1351" s="12" t="s">
        <v>127</v>
      </c>
      <c r="O1351" s="12" t="s">
        <v>2822</v>
      </c>
      <c r="P1351" s="88" t="s">
        <v>102</v>
      </c>
      <c r="Q1351" s="13">
        <v>45749</v>
      </c>
      <c r="R1351" s="16">
        <v>0.88</v>
      </c>
      <c r="S1351" s="12" t="s">
        <v>74</v>
      </c>
      <c r="T1351" s="12" t="s">
        <v>3996</v>
      </c>
      <c r="U1351" s="12" t="s">
        <v>60</v>
      </c>
      <c r="V1351" s="12" t="s">
        <v>4082</v>
      </c>
      <c r="W1351" s="11">
        <v>0.99</v>
      </c>
      <c r="X1351" s="12" t="s">
        <v>210</v>
      </c>
      <c r="AU1351" s="12" t="s">
        <v>53</v>
      </c>
    </row>
    <row r="1352" spans="1:52" s="12" customFormat="1" ht="14.4" hidden="1" x14ac:dyDescent="0.3">
      <c r="A1352" s="12" t="s">
        <v>39</v>
      </c>
      <c r="B1352" s="12" t="s">
        <v>3815</v>
      </c>
      <c r="C1352" s="12">
        <v>70</v>
      </c>
      <c r="D1352" s="12">
        <v>400</v>
      </c>
      <c r="E1352" s="12" t="s">
        <v>4043</v>
      </c>
      <c r="F1352" s="276" t="s">
        <v>4083</v>
      </c>
      <c r="G1352" s="12" t="s">
        <v>4073</v>
      </c>
      <c r="H1352" s="12" t="s">
        <v>8583</v>
      </c>
      <c r="I1352" s="12">
        <v>9005258756</v>
      </c>
      <c r="J1352" s="12" t="s">
        <v>4084</v>
      </c>
      <c r="K1352" s="12" t="s">
        <v>230</v>
      </c>
      <c r="L1352" s="12">
        <v>3127648368</v>
      </c>
      <c r="M1352" s="12" t="s">
        <v>9210</v>
      </c>
      <c r="N1352" s="12" t="s">
        <v>127</v>
      </c>
      <c r="O1352" s="12" t="s">
        <v>2822</v>
      </c>
      <c r="P1352" s="88" t="s">
        <v>102</v>
      </c>
      <c r="Q1352" s="13">
        <v>46153</v>
      </c>
      <c r="R1352" s="12">
        <v>90</v>
      </c>
      <c r="S1352" s="12" t="s">
        <v>74</v>
      </c>
      <c r="T1352" s="12" t="s">
        <v>9211</v>
      </c>
      <c r="U1352" s="12" t="s">
        <v>60</v>
      </c>
      <c r="V1352" s="13">
        <v>45750</v>
      </c>
      <c r="W1352" s="12" t="s">
        <v>113</v>
      </c>
      <c r="X1352" s="12" t="s">
        <v>74</v>
      </c>
      <c r="Y1352" s="12" t="s">
        <v>3996</v>
      </c>
      <c r="Z1352" s="12" t="s">
        <v>60</v>
      </c>
      <c r="AC1352" s="13">
        <v>45540</v>
      </c>
      <c r="AD1352" s="16">
        <v>0.84</v>
      </c>
      <c r="AE1352" s="12" t="s">
        <v>49</v>
      </c>
      <c r="AF1352" s="12" t="s">
        <v>60</v>
      </c>
      <c r="AU1352" s="12" t="s">
        <v>53</v>
      </c>
    </row>
    <row r="1353" spans="1:52" s="12" customFormat="1" ht="14.4" hidden="1" x14ac:dyDescent="0.3">
      <c r="A1353" s="12" t="s">
        <v>39</v>
      </c>
      <c r="B1353" s="12" t="s">
        <v>3815</v>
      </c>
      <c r="C1353" s="12">
        <v>70</v>
      </c>
      <c r="D1353" s="12">
        <v>400</v>
      </c>
      <c r="E1353" s="12" t="s">
        <v>4043</v>
      </c>
      <c r="F1353" s="276" t="s">
        <v>2544</v>
      </c>
      <c r="G1353" s="12" t="s">
        <v>4073</v>
      </c>
      <c r="H1353" s="12" t="s">
        <v>4046</v>
      </c>
      <c r="I1353" s="12">
        <v>9005258756</v>
      </c>
      <c r="J1353" s="12" t="s">
        <v>4085</v>
      </c>
      <c r="K1353" s="12" t="s">
        <v>230</v>
      </c>
      <c r="L1353" s="12">
        <v>3042752175</v>
      </c>
      <c r="M1353" s="17" t="s">
        <v>9212</v>
      </c>
      <c r="N1353" s="12" t="s">
        <v>127</v>
      </c>
      <c r="O1353" s="12" t="s">
        <v>2822</v>
      </c>
      <c r="P1353" s="88" t="s">
        <v>102</v>
      </c>
      <c r="Q1353" s="13">
        <v>46146</v>
      </c>
      <c r="R1353" s="12" t="s">
        <v>8405</v>
      </c>
      <c r="S1353" s="12" t="s">
        <v>74</v>
      </c>
      <c r="T1353" s="12" t="s">
        <v>9211</v>
      </c>
      <c r="U1353" s="12" t="s">
        <v>60</v>
      </c>
      <c r="V1353" s="13">
        <v>45748</v>
      </c>
      <c r="W1353" s="16">
        <v>0.82</v>
      </c>
      <c r="X1353" s="12" t="s">
        <v>74</v>
      </c>
      <c r="Y1353" s="12" t="s">
        <v>3996</v>
      </c>
      <c r="Z1353" s="12" t="s">
        <v>60</v>
      </c>
      <c r="AU1353" s="12" t="s">
        <v>53</v>
      </c>
    </row>
    <row r="1354" spans="1:52" s="12" customFormat="1" ht="14.4" hidden="1" x14ac:dyDescent="0.3">
      <c r="A1354" s="12" t="s">
        <v>39</v>
      </c>
      <c r="B1354" s="12" t="s">
        <v>3815</v>
      </c>
      <c r="C1354" s="12">
        <v>70</v>
      </c>
      <c r="D1354" s="12">
        <v>400</v>
      </c>
      <c r="E1354" s="88" t="s">
        <v>4043</v>
      </c>
      <c r="F1354" s="276" t="s">
        <v>4086</v>
      </c>
      <c r="G1354" s="12" t="s">
        <v>4073</v>
      </c>
      <c r="H1354" s="12" t="s">
        <v>4046</v>
      </c>
      <c r="I1354" s="12" t="s">
        <v>4074</v>
      </c>
      <c r="J1354" s="12" t="s">
        <v>4087</v>
      </c>
      <c r="K1354" s="12" t="s">
        <v>230</v>
      </c>
      <c r="L1354" s="12">
        <v>3046361440</v>
      </c>
      <c r="M1354" s="12" t="s">
        <v>45</v>
      </c>
      <c r="N1354" s="12" t="s">
        <v>127</v>
      </c>
      <c r="O1354" s="12" t="s">
        <v>2822</v>
      </c>
      <c r="P1354" s="88" t="s">
        <v>102</v>
      </c>
      <c r="Q1354" s="13">
        <v>45750</v>
      </c>
      <c r="R1354" s="16">
        <v>0.81</v>
      </c>
      <c r="S1354" s="12" t="s">
        <v>74</v>
      </c>
      <c r="T1354" s="12" t="s">
        <v>3996</v>
      </c>
      <c r="U1354" s="12" t="s">
        <v>60</v>
      </c>
      <c r="V1354" s="13">
        <v>45553</v>
      </c>
      <c r="W1354" s="11">
        <v>0.98</v>
      </c>
      <c r="X1354" s="12" t="s">
        <v>210</v>
      </c>
      <c r="AU1354" s="12" t="s">
        <v>53</v>
      </c>
    </row>
    <row r="1355" spans="1:52" s="12" customFormat="1" ht="14.4" hidden="1" x14ac:dyDescent="0.3">
      <c r="A1355" s="12" t="s">
        <v>39</v>
      </c>
      <c r="B1355" s="12" t="s">
        <v>3815</v>
      </c>
      <c r="C1355" s="12">
        <v>70</v>
      </c>
      <c r="D1355" s="12">
        <v>400</v>
      </c>
      <c r="E1355" s="88" t="s">
        <v>4043</v>
      </c>
      <c r="F1355" s="276" t="s">
        <v>4039</v>
      </c>
      <c r="G1355" s="12" t="s">
        <v>4073</v>
      </c>
      <c r="H1355" s="12" t="s">
        <v>8583</v>
      </c>
      <c r="I1355" s="12">
        <v>9005258756</v>
      </c>
      <c r="J1355" s="12" t="s">
        <v>4088</v>
      </c>
      <c r="K1355" s="12" t="s">
        <v>230</v>
      </c>
      <c r="L1355" s="12">
        <v>3023116079</v>
      </c>
      <c r="M1355" s="12" t="s">
        <v>8584</v>
      </c>
      <c r="N1355" s="12" t="s">
        <v>127</v>
      </c>
      <c r="O1355" s="12" t="s">
        <v>2822</v>
      </c>
      <c r="P1355" s="88" t="s">
        <v>102</v>
      </c>
      <c r="Q1355" s="13">
        <v>46125</v>
      </c>
      <c r="R1355" s="12" t="s">
        <v>8270</v>
      </c>
      <c r="S1355" s="12" t="s">
        <v>49</v>
      </c>
      <c r="T1355" s="12" t="s">
        <v>3996</v>
      </c>
      <c r="U1355" s="12" t="s">
        <v>50</v>
      </c>
      <c r="V1355" s="13">
        <v>45735</v>
      </c>
      <c r="W1355" s="16">
        <v>0.81</v>
      </c>
      <c r="X1355" s="12" t="s">
        <v>74</v>
      </c>
      <c r="Y1355" s="12" t="s">
        <v>3996</v>
      </c>
      <c r="Z1355" s="12" t="s">
        <v>60</v>
      </c>
      <c r="AU1355" s="12" t="s">
        <v>53</v>
      </c>
    </row>
    <row r="1356" spans="1:52" s="12" customFormat="1" ht="14.4" x14ac:dyDescent="0.3">
      <c r="A1356" s="12" t="s">
        <v>39</v>
      </c>
      <c r="B1356" s="12" t="s">
        <v>4133</v>
      </c>
      <c r="C1356" s="12">
        <v>70</v>
      </c>
      <c r="D1356" s="12">
        <v>418</v>
      </c>
      <c r="F1356" s="12" t="s">
        <v>4089</v>
      </c>
      <c r="G1356" s="12" t="str">
        <f t="shared" ref="G1356:G1419" si="35">C1356&amp;D1356&amp;I1356</f>
        <v>704189212591</v>
      </c>
      <c r="H1356" s="12" t="s">
        <v>4090</v>
      </c>
      <c r="I1356" s="12">
        <v>9212591</v>
      </c>
      <c r="J1356" s="12" t="s">
        <v>4091</v>
      </c>
      <c r="K1356" s="12" t="s">
        <v>4092</v>
      </c>
      <c r="L1356" s="12">
        <v>3015775814</v>
      </c>
      <c r="M1356" s="12" t="s">
        <v>4093</v>
      </c>
      <c r="N1356" s="12" t="s">
        <v>46</v>
      </c>
      <c r="O1356" s="12" t="s">
        <v>47</v>
      </c>
      <c r="P1356" s="88" t="s">
        <v>48</v>
      </c>
      <c r="Q1356" s="13">
        <v>45467</v>
      </c>
      <c r="R1356" s="16">
        <v>0.7</v>
      </c>
      <c r="S1356" s="12" t="s">
        <v>49</v>
      </c>
      <c r="U1356" s="12" t="s">
        <v>50</v>
      </c>
      <c r="V1356" s="13">
        <v>45121</v>
      </c>
      <c r="W1356" s="59">
        <v>0.625</v>
      </c>
      <c r="X1356" s="12" t="s">
        <v>49</v>
      </c>
      <c r="AA1356" s="12" t="s">
        <v>51</v>
      </c>
      <c r="AB1356" s="12" t="s">
        <v>51</v>
      </c>
      <c r="AU1356" s="12" t="s">
        <v>53</v>
      </c>
      <c r="AX1356" s="12" t="s">
        <v>51</v>
      </c>
      <c r="AY1356" s="12" t="s">
        <v>51</v>
      </c>
      <c r="AZ1356" s="12" t="s">
        <v>51</v>
      </c>
    </row>
    <row r="1357" spans="1:52" s="12" customFormat="1" ht="14.4" x14ac:dyDescent="0.3">
      <c r="A1357" s="12" t="s">
        <v>39</v>
      </c>
      <c r="B1357" s="12" t="s">
        <v>4133</v>
      </c>
      <c r="C1357" s="12">
        <v>70</v>
      </c>
      <c r="D1357" s="12">
        <v>418</v>
      </c>
      <c r="F1357" s="12" t="s">
        <v>4094</v>
      </c>
      <c r="G1357" s="12" t="str">
        <f t="shared" si="35"/>
        <v>70418400875634</v>
      </c>
      <c r="H1357" s="12" t="s">
        <v>4095</v>
      </c>
      <c r="I1357" s="12">
        <v>400875634</v>
      </c>
      <c r="J1357" s="12" t="s">
        <v>4096</v>
      </c>
      <c r="K1357" s="12" t="s">
        <v>4092</v>
      </c>
      <c r="L1357" s="12">
        <v>3213557507</v>
      </c>
      <c r="M1357" s="12" t="s">
        <v>4097</v>
      </c>
      <c r="N1357" s="12" t="s">
        <v>46</v>
      </c>
      <c r="O1357" s="12" t="s">
        <v>47</v>
      </c>
      <c r="P1357" s="88" t="s">
        <v>48</v>
      </c>
      <c r="Q1357" s="13">
        <v>45476</v>
      </c>
      <c r="R1357" s="16">
        <v>0.79</v>
      </c>
      <c r="S1357" s="12" t="s">
        <v>49</v>
      </c>
      <c r="T1357" s="12" t="s">
        <v>4098</v>
      </c>
      <c r="U1357" s="12" t="s">
        <v>60</v>
      </c>
      <c r="V1357" s="13">
        <v>45072</v>
      </c>
      <c r="W1357" s="16">
        <v>0.69</v>
      </c>
      <c r="X1357" s="12" t="s">
        <v>49</v>
      </c>
      <c r="AA1357" s="12" t="s">
        <v>51</v>
      </c>
      <c r="AB1357" s="12" t="s">
        <v>51</v>
      </c>
      <c r="AU1357" s="12" t="s">
        <v>53</v>
      </c>
      <c r="AX1357" s="12" t="s">
        <v>51</v>
      </c>
      <c r="AY1357" s="12" t="s">
        <v>51</v>
      </c>
      <c r="AZ1357" s="12" t="s">
        <v>51</v>
      </c>
    </row>
    <row r="1358" spans="1:52" s="12" customFormat="1" ht="14.4" x14ac:dyDescent="0.3">
      <c r="A1358" s="12" t="s">
        <v>39</v>
      </c>
      <c r="B1358" s="12" t="s">
        <v>4133</v>
      </c>
      <c r="C1358" s="12">
        <v>70</v>
      </c>
      <c r="D1358" s="12">
        <v>418</v>
      </c>
      <c r="F1358" s="12" t="s">
        <v>4099</v>
      </c>
      <c r="G1358" s="12" t="str">
        <f t="shared" si="35"/>
        <v>7041842272386</v>
      </c>
      <c r="H1358" s="12" t="s">
        <v>4100</v>
      </c>
      <c r="I1358" s="12">
        <v>42272386</v>
      </c>
      <c r="J1358" s="12" t="s">
        <v>4101</v>
      </c>
      <c r="K1358" s="12" t="s">
        <v>4092</v>
      </c>
      <c r="L1358" s="12">
        <v>3217118959</v>
      </c>
      <c r="M1358" s="12" t="s">
        <v>4102</v>
      </c>
      <c r="N1358" s="12" t="s">
        <v>46</v>
      </c>
      <c r="O1358" s="12" t="s">
        <v>47</v>
      </c>
      <c r="P1358" s="88" t="s">
        <v>48</v>
      </c>
      <c r="Q1358" s="13">
        <v>45475</v>
      </c>
      <c r="R1358" s="59">
        <v>0.71499999999999997</v>
      </c>
      <c r="S1358" s="12" t="s">
        <v>49</v>
      </c>
      <c r="T1358" s="12" t="s">
        <v>4098</v>
      </c>
      <c r="U1358" s="12" t="s">
        <v>60</v>
      </c>
      <c r="V1358" s="13">
        <v>45270</v>
      </c>
      <c r="W1358" s="16">
        <v>0.79</v>
      </c>
      <c r="X1358" s="12" t="s">
        <v>49</v>
      </c>
      <c r="AU1358" s="12" t="s">
        <v>53</v>
      </c>
    </row>
    <row r="1359" spans="1:52" s="12" customFormat="1" ht="14.4" hidden="1" x14ac:dyDescent="0.3">
      <c r="A1359" s="12" t="s">
        <v>39</v>
      </c>
      <c r="B1359" s="12" t="s">
        <v>4133</v>
      </c>
      <c r="C1359" s="12">
        <v>70</v>
      </c>
      <c r="D1359" s="12">
        <v>418</v>
      </c>
      <c r="E1359" s="12" t="s">
        <v>4103</v>
      </c>
      <c r="F1359" s="12" t="s">
        <v>4104</v>
      </c>
      <c r="G1359" s="12" t="str">
        <f t="shared" si="35"/>
        <v>704189018156307</v>
      </c>
      <c r="H1359" s="12" t="s">
        <v>4105</v>
      </c>
      <c r="I1359" s="12">
        <v>9018156307</v>
      </c>
      <c r="J1359" s="12" t="s">
        <v>4106</v>
      </c>
      <c r="K1359" s="12" t="s">
        <v>4092</v>
      </c>
      <c r="L1359" s="12">
        <v>3004213721</v>
      </c>
      <c r="M1359" s="12" t="s">
        <v>4107</v>
      </c>
      <c r="N1359" s="12" t="s">
        <v>46</v>
      </c>
      <c r="O1359" s="12" t="s">
        <v>2797</v>
      </c>
      <c r="P1359" s="88" t="s">
        <v>48</v>
      </c>
      <c r="Q1359" s="13">
        <v>45875</v>
      </c>
      <c r="R1359" s="16">
        <v>0.9</v>
      </c>
      <c r="S1359" s="12" t="s">
        <v>210</v>
      </c>
      <c r="T1359" s="12" t="s">
        <v>4098</v>
      </c>
      <c r="U1359" s="12" t="s">
        <v>50</v>
      </c>
      <c r="V1359" s="13">
        <v>45483</v>
      </c>
      <c r="W1359" s="12" t="s">
        <v>4108</v>
      </c>
      <c r="X1359" s="12" t="s">
        <v>49</v>
      </c>
      <c r="Z1359" s="12" t="s">
        <v>50</v>
      </c>
      <c r="AA1359" s="12" t="s">
        <v>51</v>
      </c>
      <c r="AB1359" s="12" t="s">
        <v>51</v>
      </c>
      <c r="AC1359" s="13">
        <v>45279</v>
      </c>
      <c r="AD1359" s="59">
        <v>0.68500000000000005</v>
      </c>
      <c r="AE1359" s="12" t="s">
        <v>49</v>
      </c>
      <c r="AU1359" s="12" t="s">
        <v>53</v>
      </c>
      <c r="AX1359" s="12" t="s">
        <v>51</v>
      </c>
      <c r="AY1359" s="12" t="s">
        <v>51</v>
      </c>
      <c r="AZ1359" s="12" t="s">
        <v>51</v>
      </c>
    </row>
    <row r="1360" spans="1:52" s="12" customFormat="1" ht="14.4" x14ac:dyDescent="0.3">
      <c r="A1360" s="12" t="s">
        <v>39</v>
      </c>
      <c r="B1360" s="12" t="s">
        <v>4133</v>
      </c>
      <c r="C1360" s="12">
        <v>70</v>
      </c>
      <c r="D1360" s="12">
        <v>418</v>
      </c>
      <c r="F1360" s="12" t="s">
        <v>4109</v>
      </c>
      <c r="G1360" s="12" t="str">
        <f t="shared" si="35"/>
        <v>70418187757507</v>
      </c>
      <c r="H1360" s="12" t="s">
        <v>4110</v>
      </c>
      <c r="I1360" s="12">
        <v>187757507</v>
      </c>
      <c r="J1360" s="12" t="s">
        <v>4111</v>
      </c>
      <c r="K1360" s="12" t="s">
        <v>4092</v>
      </c>
      <c r="L1360" s="12">
        <v>3007502671</v>
      </c>
      <c r="M1360" s="12" t="s">
        <v>4112</v>
      </c>
      <c r="N1360" s="12" t="s">
        <v>46</v>
      </c>
      <c r="O1360" s="12" t="s">
        <v>47</v>
      </c>
      <c r="P1360" s="88" t="s">
        <v>48</v>
      </c>
      <c r="Q1360" s="13">
        <v>45518</v>
      </c>
      <c r="R1360" s="59">
        <v>0.60499999999999998</v>
      </c>
      <c r="S1360" s="12" t="s">
        <v>49</v>
      </c>
      <c r="T1360" s="12" t="s">
        <v>4098</v>
      </c>
      <c r="U1360" s="12" t="s">
        <v>50</v>
      </c>
      <c r="AA1360" s="12" t="s">
        <v>51</v>
      </c>
      <c r="AB1360" s="12" t="s">
        <v>51</v>
      </c>
      <c r="AU1360" s="12" t="s">
        <v>53</v>
      </c>
      <c r="AX1360" s="12" t="s">
        <v>51</v>
      </c>
      <c r="AY1360" s="12" t="s">
        <v>51</v>
      </c>
      <c r="AZ1360" s="12" t="s">
        <v>51</v>
      </c>
    </row>
    <row r="1361" spans="1:52" s="12" customFormat="1" ht="14.4" hidden="1" x14ac:dyDescent="0.3">
      <c r="A1361" s="12" t="s">
        <v>39</v>
      </c>
      <c r="B1361" s="12" t="s">
        <v>4133</v>
      </c>
      <c r="C1361" s="12">
        <v>70</v>
      </c>
      <c r="D1361" s="12">
        <v>418</v>
      </c>
      <c r="F1361" s="12" t="s">
        <v>4113</v>
      </c>
      <c r="G1361" s="12" t="str">
        <f t="shared" si="35"/>
        <v>7041842270123</v>
      </c>
      <c r="H1361" s="12" t="s">
        <v>4114</v>
      </c>
      <c r="I1361" s="12">
        <v>42270123</v>
      </c>
      <c r="J1361" s="12" t="s">
        <v>4115</v>
      </c>
      <c r="K1361" s="12" t="s">
        <v>4092</v>
      </c>
      <c r="L1361" s="12">
        <v>3142700911</v>
      </c>
      <c r="M1361" s="12" t="s">
        <v>4116</v>
      </c>
      <c r="N1361" s="12" t="s">
        <v>46</v>
      </c>
      <c r="O1361" s="12" t="s">
        <v>2797</v>
      </c>
      <c r="P1361" s="88" t="s">
        <v>48</v>
      </c>
      <c r="Q1361" s="13">
        <v>45537</v>
      </c>
      <c r="R1361" s="16">
        <v>0.77</v>
      </c>
      <c r="S1361" s="12" t="s">
        <v>49</v>
      </c>
      <c r="T1361" s="12" t="s">
        <v>4098</v>
      </c>
      <c r="U1361" s="12" t="s">
        <v>50</v>
      </c>
      <c r="V1361" s="13">
        <v>45118</v>
      </c>
      <c r="W1361" s="16">
        <v>0.69</v>
      </c>
      <c r="X1361" s="12" t="s">
        <v>49</v>
      </c>
      <c r="AA1361" s="12" t="s">
        <v>51</v>
      </c>
      <c r="AB1361" s="12" t="s">
        <v>51</v>
      </c>
      <c r="AU1361" s="12" t="s">
        <v>53</v>
      </c>
      <c r="AX1361" s="12" t="s">
        <v>51</v>
      </c>
      <c r="AY1361" s="12" t="s">
        <v>51</v>
      </c>
      <c r="AZ1361" s="12" t="s">
        <v>51</v>
      </c>
    </row>
    <row r="1362" spans="1:52" s="12" customFormat="1" ht="14.4" x14ac:dyDescent="0.3">
      <c r="A1362" s="12" t="s">
        <v>39</v>
      </c>
      <c r="B1362" s="12" t="s">
        <v>4133</v>
      </c>
      <c r="C1362" s="12">
        <v>70</v>
      </c>
      <c r="D1362" s="12">
        <v>418</v>
      </c>
      <c r="F1362" s="12" t="s">
        <v>4117</v>
      </c>
      <c r="G1362" s="12" t="str">
        <f t="shared" si="35"/>
        <v>70418521804289</v>
      </c>
      <c r="H1362" s="12" t="s">
        <v>4118</v>
      </c>
      <c r="I1362" s="12">
        <v>521804289</v>
      </c>
      <c r="J1362" s="12" t="s">
        <v>4119</v>
      </c>
      <c r="K1362" s="12" t="s">
        <v>4092</v>
      </c>
      <c r="L1362" s="12">
        <v>3008874125</v>
      </c>
      <c r="M1362" s="12" t="s">
        <v>4120</v>
      </c>
      <c r="N1362" s="12" t="s">
        <v>46</v>
      </c>
      <c r="O1362" s="12" t="s">
        <v>47</v>
      </c>
      <c r="P1362" s="88" t="s">
        <v>48</v>
      </c>
      <c r="Q1362" s="13">
        <v>45553</v>
      </c>
      <c r="R1362" s="18">
        <v>0.755</v>
      </c>
      <c r="S1362" s="12" t="s">
        <v>49</v>
      </c>
      <c r="T1362" s="12" t="s">
        <v>4098</v>
      </c>
      <c r="U1362" s="12" t="s">
        <v>50</v>
      </c>
      <c r="AU1362" s="12" t="s">
        <v>53</v>
      </c>
    </row>
    <row r="1363" spans="1:52" s="12" customFormat="1" ht="14.4" hidden="1" x14ac:dyDescent="0.3">
      <c r="A1363" s="12" t="s">
        <v>39</v>
      </c>
      <c r="B1363" s="12" t="s">
        <v>4133</v>
      </c>
      <c r="C1363" s="12">
        <v>70</v>
      </c>
      <c r="D1363" s="12">
        <v>418</v>
      </c>
      <c r="F1363" s="12" t="s">
        <v>4121</v>
      </c>
      <c r="G1363" s="12" t="str">
        <f t="shared" si="35"/>
        <v>70418228687074</v>
      </c>
      <c r="H1363" s="12" t="s">
        <v>4122</v>
      </c>
      <c r="I1363" s="12">
        <v>228687074</v>
      </c>
      <c r="J1363" s="12" t="s">
        <v>4123</v>
      </c>
      <c r="K1363" s="12" t="s">
        <v>4092</v>
      </c>
      <c r="L1363" s="12">
        <v>3013538820</v>
      </c>
      <c r="M1363" s="12" t="s">
        <v>4124</v>
      </c>
      <c r="N1363" s="12" t="s">
        <v>46</v>
      </c>
      <c r="O1363" s="12" t="s">
        <v>101</v>
      </c>
      <c r="P1363" s="88" t="s">
        <v>48</v>
      </c>
      <c r="AU1363" s="12" t="s">
        <v>53</v>
      </c>
    </row>
    <row r="1364" spans="1:52" s="12" customFormat="1" ht="14.4" hidden="1" x14ac:dyDescent="0.3">
      <c r="A1364" s="12" t="s">
        <v>39</v>
      </c>
      <c r="B1364" s="12" t="s">
        <v>4133</v>
      </c>
      <c r="C1364" s="12">
        <v>70</v>
      </c>
      <c r="D1364" s="12">
        <v>418</v>
      </c>
      <c r="F1364" s="12" t="s">
        <v>4125</v>
      </c>
      <c r="G1364" s="12" t="str">
        <f t="shared" si="35"/>
        <v>7041811032213244</v>
      </c>
      <c r="H1364" s="12" t="s">
        <v>4126</v>
      </c>
      <c r="I1364" s="12">
        <v>11032213244</v>
      </c>
      <c r="J1364" s="12" t="s">
        <v>4127</v>
      </c>
      <c r="K1364" s="12" t="s">
        <v>4092</v>
      </c>
      <c r="L1364" s="12">
        <v>3015574503</v>
      </c>
      <c r="M1364" s="12" t="s">
        <v>4128</v>
      </c>
      <c r="N1364" s="12" t="s">
        <v>46</v>
      </c>
      <c r="O1364" s="12" t="s">
        <v>101</v>
      </c>
      <c r="P1364" s="88" t="s">
        <v>48</v>
      </c>
      <c r="Q1364" s="13">
        <v>45568</v>
      </c>
      <c r="R1364" s="16">
        <v>0.81</v>
      </c>
      <c r="S1364" s="12" t="s">
        <v>49</v>
      </c>
      <c r="T1364" s="12" t="s">
        <v>4098</v>
      </c>
      <c r="U1364" s="12" t="s">
        <v>50</v>
      </c>
      <c r="AA1364" s="12" t="s">
        <v>51</v>
      </c>
      <c r="AB1364" s="12" t="s">
        <v>51</v>
      </c>
      <c r="AU1364" s="12" t="s">
        <v>53</v>
      </c>
      <c r="AX1364" s="12" t="s">
        <v>51</v>
      </c>
      <c r="AY1364" s="12" t="s">
        <v>51</v>
      </c>
      <c r="AZ1364" s="12" t="s">
        <v>51</v>
      </c>
    </row>
    <row r="1365" spans="1:52" s="12" customFormat="1" ht="14.4" hidden="1" x14ac:dyDescent="0.3">
      <c r="A1365" s="12" t="s">
        <v>39</v>
      </c>
      <c r="B1365" s="12" t="s">
        <v>4133</v>
      </c>
      <c r="C1365" s="12">
        <v>70</v>
      </c>
      <c r="D1365" s="12">
        <v>418</v>
      </c>
      <c r="F1365" s="12" t="s">
        <v>4129</v>
      </c>
      <c r="G1365" s="12" t="str">
        <f t="shared" si="35"/>
        <v>70418187775169</v>
      </c>
      <c r="H1365" s="12" t="s">
        <v>4130</v>
      </c>
      <c r="I1365" s="12">
        <v>187775169</v>
      </c>
      <c r="J1365" s="12" t="s">
        <v>4131</v>
      </c>
      <c r="K1365" s="12" t="s">
        <v>4092</v>
      </c>
      <c r="L1365" s="12">
        <v>3015692916</v>
      </c>
      <c r="M1365" s="12" t="s">
        <v>4132</v>
      </c>
      <c r="N1365" s="12" t="s">
        <v>46</v>
      </c>
      <c r="O1365" s="12" t="s">
        <v>101</v>
      </c>
      <c r="P1365" s="88" t="s">
        <v>48</v>
      </c>
      <c r="Q1365" s="13">
        <v>45569</v>
      </c>
      <c r="R1365" s="16">
        <v>0.67</v>
      </c>
      <c r="S1365" s="12" t="s">
        <v>49</v>
      </c>
      <c r="T1365" s="12" t="s">
        <v>4098</v>
      </c>
      <c r="U1365" s="12" t="s">
        <v>50</v>
      </c>
      <c r="AA1365" s="12" t="s">
        <v>51</v>
      </c>
      <c r="AB1365" s="12" t="s">
        <v>51</v>
      </c>
      <c r="AU1365" s="12" t="s">
        <v>53</v>
      </c>
      <c r="AX1365" s="12" t="s">
        <v>51</v>
      </c>
      <c r="AY1365" s="12" t="s">
        <v>51</v>
      </c>
      <c r="AZ1365" s="12" t="s">
        <v>51</v>
      </c>
    </row>
    <row r="1366" spans="1:52" s="12" customFormat="1" ht="14.4" hidden="1" x14ac:dyDescent="0.3">
      <c r="A1366" s="12" t="s">
        <v>39</v>
      </c>
      <c r="B1366" s="12" t="s">
        <v>4133</v>
      </c>
      <c r="C1366" s="12" t="s">
        <v>4134</v>
      </c>
      <c r="D1366" s="12">
        <v>418</v>
      </c>
      <c r="F1366" s="12" t="s">
        <v>4135</v>
      </c>
      <c r="G1366" s="12" t="str">
        <f t="shared" si="35"/>
        <v>OP418227396691</v>
      </c>
      <c r="H1366" s="12" t="s">
        <v>4136</v>
      </c>
      <c r="I1366" s="12">
        <v>227396691</v>
      </c>
      <c r="J1366" s="12" t="s">
        <v>4137</v>
      </c>
      <c r="K1366" s="12" t="s">
        <v>4092</v>
      </c>
      <c r="L1366" s="12">
        <v>3168736142</v>
      </c>
      <c r="M1366" s="12" t="s">
        <v>4138</v>
      </c>
      <c r="N1366" s="12" t="s">
        <v>46</v>
      </c>
      <c r="O1366" s="12" t="s">
        <v>101</v>
      </c>
      <c r="P1366" s="88" t="s">
        <v>48</v>
      </c>
      <c r="Q1366" s="13">
        <v>45569</v>
      </c>
      <c r="R1366" s="59">
        <v>0.64500000000000002</v>
      </c>
      <c r="S1366" s="12" t="s">
        <v>49</v>
      </c>
      <c r="T1366" s="12" t="s">
        <v>4098</v>
      </c>
      <c r="U1366" s="12" t="s">
        <v>60</v>
      </c>
      <c r="AA1366" s="12" t="s">
        <v>51</v>
      </c>
      <c r="AB1366" s="12" t="s">
        <v>51</v>
      </c>
      <c r="AU1366" s="12" t="s">
        <v>53</v>
      </c>
      <c r="AX1366" s="12" t="s">
        <v>51</v>
      </c>
      <c r="AY1366" s="12" t="s">
        <v>51</v>
      </c>
      <c r="AZ1366" s="12" t="s">
        <v>51</v>
      </c>
    </row>
    <row r="1367" spans="1:52" s="12" customFormat="1" ht="14.4" hidden="1" x14ac:dyDescent="0.3">
      <c r="A1367" s="12" t="s">
        <v>39</v>
      </c>
      <c r="B1367" s="12" t="s">
        <v>4133</v>
      </c>
      <c r="C1367" s="12">
        <v>70</v>
      </c>
      <c r="D1367" s="12">
        <v>418</v>
      </c>
      <c r="F1367" s="12" t="s">
        <v>4139</v>
      </c>
      <c r="G1367" s="12" t="str">
        <f t="shared" si="35"/>
        <v>7041810055824886</v>
      </c>
      <c r="H1367" s="12" t="s">
        <v>4140</v>
      </c>
      <c r="I1367" s="12">
        <v>10055824886</v>
      </c>
      <c r="J1367" s="12" t="s">
        <v>4141</v>
      </c>
      <c r="K1367" s="12" t="s">
        <v>4092</v>
      </c>
      <c r="L1367" s="12">
        <v>3103932416</v>
      </c>
      <c r="M1367" s="12" t="s">
        <v>4142</v>
      </c>
      <c r="N1367" s="12" t="s">
        <v>46</v>
      </c>
      <c r="O1367" s="12" t="s">
        <v>101</v>
      </c>
      <c r="P1367" s="88" t="s">
        <v>48</v>
      </c>
      <c r="Q1367" s="13">
        <v>45589</v>
      </c>
      <c r="R1367" s="16">
        <v>0.72</v>
      </c>
      <c r="S1367" s="12" t="s">
        <v>49</v>
      </c>
      <c r="T1367" s="12" t="s">
        <v>4098</v>
      </c>
      <c r="U1367" s="12" t="s">
        <v>50</v>
      </c>
      <c r="AA1367" s="12" t="s">
        <v>51</v>
      </c>
      <c r="AB1367" s="12" t="s">
        <v>51</v>
      </c>
      <c r="AU1367" s="12" t="s">
        <v>53</v>
      </c>
      <c r="AX1367" s="12" t="s">
        <v>51</v>
      </c>
      <c r="AY1367" s="12" t="s">
        <v>51</v>
      </c>
      <c r="AZ1367" s="12" t="s">
        <v>51</v>
      </c>
    </row>
    <row r="1368" spans="1:52" s="12" customFormat="1" ht="14.4" hidden="1" x14ac:dyDescent="0.3">
      <c r="A1368" s="12" t="s">
        <v>39</v>
      </c>
      <c r="B1368" s="12" t="s">
        <v>4133</v>
      </c>
      <c r="C1368" s="12">
        <v>70</v>
      </c>
      <c r="D1368" s="12">
        <v>418</v>
      </c>
      <c r="F1368" s="12" t="s">
        <v>4143</v>
      </c>
      <c r="G1368" s="12" t="str">
        <f t="shared" si="35"/>
        <v>7041811032209650</v>
      </c>
      <c r="H1368" s="12" t="s">
        <v>4144</v>
      </c>
      <c r="I1368" s="12">
        <v>11032209650</v>
      </c>
      <c r="J1368" s="12" t="s">
        <v>4145</v>
      </c>
      <c r="K1368" s="12" t="s">
        <v>4092</v>
      </c>
      <c r="L1368" s="12">
        <v>3137662892</v>
      </c>
      <c r="M1368" s="12" t="s">
        <v>4146</v>
      </c>
      <c r="N1368" s="12" t="s">
        <v>46</v>
      </c>
      <c r="O1368" s="12" t="s">
        <v>101</v>
      </c>
      <c r="P1368" s="88" t="s">
        <v>48</v>
      </c>
      <c r="Q1368" s="13">
        <v>45617</v>
      </c>
      <c r="R1368" s="12" t="s">
        <v>142</v>
      </c>
      <c r="S1368" s="12" t="s">
        <v>49</v>
      </c>
      <c r="T1368" s="12" t="s">
        <v>4098</v>
      </c>
      <c r="U1368" s="12" t="s">
        <v>60</v>
      </c>
      <c r="AA1368" s="12" t="s">
        <v>51</v>
      </c>
      <c r="AB1368" s="12" t="s">
        <v>51</v>
      </c>
      <c r="AU1368" s="12" t="s">
        <v>53</v>
      </c>
      <c r="AX1368" s="12" t="s">
        <v>51</v>
      </c>
      <c r="AY1368" s="12" t="s">
        <v>51</v>
      </c>
      <c r="AZ1368" s="12" t="s">
        <v>51</v>
      </c>
    </row>
    <row r="1369" spans="1:52" s="12" customFormat="1" ht="14.4" hidden="1" x14ac:dyDescent="0.3">
      <c r="A1369" s="12" t="s">
        <v>39</v>
      </c>
      <c r="B1369" s="12" t="s">
        <v>4133</v>
      </c>
      <c r="C1369" s="12">
        <v>70</v>
      </c>
      <c r="D1369" s="12">
        <v>418</v>
      </c>
      <c r="F1369" s="12" t="s">
        <v>4147</v>
      </c>
      <c r="G1369" s="12" t="str">
        <f t="shared" si="35"/>
        <v>7041842270039</v>
      </c>
      <c r="H1369" s="12" t="s">
        <v>4148</v>
      </c>
      <c r="I1369" s="12">
        <v>42270039</v>
      </c>
      <c r="J1369" s="12" t="s">
        <v>4149</v>
      </c>
      <c r="K1369" s="12" t="s">
        <v>4092</v>
      </c>
      <c r="L1369" s="12">
        <v>3015355042</v>
      </c>
      <c r="M1369" s="12" t="s">
        <v>4150</v>
      </c>
      <c r="N1369" s="12" t="s">
        <v>46</v>
      </c>
      <c r="O1369" s="12" t="s">
        <v>101</v>
      </c>
      <c r="P1369" s="88" t="s">
        <v>48</v>
      </c>
      <c r="Q1369" s="13">
        <v>45617</v>
      </c>
      <c r="R1369" s="16">
        <v>0.69</v>
      </c>
      <c r="S1369" s="12" t="s">
        <v>49</v>
      </c>
      <c r="T1369" s="12" t="s">
        <v>4098</v>
      </c>
      <c r="U1369" s="12" t="s">
        <v>60</v>
      </c>
      <c r="AA1369" s="12" t="s">
        <v>51</v>
      </c>
      <c r="AB1369" s="12" t="s">
        <v>51</v>
      </c>
      <c r="AU1369" s="12" t="s">
        <v>53</v>
      </c>
      <c r="AX1369" s="12" t="s">
        <v>51</v>
      </c>
      <c r="AY1369" s="12" t="s">
        <v>51</v>
      </c>
      <c r="AZ1369" s="12" t="s">
        <v>51</v>
      </c>
    </row>
    <row r="1370" spans="1:52" s="12" customFormat="1" ht="14.4" hidden="1" x14ac:dyDescent="0.3">
      <c r="A1370" s="12" t="s">
        <v>39</v>
      </c>
      <c r="B1370" s="12" t="s">
        <v>4133</v>
      </c>
      <c r="C1370" s="12">
        <v>70</v>
      </c>
      <c r="D1370" s="12">
        <v>418</v>
      </c>
      <c r="E1370" s="12" t="s">
        <v>196</v>
      </c>
      <c r="F1370" s="275" t="s">
        <v>4151</v>
      </c>
      <c r="G1370" s="12" t="str">
        <f t="shared" si="35"/>
        <v>704189020247794</v>
      </c>
      <c r="H1370" s="12" t="s">
        <v>710</v>
      </c>
      <c r="I1370" s="12">
        <v>9020247794</v>
      </c>
      <c r="J1370" s="12" t="s">
        <v>4152</v>
      </c>
      <c r="K1370" s="12" t="s">
        <v>192</v>
      </c>
      <c r="L1370" s="12">
        <v>3103155698</v>
      </c>
      <c r="M1370" s="105" t="s">
        <v>8407</v>
      </c>
      <c r="N1370" s="12" t="s">
        <v>127</v>
      </c>
      <c r="O1370" s="12" t="s">
        <v>2822</v>
      </c>
      <c r="P1370" s="88" t="s">
        <v>48</v>
      </c>
      <c r="Q1370" s="13">
        <v>46220</v>
      </c>
      <c r="R1370" s="12" t="s">
        <v>8589</v>
      </c>
      <c r="S1370" s="12" t="s">
        <v>210</v>
      </c>
      <c r="T1370" s="12" t="s">
        <v>9230</v>
      </c>
      <c r="U1370" s="12" t="s">
        <v>60</v>
      </c>
      <c r="V1370" s="13">
        <v>45730</v>
      </c>
      <c r="W1370" s="16">
        <v>0.82</v>
      </c>
      <c r="X1370" s="12" t="s">
        <v>49</v>
      </c>
      <c r="Y1370" s="12" t="s">
        <v>4098</v>
      </c>
      <c r="Z1370" s="12" t="s">
        <v>2881</v>
      </c>
      <c r="AA1370" s="12" t="s">
        <v>51</v>
      </c>
      <c r="AB1370" s="12" t="s">
        <v>51</v>
      </c>
      <c r="AC1370" s="13">
        <v>45449</v>
      </c>
      <c r="AD1370" s="12" t="s">
        <v>221</v>
      </c>
      <c r="AE1370" s="12" t="s">
        <v>74</v>
      </c>
      <c r="AF1370" s="12" t="s">
        <v>60</v>
      </c>
      <c r="AU1370" s="12" t="s">
        <v>53</v>
      </c>
      <c r="AX1370" s="12" t="s">
        <v>51</v>
      </c>
      <c r="AY1370" s="12" t="s">
        <v>51</v>
      </c>
      <c r="AZ1370" s="12" t="s">
        <v>51</v>
      </c>
    </row>
    <row r="1371" spans="1:52" s="12" customFormat="1" ht="14.4" hidden="1" x14ac:dyDescent="0.3">
      <c r="A1371" s="12" t="s">
        <v>39</v>
      </c>
      <c r="B1371" s="12" t="s">
        <v>4133</v>
      </c>
      <c r="C1371" s="12">
        <v>70</v>
      </c>
      <c r="D1371" s="12">
        <v>418</v>
      </c>
      <c r="E1371" s="12" t="s">
        <v>196</v>
      </c>
      <c r="F1371" s="275" t="s">
        <v>4154</v>
      </c>
      <c r="G1371" s="12" t="str">
        <f t="shared" si="35"/>
        <v>7041890117484310</v>
      </c>
      <c r="H1371" s="12" t="s">
        <v>710</v>
      </c>
      <c r="I1371" s="12">
        <v>90117484310</v>
      </c>
      <c r="J1371" s="12" t="s">
        <v>4155</v>
      </c>
      <c r="K1371" s="12" t="s">
        <v>192</v>
      </c>
      <c r="L1371" s="12" t="s">
        <v>4153</v>
      </c>
      <c r="M1371" s="105" t="s">
        <v>788</v>
      </c>
      <c r="N1371" s="12" t="s">
        <v>127</v>
      </c>
      <c r="O1371" s="12" t="s">
        <v>2822</v>
      </c>
      <c r="P1371" s="88" t="s">
        <v>48</v>
      </c>
      <c r="Q1371" s="13">
        <v>45727</v>
      </c>
      <c r="R1371" s="16">
        <v>0.79</v>
      </c>
      <c r="S1371" s="12" t="s">
        <v>74</v>
      </c>
      <c r="T1371" s="12" t="s">
        <v>4098</v>
      </c>
      <c r="U1371" s="12" t="s">
        <v>2881</v>
      </c>
      <c r="V1371" s="13">
        <v>45442</v>
      </c>
      <c r="W1371" s="12" t="s">
        <v>138</v>
      </c>
      <c r="X1371" s="12" t="s">
        <v>74</v>
      </c>
      <c r="AA1371" s="12" t="s">
        <v>51</v>
      </c>
      <c r="AB1371" s="12" t="s">
        <v>51</v>
      </c>
      <c r="AU1371" s="12" t="s">
        <v>53</v>
      </c>
      <c r="AX1371" s="12" t="s">
        <v>51</v>
      </c>
      <c r="AY1371" s="12" t="s">
        <v>51</v>
      </c>
      <c r="AZ1371" s="12" t="s">
        <v>51</v>
      </c>
    </row>
    <row r="1372" spans="1:52" s="12" customFormat="1" ht="14.4" hidden="1" x14ac:dyDescent="0.3">
      <c r="A1372" s="12" t="s">
        <v>39</v>
      </c>
      <c r="B1372" s="12" t="s">
        <v>4133</v>
      </c>
      <c r="C1372" s="12">
        <v>70</v>
      </c>
      <c r="D1372" s="12">
        <v>418</v>
      </c>
      <c r="E1372" s="12" t="s">
        <v>196</v>
      </c>
      <c r="F1372" s="12" t="s">
        <v>4156</v>
      </c>
      <c r="G1372" s="12" t="str">
        <f t="shared" si="35"/>
        <v>7041890117484310</v>
      </c>
      <c r="H1372" s="12" t="s">
        <v>710</v>
      </c>
      <c r="I1372" s="12">
        <v>90117484310</v>
      </c>
      <c r="J1372" s="12" t="s">
        <v>4157</v>
      </c>
      <c r="K1372" s="12" t="s">
        <v>192</v>
      </c>
      <c r="L1372" s="12" t="s">
        <v>4153</v>
      </c>
      <c r="M1372" s="105" t="s">
        <v>788</v>
      </c>
      <c r="N1372" s="12" t="s">
        <v>127</v>
      </c>
      <c r="O1372" s="12" t="s">
        <v>2822</v>
      </c>
      <c r="P1372" s="88" t="s">
        <v>48</v>
      </c>
      <c r="Q1372" s="13">
        <v>45737</v>
      </c>
      <c r="R1372" s="16">
        <v>0.87</v>
      </c>
      <c r="S1372" s="12" t="s">
        <v>74</v>
      </c>
      <c r="T1372" s="12" t="s">
        <v>4098</v>
      </c>
      <c r="U1372" s="12" t="s">
        <v>2881</v>
      </c>
      <c r="V1372" s="13">
        <v>45454</v>
      </c>
      <c r="W1372" s="16">
        <v>0.84</v>
      </c>
      <c r="X1372" s="12" t="s">
        <v>74</v>
      </c>
      <c r="AA1372" s="12" t="s">
        <v>51</v>
      </c>
      <c r="AB1372" s="12" t="s">
        <v>51</v>
      </c>
      <c r="AU1372" s="12" t="s">
        <v>53</v>
      </c>
      <c r="AX1372" s="12" t="s">
        <v>51</v>
      </c>
      <c r="AY1372" s="12" t="s">
        <v>51</v>
      </c>
      <c r="AZ1372" s="12" t="s">
        <v>51</v>
      </c>
    </row>
    <row r="1373" spans="1:52" s="12" customFormat="1" ht="14.4" hidden="1" x14ac:dyDescent="0.3">
      <c r="A1373" s="12" t="s">
        <v>39</v>
      </c>
      <c r="B1373" s="12" t="s">
        <v>4133</v>
      </c>
      <c r="C1373" s="12">
        <v>70</v>
      </c>
      <c r="D1373" s="12">
        <v>418</v>
      </c>
      <c r="E1373" s="12" t="s">
        <v>196</v>
      </c>
      <c r="F1373" s="12" t="s">
        <v>4158</v>
      </c>
      <c r="G1373" s="12" t="str">
        <f t="shared" si="35"/>
        <v>7041890117484310</v>
      </c>
      <c r="H1373" s="12" t="s">
        <v>710</v>
      </c>
      <c r="I1373" s="12">
        <v>90117484310</v>
      </c>
      <c r="J1373" s="12" t="s">
        <v>4159</v>
      </c>
      <c r="K1373" s="12" t="s">
        <v>192</v>
      </c>
      <c r="L1373" s="12" t="s">
        <v>4153</v>
      </c>
      <c r="M1373" s="105" t="s">
        <v>788</v>
      </c>
      <c r="N1373" s="12" t="s">
        <v>127</v>
      </c>
      <c r="O1373" s="12" t="s">
        <v>2822</v>
      </c>
      <c r="P1373" s="88" t="s">
        <v>48</v>
      </c>
      <c r="Q1373" s="13">
        <v>45750</v>
      </c>
      <c r="R1373" s="12" t="s">
        <v>1969</v>
      </c>
      <c r="S1373" s="12" t="s">
        <v>74</v>
      </c>
      <c r="T1373" s="12" t="s">
        <v>4098</v>
      </c>
      <c r="U1373" s="12" t="s">
        <v>2881</v>
      </c>
      <c r="V1373" s="13">
        <v>45439</v>
      </c>
      <c r="W1373" s="16">
        <v>0.81</v>
      </c>
      <c r="X1373" s="12" t="s">
        <v>74</v>
      </c>
      <c r="AA1373" s="12" t="s">
        <v>51</v>
      </c>
      <c r="AB1373" s="12" t="s">
        <v>51</v>
      </c>
      <c r="AU1373" s="12" t="s">
        <v>53</v>
      </c>
      <c r="AX1373" s="12" t="s">
        <v>51</v>
      </c>
      <c r="AY1373" s="12" t="s">
        <v>51</v>
      </c>
      <c r="AZ1373" s="12" t="s">
        <v>51</v>
      </c>
    </row>
    <row r="1374" spans="1:52" s="12" customFormat="1" ht="14.4" hidden="1" x14ac:dyDescent="0.3">
      <c r="A1374" s="12" t="s">
        <v>39</v>
      </c>
      <c r="B1374" s="12" t="s">
        <v>4133</v>
      </c>
      <c r="C1374" s="12">
        <v>70</v>
      </c>
      <c r="D1374" s="12">
        <v>418</v>
      </c>
      <c r="E1374" s="12" t="s">
        <v>196</v>
      </c>
      <c r="F1374" s="12" t="s">
        <v>4160</v>
      </c>
      <c r="G1374" s="12" t="str">
        <f t="shared" si="35"/>
        <v>7041890117484310</v>
      </c>
      <c r="H1374" s="12" t="s">
        <v>710</v>
      </c>
      <c r="I1374" s="12">
        <v>90117484310</v>
      </c>
      <c r="J1374" s="12" t="s">
        <v>4159</v>
      </c>
      <c r="K1374" s="12" t="s">
        <v>192</v>
      </c>
      <c r="L1374" s="12" t="s">
        <v>4153</v>
      </c>
      <c r="M1374" s="105" t="s">
        <v>788</v>
      </c>
      <c r="N1374" s="12" t="s">
        <v>127</v>
      </c>
      <c r="O1374" s="12" t="s">
        <v>2822</v>
      </c>
      <c r="P1374" s="88" t="s">
        <v>48</v>
      </c>
      <c r="Q1374" s="13">
        <v>45750</v>
      </c>
      <c r="R1374" s="16">
        <v>0.64</v>
      </c>
      <c r="S1374" s="12" t="s">
        <v>49</v>
      </c>
      <c r="T1374" s="12" t="s">
        <v>4098</v>
      </c>
      <c r="U1374" s="12" t="s">
        <v>2881</v>
      </c>
      <c r="V1374" s="13">
        <v>45504</v>
      </c>
      <c r="W1374" s="12" t="s">
        <v>201</v>
      </c>
      <c r="X1374" s="12" t="s">
        <v>49</v>
      </c>
      <c r="Z1374" s="12" t="s">
        <v>60</v>
      </c>
      <c r="AA1374" s="12" t="s">
        <v>51</v>
      </c>
      <c r="AB1374" s="12" t="s">
        <v>51</v>
      </c>
      <c r="AU1374" s="12" t="s">
        <v>53</v>
      </c>
      <c r="AX1374" s="12" t="s">
        <v>51</v>
      </c>
      <c r="AY1374" s="12" t="s">
        <v>51</v>
      </c>
      <c r="AZ1374" s="12" t="s">
        <v>51</v>
      </c>
    </row>
    <row r="1375" spans="1:52" s="12" customFormat="1" ht="14.4" hidden="1" x14ac:dyDescent="0.3">
      <c r="A1375" s="12" t="s">
        <v>39</v>
      </c>
      <c r="B1375" s="12" t="s">
        <v>4133</v>
      </c>
      <c r="C1375" s="12">
        <v>70</v>
      </c>
      <c r="D1375" s="12">
        <v>418</v>
      </c>
      <c r="E1375" s="12" t="s">
        <v>196</v>
      </c>
      <c r="F1375" s="12" t="s">
        <v>4161</v>
      </c>
      <c r="G1375" s="12" t="str">
        <f t="shared" si="35"/>
        <v>7041890117484310</v>
      </c>
      <c r="H1375" s="12" t="s">
        <v>710</v>
      </c>
      <c r="I1375" s="12">
        <v>90117484310</v>
      </c>
      <c r="J1375" s="12" t="s">
        <v>4162</v>
      </c>
      <c r="K1375" s="12" t="s">
        <v>192</v>
      </c>
      <c r="L1375" s="12" t="s">
        <v>4153</v>
      </c>
      <c r="M1375" s="105" t="s">
        <v>788</v>
      </c>
      <c r="N1375" s="12" t="s">
        <v>127</v>
      </c>
      <c r="O1375" s="12" t="s">
        <v>2822</v>
      </c>
      <c r="P1375" s="88" t="s">
        <v>48</v>
      </c>
      <c r="Q1375" s="13">
        <v>45744</v>
      </c>
      <c r="R1375" s="16">
        <v>0.64</v>
      </c>
      <c r="S1375" s="12" t="s">
        <v>74</v>
      </c>
      <c r="T1375" s="12" t="s">
        <v>4098</v>
      </c>
      <c r="U1375" s="12" t="s">
        <v>2881</v>
      </c>
      <c r="V1375" s="13">
        <v>45526</v>
      </c>
      <c r="W1375" s="16">
        <v>0.75</v>
      </c>
      <c r="X1375" s="12" t="s">
        <v>74</v>
      </c>
      <c r="Z1375" s="12" t="s">
        <v>60</v>
      </c>
      <c r="AA1375" s="12" t="s">
        <v>51</v>
      </c>
      <c r="AB1375" s="12" t="s">
        <v>51</v>
      </c>
      <c r="AU1375" s="12" t="s">
        <v>53</v>
      </c>
      <c r="AX1375" s="12" t="s">
        <v>51</v>
      </c>
      <c r="AY1375" s="12" t="s">
        <v>51</v>
      </c>
      <c r="AZ1375" s="12" t="s">
        <v>51</v>
      </c>
    </row>
    <row r="1376" spans="1:52" s="12" customFormat="1" ht="14.4" hidden="1" x14ac:dyDescent="0.3">
      <c r="A1376" s="12" t="s">
        <v>39</v>
      </c>
      <c r="B1376" s="12" t="s">
        <v>4133</v>
      </c>
      <c r="C1376" s="12">
        <v>70</v>
      </c>
      <c r="D1376" s="12">
        <v>418</v>
      </c>
      <c r="E1376" s="12" t="s">
        <v>196</v>
      </c>
      <c r="F1376" s="12" t="s">
        <v>4163</v>
      </c>
      <c r="G1376" s="12" t="str">
        <f t="shared" si="35"/>
        <v>7041890117484310</v>
      </c>
      <c r="H1376" s="12" t="s">
        <v>710</v>
      </c>
      <c r="I1376" s="12">
        <v>90117484310</v>
      </c>
      <c r="J1376" s="12" t="s">
        <v>4164</v>
      </c>
      <c r="K1376" s="12" t="s">
        <v>192</v>
      </c>
      <c r="L1376" s="12" t="s">
        <v>4153</v>
      </c>
      <c r="M1376" s="105" t="s">
        <v>788</v>
      </c>
      <c r="N1376" s="12" t="s">
        <v>127</v>
      </c>
      <c r="O1376" s="12" t="s">
        <v>2822</v>
      </c>
      <c r="P1376" s="88" t="s">
        <v>48</v>
      </c>
      <c r="Q1376" s="13">
        <v>45744</v>
      </c>
      <c r="R1376" s="16">
        <v>0.7</v>
      </c>
      <c r="S1376" s="12" t="s">
        <v>74</v>
      </c>
      <c r="T1376" s="12" t="s">
        <v>4098</v>
      </c>
      <c r="U1376" s="12" t="s">
        <v>2881</v>
      </c>
      <c r="AA1376" s="12" t="s">
        <v>51</v>
      </c>
      <c r="AB1376" s="12" t="s">
        <v>51</v>
      </c>
      <c r="AU1376" s="12" t="s">
        <v>53</v>
      </c>
      <c r="AX1376" s="12" t="s">
        <v>51</v>
      </c>
      <c r="AY1376" s="12" t="s">
        <v>51</v>
      </c>
      <c r="AZ1376" s="12" t="s">
        <v>51</v>
      </c>
    </row>
    <row r="1377" spans="1:52" s="12" customFormat="1" ht="14.4" hidden="1" x14ac:dyDescent="0.3">
      <c r="A1377" s="12" t="s">
        <v>39</v>
      </c>
      <c r="B1377" s="12" t="s">
        <v>4133</v>
      </c>
      <c r="C1377" s="12">
        <v>70</v>
      </c>
      <c r="D1377" s="12">
        <v>418</v>
      </c>
      <c r="E1377" s="12" t="s">
        <v>196</v>
      </c>
      <c r="F1377" s="12" t="s">
        <v>4165</v>
      </c>
      <c r="G1377" s="12" t="str">
        <f t="shared" si="35"/>
        <v>7041890117484310</v>
      </c>
      <c r="H1377" s="12" t="s">
        <v>710</v>
      </c>
      <c r="I1377" s="12">
        <v>90117484310</v>
      </c>
      <c r="J1377" s="12" t="s">
        <v>4166</v>
      </c>
      <c r="K1377" s="12" t="s">
        <v>192</v>
      </c>
      <c r="L1377" s="12" t="s">
        <v>4153</v>
      </c>
      <c r="M1377" s="105" t="s">
        <v>788</v>
      </c>
      <c r="N1377" s="12" t="s">
        <v>127</v>
      </c>
      <c r="O1377" s="12" t="s">
        <v>2822</v>
      </c>
      <c r="P1377" s="88" t="s">
        <v>48</v>
      </c>
      <c r="Q1377" s="13">
        <v>45742</v>
      </c>
      <c r="R1377" s="16">
        <v>0.81</v>
      </c>
      <c r="S1377" s="12" t="s">
        <v>49</v>
      </c>
      <c r="T1377" s="12" t="s">
        <v>4098</v>
      </c>
      <c r="U1377" s="12" t="s">
        <v>2881</v>
      </c>
      <c r="V1377" s="13">
        <v>45432</v>
      </c>
      <c r="W1377" s="16" t="s">
        <v>142</v>
      </c>
      <c r="X1377" s="12" t="s">
        <v>74</v>
      </c>
      <c r="Z1377" s="12" t="s">
        <v>60</v>
      </c>
      <c r="AA1377" s="12" t="s">
        <v>51</v>
      </c>
      <c r="AB1377" s="12" t="s">
        <v>51</v>
      </c>
      <c r="AU1377" s="12" t="s">
        <v>53</v>
      </c>
      <c r="AX1377" s="12" t="s">
        <v>51</v>
      </c>
      <c r="AY1377" s="12" t="s">
        <v>51</v>
      </c>
      <c r="AZ1377" s="12" t="s">
        <v>51</v>
      </c>
    </row>
    <row r="1378" spans="1:52" s="12" customFormat="1" ht="14.4" hidden="1" x14ac:dyDescent="0.3">
      <c r="A1378" s="12" t="s">
        <v>39</v>
      </c>
      <c r="B1378" s="12" t="s">
        <v>4133</v>
      </c>
      <c r="C1378" s="12">
        <v>70</v>
      </c>
      <c r="D1378" s="12">
        <v>418</v>
      </c>
      <c r="E1378" s="12" t="s">
        <v>196</v>
      </c>
      <c r="F1378" s="12" t="s">
        <v>4167</v>
      </c>
      <c r="G1378" s="12" t="str">
        <f t="shared" si="35"/>
        <v>7041890117484310</v>
      </c>
      <c r="H1378" s="12" t="s">
        <v>710</v>
      </c>
      <c r="I1378" s="12">
        <v>90117484310</v>
      </c>
      <c r="J1378" s="12" t="s">
        <v>4168</v>
      </c>
      <c r="K1378" s="12" t="s">
        <v>192</v>
      </c>
      <c r="L1378" s="12" t="s">
        <v>4153</v>
      </c>
      <c r="M1378" s="105" t="s">
        <v>788</v>
      </c>
      <c r="N1378" s="12" t="s">
        <v>127</v>
      </c>
      <c r="O1378" s="12" t="s">
        <v>2822</v>
      </c>
      <c r="P1378" s="88" t="s">
        <v>48</v>
      </c>
      <c r="Q1378" s="13">
        <v>45743</v>
      </c>
      <c r="R1378" s="16">
        <v>0.71</v>
      </c>
      <c r="S1378" s="12" t="s">
        <v>74</v>
      </c>
      <c r="T1378" s="12" t="s">
        <v>4098</v>
      </c>
      <c r="U1378" s="12" t="s">
        <v>2881</v>
      </c>
      <c r="V1378" s="13">
        <v>45526</v>
      </c>
      <c r="W1378" s="16">
        <v>0.75</v>
      </c>
      <c r="X1378" s="12" t="s">
        <v>74</v>
      </c>
      <c r="AU1378" s="12" t="s">
        <v>53</v>
      </c>
    </row>
    <row r="1379" spans="1:52" s="12" customFormat="1" ht="14.4" hidden="1" x14ac:dyDescent="0.3">
      <c r="A1379" s="12" t="s">
        <v>39</v>
      </c>
      <c r="B1379" s="12" t="s">
        <v>4133</v>
      </c>
      <c r="C1379" s="12">
        <v>70</v>
      </c>
      <c r="D1379" s="12">
        <v>418</v>
      </c>
      <c r="E1379" s="12" t="s">
        <v>196</v>
      </c>
      <c r="F1379" s="275" t="s">
        <v>4169</v>
      </c>
      <c r="G1379" s="12" t="str">
        <f t="shared" si="35"/>
        <v>7041890117484310</v>
      </c>
      <c r="H1379" s="12" t="s">
        <v>710</v>
      </c>
      <c r="I1379" s="12">
        <v>90117484310</v>
      </c>
      <c r="J1379" s="12" t="s">
        <v>4170</v>
      </c>
      <c r="K1379" s="12" t="s">
        <v>192</v>
      </c>
      <c r="L1379" s="12" t="s">
        <v>4153</v>
      </c>
      <c r="M1379" s="105" t="s">
        <v>788</v>
      </c>
      <c r="N1379" s="12" t="s">
        <v>127</v>
      </c>
      <c r="O1379" s="12" t="s">
        <v>2822</v>
      </c>
      <c r="P1379" s="88" t="s">
        <v>48</v>
      </c>
      <c r="Q1379" s="13">
        <v>45735</v>
      </c>
      <c r="R1379" s="12" t="s">
        <v>81</v>
      </c>
      <c r="S1379" s="12" t="s">
        <v>49</v>
      </c>
      <c r="T1379" s="12" t="s">
        <v>4098</v>
      </c>
      <c r="U1379" s="12" t="s">
        <v>2881</v>
      </c>
      <c r="V1379" s="13">
        <v>45490</v>
      </c>
      <c r="W1379" s="16">
        <v>0.62</v>
      </c>
      <c r="X1379" s="12" t="s">
        <v>74</v>
      </c>
      <c r="Z1379" s="12" t="s">
        <v>50</v>
      </c>
      <c r="AA1379" s="12" t="s">
        <v>51</v>
      </c>
      <c r="AB1379" s="12" t="s">
        <v>51</v>
      </c>
      <c r="AU1379" s="12" t="s">
        <v>53</v>
      </c>
      <c r="AX1379" s="12" t="s">
        <v>51</v>
      </c>
      <c r="AY1379" s="12" t="s">
        <v>51</v>
      </c>
      <c r="AZ1379" s="12" t="s">
        <v>51</v>
      </c>
    </row>
    <row r="1380" spans="1:52" s="12" customFormat="1" ht="14.4" hidden="1" x14ac:dyDescent="0.3">
      <c r="A1380" s="12" t="s">
        <v>39</v>
      </c>
      <c r="B1380" s="12" t="s">
        <v>4133</v>
      </c>
      <c r="C1380" s="12">
        <v>70</v>
      </c>
      <c r="D1380" s="12">
        <v>418</v>
      </c>
      <c r="E1380" s="12" t="s">
        <v>4171</v>
      </c>
      <c r="F1380" s="12" t="s">
        <v>4172</v>
      </c>
      <c r="G1380" s="12" t="str">
        <f t="shared" si="35"/>
        <v>704188002486845</v>
      </c>
      <c r="H1380" s="12" t="s">
        <v>4173</v>
      </c>
      <c r="I1380" s="12">
        <v>8002486845</v>
      </c>
      <c r="J1380" s="12" t="s">
        <v>4174</v>
      </c>
      <c r="K1380" s="12" t="s">
        <v>246</v>
      </c>
      <c r="L1380" s="12">
        <v>3126975581</v>
      </c>
      <c r="M1380" s="12" t="s">
        <v>4175</v>
      </c>
      <c r="N1380" s="12" t="s">
        <v>127</v>
      </c>
      <c r="O1380" s="12" t="s">
        <v>2822</v>
      </c>
      <c r="P1380" s="88" t="s">
        <v>48</v>
      </c>
      <c r="Q1380" s="13">
        <v>45784</v>
      </c>
      <c r="R1380" s="12" t="s">
        <v>176</v>
      </c>
      <c r="S1380" s="12" t="s">
        <v>2441</v>
      </c>
      <c r="T1380" s="12" t="s">
        <v>4098</v>
      </c>
      <c r="U1380" s="12" t="s">
        <v>60</v>
      </c>
      <c r="V1380" s="13">
        <v>45432</v>
      </c>
      <c r="W1380" s="59">
        <v>0.81499999999999995</v>
      </c>
      <c r="X1380" s="12" t="s">
        <v>49</v>
      </c>
      <c r="Z1380" s="12" t="s">
        <v>50</v>
      </c>
      <c r="AA1380" s="12" t="s">
        <v>51</v>
      </c>
      <c r="AB1380" s="12" t="s">
        <v>51</v>
      </c>
      <c r="AC1380" s="13">
        <v>45244</v>
      </c>
      <c r="AD1380" s="16">
        <v>0.78</v>
      </c>
      <c r="AE1380" s="12" t="s">
        <v>49</v>
      </c>
      <c r="AF1380" s="12" t="s">
        <v>50</v>
      </c>
      <c r="AG1380" s="12" t="s">
        <v>51</v>
      </c>
      <c r="AH1380" s="12" t="s">
        <v>51</v>
      </c>
      <c r="AU1380" s="12" t="s">
        <v>53</v>
      </c>
      <c r="AX1380" s="12" t="s">
        <v>51</v>
      </c>
      <c r="AY1380" s="12" t="s">
        <v>51</v>
      </c>
      <c r="AZ1380" s="12" t="s">
        <v>51</v>
      </c>
    </row>
    <row r="1381" spans="1:52" s="12" customFormat="1" ht="14.4" hidden="1" x14ac:dyDescent="0.3">
      <c r="A1381" s="12" t="s">
        <v>39</v>
      </c>
      <c r="B1381" s="12" t="s">
        <v>4133</v>
      </c>
      <c r="C1381" s="12">
        <v>70</v>
      </c>
      <c r="D1381" s="12">
        <v>418</v>
      </c>
      <c r="E1381" s="12" t="s">
        <v>4171</v>
      </c>
      <c r="F1381" s="12" t="s">
        <v>4176</v>
      </c>
      <c r="G1381" s="12" t="str">
        <f t="shared" si="35"/>
        <v>704188002486845</v>
      </c>
      <c r="H1381" s="12" t="s">
        <v>4173</v>
      </c>
      <c r="I1381" s="12">
        <v>8002486845</v>
      </c>
      <c r="J1381" s="12" t="s">
        <v>4177</v>
      </c>
      <c r="K1381" s="12" t="s">
        <v>246</v>
      </c>
      <c r="L1381" s="12">
        <v>3145725085</v>
      </c>
      <c r="M1381" s="12" t="s">
        <v>4175</v>
      </c>
      <c r="N1381" s="12" t="s">
        <v>127</v>
      </c>
      <c r="O1381" s="12" t="s">
        <v>2822</v>
      </c>
      <c r="P1381" s="88" t="s">
        <v>48</v>
      </c>
      <c r="Q1381" s="13">
        <v>45895</v>
      </c>
      <c r="R1381" s="12" t="s">
        <v>201</v>
      </c>
      <c r="S1381" s="12" t="s">
        <v>49</v>
      </c>
      <c r="T1381" s="12" t="s">
        <v>4098</v>
      </c>
      <c r="U1381" s="12" t="s">
        <v>60</v>
      </c>
      <c r="V1381" s="13">
        <v>45509</v>
      </c>
      <c r="W1381" s="16">
        <v>0.82</v>
      </c>
      <c r="X1381" s="12" t="s">
        <v>2441</v>
      </c>
      <c r="Z1381" s="12" t="s">
        <v>50</v>
      </c>
      <c r="AA1381" s="12" t="s">
        <v>51</v>
      </c>
      <c r="AB1381" s="12" t="s">
        <v>51</v>
      </c>
      <c r="AU1381" s="12" t="s">
        <v>53</v>
      </c>
      <c r="AX1381" s="12" t="s">
        <v>51</v>
      </c>
      <c r="AY1381" s="12" t="s">
        <v>51</v>
      </c>
      <c r="AZ1381" s="12" t="s">
        <v>51</v>
      </c>
    </row>
    <row r="1382" spans="1:52" s="12" customFormat="1" ht="14.4" hidden="1" x14ac:dyDescent="0.3">
      <c r="A1382" s="12" t="s">
        <v>39</v>
      </c>
      <c r="B1382" s="12" t="s">
        <v>4133</v>
      </c>
      <c r="C1382" s="12">
        <v>70</v>
      </c>
      <c r="D1382" s="12">
        <v>418</v>
      </c>
      <c r="E1382" s="12" t="s">
        <v>4171</v>
      </c>
      <c r="F1382" s="12" t="s">
        <v>4178</v>
      </c>
      <c r="G1382" s="12" t="str">
        <f t="shared" si="35"/>
        <v>704188002486845</v>
      </c>
      <c r="I1382" s="12">
        <v>8002486845</v>
      </c>
      <c r="J1382" s="12" t="s">
        <v>4179</v>
      </c>
      <c r="K1382" s="12" t="s">
        <v>246</v>
      </c>
      <c r="L1382" s="12">
        <v>3135060509</v>
      </c>
      <c r="M1382" s="12" t="s">
        <v>4175</v>
      </c>
      <c r="N1382" s="12" t="s">
        <v>127</v>
      </c>
      <c r="O1382" s="12" t="s">
        <v>2822</v>
      </c>
      <c r="P1382" s="88"/>
      <c r="AU1382" s="12" t="s">
        <v>53</v>
      </c>
    </row>
    <row r="1383" spans="1:52" s="12" customFormat="1" ht="14.4" hidden="1" x14ac:dyDescent="0.3">
      <c r="A1383" s="12" t="s">
        <v>39</v>
      </c>
      <c r="B1383" s="12" t="s">
        <v>4133</v>
      </c>
      <c r="C1383" s="12">
        <v>70</v>
      </c>
      <c r="D1383" s="12">
        <v>418</v>
      </c>
      <c r="E1383" s="12" t="s">
        <v>4171</v>
      </c>
      <c r="F1383" s="12" t="s">
        <v>4180</v>
      </c>
      <c r="G1383" s="12" t="str">
        <f t="shared" si="35"/>
        <v>704188002486845</v>
      </c>
      <c r="I1383" s="12">
        <v>8002486845</v>
      </c>
      <c r="J1383" s="12" t="s">
        <v>4181</v>
      </c>
      <c r="K1383" s="12" t="s">
        <v>246</v>
      </c>
      <c r="L1383" s="12">
        <v>3007246162</v>
      </c>
      <c r="M1383" s="12" t="s">
        <v>4175</v>
      </c>
      <c r="N1383" s="12" t="s">
        <v>127</v>
      </c>
      <c r="O1383" s="12" t="s">
        <v>2822</v>
      </c>
      <c r="P1383" s="88"/>
      <c r="AU1383" s="12" t="s">
        <v>53</v>
      </c>
    </row>
    <row r="1384" spans="1:52" s="12" customFormat="1" ht="14.4" hidden="1" x14ac:dyDescent="0.3">
      <c r="A1384" s="12" t="s">
        <v>39</v>
      </c>
      <c r="B1384" s="12" t="s">
        <v>4133</v>
      </c>
      <c r="C1384" s="12">
        <v>70</v>
      </c>
      <c r="D1384" s="12">
        <v>418</v>
      </c>
      <c r="E1384" s="12" t="s">
        <v>4171</v>
      </c>
      <c r="F1384" s="12" t="s">
        <v>4182</v>
      </c>
      <c r="G1384" s="12" t="str">
        <f t="shared" si="35"/>
        <v>704188002486845</v>
      </c>
      <c r="H1384" s="12" t="s">
        <v>4173</v>
      </c>
      <c r="I1384" s="12">
        <v>8002486845</v>
      </c>
      <c r="J1384" s="12" t="s">
        <v>4183</v>
      </c>
      <c r="K1384" s="12" t="s">
        <v>246</v>
      </c>
      <c r="L1384" s="12">
        <v>3116700528</v>
      </c>
      <c r="M1384" s="12" t="s">
        <v>4175</v>
      </c>
      <c r="N1384" s="12" t="s">
        <v>127</v>
      </c>
      <c r="O1384" s="12" t="s">
        <v>2822</v>
      </c>
      <c r="P1384" s="88" t="s">
        <v>48</v>
      </c>
      <c r="Q1384" s="13">
        <v>45790</v>
      </c>
      <c r="R1384" s="12" t="s">
        <v>142</v>
      </c>
      <c r="S1384" s="12" t="s">
        <v>49</v>
      </c>
      <c r="T1384" s="12" t="s">
        <v>4098</v>
      </c>
      <c r="U1384" s="12" t="s">
        <v>60</v>
      </c>
      <c r="V1384" s="13">
        <v>45460</v>
      </c>
      <c r="W1384" s="12" t="s">
        <v>4108</v>
      </c>
      <c r="X1384" s="12" t="s">
        <v>74</v>
      </c>
      <c r="Z1384" s="12" t="s">
        <v>60</v>
      </c>
      <c r="AA1384" s="12" t="s">
        <v>51</v>
      </c>
      <c r="AB1384" s="12" t="s">
        <v>51</v>
      </c>
      <c r="AU1384" s="12" t="s">
        <v>53</v>
      </c>
      <c r="AX1384" s="12" t="s">
        <v>51</v>
      </c>
      <c r="AY1384" s="12" t="s">
        <v>51</v>
      </c>
      <c r="AZ1384" s="12" t="s">
        <v>51</v>
      </c>
    </row>
    <row r="1385" spans="1:52" s="12" customFormat="1" ht="14.4" hidden="1" x14ac:dyDescent="0.3">
      <c r="A1385" s="12" t="s">
        <v>39</v>
      </c>
      <c r="B1385" s="12" t="s">
        <v>4133</v>
      </c>
      <c r="C1385" s="12">
        <v>70</v>
      </c>
      <c r="D1385" s="12">
        <v>418</v>
      </c>
      <c r="E1385" s="12" t="s">
        <v>4171</v>
      </c>
      <c r="F1385" s="12" t="s">
        <v>752</v>
      </c>
      <c r="G1385" s="12" t="str">
        <f t="shared" si="35"/>
        <v>704188002486845</v>
      </c>
      <c r="I1385" s="12">
        <v>8002486845</v>
      </c>
      <c r="J1385" s="12" t="s">
        <v>4184</v>
      </c>
      <c r="K1385" s="12" t="s">
        <v>246</v>
      </c>
      <c r="L1385" s="12">
        <v>3145345132</v>
      </c>
      <c r="M1385" s="12" t="s">
        <v>4175</v>
      </c>
      <c r="N1385" s="12" t="s">
        <v>127</v>
      </c>
      <c r="O1385" s="12" t="s">
        <v>2822</v>
      </c>
      <c r="P1385" s="88"/>
      <c r="AU1385" s="12" t="s">
        <v>53</v>
      </c>
    </row>
    <row r="1386" spans="1:52" s="12" customFormat="1" ht="14.4" hidden="1" x14ac:dyDescent="0.3">
      <c r="A1386" s="12" t="s">
        <v>39</v>
      </c>
      <c r="B1386" s="12" t="s">
        <v>4133</v>
      </c>
      <c r="C1386" s="12">
        <v>70</v>
      </c>
      <c r="D1386" s="12">
        <v>418</v>
      </c>
      <c r="E1386" s="12" t="s">
        <v>4171</v>
      </c>
      <c r="F1386" s="12" t="s">
        <v>4185</v>
      </c>
      <c r="G1386" s="12" t="str">
        <f t="shared" si="35"/>
        <v>704188002486845</v>
      </c>
      <c r="I1386" s="12">
        <v>8002486845</v>
      </c>
      <c r="J1386" s="12" t="s">
        <v>4186</v>
      </c>
      <c r="K1386" s="12" t="s">
        <v>192</v>
      </c>
      <c r="L1386" s="12">
        <v>3136002348</v>
      </c>
      <c r="M1386" s="12" t="s">
        <v>4175</v>
      </c>
      <c r="N1386" s="12" t="s">
        <v>127</v>
      </c>
      <c r="O1386" s="12" t="s">
        <v>2822</v>
      </c>
      <c r="P1386" s="88"/>
      <c r="AU1386" s="12" t="s">
        <v>53</v>
      </c>
    </row>
    <row r="1387" spans="1:52" s="12" customFormat="1" ht="14.4" hidden="1" x14ac:dyDescent="0.3">
      <c r="A1387" s="12" t="s">
        <v>39</v>
      </c>
      <c r="B1387" s="12" t="s">
        <v>4133</v>
      </c>
      <c r="C1387" s="12">
        <v>70</v>
      </c>
      <c r="D1387" s="12">
        <v>418</v>
      </c>
      <c r="E1387" s="12" t="s">
        <v>4171</v>
      </c>
      <c r="F1387" s="12" t="s">
        <v>4176</v>
      </c>
      <c r="G1387" s="12" t="str">
        <f t="shared" si="35"/>
        <v>704188002486845</v>
      </c>
      <c r="I1387" s="12">
        <v>8002486845</v>
      </c>
      <c r="J1387" s="12" t="s">
        <v>4187</v>
      </c>
      <c r="K1387" s="12" t="s">
        <v>230</v>
      </c>
      <c r="L1387" s="12">
        <v>3013523088</v>
      </c>
      <c r="M1387" s="12" t="s">
        <v>4175</v>
      </c>
      <c r="N1387" s="12" t="s">
        <v>127</v>
      </c>
      <c r="O1387" s="12" t="s">
        <v>2822</v>
      </c>
      <c r="P1387" s="88"/>
      <c r="AU1387" s="12" t="s">
        <v>53</v>
      </c>
    </row>
    <row r="1388" spans="1:52" s="12" customFormat="1" ht="14.4" hidden="1" x14ac:dyDescent="0.3">
      <c r="A1388" s="12" t="s">
        <v>39</v>
      </c>
      <c r="B1388" s="12" t="s">
        <v>4133</v>
      </c>
      <c r="C1388" s="12">
        <v>70</v>
      </c>
      <c r="D1388" s="12">
        <v>418</v>
      </c>
      <c r="E1388" s="12" t="s">
        <v>4171</v>
      </c>
      <c r="F1388" s="12" t="s">
        <v>4188</v>
      </c>
      <c r="G1388" s="12" t="str">
        <f t="shared" si="35"/>
        <v>704188002486845</v>
      </c>
      <c r="I1388" s="12">
        <v>8002486845</v>
      </c>
      <c r="J1388" s="12" t="s">
        <v>4189</v>
      </c>
      <c r="K1388" s="12" t="s">
        <v>230</v>
      </c>
      <c r="L1388" s="12">
        <v>3242025264</v>
      </c>
      <c r="M1388" s="12" t="s">
        <v>4175</v>
      </c>
      <c r="N1388" s="12" t="s">
        <v>127</v>
      </c>
      <c r="O1388" s="12" t="s">
        <v>2822</v>
      </c>
      <c r="P1388" s="88"/>
      <c r="AU1388" s="12" t="s">
        <v>53</v>
      </c>
    </row>
    <row r="1389" spans="1:52" s="12" customFormat="1" ht="14.4" hidden="1" x14ac:dyDescent="0.3">
      <c r="A1389" s="12" t="s">
        <v>39</v>
      </c>
      <c r="B1389" s="12" t="s">
        <v>4133</v>
      </c>
      <c r="C1389" s="12">
        <v>70</v>
      </c>
      <c r="D1389" s="12">
        <v>418</v>
      </c>
      <c r="E1389" s="12" t="s">
        <v>4171</v>
      </c>
      <c r="F1389" s="12" t="s">
        <v>4190</v>
      </c>
      <c r="G1389" s="12" t="str">
        <f t="shared" si="35"/>
        <v>704188002486845</v>
      </c>
      <c r="I1389" s="12">
        <v>8002486845</v>
      </c>
      <c r="J1389" s="12" t="s">
        <v>4164</v>
      </c>
      <c r="K1389" s="12" t="s">
        <v>133</v>
      </c>
      <c r="L1389" s="12">
        <v>3205071113</v>
      </c>
      <c r="M1389" s="12" t="s">
        <v>4175</v>
      </c>
      <c r="N1389" s="12" t="s">
        <v>127</v>
      </c>
      <c r="O1389" s="12" t="s">
        <v>2822</v>
      </c>
      <c r="P1389" s="88"/>
      <c r="AU1389" s="12" t="s">
        <v>53</v>
      </c>
    </row>
    <row r="1390" spans="1:52" s="12" customFormat="1" ht="14.4" hidden="1" x14ac:dyDescent="0.3">
      <c r="A1390" s="12" t="s">
        <v>39</v>
      </c>
      <c r="B1390" s="12" t="s">
        <v>4133</v>
      </c>
      <c r="C1390" s="12">
        <v>70</v>
      </c>
      <c r="D1390" s="12">
        <v>418</v>
      </c>
      <c r="E1390" s="12" t="s">
        <v>4171</v>
      </c>
      <c r="F1390" s="12" t="s">
        <v>4191</v>
      </c>
      <c r="G1390" s="12" t="str">
        <f t="shared" si="35"/>
        <v>704188002486845</v>
      </c>
      <c r="H1390" s="12" t="s">
        <v>4173</v>
      </c>
      <c r="I1390" s="12">
        <v>8002486845</v>
      </c>
      <c r="J1390" s="12" t="s">
        <v>4192</v>
      </c>
      <c r="K1390" s="12" t="s">
        <v>230</v>
      </c>
      <c r="L1390" s="12">
        <v>3007850304</v>
      </c>
      <c r="M1390" s="12" t="s">
        <v>4175</v>
      </c>
      <c r="N1390" s="12" t="s">
        <v>127</v>
      </c>
      <c r="O1390" s="12" t="s">
        <v>2822</v>
      </c>
      <c r="P1390" s="88" t="s">
        <v>48</v>
      </c>
      <c r="Q1390" s="13">
        <v>45777</v>
      </c>
      <c r="R1390" s="12" t="s">
        <v>201</v>
      </c>
      <c r="S1390" s="12" t="s">
        <v>74</v>
      </c>
      <c r="T1390" s="12" t="s">
        <v>4098</v>
      </c>
      <c r="U1390" s="12" t="s">
        <v>60</v>
      </c>
      <c r="V1390" s="13">
        <v>45428</v>
      </c>
      <c r="W1390" s="16">
        <v>0.66</v>
      </c>
      <c r="X1390" s="12" t="s">
        <v>74</v>
      </c>
      <c r="Z1390" s="12" t="s">
        <v>60</v>
      </c>
      <c r="AA1390" s="12" t="s">
        <v>51</v>
      </c>
      <c r="AB1390" s="12" t="s">
        <v>51</v>
      </c>
      <c r="AU1390" s="12" t="s">
        <v>53</v>
      </c>
      <c r="AX1390" s="12" t="s">
        <v>51</v>
      </c>
      <c r="AY1390" s="12" t="s">
        <v>51</v>
      </c>
      <c r="AZ1390" s="12" t="s">
        <v>51</v>
      </c>
    </row>
    <row r="1391" spans="1:52" s="12" customFormat="1" ht="14.4" hidden="1" x14ac:dyDescent="0.3">
      <c r="A1391" s="12" t="s">
        <v>39</v>
      </c>
      <c r="B1391" s="12" t="s">
        <v>4133</v>
      </c>
      <c r="C1391" s="12">
        <v>70</v>
      </c>
      <c r="D1391" s="12">
        <v>418</v>
      </c>
      <c r="E1391" s="12" t="s">
        <v>4171</v>
      </c>
      <c r="F1391" s="12" t="s">
        <v>4193</v>
      </c>
      <c r="G1391" s="12" t="str">
        <f t="shared" si="35"/>
        <v>704188002486845</v>
      </c>
      <c r="I1391" s="12">
        <v>8002486845</v>
      </c>
      <c r="J1391" s="12" t="s">
        <v>4194</v>
      </c>
      <c r="K1391" s="12" t="s">
        <v>133</v>
      </c>
      <c r="L1391" s="12">
        <v>3003865592</v>
      </c>
      <c r="M1391" s="12" t="s">
        <v>4175</v>
      </c>
      <c r="N1391" s="12" t="s">
        <v>127</v>
      </c>
      <c r="O1391" s="12" t="s">
        <v>2822</v>
      </c>
      <c r="P1391" s="88"/>
      <c r="AU1391" s="12" t="s">
        <v>53</v>
      </c>
    </row>
    <row r="1392" spans="1:52" s="12" customFormat="1" ht="14.4" hidden="1" x14ac:dyDescent="0.3">
      <c r="A1392" s="12" t="s">
        <v>39</v>
      </c>
      <c r="B1392" s="12" t="s">
        <v>4133</v>
      </c>
      <c r="C1392" s="12">
        <v>70</v>
      </c>
      <c r="D1392" s="12">
        <v>418</v>
      </c>
      <c r="E1392" s="12" t="s">
        <v>4171</v>
      </c>
      <c r="F1392" s="12" t="s">
        <v>4195</v>
      </c>
      <c r="G1392" s="12" t="str">
        <f t="shared" si="35"/>
        <v>704188002486845</v>
      </c>
      <c r="I1392" s="12">
        <v>8002486845</v>
      </c>
      <c r="J1392" s="12" t="s">
        <v>4196</v>
      </c>
      <c r="K1392" s="12" t="s">
        <v>133</v>
      </c>
      <c r="L1392" s="12">
        <v>3233015327</v>
      </c>
      <c r="M1392" s="12" t="s">
        <v>4175</v>
      </c>
      <c r="N1392" s="12" t="s">
        <v>127</v>
      </c>
      <c r="O1392" s="12" t="s">
        <v>2822</v>
      </c>
      <c r="P1392" s="88"/>
      <c r="AU1392" s="12" t="s">
        <v>53</v>
      </c>
    </row>
    <row r="1393" spans="1:52" s="12" customFormat="1" ht="14.4" hidden="1" x14ac:dyDescent="0.3">
      <c r="A1393" s="12" t="s">
        <v>39</v>
      </c>
      <c r="B1393" s="12" t="s">
        <v>4133</v>
      </c>
      <c r="C1393" s="12">
        <v>70</v>
      </c>
      <c r="D1393" s="12">
        <v>418</v>
      </c>
      <c r="E1393" s="12" t="s">
        <v>4171</v>
      </c>
      <c r="F1393" s="12" t="s">
        <v>4072</v>
      </c>
      <c r="G1393" s="12" t="str">
        <f t="shared" si="35"/>
        <v>704188002486845</v>
      </c>
      <c r="I1393" s="12">
        <v>8002486845</v>
      </c>
      <c r="J1393" s="12" t="s">
        <v>4197</v>
      </c>
      <c r="K1393" s="12" t="s">
        <v>133</v>
      </c>
      <c r="L1393" s="12">
        <v>3145189714</v>
      </c>
      <c r="M1393" s="12" t="s">
        <v>4175</v>
      </c>
      <c r="N1393" s="12" t="s">
        <v>127</v>
      </c>
      <c r="O1393" s="12" t="s">
        <v>2822</v>
      </c>
      <c r="P1393" s="88"/>
      <c r="AU1393" s="12" t="s">
        <v>53</v>
      </c>
    </row>
    <row r="1394" spans="1:52" s="12" customFormat="1" ht="14.4" hidden="1" x14ac:dyDescent="0.3">
      <c r="A1394" s="12" t="s">
        <v>39</v>
      </c>
      <c r="B1394" s="12" t="s">
        <v>4133</v>
      </c>
      <c r="C1394" s="12">
        <v>70</v>
      </c>
      <c r="D1394" s="12">
        <v>418</v>
      </c>
      <c r="E1394" s="12" t="s">
        <v>4171</v>
      </c>
      <c r="F1394" s="12" t="s">
        <v>4198</v>
      </c>
      <c r="G1394" s="12" t="str">
        <f t="shared" si="35"/>
        <v>704188002486845</v>
      </c>
      <c r="I1394" s="12">
        <v>8002486845</v>
      </c>
      <c r="J1394" s="12" t="s">
        <v>4199</v>
      </c>
      <c r="K1394" s="12" t="s">
        <v>133</v>
      </c>
      <c r="L1394" s="12">
        <v>3012797723</v>
      </c>
      <c r="M1394" s="12" t="s">
        <v>4175</v>
      </c>
      <c r="N1394" s="12" t="s">
        <v>127</v>
      </c>
      <c r="O1394" s="12" t="s">
        <v>2822</v>
      </c>
      <c r="P1394" s="88"/>
      <c r="AU1394" s="12" t="s">
        <v>53</v>
      </c>
    </row>
    <row r="1395" spans="1:52" s="12" customFormat="1" ht="14.4" hidden="1" x14ac:dyDescent="0.3">
      <c r="A1395" s="12" t="s">
        <v>39</v>
      </c>
      <c r="B1395" s="12" t="s">
        <v>4133</v>
      </c>
      <c r="C1395" s="12">
        <v>70</v>
      </c>
      <c r="D1395" s="12">
        <v>418</v>
      </c>
      <c r="E1395" s="12" t="s">
        <v>4171</v>
      </c>
      <c r="F1395" s="12" t="s">
        <v>4200</v>
      </c>
      <c r="G1395" s="12" t="str">
        <f t="shared" si="35"/>
        <v>704188002486845</v>
      </c>
      <c r="I1395" s="12">
        <v>8002486845</v>
      </c>
      <c r="J1395" s="12" t="s">
        <v>4201</v>
      </c>
      <c r="K1395" s="12" t="s">
        <v>133</v>
      </c>
      <c r="L1395" s="12">
        <v>3207796964</v>
      </c>
      <c r="M1395" s="12" t="s">
        <v>4175</v>
      </c>
      <c r="N1395" s="12" t="s">
        <v>127</v>
      </c>
      <c r="O1395" s="12" t="s">
        <v>2822</v>
      </c>
      <c r="P1395" s="88"/>
      <c r="AU1395" s="12" t="s">
        <v>53</v>
      </c>
    </row>
    <row r="1396" spans="1:52" s="12" customFormat="1" ht="14.4" hidden="1" x14ac:dyDescent="0.3">
      <c r="A1396" s="12" t="s">
        <v>39</v>
      </c>
      <c r="B1396" s="12" t="s">
        <v>4133</v>
      </c>
      <c r="C1396" s="12">
        <v>70</v>
      </c>
      <c r="D1396" s="12">
        <v>418</v>
      </c>
      <c r="E1396" s="12" t="s">
        <v>4171</v>
      </c>
      <c r="F1396" s="12" t="s">
        <v>2544</v>
      </c>
      <c r="G1396" s="12" t="str">
        <f t="shared" si="35"/>
        <v>704188002486845</v>
      </c>
      <c r="I1396" s="12">
        <v>8002486845</v>
      </c>
      <c r="J1396" s="12" t="s">
        <v>4202</v>
      </c>
      <c r="K1396" s="12" t="s">
        <v>133</v>
      </c>
      <c r="L1396" s="12">
        <v>3206822231</v>
      </c>
      <c r="M1396" s="12" t="s">
        <v>4175</v>
      </c>
      <c r="N1396" s="12" t="s">
        <v>127</v>
      </c>
      <c r="O1396" s="12" t="s">
        <v>2822</v>
      </c>
      <c r="P1396" s="88"/>
      <c r="AU1396" s="12" t="s">
        <v>53</v>
      </c>
    </row>
    <row r="1397" spans="1:52" s="12" customFormat="1" ht="14.4" hidden="1" x14ac:dyDescent="0.3">
      <c r="A1397" s="12" t="s">
        <v>39</v>
      </c>
      <c r="B1397" s="12" t="s">
        <v>4133</v>
      </c>
      <c r="C1397" s="12">
        <v>70</v>
      </c>
      <c r="D1397" s="12">
        <v>418</v>
      </c>
      <c r="E1397" s="12" t="s">
        <v>4171</v>
      </c>
      <c r="F1397" s="12" t="s">
        <v>4203</v>
      </c>
      <c r="G1397" s="12" t="str">
        <f t="shared" si="35"/>
        <v>704188002486845</v>
      </c>
      <c r="I1397" s="12">
        <v>8002486845</v>
      </c>
      <c r="J1397" s="12" t="s">
        <v>4204</v>
      </c>
      <c r="K1397" s="12" t="s">
        <v>133</v>
      </c>
      <c r="L1397" s="12">
        <v>3137097101</v>
      </c>
      <c r="M1397" s="12" t="s">
        <v>4175</v>
      </c>
      <c r="N1397" s="12" t="s">
        <v>127</v>
      </c>
      <c r="O1397" s="12" t="s">
        <v>2822</v>
      </c>
      <c r="P1397" s="88"/>
      <c r="AU1397" s="12" t="s">
        <v>53</v>
      </c>
    </row>
    <row r="1398" spans="1:52" s="12" customFormat="1" ht="14.4" hidden="1" x14ac:dyDescent="0.3">
      <c r="A1398" s="12" t="s">
        <v>39</v>
      </c>
      <c r="B1398" s="12" t="s">
        <v>4133</v>
      </c>
      <c r="C1398" s="12">
        <v>70</v>
      </c>
      <c r="D1398" s="12">
        <v>418</v>
      </c>
      <c r="E1398" s="12" t="s">
        <v>4171</v>
      </c>
      <c r="F1398" s="12" t="s">
        <v>4205</v>
      </c>
      <c r="G1398" s="12" t="str">
        <f t="shared" si="35"/>
        <v>704188002486845</v>
      </c>
      <c r="H1398" s="12" t="s">
        <v>4173</v>
      </c>
      <c r="I1398" s="12">
        <v>8002486845</v>
      </c>
      <c r="J1398" s="12" t="s">
        <v>4206</v>
      </c>
      <c r="K1398" s="12" t="s">
        <v>133</v>
      </c>
      <c r="L1398" s="12">
        <v>3137011278</v>
      </c>
      <c r="M1398" s="12" t="s">
        <v>4175</v>
      </c>
      <c r="N1398" s="12" t="s">
        <v>127</v>
      </c>
      <c r="O1398" s="12" t="s">
        <v>2822</v>
      </c>
      <c r="P1398" s="88" t="s">
        <v>48</v>
      </c>
      <c r="Q1398" s="13">
        <v>45777</v>
      </c>
      <c r="R1398" s="59" t="s">
        <v>138</v>
      </c>
      <c r="S1398" s="12" t="s">
        <v>74</v>
      </c>
      <c r="T1398" s="12" t="s">
        <v>4098</v>
      </c>
      <c r="U1398" s="12" t="s">
        <v>50</v>
      </c>
      <c r="V1398" s="13">
        <v>45443</v>
      </c>
      <c r="W1398" s="59">
        <v>0.77500000000000002</v>
      </c>
      <c r="X1398" s="12" t="s">
        <v>49</v>
      </c>
      <c r="Z1398" s="12" t="s">
        <v>60</v>
      </c>
      <c r="AA1398" s="12" t="s">
        <v>51</v>
      </c>
      <c r="AB1398" s="12" t="s">
        <v>51</v>
      </c>
      <c r="AU1398" s="12" t="s">
        <v>53</v>
      </c>
      <c r="AX1398" s="12" t="s">
        <v>51</v>
      </c>
      <c r="AY1398" s="12" t="s">
        <v>51</v>
      </c>
      <c r="AZ1398" s="12" t="s">
        <v>51</v>
      </c>
    </row>
    <row r="1399" spans="1:52" s="12" customFormat="1" ht="14.4" hidden="1" x14ac:dyDescent="0.3">
      <c r="A1399" s="12" t="s">
        <v>39</v>
      </c>
      <c r="B1399" s="12" t="s">
        <v>4133</v>
      </c>
      <c r="C1399" s="12">
        <v>70</v>
      </c>
      <c r="D1399" s="12">
        <v>418</v>
      </c>
      <c r="E1399" s="12" t="s">
        <v>4171</v>
      </c>
      <c r="F1399" s="12" t="s">
        <v>4207</v>
      </c>
      <c r="G1399" s="12" t="str">
        <f t="shared" si="35"/>
        <v>704188002486845</v>
      </c>
      <c r="I1399" s="12">
        <v>8002486845</v>
      </c>
      <c r="J1399" s="12" t="s">
        <v>4208</v>
      </c>
      <c r="K1399" s="12" t="s">
        <v>133</v>
      </c>
      <c r="L1399" s="12">
        <v>3215165259</v>
      </c>
      <c r="M1399" s="12" t="s">
        <v>4175</v>
      </c>
      <c r="N1399" s="12" t="s">
        <v>127</v>
      </c>
      <c r="O1399" s="12" t="s">
        <v>2822</v>
      </c>
      <c r="P1399" s="88"/>
      <c r="AU1399" s="12" t="s">
        <v>53</v>
      </c>
    </row>
    <row r="1400" spans="1:52" s="12" customFormat="1" ht="14.4" hidden="1" x14ac:dyDescent="0.3">
      <c r="A1400" s="12" t="s">
        <v>39</v>
      </c>
      <c r="B1400" s="12" t="s">
        <v>4133</v>
      </c>
      <c r="C1400" s="12">
        <v>70</v>
      </c>
      <c r="D1400" s="12">
        <v>418</v>
      </c>
      <c r="E1400" s="12" t="s">
        <v>4171</v>
      </c>
      <c r="F1400" s="12" t="s">
        <v>4072</v>
      </c>
      <c r="G1400" s="12" t="str">
        <f t="shared" si="35"/>
        <v>704188002486845</v>
      </c>
      <c r="I1400" s="12">
        <v>8002486845</v>
      </c>
      <c r="J1400" s="12" t="s">
        <v>4209</v>
      </c>
      <c r="K1400" s="12" t="s">
        <v>133</v>
      </c>
      <c r="L1400" s="12">
        <v>3003496983</v>
      </c>
      <c r="M1400" s="12" t="s">
        <v>4175</v>
      </c>
      <c r="N1400" s="12" t="s">
        <v>127</v>
      </c>
      <c r="O1400" s="12" t="s">
        <v>2822</v>
      </c>
      <c r="P1400" s="88"/>
      <c r="AU1400" s="12" t="s">
        <v>53</v>
      </c>
    </row>
    <row r="1401" spans="1:52" s="12" customFormat="1" ht="14.4" hidden="1" x14ac:dyDescent="0.3">
      <c r="A1401" s="12" t="s">
        <v>39</v>
      </c>
      <c r="B1401" s="12" t="s">
        <v>4133</v>
      </c>
      <c r="C1401" s="12">
        <v>70</v>
      </c>
      <c r="D1401" s="12">
        <v>418</v>
      </c>
      <c r="E1401" s="12" t="s">
        <v>4171</v>
      </c>
      <c r="F1401" s="12" t="s">
        <v>752</v>
      </c>
      <c r="G1401" s="12" t="str">
        <f t="shared" si="35"/>
        <v>704188002486845</v>
      </c>
      <c r="I1401" s="12">
        <v>8002486845</v>
      </c>
      <c r="J1401" s="12" t="s">
        <v>4210</v>
      </c>
      <c r="K1401" s="12" t="s">
        <v>133</v>
      </c>
      <c r="L1401" s="12">
        <v>3232990197</v>
      </c>
      <c r="M1401" s="12" t="s">
        <v>4175</v>
      </c>
      <c r="N1401" s="12" t="s">
        <v>127</v>
      </c>
      <c r="O1401" s="12" t="s">
        <v>2822</v>
      </c>
      <c r="P1401" s="88"/>
      <c r="AU1401" s="12" t="s">
        <v>53</v>
      </c>
    </row>
    <row r="1402" spans="1:52" s="12" customFormat="1" ht="14.4" hidden="1" x14ac:dyDescent="0.3">
      <c r="A1402" s="12" t="s">
        <v>39</v>
      </c>
      <c r="B1402" s="12" t="s">
        <v>4133</v>
      </c>
      <c r="C1402" s="12">
        <v>70</v>
      </c>
      <c r="D1402" s="12">
        <v>418</v>
      </c>
      <c r="E1402" s="12" t="s">
        <v>4171</v>
      </c>
      <c r="F1402" s="12" t="s">
        <v>4211</v>
      </c>
      <c r="G1402" s="12" t="str">
        <f t="shared" si="35"/>
        <v>704188002486845</v>
      </c>
      <c r="I1402" s="12">
        <v>8002486845</v>
      </c>
      <c r="J1402" s="12" t="s">
        <v>4212</v>
      </c>
      <c r="K1402" s="12" t="s">
        <v>133</v>
      </c>
      <c r="L1402" s="12">
        <v>3233189509</v>
      </c>
      <c r="M1402" s="12" t="s">
        <v>4175</v>
      </c>
      <c r="N1402" s="12" t="s">
        <v>127</v>
      </c>
      <c r="O1402" s="12" t="s">
        <v>2822</v>
      </c>
      <c r="P1402" s="88"/>
      <c r="AU1402" s="12" t="s">
        <v>53</v>
      </c>
    </row>
    <row r="1403" spans="1:52" s="12" customFormat="1" ht="14.4" hidden="1" x14ac:dyDescent="0.3">
      <c r="A1403" s="12" t="s">
        <v>39</v>
      </c>
      <c r="B1403" s="12" t="s">
        <v>4133</v>
      </c>
      <c r="C1403" s="12">
        <v>70</v>
      </c>
      <c r="D1403" s="12">
        <v>418</v>
      </c>
      <c r="E1403" s="12" t="s">
        <v>4171</v>
      </c>
      <c r="F1403" s="12" t="s">
        <v>4213</v>
      </c>
      <c r="G1403" s="12" t="str">
        <f t="shared" si="35"/>
        <v>704188002486845</v>
      </c>
      <c r="I1403" s="12">
        <v>8002486845</v>
      </c>
      <c r="J1403" s="12" t="s">
        <v>4214</v>
      </c>
      <c r="K1403" s="12" t="s">
        <v>133</v>
      </c>
      <c r="L1403" s="12">
        <v>3205572401</v>
      </c>
      <c r="M1403" s="12" t="s">
        <v>4175</v>
      </c>
      <c r="N1403" s="12" t="s">
        <v>127</v>
      </c>
      <c r="O1403" s="12" t="s">
        <v>2822</v>
      </c>
      <c r="P1403" s="88"/>
      <c r="AU1403" s="12" t="s">
        <v>53</v>
      </c>
    </row>
    <row r="1404" spans="1:52" s="12" customFormat="1" ht="14.4" hidden="1" x14ac:dyDescent="0.3">
      <c r="A1404" s="12" t="s">
        <v>39</v>
      </c>
      <c r="B1404" s="12" t="s">
        <v>4133</v>
      </c>
      <c r="C1404" s="12">
        <v>70</v>
      </c>
      <c r="D1404" s="12">
        <v>418</v>
      </c>
      <c r="E1404" s="12" t="s">
        <v>4171</v>
      </c>
      <c r="F1404" s="12" t="s">
        <v>4215</v>
      </c>
      <c r="G1404" s="12" t="str">
        <f t="shared" si="35"/>
        <v>704188002486845</v>
      </c>
      <c r="I1404" s="12">
        <v>8002486845</v>
      </c>
      <c r="J1404" s="12" t="s">
        <v>4216</v>
      </c>
      <c r="K1404" s="12" t="s">
        <v>230</v>
      </c>
      <c r="L1404" s="12">
        <v>3136787587</v>
      </c>
      <c r="M1404" s="12" t="s">
        <v>4175</v>
      </c>
      <c r="N1404" s="12" t="s">
        <v>127</v>
      </c>
      <c r="O1404" s="12" t="s">
        <v>2822</v>
      </c>
      <c r="P1404" s="88"/>
      <c r="AU1404" s="12" t="s">
        <v>53</v>
      </c>
    </row>
    <row r="1405" spans="1:52" s="12" customFormat="1" ht="14.4" hidden="1" x14ac:dyDescent="0.3">
      <c r="A1405" s="12" t="s">
        <v>39</v>
      </c>
      <c r="B1405" s="12" t="s">
        <v>4133</v>
      </c>
      <c r="C1405" s="12">
        <v>70</v>
      </c>
      <c r="D1405" s="12">
        <v>418</v>
      </c>
      <c r="E1405" s="12" t="s">
        <v>4171</v>
      </c>
      <c r="F1405" s="12" t="s">
        <v>4217</v>
      </c>
      <c r="G1405" s="12" t="str">
        <f t="shared" si="35"/>
        <v>704188002486845</v>
      </c>
      <c r="H1405" s="12" t="s">
        <v>4173</v>
      </c>
      <c r="I1405" s="12">
        <v>8002486845</v>
      </c>
      <c r="J1405" s="12" t="s">
        <v>4218</v>
      </c>
      <c r="K1405" s="12" t="s">
        <v>230</v>
      </c>
      <c r="L1405" s="12">
        <v>3007592573</v>
      </c>
      <c r="M1405" s="12" t="s">
        <v>4175</v>
      </c>
      <c r="N1405" s="12" t="s">
        <v>127</v>
      </c>
      <c r="O1405" s="12" t="s">
        <v>2822</v>
      </c>
      <c r="P1405" s="88" t="s">
        <v>48</v>
      </c>
      <c r="Q1405" s="13">
        <v>45790</v>
      </c>
      <c r="R1405" s="16">
        <v>0.71</v>
      </c>
      <c r="S1405" s="12" t="s">
        <v>49</v>
      </c>
      <c r="T1405" s="12" t="s">
        <v>4219</v>
      </c>
      <c r="U1405" s="12" t="s">
        <v>60</v>
      </c>
      <c r="V1405" s="13">
        <v>45428</v>
      </c>
      <c r="W1405" s="18">
        <v>0.68500000000000005</v>
      </c>
      <c r="X1405" s="12" t="s">
        <v>49</v>
      </c>
      <c r="Z1405" s="12" t="s">
        <v>60</v>
      </c>
      <c r="AA1405" s="12" t="s">
        <v>51</v>
      </c>
      <c r="AB1405" s="12" t="s">
        <v>51</v>
      </c>
      <c r="AC1405" s="13">
        <v>45247</v>
      </c>
      <c r="AD1405" s="59">
        <v>0.80500000000000005</v>
      </c>
      <c r="AE1405" s="12" t="s">
        <v>49</v>
      </c>
      <c r="AF1405" s="12" t="s">
        <v>60</v>
      </c>
      <c r="AG1405" s="12" t="s">
        <v>51</v>
      </c>
      <c r="AH1405" s="12" t="s">
        <v>51</v>
      </c>
      <c r="AU1405" s="12" t="s">
        <v>53</v>
      </c>
      <c r="AX1405" s="12" t="s">
        <v>51</v>
      </c>
      <c r="AY1405" s="12" t="s">
        <v>51</v>
      </c>
      <c r="AZ1405" s="12" t="s">
        <v>51</v>
      </c>
    </row>
    <row r="1406" spans="1:52" s="12" customFormat="1" ht="14.4" hidden="1" x14ac:dyDescent="0.3">
      <c r="A1406" s="12" t="s">
        <v>39</v>
      </c>
      <c r="B1406" s="12" t="s">
        <v>4133</v>
      </c>
      <c r="C1406" s="12">
        <v>70</v>
      </c>
      <c r="D1406" s="12">
        <v>418</v>
      </c>
      <c r="E1406" s="12" t="s">
        <v>4171</v>
      </c>
      <c r="F1406" s="12" t="s">
        <v>4220</v>
      </c>
      <c r="G1406" s="12" t="str">
        <f t="shared" si="35"/>
        <v>704188002486845</v>
      </c>
      <c r="I1406" s="12">
        <v>8002486845</v>
      </c>
      <c r="J1406" s="12" t="s">
        <v>4221</v>
      </c>
      <c r="K1406" s="12" t="s">
        <v>230</v>
      </c>
      <c r="L1406" s="12">
        <v>3006843165</v>
      </c>
      <c r="M1406" s="12" t="s">
        <v>4175</v>
      </c>
      <c r="N1406" s="12" t="s">
        <v>127</v>
      </c>
      <c r="O1406" s="12" t="s">
        <v>2822</v>
      </c>
      <c r="P1406" s="88"/>
      <c r="AU1406" s="12" t="s">
        <v>53</v>
      </c>
    </row>
    <row r="1407" spans="1:52" s="12" customFormat="1" ht="14.4" hidden="1" x14ac:dyDescent="0.3">
      <c r="A1407" s="12" t="s">
        <v>39</v>
      </c>
      <c r="B1407" s="12" t="s">
        <v>4133</v>
      </c>
      <c r="C1407" s="12">
        <v>70</v>
      </c>
      <c r="D1407" s="12">
        <v>418</v>
      </c>
      <c r="E1407" s="12" t="s">
        <v>4171</v>
      </c>
      <c r="F1407" s="12" t="s">
        <v>4222</v>
      </c>
      <c r="G1407" s="12" t="str">
        <f t="shared" si="35"/>
        <v>704188002486845</v>
      </c>
      <c r="I1407" s="12">
        <v>8002486845</v>
      </c>
      <c r="J1407" s="12" t="s">
        <v>4223</v>
      </c>
      <c r="K1407" s="12" t="s">
        <v>230</v>
      </c>
      <c r="L1407" s="12">
        <v>3014615879</v>
      </c>
      <c r="M1407" s="12" t="s">
        <v>4175</v>
      </c>
      <c r="N1407" s="12" t="s">
        <v>127</v>
      </c>
      <c r="O1407" s="12" t="s">
        <v>2822</v>
      </c>
      <c r="P1407" s="88"/>
      <c r="AU1407" s="12" t="s">
        <v>53</v>
      </c>
    </row>
    <row r="1408" spans="1:52" s="12" customFormat="1" ht="14.4" hidden="1" x14ac:dyDescent="0.3">
      <c r="A1408" s="12" t="s">
        <v>39</v>
      </c>
      <c r="B1408" s="12" t="s">
        <v>4133</v>
      </c>
      <c r="C1408" s="12">
        <v>70</v>
      </c>
      <c r="D1408" s="12">
        <v>418</v>
      </c>
      <c r="E1408" s="12" t="s">
        <v>4171</v>
      </c>
      <c r="F1408" s="12" t="s">
        <v>4224</v>
      </c>
      <c r="G1408" s="12" t="str">
        <f t="shared" si="35"/>
        <v>704188002486845</v>
      </c>
      <c r="H1408" s="12" t="s">
        <v>4173</v>
      </c>
      <c r="I1408" s="12">
        <v>8002486845</v>
      </c>
      <c r="J1408" s="12" t="s">
        <v>4225</v>
      </c>
      <c r="K1408" s="12" t="s">
        <v>133</v>
      </c>
      <c r="L1408" s="12">
        <v>3017613870</v>
      </c>
      <c r="M1408" s="12" t="s">
        <v>4175</v>
      </c>
      <c r="N1408" s="12" t="s">
        <v>127</v>
      </c>
      <c r="O1408" s="12" t="s">
        <v>2822</v>
      </c>
      <c r="P1408" s="88" t="s">
        <v>48</v>
      </c>
      <c r="Q1408" s="13">
        <v>45888</v>
      </c>
      <c r="R1408" s="12" t="s">
        <v>167</v>
      </c>
      <c r="S1408" s="12" t="s">
        <v>2441</v>
      </c>
      <c r="T1408" s="12" t="s">
        <v>4219</v>
      </c>
      <c r="U1408" s="12" t="s">
        <v>60</v>
      </c>
      <c r="V1408" s="13">
        <v>45551</v>
      </c>
      <c r="W1408" s="16">
        <v>0.68</v>
      </c>
      <c r="X1408" s="12" t="s">
        <v>49</v>
      </c>
      <c r="Z1408" s="12" t="s">
        <v>60</v>
      </c>
      <c r="AA1408" s="12" t="s">
        <v>51</v>
      </c>
      <c r="AB1408" s="12" t="s">
        <v>51</v>
      </c>
      <c r="AU1408" s="12" t="s">
        <v>53</v>
      </c>
      <c r="AX1408" s="12" t="s">
        <v>51</v>
      </c>
      <c r="AY1408" s="12" t="s">
        <v>51</v>
      </c>
      <c r="AZ1408" s="12" t="s">
        <v>51</v>
      </c>
    </row>
    <row r="1409" spans="1:47" s="12" customFormat="1" ht="14.4" hidden="1" x14ac:dyDescent="0.3">
      <c r="A1409" s="12" t="s">
        <v>39</v>
      </c>
      <c r="B1409" s="12" t="s">
        <v>4133</v>
      </c>
      <c r="C1409" s="12">
        <v>70</v>
      </c>
      <c r="D1409" s="12">
        <v>418</v>
      </c>
      <c r="E1409" s="12" t="s">
        <v>4171</v>
      </c>
      <c r="F1409" s="12" t="s">
        <v>4226</v>
      </c>
      <c r="G1409" s="12" t="str">
        <f t="shared" si="35"/>
        <v>704188002486845</v>
      </c>
      <c r="I1409" s="12">
        <v>8002486845</v>
      </c>
      <c r="J1409" s="12" t="s">
        <v>4227</v>
      </c>
      <c r="K1409" s="12" t="s">
        <v>230</v>
      </c>
      <c r="L1409" s="12">
        <v>3007425331</v>
      </c>
      <c r="M1409" s="12" t="s">
        <v>4175</v>
      </c>
      <c r="N1409" s="12" t="s">
        <v>127</v>
      </c>
      <c r="O1409" s="12" t="s">
        <v>2822</v>
      </c>
      <c r="P1409" s="88"/>
      <c r="AU1409" s="12" t="s">
        <v>53</v>
      </c>
    </row>
    <row r="1410" spans="1:47" s="12" customFormat="1" ht="14.4" hidden="1" x14ac:dyDescent="0.3">
      <c r="A1410" s="12" t="s">
        <v>39</v>
      </c>
      <c r="B1410" s="12" t="s">
        <v>4133</v>
      </c>
      <c r="C1410" s="12">
        <v>70</v>
      </c>
      <c r="D1410" s="12">
        <v>418</v>
      </c>
      <c r="E1410" s="12" t="s">
        <v>4171</v>
      </c>
      <c r="F1410" s="12" t="s">
        <v>4228</v>
      </c>
      <c r="G1410" s="12" t="str">
        <f t="shared" si="35"/>
        <v>704188002486845</v>
      </c>
      <c r="I1410" s="12">
        <v>8002486845</v>
      </c>
      <c r="J1410" s="12" t="s">
        <v>4229</v>
      </c>
      <c r="K1410" s="12" t="s">
        <v>230</v>
      </c>
      <c r="L1410" s="12">
        <v>3206529046</v>
      </c>
      <c r="M1410" s="12" t="s">
        <v>4175</v>
      </c>
      <c r="N1410" s="12" t="s">
        <v>127</v>
      </c>
      <c r="O1410" s="12" t="s">
        <v>2822</v>
      </c>
      <c r="P1410" s="88"/>
      <c r="AU1410" s="12" t="s">
        <v>53</v>
      </c>
    </row>
    <row r="1411" spans="1:47" s="12" customFormat="1" ht="14.4" hidden="1" x14ac:dyDescent="0.3">
      <c r="A1411" s="12" t="s">
        <v>39</v>
      </c>
      <c r="B1411" s="12" t="s">
        <v>4133</v>
      </c>
      <c r="C1411" s="12">
        <v>70</v>
      </c>
      <c r="D1411" s="12">
        <v>418</v>
      </c>
      <c r="E1411" s="12" t="s">
        <v>4171</v>
      </c>
      <c r="F1411" s="12" t="s">
        <v>4230</v>
      </c>
      <c r="G1411" s="12" t="str">
        <f t="shared" si="35"/>
        <v>704188002486845</v>
      </c>
      <c r="I1411" s="12">
        <v>8002486845</v>
      </c>
      <c r="J1411" s="12" t="s">
        <v>4231</v>
      </c>
      <c r="K1411" s="12" t="s">
        <v>4232</v>
      </c>
      <c r="L1411" s="12">
        <v>3015217614</v>
      </c>
      <c r="M1411" s="12" t="s">
        <v>4175</v>
      </c>
      <c r="N1411" s="12" t="s">
        <v>127</v>
      </c>
      <c r="O1411" s="12" t="s">
        <v>2822</v>
      </c>
      <c r="P1411" s="88"/>
      <c r="AU1411" s="12" t="s">
        <v>53</v>
      </c>
    </row>
    <row r="1412" spans="1:47" s="12" customFormat="1" ht="14.4" hidden="1" x14ac:dyDescent="0.3">
      <c r="A1412" s="12" t="s">
        <v>39</v>
      </c>
      <c r="B1412" s="12" t="s">
        <v>4133</v>
      </c>
      <c r="C1412" s="12">
        <v>70</v>
      </c>
      <c r="D1412" s="12">
        <v>418</v>
      </c>
      <c r="E1412" s="12" t="s">
        <v>4171</v>
      </c>
      <c r="F1412" s="12" t="s">
        <v>4233</v>
      </c>
      <c r="G1412" s="12" t="str">
        <f t="shared" si="35"/>
        <v>704188002486845</v>
      </c>
      <c r="I1412" s="12">
        <v>8002486845</v>
      </c>
      <c r="J1412" s="12" t="s">
        <v>4234</v>
      </c>
      <c r="K1412" s="12" t="s">
        <v>230</v>
      </c>
      <c r="L1412" s="12">
        <v>3226707706</v>
      </c>
      <c r="M1412" s="12" t="s">
        <v>4175</v>
      </c>
      <c r="N1412" s="12" t="s">
        <v>127</v>
      </c>
      <c r="O1412" s="12" t="s">
        <v>2822</v>
      </c>
      <c r="P1412" s="88"/>
      <c r="AU1412" s="12" t="s">
        <v>53</v>
      </c>
    </row>
    <row r="1413" spans="1:47" s="12" customFormat="1" ht="14.4" hidden="1" x14ac:dyDescent="0.3">
      <c r="A1413" s="12" t="s">
        <v>39</v>
      </c>
      <c r="B1413" s="12" t="s">
        <v>4133</v>
      </c>
      <c r="C1413" s="12">
        <v>70</v>
      </c>
      <c r="D1413" s="12">
        <v>418</v>
      </c>
      <c r="E1413" s="12" t="s">
        <v>4171</v>
      </c>
      <c r="F1413" s="12" t="s">
        <v>4235</v>
      </c>
      <c r="G1413" s="12" t="str">
        <f t="shared" si="35"/>
        <v>704188002486845</v>
      </c>
      <c r="I1413" s="12">
        <v>8002486845</v>
      </c>
      <c r="J1413" s="12" t="s">
        <v>4236</v>
      </c>
      <c r="K1413" s="12" t="s">
        <v>230</v>
      </c>
      <c r="L1413" s="12">
        <v>3103562494</v>
      </c>
      <c r="M1413" s="12" t="s">
        <v>4175</v>
      </c>
      <c r="N1413" s="12" t="s">
        <v>127</v>
      </c>
      <c r="O1413" s="12" t="s">
        <v>2822</v>
      </c>
      <c r="P1413" s="88"/>
      <c r="AU1413" s="12" t="s">
        <v>53</v>
      </c>
    </row>
    <row r="1414" spans="1:47" s="12" customFormat="1" ht="14.4" hidden="1" x14ac:dyDescent="0.3">
      <c r="A1414" s="12" t="s">
        <v>39</v>
      </c>
      <c r="B1414" s="12" t="s">
        <v>4133</v>
      </c>
      <c r="C1414" s="12">
        <v>70</v>
      </c>
      <c r="D1414" s="12">
        <v>418</v>
      </c>
      <c r="E1414" s="12" t="s">
        <v>4171</v>
      </c>
      <c r="F1414" s="12" t="s">
        <v>4237</v>
      </c>
      <c r="G1414" s="12" t="str">
        <f t="shared" si="35"/>
        <v>704188002486845</v>
      </c>
      <c r="I1414" s="12">
        <v>8002486845</v>
      </c>
      <c r="J1414" s="12" t="s">
        <v>4238</v>
      </c>
      <c r="K1414" s="12" t="s">
        <v>230</v>
      </c>
      <c r="L1414" s="12">
        <v>3024667940</v>
      </c>
      <c r="M1414" s="12" t="s">
        <v>4175</v>
      </c>
      <c r="N1414" s="12" t="s">
        <v>127</v>
      </c>
      <c r="O1414" s="12" t="s">
        <v>2822</v>
      </c>
      <c r="P1414" s="88"/>
      <c r="AU1414" s="12" t="s">
        <v>53</v>
      </c>
    </row>
    <row r="1415" spans="1:47" s="12" customFormat="1" ht="14.4" hidden="1" x14ac:dyDescent="0.3">
      <c r="A1415" s="12" t="s">
        <v>39</v>
      </c>
      <c r="B1415" s="12" t="s">
        <v>4133</v>
      </c>
      <c r="C1415" s="12">
        <v>70</v>
      </c>
      <c r="D1415" s="12">
        <v>418</v>
      </c>
      <c r="E1415" s="12" t="s">
        <v>4239</v>
      </c>
      <c r="F1415" s="12" t="s">
        <v>4070</v>
      </c>
      <c r="G1415" s="12" t="str">
        <f t="shared" si="35"/>
        <v>704188230030966</v>
      </c>
      <c r="I1415" s="12">
        <v>8230030966</v>
      </c>
      <c r="J1415" s="12" t="s">
        <v>4240</v>
      </c>
      <c r="K1415" s="12" t="s">
        <v>192</v>
      </c>
      <c r="L1415" s="12">
        <v>3116593638</v>
      </c>
      <c r="M1415" s="12" t="s">
        <v>4241</v>
      </c>
      <c r="N1415" s="12" t="s">
        <v>127</v>
      </c>
      <c r="O1415" s="12" t="s">
        <v>2822</v>
      </c>
      <c r="P1415" s="88"/>
      <c r="AU1415" s="12" t="s">
        <v>53</v>
      </c>
    </row>
    <row r="1416" spans="1:47" s="12" customFormat="1" ht="14.4" hidden="1" x14ac:dyDescent="0.3">
      <c r="A1416" s="12" t="s">
        <v>39</v>
      </c>
      <c r="B1416" s="12" t="s">
        <v>4133</v>
      </c>
      <c r="C1416" s="12">
        <v>70</v>
      </c>
      <c r="D1416" s="12">
        <v>418</v>
      </c>
      <c r="E1416" s="12" t="s">
        <v>4239</v>
      </c>
      <c r="F1416" s="12" t="s">
        <v>4242</v>
      </c>
      <c r="G1416" s="12" t="str">
        <f t="shared" si="35"/>
        <v>704188230030966</v>
      </c>
      <c r="I1416" s="12">
        <v>8230030966</v>
      </c>
      <c r="J1416" s="12" t="s">
        <v>4243</v>
      </c>
      <c r="K1416" s="12" t="s">
        <v>133</v>
      </c>
      <c r="L1416" s="12">
        <v>3214390806</v>
      </c>
      <c r="M1416" s="12" t="s">
        <v>4241</v>
      </c>
      <c r="N1416" s="12" t="s">
        <v>127</v>
      </c>
      <c r="O1416" s="12" t="s">
        <v>2822</v>
      </c>
      <c r="P1416" s="88"/>
      <c r="AU1416" s="12" t="s">
        <v>53</v>
      </c>
    </row>
    <row r="1417" spans="1:47" s="12" customFormat="1" ht="14.4" hidden="1" x14ac:dyDescent="0.3">
      <c r="A1417" s="12" t="s">
        <v>39</v>
      </c>
      <c r="B1417" s="12" t="s">
        <v>4133</v>
      </c>
      <c r="C1417" s="12">
        <v>70</v>
      </c>
      <c r="D1417" s="12">
        <v>418</v>
      </c>
      <c r="E1417" s="12" t="s">
        <v>4239</v>
      </c>
      <c r="F1417" s="12" t="s">
        <v>4244</v>
      </c>
      <c r="G1417" s="12" t="str">
        <f t="shared" si="35"/>
        <v>704188230030966</v>
      </c>
      <c r="I1417" s="12">
        <v>8230030966</v>
      </c>
      <c r="J1417" s="12" t="s">
        <v>4245</v>
      </c>
      <c r="K1417" s="12" t="s">
        <v>230</v>
      </c>
      <c r="L1417" s="12">
        <v>3233133346</v>
      </c>
      <c r="M1417" s="12" t="s">
        <v>4241</v>
      </c>
      <c r="N1417" s="12" t="s">
        <v>127</v>
      </c>
      <c r="O1417" s="12" t="s">
        <v>2822</v>
      </c>
      <c r="P1417" s="88"/>
      <c r="AU1417" s="12" t="s">
        <v>53</v>
      </c>
    </row>
    <row r="1418" spans="1:47" s="12" customFormat="1" ht="14.4" hidden="1" x14ac:dyDescent="0.3">
      <c r="A1418" s="12" t="s">
        <v>39</v>
      </c>
      <c r="B1418" s="12" t="s">
        <v>4133</v>
      </c>
      <c r="C1418" s="12">
        <v>70</v>
      </c>
      <c r="D1418" s="12">
        <v>418</v>
      </c>
      <c r="E1418" s="12" t="s">
        <v>4239</v>
      </c>
      <c r="F1418" s="12" t="s">
        <v>4246</v>
      </c>
      <c r="G1418" s="12" t="str">
        <f t="shared" si="35"/>
        <v>704188230030966</v>
      </c>
      <c r="I1418" s="12">
        <v>8230030966</v>
      </c>
      <c r="J1418" s="12" t="s">
        <v>4247</v>
      </c>
      <c r="K1418" s="12" t="s">
        <v>133</v>
      </c>
      <c r="L1418" s="12">
        <v>3005150537</v>
      </c>
      <c r="M1418" s="12" t="s">
        <v>4241</v>
      </c>
      <c r="N1418" s="12" t="s">
        <v>127</v>
      </c>
      <c r="O1418" s="12" t="s">
        <v>2822</v>
      </c>
      <c r="P1418" s="88"/>
      <c r="AU1418" s="12" t="s">
        <v>53</v>
      </c>
    </row>
    <row r="1419" spans="1:47" s="12" customFormat="1" ht="14.4" hidden="1" x14ac:dyDescent="0.3">
      <c r="A1419" s="12" t="s">
        <v>39</v>
      </c>
      <c r="B1419" s="12" t="s">
        <v>4133</v>
      </c>
      <c r="C1419" s="12">
        <v>70</v>
      </c>
      <c r="D1419" s="12">
        <v>418</v>
      </c>
      <c r="E1419" s="12" t="s">
        <v>4239</v>
      </c>
      <c r="F1419" s="12" t="s">
        <v>4176</v>
      </c>
      <c r="G1419" s="12" t="str">
        <f t="shared" si="35"/>
        <v>704188230030966</v>
      </c>
      <c r="H1419" s="12" t="s">
        <v>4173</v>
      </c>
      <c r="I1419" s="12">
        <v>8230030966</v>
      </c>
      <c r="J1419" s="12" t="s">
        <v>4248</v>
      </c>
      <c r="K1419" s="12" t="s">
        <v>230</v>
      </c>
      <c r="L1419" s="12">
        <v>3008073244</v>
      </c>
      <c r="M1419" s="12" t="s">
        <v>4241</v>
      </c>
      <c r="N1419" s="12" t="s">
        <v>127</v>
      </c>
      <c r="O1419" s="12" t="s">
        <v>2822</v>
      </c>
      <c r="P1419" s="88"/>
      <c r="AU1419" s="12" t="s">
        <v>53</v>
      </c>
    </row>
    <row r="1420" spans="1:47" s="12" customFormat="1" ht="14.4" hidden="1" x14ac:dyDescent="0.3">
      <c r="A1420" s="12" t="s">
        <v>39</v>
      </c>
      <c r="B1420" s="12" t="s">
        <v>4133</v>
      </c>
      <c r="C1420" s="12">
        <v>70</v>
      </c>
      <c r="D1420" s="12">
        <v>418</v>
      </c>
      <c r="E1420" s="12" t="s">
        <v>4239</v>
      </c>
      <c r="F1420" s="12" t="s">
        <v>4249</v>
      </c>
      <c r="G1420" s="12" t="str">
        <f t="shared" ref="G1420:G1485" si="36">C1420&amp;D1420&amp;I1420</f>
        <v>704188230030966</v>
      </c>
      <c r="I1420" s="12">
        <v>8230030966</v>
      </c>
      <c r="J1420" s="12" t="s">
        <v>4250</v>
      </c>
      <c r="K1420" s="12" t="s">
        <v>230</v>
      </c>
      <c r="L1420" s="12">
        <v>3147255237</v>
      </c>
      <c r="M1420" s="12" t="s">
        <v>4241</v>
      </c>
      <c r="N1420" s="12" t="s">
        <v>127</v>
      </c>
      <c r="O1420" s="12" t="s">
        <v>2822</v>
      </c>
      <c r="P1420" s="88"/>
      <c r="AU1420" s="12" t="s">
        <v>53</v>
      </c>
    </row>
    <row r="1421" spans="1:47" s="12" customFormat="1" ht="14.4" hidden="1" x14ac:dyDescent="0.3">
      <c r="A1421" s="12" t="s">
        <v>39</v>
      </c>
      <c r="B1421" s="12" t="s">
        <v>4133</v>
      </c>
      <c r="C1421" s="12">
        <v>70</v>
      </c>
      <c r="D1421" s="12">
        <v>418</v>
      </c>
      <c r="E1421" s="12" t="s">
        <v>4239</v>
      </c>
      <c r="F1421" s="12" t="s">
        <v>4176</v>
      </c>
      <c r="G1421" s="12" t="str">
        <f t="shared" si="36"/>
        <v>704188230030966</v>
      </c>
      <c r="I1421" s="12">
        <v>8230030966</v>
      </c>
      <c r="J1421" s="12" t="s">
        <v>4251</v>
      </c>
      <c r="K1421" s="12" t="s">
        <v>133</v>
      </c>
      <c r="L1421" s="12">
        <v>3146650585</v>
      </c>
      <c r="M1421" s="12" t="s">
        <v>4241</v>
      </c>
      <c r="N1421" s="12" t="s">
        <v>127</v>
      </c>
      <c r="O1421" s="12" t="s">
        <v>2822</v>
      </c>
      <c r="P1421" s="88"/>
      <c r="AU1421" s="12" t="s">
        <v>53</v>
      </c>
    </row>
    <row r="1422" spans="1:47" s="12" customFormat="1" ht="14.4" hidden="1" x14ac:dyDescent="0.3">
      <c r="A1422" s="12" t="s">
        <v>39</v>
      </c>
      <c r="B1422" s="12" t="s">
        <v>4133</v>
      </c>
      <c r="C1422" s="12">
        <v>70</v>
      </c>
      <c r="D1422" s="12">
        <v>418</v>
      </c>
      <c r="E1422" s="12" t="s">
        <v>4239</v>
      </c>
      <c r="F1422" s="12" t="s">
        <v>4252</v>
      </c>
      <c r="G1422" s="12" t="str">
        <f t="shared" si="36"/>
        <v>704188230030966</v>
      </c>
      <c r="I1422" s="12">
        <v>8230030966</v>
      </c>
      <c r="J1422" s="12" t="s">
        <v>4253</v>
      </c>
      <c r="K1422" s="12" t="s">
        <v>133</v>
      </c>
      <c r="L1422" s="12">
        <v>3135546841</v>
      </c>
      <c r="M1422" s="12" t="s">
        <v>4241</v>
      </c>
      <c r="N1422" s="12" t="s">
        <v>127</v>
      </c>
      <c r="O1422" s="12" t="s">
        <v>2822</v>
      </c>
      <c r="P1422" s="88"/>
      <c r="AU1422" s="12" t="s">
        <v>53</v>
      </c>
    </row>
    <row r="1423" spans="1:47" s="12" customFormat="1" ht="14.4" hidden="1" x14ac:dyDescent="0.3">
      <c r="A1423" s="12" t="s">
        <v>39</v>
      </c>
      <c r="B1423" s="12" t="s">
        <v>4133</v>
      </c>
      <c r="C1423" s="12">
        <v>70</v>
      </c>
      <c r="D1423" s="12">
        <v>418</v>
      </c>
      <c r="E1423" s="12" t="s">
        <v>4239</v>
      </c>
      <c r="F1423" s="12" t="s">
        <v>4254</v>
      </c>
      <c r="G1423" s="12" t="str">
        <f t="shared" si="36"/>
        <v>704188230030966</v>
      </c>
      <c r="I1423" s="12">
        <v>8230030966</v>
      </c>
      <c r="J1423" s="12" t="s">
        <v>4255</v>
      </c>
      <c r="K1423" s="12" t="s">
        <v>133</v>
      </c>
      <c r="L1423" s="12">
        <v>3014964213</v>
      </c>
      <c r="M1423" s="12" t="s">
        <v>4241</v>
      </c>
      <c r="N1423" s="12" t="s">
        <v>127</v>
      </c>
      <c r="O1423" s="12" t="s">
        <v>2822</v>
      </c>
      <c r="P1423" s="88"/>
      <c r="AU1423" s="12" t="s">
        <v>53</v>
      </c>
    </row>
    <row r="1424" spans="1:47" s="12" customFormat="1" ht="14.4" hidden="1" x14ac:dyDescent="0.3">
      <c r="A1424" s="12" t="s">
        <v>39</v>
      </c>
      <c r="B1424" s="12" t="s">
        <v>4133</v>
      </c>
      <c r="C1424" s="12">
        <v>70</v>
      </c>
      <c r="D1424" s="12">
        <v>418</v>
      </c>
      <c r="E1424" s="12" t="s">
        <v>4239</v>
      </c>
      <c r="F1424" s="12" t="s">
        <v>1712</v>
      </c>
      <c r="G1424" s="12" t="str">
        <f t="shared" si="36"/>
        <v>704188230030966</v>
      </c>
      <c r="I1424" s="12">
        <v>8230030966</v>
      </c>
      <c r="J1424" s="12" t="s">
        <v>4256</v>
      </c>
      <c r="K1424" s="12" t="s">
        <v>230</v>
      </c>
      <c r="L1424" s="12">
        <v>3213239323</v>
      </c>
      <c r="M1424" s="12" t="s">
        <v>4241</v>
      </c>
      <c r="N1424" s="12" t="s">
        <v>127</v>
      </c>
      <c r="O1424" s="12" t="s">
        <v>2822</v>
      </c>
      <c r="P1424" s="88"/>
      <c r="AU1424" s="12" t="s">
        <v>53</v>
      </c>
    </row>
    <row r="1425" spans="1:52" s="12" customFormat="1" ht="14.4" hidden="1" x14ac:dyDescent="0.3">
      <c r="A1425" s="12" t="s">
        <v>39</v>
      </c>
      <c r="B1425" s="12" t="s">
        <v>4133</v>
      </c>
      <c r="C1425" s="12">
        <v>70</v>
      </c>
      <c r="D1425" s="12">
        <v>418</v>
      </c>
      <c r="E1425" s="12" t="s">
        <v>4239</v>
      </c>
      <c r="F1425" s="12" t="s">
        <v>4257</v>
      </c>
      <c r="G1425" s="12" t="str">
        <f t="shared" si="36"/>
        <v>704188230030966</v>
      </c>
      <c r="I1425" s="12">
        <v>8230030966</v>
      </c>
      <c r="J1425" s="12" t="s">
        <v>4258</v>
      </c>
      <c r="K1425" s="12" t="s">
        <v>133</v>
      </c>
      <c r="L1425" s="12" t="s">
        <v>4259</v>
      </c>
      <c r="M1425" s="12" t="s">
        <v>4241</v>
      </c>
      <c r="N1425" s="12" t="s">
        <v>127</v>
      </c>
      <c r="O1425" s="12" t="s">
        <v>2822</v>
      </c>
      <c r="P1425" s="88"/>
      <c r="AU1425" s="12" t="s">
        <v>53</v>
      </c>
    </row>
    <row r="1426" spans="1:52" s="12" customFormat="1" ht="14.4" hidden="1" x14ac:dyDescent="0.3">
      <c r="A1426" s="12" t="s">
        <v>39</v>
      </c>
      <c r="B1426" s="12" t="s">
        <v>4133</v>
      </c>
      <c r="C1426" s="12">
        <v>70</v>
      </c>
      <c r="D1426" s="12">
        <v>418</v>
      </c>
      <c r="E1426" s="12" t="s">
        <v>4239</v>
      </c>
      <c r="F1426" s="12" t="s">
        <v>4176</v>
      </c>
      <c r="G1426" s="12" t="str">
        <f t="shared" si="36"/>
        <v>704188230030966</v>
      </c>
      <c r="I1426" s="12">
        <v>8230030966</v>
      </c>
      <c r="J1426" s="12" t="s">
        <v>4260</v>
      </c>
      <c r="K1426" s="12" t="s">
        <v>133</v>
      </c>
      <c r="L1426" s="12" t="s">
        <v>4261</v>
      </c>
      <c r="M1426" s="12" t="s">
        <v>4241</v>
      </c>
      <c r="N1426" s="12" t="s">
        <v>127</v>
      </c>
      <c r="O1426" s="12" t="s">
        <v>2822</v>
      </c>
      <c r="P1426" s="88"/>
      <c r="AU1426" s="12" t="s">
        <v>53</v>
      </c>
    </row>
    <row r="1427" spans="1:52" s="12" customFormat="1" ht="14.4" hidden="1" x14ac:dyDescent="0.3">
      <c r="A1427" s="12" t="s">
        <v>39</v>
      </c>
      <c r="B1427" s="12" t="s">
        <v>4133</v>
      </c>
      <c r="C1427" s="12">
        <v>70</v>
      </c>
      <c r="D1427" s="12">
        <v>418</v>
      </c>
      <c r="E1427" s="12" t="s">
        <v>4239</v>
      </c>
      <c r="F1427" s="12" t="s">
        <v>4262</v>
      </c>
      <c r="G1427" s="12" t="str">
        <f t="shared" si="36"/>
        <v>704188230030966</v>
      </c>
      <c r="I1427" s="12">
        <v>8230030966</v>
      </c>
      <c r="J1427" s="12" t="s">
        <v>4263</v>
      </c>
      <c r="K1427" s="12" t="s">
        <v>133</v>
      </c>
      <c r="L1427" s="12">
        <v>3008073244</v>
      </c>
      <c r="M1427" s="12" t="s">
        <v>4241</v>
      </c>
      <c r="N1427" s="12" t="s">
        <v>127</v>
      </c>
      <c r="O1427" s="12" t="s">
        <v>2822</v>
      </c>
      <c r="P1427" s="88" t="s">
        <v>48</v>
      </c>
      <c r="V1427" s="13">
        <v>45429</v>
      </c>
      <c r="W1427" s="12" t="s">
        <v>4108</v>
      </c>
      <c r="X1427" s="12" t="s">
        <v>49</v>
      </c>
      <c r="Z1427" s="12" t="s">
        <v>60</v>
      </c>
      <c r="AA1427" s="12" t="s">
        <v>51</v>
      </c>
      <c r="AB1427" s="12" t="s">
        <v>51</v>
      </c>
      <c r="AC1427" s="13">
        <v>45240</v>
      </c>
      <c r="AD1427" s="59">
        <v>0.76500000000000001</v>
      </c>
      <c r="AE1427" s="12" t="s">
        <v>49</v>
      </c>
      <c r="AF1427" s="12" t="s">
        <v>60</v>
      </c>
      <c r="AG1427" s="12" t="s">
        <v>51</v>
      </c>
      <c r="AH1427" s="12" t="s">
        <v>51</v>
      </c>
      <c r="AU1427" s="12" t="s">
        <v>53</v>
      </c>
      <c r="AX1427" s="12" t="s">
        <v>51</v>
      </c>
      <c r="AY1427" s="12" t="s">
        <v>51</v>
      </c>
      <c r="AZ1427" s="12" t="s">
        <v>51</v>
      </c>
    </row>
    <row r="1428" spans="1:52" s="12" customFormat="1" ht="14.4" hidden="1" x14ac:dyDescent="0.3">
      <c r="A1428" s="12" t="s">
        <v>39</v>
      </c>
      <c r="B1428" s="12" t="s">
        <v>4133</v>
      </c>
      <c r="C1428" s="12">
        <v>70</v>
      </c>
      <c r="D1428" s="12">
        <v>418</v>
      </c>
      <c r="E1428" s="12" t="s">
        <v>4239</v>
      </c>
      <c r="F1428" s="12" t="s">
        <v>4215</v>
      </c>
      <c r="G1428" s="12" t="str">
        <f t="shared" si="36"/>
        <v>704188230030966</v>
      </c>
      <c r="I1428" s="12">
        <v>8230030966</v>
      </c>
      <c r="J1428" s="12" t="s">
        <v>4264</v>
      </c>
      <c r="K1428" s="12" t="s">
        <v>133</v>
      </c>
      <c r="L1428" s="12">
        <v>3011141834</v>
      </c>
      <c r="M1428" s="12" t="s">
        <v>4241</v>
      </c>
      <c r="N1428" s="12" t="s">
        <v>127</v>
      </c>
      <c r="O1428" s="12" t="s">
        <v>2822</v>
      </c>
      <c r="P1428" s="88"/>
      <c r="AU1428" s="12" t="s">
        <v>53</v>
      </c>
    </row>
    <row r="1429" spans="1:52" s="12" customFormat="1" ht="14.4" hidden="1" x14ac:dyDescent="0.3">
      <c r="A1429" s="12" t="s">
        <v>39</v>
      </c>
      <c r="B1429" s="12" t="s">
        <v>4133</v>
      </c>
      <c r="C1429" s="12">
        <v>70</v>
      </c>
      <c r="D1429" s="12">
        <v>418</v>
      </c>
      <c r="E1429" s="12" t="s">
        <v>4239</v>
      </c>
      <c r="F1429" s="12" t="s">
        <v>4265</v>
      </c>
      <c r="G1429" s="12" t="str">
        <f t="shared" si="36"/>
        <v>704188230030966</v>
      </c>
      <c r="I1429" s="12">
        <v>8230030966</v>
      </c>
      <c r="J1429" s="12" t="s">
        <v>4266</v>
      </c>
      <c r="K1429" s="12" t="s">
        <v>230</v>
      </c>
      <c r="L1429" s="12">
        <v>3225687406</v>
      </c>
      <c r="M1429" s="12" t="s">
        <v>4241</v>
      </c>
      <c r="N1429" s="12" t="s">
        <v>127</v>
      </c>
      <c r="O1429" s="12" t="s">
        <v>2822</v>
      </c>
      <c r="P1429" s="88"/>
      <c r="AU1429" s="12" t="s">
        <v>53</v>
      </c>
    </row>
    <row r="1430" spans="1:52" s="12" customFormat="1" ht="14.4" hidden="1" x14ac:dyDescent="0.3">
      <c r="A1430" s="12" t="s">
        <v>39</v>
      </c>
      <c r="B1430" s="12" t="s">
        <v>4133</v>
      </c>
      <c r="C1430" s="12">
        <v>70</v>
      </c>
      <c r="D1430" s="12">
        <v>418</v>
      </c>
      <c r="E1430" s="12" t="s">
        <v>4239</v>
      </c>
      <c r="F1430" s="12" t="s">
        <v>4267</v>
      </c>
      <c r="G1430" s="12" t="str">
        <f t="shared" si="36"/>
        <v>704188230030966</v>
      </c>
      <c r="I1430" s="12">
        <v>8230030966</v>
      </c>
      <c r="J1430" s="12" t="s">
        <v>4268</v>
      </c>
      <c r="K1430" s="12" t="s">
        <v>230</v>
      </c>
      <c r="L1430" s="12" t="s">
        <v>4269</v>
      </c>
      <c r="M1430" s="12" t="s">
        <v>4241</v>
      </c>
      <c r="N1430" s="12" t="s">
        <v>127</v>
      </c>
      <c r="O1430" s="12" t="s">
        <v>2822</v>
      </c>
      <c r="P1430" s="88"/>
      <c r="AU1430" s="12" t="s">
        <v>53</v>
      </c>
    </row>
    <row r="1431" spans="1:52" s="12" customFormat="1" ht="14.4" hidden="1" x14ac:dyDescent="0.3">
      <c r="A1431" s="12" t="s">
        <v>39</v>
      </c>
      <c r="B1431" s="12" t="s">
        <v>4133</v>
      </c>
      <c r="C1431" s="12">
        <v>70</v>
      </c>
      <c r="D1431" s="12">
        <v>418</v>
      </c>
      <c r="E1431" s="12" t="s">
        <v>4171</v>
      </c>
      <c r="F1431" s="12" t="s">
        <v>4270</v>
      </c>
      <c r="G1431" s="12" t="str">
        <f t="shared" si="36"/>
        <v>704188002486485</v>
      </c>
      <c r="H1431" s="12" t="s">
        <v>4173</v>
      </c>
      <c r="I1431" s="12">
        <v>8002486485</v>
      </c>
      <c r="J1431" s="12" t="s">
        <v>4271</v>
      </c>
      <c r="K1431" s="12" t="s">
        <v>230</v>
      </c>
      <c r="L1431" s="12">
        <v>3108892649</v>
      </c>
      <c r="M1431" s="12" t="s">
        <v>4175</v>
      </c>
      <c r="N1431" s="12" t="s">
        <v>127</v>
      </c>
      <c r="O1431" s="12" t="s">
        <v>2822</v>
      </c>
      <c r="P1431" s="88" t="s">
        <v>48</v>
      </c>
      <c r="Q1431" s="13">
        <v>45820</v>
      </c>
      <c r="R1431" s="12" t="s">
        <v>4272</v>
      </c>
      <c r="S1431" s="12" t="s">
        <v>49</v>
      </c>
      <c r="T1431" s="12" t="s">
        <v>4098</v>
      </c>
      <c r="U1431" s="12" t="s">
        <v>60</v>
      </c>
      <c r="AA1431" s="12" t="s">
        <v>51</v>
      </c>
      <c r="AB1431" s="12" t="s">
        <v>51</v>
      </c>
      <c r="AU1431" s="12" t="s">
        <v>53</v>
      </c>
      <c r="AX1431" s="12" t="s">
        <v>51</v>
      </c>
      <c r="AY1431" s="12" t="s">
        <v>51</v>
      </c>
      <c r="AZ1431" s="12" t="s">
        <v>51</v>
      </c>
    </row>
    <row r="1432" spans="1:52" s="12" customFormat="1" ht="14.4" hidden="1" x14ac:dyDescent="0.3">
      <c r="A1432" s="12" t="s">
        <v>39</v>
      </c>
      <c r="B1432" s="12" t="s">
        <v>4133</v>
      </c>
      <c r="C1432" s="12">
        <v>70</v>
      </c>
      <c r="D1432" s="12">
        <v>418</v>
      </c>
      <c r="E1432" s="12" t="s">
        <v>4239</v>
      </c>
      <c r="F1432" s="12" t="s">
        <v>4273</v>
      </c>
      <c r="G1432" s="12" t="str">
        <f t="shared" si="36"/>
        <v>704188230030966</v>
      </c>
      <c r="I1432" s="12">
        <v>8230030966</v>
      </c>
      <c r="J1432" s="12" t="s">
        <v>4274</v>
      </c>
      <c r="K1432" s="12" t="s">
        <v>133</v>
      </c>
      <c r="L1432" s="12">
        <v>3234969548</v>
      </c>
      <c r="M1432" s="12" t="s">
        <v>4241</v>
      </c>
      <c r="N1432" s="12" t="s">
        <v>127</v>
      </c>
      <c r="O1432" s="12" t="s">
        <v>2822</v>
      </c>
      <c r="P1432" s="88"/>
      <c r="AU1432" s="12" t="s">
        <v>53</v>
      </c>
    </row>
    <row r="1433" spans="1:52" s="12" customFormat="1" ht="14.4" hidden="1" x14ac:dyDescent="0.3">
      <c r="A1433" s="12" t="s">
        <v>39</v>
      </c>
      <c r="B1433" s="12" t="s">
        <v>4133</v>
      </c>
      <c r="C1433" s="12">
        <v>70</v>
      </c>
      <c r="D1433" s="12">
        <v>418</v>
      </c>
      <c r="E1433" s="12" t="s">
        <v>4239</v>
      </c>
      <c r="F1433" s="12" t="s">
        <v>4275</v>
      </c>
      <c r="G1433" s="12" t="str">
        <f t="shared" si="36"/>
        <v>704188230030966</v>
      </c>
      <c r="I1433" s="12">
        <v>8230030966</v>
      </c>
      <c r="J1433" s="12" t="s">
        <v>4276</v>
      </c>
      <c r="K1433" s="12" t="s">
        <v>133</v>
      </c>
      <c r="L1433" s="12">
        <v>3135331951</v>
      </c>
      <c r="M1433" s="12" t="s">
        <v>4241</v>
      </c>
      <c r="N1433" s="12" t="s">
        <v>127</v>
      </c>
      <c r="O1433" s="12" t="s">
        <v>2822</v>
      </c>
      <c r="P1433" s="88"/>
      <c r="AU1433" s="12" t="s">
        <v>53</v>
      </c>
    </row>
    <row r="1434" spans="1:52" s="12" customFormat="1" ht="14.4" hidden="1" x14ac:dyDescent="0.3">
      <c r="A1434" s="12" t="s">
        <v>39</v>
      </c>
      <c r="B1434" s="12" t="s">
        <v>4133</v>
      </c>
      <c r="C1434" s="12">
        <v>70</v>
      </c>
      <c r="D1434" s="12">
        <v>418</v>
      </c>
      <c r="E1434" s="12" t="s">
        <v>4239</v>
      </c>
      <c r="F1434" s="12" t="s">
        <v>752</v>
      </c>
      <c r="G1434" s="12" t="str">
        <f t="shared" si="36"/>
        <v>704188230030966</v>
      </c>
      <c r="I1434" s="12">
        <v>8230030966</v>
      </c>
      <c r="J1434" s="12" t="s">
        <v>4277</v>
      </c>
      <c r="K1434" s="12" t="s">
        <v>230</v>
      </c>
      <c r="L1434" s="12" t="s">
        <v>4278</v>
      </c>
      <c r="M1434" s="12" t="s">
        <v>4241</v>
      </c>
      <c r="N1434" s="12" t="s">
        <v>127</v>
      </c>
      <c r="O1434" s="12" t="s">
        <v>2822</v>
      </c>
      <c r="P1434" s="88"/>
      <c r="AU1434" s="12" t="s">
        <v>53</v>
      </c>
    </row>
    <row r="1435" spans="1:52" s="12" customFormat="1" ht="14.4" hidden="1" x14ac:dyDescent="0.3">
      <c r="A1435" s="12" t="s">
        <v>39</v>
      </c>
      <c r="B1435" s="12" t="s">
        <v>4133</v>
      </c>
      <c r="C1435" s="12">
        <v>70</v>
      </c>
      <c r="D1435" s="12">
        <v>418</v>
      </c>
      <c r="E1435" s="12" t="s">
        <v>4239</v>
      </c>
      <c r="F1435" s="12" t="s">
        <v>4279</v>
      </c>
      <c r="G1435" s="12" t="str">
        <f t="shared" si="36"/>
        <v>704188230030966</v>
      </c>
      <c r="I1435" s="12">
        <v>8230030966</v>
      </c>
      <c r="J1435" s="12" t="s">
        <v>4280</v>
      </c>
      <c r="K1435" s="12" t="s">
        <v>230</v>
      </c>
      <c r="L1435" s="12">
        <v>3223164059</v>
      </c>
      <c r="M1435" s="12" t="s">
        <v>4241</v>
      </c>
      <c r="N1435" s="12" t="s">
        <v>127</v>
      </c>
      <c r="O1435" s="12" t="s">
        <v>2822</v>
      </c>
      <c r="P1435" s="88"/>
      <c r="AU1435" s="12" t="s">
        <v>53</v>
      </c>
    </row>
    <row r="1436" spans="1:52" s="12" customFormat="1" ht="14.4" hidden="1" x14ac:dyDescent="0.3">
      <c r="A1436" s="12" t="s">
        <v>39</v>
      </c>
      <c r="B1436" s="12" t="s">
        <v>4133</v>
      </c>
      <c r="C1436" s="12">
        <v>70</v>
      </c>
      <c r="D1436" s="12">
        <v>418</v>
      </c>
      <c r="E1436" s="12" t="s">
        <v>4239</v>
      </c>
      <c r="F1436" s="12" t="s">
        <v>4281</v>
      </c>
      <c r="G1436" s="12" t="str">
        <f t="shared" si="36"/>
        <v>704188230030966</v>
      </c>
      <c r="I1436" s="12">
        <v>8230030966</v>
      </c>
      <c r="J1436" s="12" t="s">
        <v>4282</v>
      </c>
      <c r="K1436" s="12" t="s">
        <v>133</v>
      </c>
      <c r="L1436" s="12">
        <v>3145912930</v>
      </c>
      <c r="M1436" s="12" t="s">
        <v>4241</v>
      </c>
      <c r="N1436" s="12" t="s">
        <v>127</v>
      </c>
      <c r="O1436" s="12" t="s">
        <v>2822</v>
      </c>
      <c r="P1436" s="88"/>
      <c r="AU1436" s="12" t="s">
        <v>53</v>
      </c>
    </row>
    <row r="1437" spans="1:52" s="12" customFormat="1" ht="14.4" hidden="1" x14ac:dyDescent="0.3">
      <c r="A1437" s="12" t="s">
        <v>39</v>
      </c>
      <c r="B1437" s="12" t="s">
        <v>4133</v>
      </c>
      <c r="C1437" s="12">
        <v>70</v>
      </c>
      <c r="D1437" s="12">
        <v>418</v>
      </c>
      <c r="E1437" s="12" t="s">
        <v>4239</v>
      </c>
      <c r="F1437" s="12" t="s">
        <v>4283</v>
      </c>
      <c r="G1437" s="12" t="str">
        <f t="shared" si="36"/>
        <v>704188230030966</v>
      </c>
      <c r="I1437" s="12">
        <v>8230030966</v>
      </c>
      <c r="J1437" s="12" t="s">
        <v>4284</v>
      </c>
      <c r="K1437" s="12" t="s">
        <v>230</v>
      </c>
      <c r="L1437" s="12">
        <v>3022529237</v>
      </c>
      <c r="M1437" s="12" t="s">
        <v>4241</v>
      </c>
      <c r="N1437" s="12" t="s">
        <v>127</v>
      </c>
      <c r="O1437" s="12" t="s">
        <v>2822</v>
      </c>
      <c r="P1437" s="88"/>
      <c r="AU1437" s="12" t="s">
        <v>53</v>
      </c>
    </row>
    <row r="1438" spans="1:52" s="12" customFormat="1" ht="14.4" hidden="1" x14ac:dyDescent="0.3">
      <c r="A1438" s="12" t="s">
        <v>39</v>
      </c>
      <c r="B1438" s="12" t="s">
        <v>4133</v>
      </c>
      <c r="C1438" s="12">
        <v>70</v>
      </c>
      <c r="D1438" s="12">
        <v>418</v>
      </c>
      <c r="E1438" s="12" t="s">
        <v>4239</v>
      </c>
      <c r="F1438" s="12" t="s">
        <v>4285</v>
      </c>
      <c r="G1438" s="12" t="str">
        <f t="shared" si="36"/>
        <v>704188230030966</v>
      </c>
      <c r="I1438" s="12">
        <v>8230030966</v>
      </c>
      <c r="J1438" s="12" t="s">
        <v>4286</v>
      </c>
      <c r="K1438" s="12" t="s">
        <v>192</v>
      </c>
      <c r="M1438" s="12" t="s">
        <v>4241</v>
      </c>
      <c r="N1438" s="12" t="s">
        <v>127</v>
      </c>
      <c r="O1438" s="12" t="s">
        <v>2822</v>
      </c>
      <c r="P1438" s="88"/>
      <c r="AU1438" s="12" t="s">
        <v>53</v>
      </c>
    </row>
    <row r="1439" spans="1:52" s="12" customFormat="1" ht="14.4" hidden="1" x14ac:dyDescent="0.3">
      <c r="A1439" s="12" t="s">
        <v>39</v>
      </c>
      <c r="B1439" s="12" t="s">
        <v>4133</v>
      </c>
      <c r="C1439" s="12">
        <v>70</v>
      </c>
      <c r="D1439" s="12">
        <v>418</v>
      </c>
      <c r="E1439" s="12" t="s">
        <v>4239</v>
      </c>
      <c r="F1439" s="12" t="s">
        <v>738</v>
      </c>
      <c r="G1439" s="12" t="str">
        <f t="shared" si="36"/>
        <v>704188230030966</v>
      </c>
      <c r="I1439" s="12">
        <v>8230030966</v>
      </c>
      <c r="J1439" s="12" t="s">
        <v>4287</v>
      </c>
      <c r="K1439" s="12" t="s">
        <v>230</v>
      </c>
      <c r="L1439" s="12" t="s">
        <v>4288</v>
      </c>
      <c r="M1439" s="12" t="s">
        <v>4241</v>
      </c>
      <c r="N1439" s="12" t="s">
        <v>127</v>
      </c>
      <c r="O1439" s="12" t="s">
        <v>2822</v>
      </c>
      <c r="P1439" s="88"/>
      <c r="AU1439" s="12" t="s">
        <v>53</v>
      </c>
    </row>
    <row r="1440" spans="1:52" s="12" customFormat="1" ht="14.4" hidden="1" x14ac:dyDescent="0.3">
      <c r="A1440" s="12" t="s">
        <v>39</v>
      </c>
      <c r="B1440" s="12" t="s">
        <v>4133</v>
      </c>
      <c r="C1440" s="12">
        <v>70</v>
      </c>
      <c r="D1440" s="12">
        <v>418</v>
      </c>
      <c r="E1440" s="12" t="s">
        <v>4239</v>
      </c>
      <c r="F1440" s="12" t="s">
        <v>4289</v>
      </c>
      <c r="G1440" s="12" t="str">
        <f t="shared" si="36"/>
        <v>704188230030966</v>
      </c>
      <c r="I1440" s="12">
        <v>8230030966</v>
      </c>
      <c r="J1440" s="12" t="s">
        <v>4290</v>
      </c>
      <c r="K1440" s="12" t="s">
        <v>230</v>
      </c>
      <c r="L1440" s="12" t="s">
        <v>4291</v>
      </c>
      <c r="M1440" s="12" t="s">
        <v>4241</v>
      </c>
      <c r="N1440" s="12" t="s">
        <v>127</v>
      </c>
      <c r="O1440" s="12" t="s">
        <v>2822</v>
      </c>
      <c r="P1440" s="88"/>
      <c r="AU1440" s="12" t="s">
        <v>53</v>
      </c>
    </row>
    <row r="1441" spans="1:52" s="12" customFormat="1" ht="14.4" hidden="1" x14ac:dyDescent="0.3">
      <c r="A1441" s="12" t="s">
        <v>39</v>
      </c>
      <c r="B1441" s="12" t="s">
        <v>4133</v>
      </c>
      <c r="C1441" s="12">
        <v>70</v>
      </c>
      <c r="D1441" s="12">
        <v>418</v>
      </c>
      <c r="E1441" s="12" t="s">
        <v>4239</v>
      </c>
      <c r="F1441" s="12" t="s">
        <v>4292</v>
      </c>
      <c r="G1441" s="12" t="str">
        <f t="shared" si="36"/>
        <v>704188230030966</v>
      </c>
      <c r="I1441" s="12">
        <v>8230030966</v>
      </c>
      <c r="J1441" s="12" t="s">
        <v>4293</v>
      </c>
      <c r="K1441" s="12" t="s">
        <v>230</v>
      </c>
      <c r="L1441" s="12" t="s">
        <v>4294</v>
      </c>
      <c r="M1441" s="12" t="s">
        <v>4241</v>
      </c>
      <c r="N1441" s="12" t="s">
        <v>127</v>
      </c>
      <c r="O1441" s="12" t="s">
        <v>2822</v>
      </c>
      <c r="P1441" s="88"/>
      <c r="AU1441" s="12" t="s">
        <v>53</v>
      </c>
    </row>
    <row r="1442" spans="1:52" s="12" customFormat="1" ht="14.4" hidden="1" x14ac:dyDescent="0.3">
      <c r="A1442" s="12" t="s">
        <v>39</v>
      </c>
      <c r="B1442" s="12" t="s">
        <v>4133</v>
      </c>
      <c r="C1442" s="12">
        <v>70</v>
      </c>
      <c r="D1442" s="12">
        <v>418</v>
      </c>
      <c r="E1442" s="12" t="s">
        <v>4239</v>
      </c>
      <c r="F1442" s="12" t="s">
        <v>4295</v>
      </c>
      <c r="G1442" s="12" t="str">
        <f t="shared" si="36"/>
        <v>704188230030966</v>
      </c>
      <c r="I1442" s="12">
        <v>8230030966</v>
      </c>
      <c r="J1442" s="12" t="s">
        <v>4296</v>
      </c>
      <c r="K1442" s="12" t="s">
        <v>230</v>
      </c>
      <c r="L1442" s="12" t="s">
        <v>4297</v>
      </c>
      <c r="M1442" s="12" t="s">
        <v>4241</v>
      </c>
      <c r="N1442" s="12" t="s">
        <v>127</v>
      </c>
      <c r="O1442" s="12" t="s">
        <v>2822</v>
      </c>
      <c r="P1442" s="88"/>
      <c r="AU1442" s="12" t="s">
        <v>53</v>
      </c>
    </row>
    <row r="1443" spans="1:52" s="12" customFormat="1" ht="14.4" hidden="1" x14ac:dyDescent="0.3">
      <c r="A1443" s="12" t="s">
        <v>39</v>
      </c>
      <c r="B1443" s="12" t="s">
        <v>4133</v>
      </c>
      <c r="C1443" s="12">
        <v>70</v>
      </c>
      <c r="D1443" s="12">
        <v>418</v>
      </c>
      <c r="E1443" s="12" t="s">
        <v>4239</v>
      </c>
      <c r="F1443" s="12" t="s">
        <v>4298</v>
      </c>
      <c r="G1443" s="12" t="str">
        <f t="shared" si="36"/>
        <v>704188230030966</v>
      </c>
      <c r="I1443" s="12">
        <v>8230030966</v>
      </c>
      <c r="J1443" s="12" t="s">
        <v>4299</v>
      </c>
      <c r="K1443" s="12" t="s">
        <v>230</v>
      </c>
      <c r="L1443" s="12" t="s">
        <v>4300</v>
      </c>
      <c r="M1443" s="12" t="s">
        <v>4241</v>
      </c>
      <c r="N1443" s="12" t="s">
        <v>127</v>
      </c>
      <c r="O1443" s="12" t="s">
        <v>2822</v>
      </c>
      <c r="P1443" s="88"/>
      <c r="AU1443" s="12" t="s">
        <v>53</v>
      </c>
    </row>
    <row r="1444" spans="1:52" s="12" customFormat="1" ht="14.4" hidden="1" x14ac:dyDescent="0.3">
      <c r="A1444" s="12" t="s">
        <v>39</v>
      </c>
      <c r="B1444" s="12" t="s">
        <v>4133</v>
      </c>
      <c r="C1444" s="12">
        <v>70</v>
      </c>
      <c r="D1444" s="12">
        <v>418</v>
      </c>
      <c r="E1444" s="12" t="s">
        <v>4239</v>
      </c>
      <c r="F1444" s="12" t="s">
        <v>4301</v>
      </c>
      <c r="G1444" s="12" t="str">
        <f t="shared" si="36"/>
        <v>704188230030966</v>
      </c>
      <c r="I1444" s="12">
        <v>8230030966</v>
      </c>
      <c r="J1444" s="12" t="s">
        <v>4302</v>
      </c>
      <c r="K1444" s="12" t="s">
        <v>230</v>
      </c>
      <c r="L1444" s="12">
        <v>3205898590</v>
      </c>
      <c r="M1444" s="12" t="s">
        <v>4241</v>
      </c>
      <c r="N1444" s="12" t="s">
        <v>127</v>
      </c>
      <c r="O1444" s="12" t="s">
        <v>2822</v>
      </c>
      <c r="P1444" s="88"/>
      <c r="AU1444" s="12" t="s">
        <v>53</v>
      </c>
    </row>
    <row r="1445" spans="1:52" s="12" customFormat="1" ht="14.4" hidden="1" x14ac:dyDescent="0.3">
      <c r="A1445" s="12" t="s">
        <v>39</v>
      </c>
      <c r="B1445" s="12" t="s">
        <v>4133</v>
      </c>
      <c r="C1445" s="12">
        <v>70</v>
      </c>
      <c r="D1445" s="12">
        <v>418</v>
      </c>
      <c r="E1445" s="12" t="s">
        <v>4239</v>
      </c>
      <c r="F1445" s="12" t="s">
        <v>4303</v>
      </c>
      <c r="G1445" s="12" t="str">
        <f t="shared" si="36"/>
        <v>704188230030966</v>
      </c>
      <c r="I1445" s="12">
        <v>8230030966</v>
      </c>
      <c r="J1445" s="12" t="s">
        <v>4304</v>
      </c>
      <c r="K1445" s="12" t="s">
        <v>133</v>
      </c>
      <c r="L1445" s="12" t="s">
        <v>4305</v>
      </c>
      <c r="M1445" s="12" t="s">
        <v>4241</v>
      </c>
      <c r="N1445" s="12" t="s">
        <v>127</v>
      </c>
      <c r="O1445" s="12" t="s">
        <v>2822</v>
      </c>
      <c r="P1445" s="88"/>
      <c r="AU1445" s="12" t="s">
        <v>53</v>
      </c>
    </row>
    <row r="1446" spans="1:52" s="12" customFormat="1" ht="14.4" hidden="1" x14ac:dyDescent="0.3">
      <c r="A1446" s="12" t="s">
        <v>39</v>
      </c>
      <c r="B1446" s="12" t="s">
        <v>4133</v>
      </c>
      <c r="C1446" s="12">
        <v>70</v>
      </c>
      <c r="D1446" s="12">
        <v>418</v>
      </c>
      <c r="E1446" s="12" t="s">
        <v>4239</v>
      </c>
      <c r="F1446" s="12" t="s">
        <v>4306</v>
      </c>
      <c r="G1446" s="12" t="str">
        <f t="shared" si="36"/>
        <v>704188230030966</v>
      </c>
      <c r="I1446" s="12">
        <v>8230030966</v>
      </c>
      <c r="J1446" s="12" t="s">
        <v>4307</v>
      </c>
      <c r="K1446" s="12" t="s">
        <v>230</v>
      </c>
      <c r="L1446" s="12" t="s">
        <v>4308</v>
      </c>
      <c r="M1446" s="12" t="s">
        <v>4241</v>
      </c>
      <c r="N1446" s="12" t="s">
        <v>127</v>
      </c>
      <c r="O1446" s="12" t="s">
        <v>2822</v>
      </c>
      <c r="P1446" s="88"/>
      <c r="AU1446" s="12" t="s">
        <v>53</v>
      </c>
    </row>
    <row r="1447" spans="1:52" s="12" customFormat="1" ht="14.4" hidden="1" x14ac:dyDescent="0.3">
      <c r="A1447" s="12" t="s">
        <v>39</v>
      </c>
      <c r="B1447" s="12" t="s">
        <v>4133</v>
      </c>
      <c r="C1447" s="12">
        <v>70</v>
      </c>
      <c r="D1447" s="12">
        <v>418</v>
      </c>
      <c r="E1447" s="12" t="s">
        <v>4239</v>
      </c>
      <c r="F1447" s="12" t="s">
        <v>4309</v>
      </c>
      <c r="G1447" s="12" t="str">
        <f t="shared" si="36"/>
        <v>704188230030966</v>
      </c>
      <c r="I1447" s="12">
        <v>8230030966</v>
      </c>
      <c r="J1447" s="12" t="s">
        <v>4310</v>
      </c>
      <c r="K1447" s="12" t="s">
        <v>133</v>
      </c>
      <c r="L1447" s="12" t="s">
        <v>4311</v>
      </c>
      <c r="M1447" s="12" t="s">
        <v>4241</v>
      </c>
      <c r="N1447" s="12" t="s">
        <v>127</v>
      </c>
      <c r="O1447" s="12" t="s">
        <v>2822</v>
      </c>
      <c r="P1447" s="88"/>
      <c r="AU1447" s="12" t="s">
        <v>53</v>
      </c>
    </row>
    <row r="1448" spans="1:52" s="12" customFormat="1" ht="14.4" hidden="1" x14ac:dyDescent="0.3">
      <c r="A1448" s="12" t="s">
        <v>39</v>
      </c>
      <c r="B1448" s="12" t="s">
        <v>4133</v>
      </c>
      <c r="C1448" s="12">
        <v>70</v>
      </c>
      <c r="D1448" s="12">
        <v>418</v>
      </c>
      <c r="E1448" s="12" t="s">
        <v>4239</v>
      </c>
      <c r="F1448" s="12" t="s">
        <v>4312</v>
      </c>
      <c r="G1448" s="12" t="str">
        <f t="shared" si="36"/>
        <v>704188230030966</v>
      </c>
      <c r="I1448" s="12">
        <v>8230030966</v>
      </c>
      <c r="J1448" s="12" t="s">
        <v>4313</v>
      </c>
      <c r="K1448" s="12" t="s">
        <v>230</v>
      </c>
      <c r="L1448" s="12" t="s">
        <v>4314</v>
      </c>
      <c r="M1448" s="12" t="s">
        <v>4241</v>
      </c>
      <c r="N1448" s="12" t="s">
        <v>127</v>
      </c>
      <c r="O1448" s="12" t="s">
        <v>2822</v>
      </c>
      <c r="P1448" s="88"/>
      <c r="AU1448" s="12" t="s">
        <v>53</v>
      </c>
    </row>
    <row r="1449" spans="1:52" s="12" customFormat="1" ht="14.4" hidden="1" x14ac:dyDescent="0.3">
      <c r="A1449" s="12" t="s">
        <v>39</v>
      </c>
      <c r="B1449" s="12" t="s">
        <v>4133</v>
      </c>
      <c r="C1449" s="12">
        <v>70</v>
      </c>
      <c r="D1449" s="12">
        <v>418</v>
      </c>
      <c r="E1449" s="12" t="s">
        <v>4315</v>
      </c>
      <c r="F1449" s="12" t="s">
        <v>4316</v>
      </c>
      <c r="G1449" s="12" t="str">
        <f t="shared" si="36"/>
        <v>704189004298035</v>
      </c>
      <c r="H1449" s="12" t="s">
        <v>4317</v>
      </c>
      <c r="I1449" s="12">
        <v>9004298035</v>
      </c>
      <c r="J1449" s="12" t="s">
        <v>4318</v>
      </c>
      <c r="K1449" s="12" t="s">
        <v>133</v>
      </c>
      <c r="N1449" s="12" t="s">
        <v>127</v>
      </c>
      <c r="O1449" s="12" t="s">
        <v>2822</v>
      </c>
      <c r="P1449" s="88" t="s">
        <v>48</v>
      </c>
      <c r="Q1449" s="13">
        <v>45636</v>
      </c>
      <c r="R1449" s="16">
        <v>0.78</v>
      </c>
      <c r="S1449" s="12" t="s">
        <v>49</v>
      </c>
      <c r="U1449" s="12" t="s">
        <v>2456</v>
      </c>
      <c r="AA1449" s="12" t="s">
        <v>51</v>
      </c>
      <c r="AB1449" s="12" t="s">
        <v>51</v>
      </c>
      <c r="AU1449" s="12" t="s">
        <v>53</v>
      </c>
      <c r="AX1449" s="12" t="s">
        <v>51</v>
      </c>
      <c r="AY1449" s="12" t="s">
        <v>51</v>
      </c>
      <c r="AZ1449" s="12" t="s">
        <v>51</v>
      </c>
    </row>
    <row r="1450" spans="1:52" s="12" customFormat="1" ht="14.4" hidden="1" x14ac:dyDescent="0.3">
      <c r="A1450" s="12" t="s">
        <v>39</v>
      </c>
      <c r="B1450" s="12" t="s">
        <v>4133</v>
      </c>
      <c r="C1450" s="12">
        <v>70</v>
      </c>
      <c r="D1450" s="12">
        <v>418</v>
      </c>
      <c r="E1450" s="12" t="s">
        <v>4319</v>
      </c>
      <c r="F1450" s="12" t="s">
        <v>4320</v>
      </c>
      <c r="G1450" s="12" t="str">
        <f t="shared" si="36"/>
        <v>704189004062692</v>
      </c>
      <c r="H1450" s="12" t="s">
        <v>3837</v>
      </c>
      <c r="I1450" s="12">
        <v>9004062692</v>
      </c>
      <c r="J1450" s="12" t="s">
        <v>4321</v>
      </c>
      <c r="K1450" s="12" t="s">
        <v>230</v>
      </c>
      <c r="L1450" s="12">
        <v>3017672777</v>
      </c>
      <c r="M1450" s="12" t="s">
        <v>4322</v>
      </c>
      <c r="N1450" s="12" t="s">
        <v>127</v>
      </c>
      <c r="O1450" s="12" t="s">
        <v>2822</v>
      </c>
      <c r="P1450" s="88" t="s">
        <v>48</v>
      </c>
      <c r="Q1450" s="13">
        <v>45667</v>
      </c>
      <c r="R1450" s="16">
        <v>0.72</v>
      </c>
      <c r="S1450" s="12" t="s">
        <v>49</v>
      </c>
      <c r="T1450" s="12" t="s">
        <v>8585</v>
      </c>
      <c r="U1450" s="12" t="s">
        <v>2456</v>
      </c>
      <c r="V1450" s="106">
        <v>45596</v>
      </c>
      <c r="W1450" s="16">
        <v>0.97</v>
      </c>
      <c r="X1450" s="12" t="s">
        <v>210</v>
      </c>
      <c r="Y1450" s="12" t="s">
        <v>4323</v>
      </c>
      <c r="Z1450" s="12" t="s">
        <v>2688</v>
      </c>
      <c r="AA1450" s="12" t="s">
        <v>51</v>
      </c>
      <c r="AB1450" s="12" t="s">
        <v>51</v>
      </c>
      <c r="AU1450" s="12" t="s">
        <v>53</v>
      </c>
      <c r="AX1450" s="12" t="s">
        <v>51</v>
      </c>
      <c r="AY1450" s="12" t="s">
        <v>51</v>
      </c>
      <c r="AZ1450" s="12" t="s">
        <v>51</v>
      </c>
    </row>
    <row r="1451" spans="1:52" s="12" customFormat="1" ht="14.4" hidden="1" x14ac:dyDescent="0.3">
      <c r="A1451" s="12" t="s">
        <v>39</v>
      </c>
      <c r="B1451" s="12" t="s">
        <v>4133</v>
      </c>
      <c r="C1451" s="12">
        <v>70</v>
      </c>
      <c r="D1451" s="12">
        <v>418</v>
      </c>
      <c r="E1451" s="12" t="s">
        <v>4325</v>
      </c>
      <c r="F1451" s="12" t="s">
        <v>4326</v>
      </c>
      <c r="G1451" s="12" t="str">
        <f t="shared" si="36"/>
        <v>704189004062692</v>
      </c>
      <c r="I1451" s="12">
        <v>9004062692</v>
      </c>
      <c r="J1451" s="12" t="s">
        <v>4327</v>
      </c>
      <c r="K1451" s="12" t="s">
        <v>192</v>
      </c>
      <c r="N1451" s="12" t="s">
        <v>127</v>
      </c>
      <c r="O1451" s="12" t="s">
        <v>2822</v>
      </c>
      <c r="P1451" s="88"/>
      <c r="AU1451" s="12" t="s">
        <v>53</v>
      </c>
    </row>
    <row r="1452" spans="1:52" s="12" customFormat="1" ht="14.4" hidden="1" x14ac:dyDescent="0.3">
      <c r="A1452" s="12" t="s">
        <v>39</v>
      </c>
      <c r="B1452" s="12" t="s">
        <v>4133</v>
      </c>
      <c r="C1452" s="12">
        <v>70</v>
      </c>
      <c r="D1452" s="12">
        <v>418</v>
      </c>
      <c r="E1452" s="12" t="s">
        <v>4328</v>
      </c>
      <c r="F1452" s="12" t="s">
        <v>4329</v>
      </c>
      <c r="G1452" s="12" t="str">
        <f t="shared" si="36"/>
        <v>704189004062692</v>
      </c>
      <c r="I1452" s="12">
        <v>9004062692</v>
      </c>
      <c r="J1452" s="12" t="s">
        <v>4330</v>
      </c>
      <c r="K1452" s="12" t="s">
        <v>230</v>
      </c>
      <c r="N1452" s="12" t="s">
        <v>127</v>
      </c>
      <c r="O1452" s="12" t="s">
        <v>2822</v>
      </c>
      <c r="P1452" s="88"/>
      <c r="AU1452" s="12" t="s">
        <v>53</v>
      </c>
    </row>
    <row r="1453" spans="1:52" s="12" customFormat="1" ht="14.4" hidden="1" x14ac:dyDescent="0.3">
      <c r="A1453" s="12" t="s">
        <v>39</v>
      </c>
      <c r="B1453" s="12" t="s">
        <v>4133</v>
      </c>
      <c r="C1453" s="12">
        <v>70</v>
      </c>
      <c r="D1453" s="12">
        <v>418</v>
      </c>
      <c r="E1453" s="12" t="s">
        <v>4331</v>
      </c>
      <c r="F1453" s="12" t="s">
        <v>4332</v>
      </c>
      <c r="G1453" s="12" t="str">
        <f t="shared" si="36"/>
        <v>704188002486845</v>
      </c>
      <c r="H1453" s="12" t="s">
        <v>4173</v>
      </c>
      <c r="I1453" s="12">
        <v>8002486845</v>
      </c>
      <c r="J1453" s="12" t="s">
        <v>4333</v>
      </c>
      <c r="K1453" s="12" t="s">
        <v>230</v>
      </c>
      <c r="L1453" s="12">
        <v>3137132002</v>
      </c>
      <c r="M1453" s="58" t="s">
        <v>4175</v>
      </c>
      <c r="N1453" s="12" t="s">
        <v>127</v>
      </c>
      <c r="O1453" s="12" t="s">
        <v>2822</v>
      </c>
      <c r="P1453" s="88" t="s">
        <v>48</v>
      </c>
      <c r="Q1453" s="13">
        <v>46100</v>
      </c>
      <c r="R1453" s="12" t="s">
        <v>4833</v>
      </c>
      <c r="S1453" s="12" t="s">
        <v>49</v>
      </c>
      <c r="T1453" s="12" t="s">
        <v>8586</v>
      </c>
      <c r="U1453" s="12" t="s">
        <v>2456</v>
      </c>
      <c r="V1453" s="13">
        <v>45792</v>
      </c>
      <c r="W1453" s="16">
        <v>0.76</v>
      </c>
      <c r="X1453" s="12" t="s">
        <v>74</v>
      </c>
      <c r="Y1453" s="12" t="s">
        <v>4334</v>
      </c>
      <c r="Z1453" s="12" t="s">
        <v>2456</v>
      </c>
      <c r="AA1453" s="12" t="s">
        <v>51</v>
      </c>
      <c r="AB1453" s="12" t="s">
        <v>51</v>
      </c>
      <c r="AC1453" s="13">
        <v>45427</v>
      </c>
      <c r="AD1453" s="16">
        <v>0.78</v>
      </c>
      <c r="AE1453" s="12" t="s">
        <v>74</v>
      </c>
      <c r="AF1453" s="12" t="s">
        <v>60</v>
      </c>
      <c r="AU1453" s="12" t="s">
        <v>53</v>
      </c>
      <c r="AX1453" s="12" t="s">
        <v>51</v>
      </c>
      <c r="AZ1453" s="12" t="s">
        <v>51</v>
      </c>
    </row>
    <row r="1454" spans="1:52" s="12" customFormat="1" ht="14.4" hidden="1" x14ac:dyDescent="0.3">
      <c r="A1454" s="12" t="s">
        <v>39</v>
      </c>
      <c r="B1454" s="12" t="s">
        <v>4133</v>
      </c>
      <c r="C1454" s="12">
        <v>70</v>
      </c>
      <c r="D1454" s="12">
        <v>418</v>
      </c>
      <c r="E1454" s="12" t="s">
        <v>4331</v>
      </c>
      <c r="F1454" s="12" t="s">
        <v>4324</v>
      </c>
      <c r="G1454" s="12" t="str">
        <f t="shared" si="36"/>
        <v>704188002486845</v>
      </c>
      <c r="H1454" s="12" t="s">
        <v>4173</v>
      </c>
      <c r="I1454" s="12">
        <v>8002486845</v>
      </c>
      <c r="J1454" s="12" t="s">
        <v>4335</v>
      </c>
      <c r="K1454" s="12" t="s">
        <v>192</v>
      </c>
      <c r="L1454" s="12">
        <v>3043550045</v>
      </c>
      <c r="M1454" s="17" t="s">
        <v>4175</v>
      </c>
      <c r="N1454" s="12" t="s">
        <v>127</v>
      </c>
      <c r="O1454" s="12" t="s">
        <v>2822</v>
      </c>
      <c r="P1454" s="88" t="s">
        <v>48</v>
      </c>
      <c r="Q1454" s="13">
        <v>45952</v>
      </c>
      <c r="R1454" s="12" t="s">
        <v>186</v>
      </c>
      <c r="S1454" s="12" t="s">
        <v>49</v>
      </c>
      <c r="T1454" s="12" t="s">
        <v>4336</v>
      </c>
      <c r="U1454" s="12" t="s">
        <v>60</v>
      </c>
      <c r="V1454" s="13">
        <v>45513</v>
      </c>
      <c r="W1454" s="16">
        <v>0.91</v>
      </c>
      <c r="X1454" s="12" t="s">
        <v>210</v>
      </c>
      <c r="AA1454" s="12" t="s">
        <v>51</v>
      </c>
      <c r="AB1454" s="12" t="s">
        <v>51</v>
      </c>
      <c r="AU1454" s="12" t="s">
        <v>53</v>
      </c>
      <c r="AX1454" s="12" t="s">
        <v>51</v>
      </c>
      <c r="AZ1454" s="12" t="s">
        <v>51</v>
      </c>
    </row>
    <row r="1455" spans="1:52" s="12" customFormat="1" ht="14.4" hidden="1" x14ac:dyDescent="0.3">
      <c r="A1455" s="12" t="s">
        <v>39</v>
      </c>
      <c r="B1455" s="12" t="s">
        <v>4133</v>
      </c>
      <c r="C1455" s="12">
        <v>70</v>
      </c>
      <c r="D1455" s="12">
        <v>418</v>
      </c>
      <c r="F1455" s="12" t="s">
        <v>4360</v>
      </c>
      <c r="G1455" s="12" t="str">
        <f t="shared" si="36"/>
        <v>70418422714047</v>
      </c>
      <c r="H1455" s="12" t="s">
        <v>4361</v>
      </c>
      <c r="I1455" s="12">
        <v>422714047</v>
      </c>
      <c r="J1455" s="12" t="s">
        <v>4362</v>
      </c>
      <c r="K1455" s="12" t="s">
        <v>246</v>
      </c>
      <c r="L1455" s="12">
        <v>3205317980</v>
      </c>
      <c r="M1455" s="12" t="s">
        <v>4363</v>
      </c>
      <c r="N1455" s="12" t="s">
        <v>259</v>
      </c>
      <c r="O1455" s="12" t="s">
        <v>260</v>
      </c>
      <c r="P1455" s="88" t="s">
        <v>261</v>
      </c>
      <c r="Q1455" s="13">
        <v>45482</v>
      </c>
      <c r="R1455" s="18">
        <v>0.70250000000000001</v>
      </c>
      <c r="S1455" s="12" t="s">
        <v>49</v>
      </c>
      <c r="T1455" s="12" t="s">
        <v>4219</v>
      </c>
      <c r="U1455" s="12" t="s">
        <v>60</v>
      </c>
      <c r="AA1455" s="12" t="s">
        <v>51</v>
      </c>
      <c r="AB1455" s="12" t="s">
        <v>51</v>
      </c>
      <c r="AU1455" s="12" t="s">
        <v>53</v>
      </c>
      <c r="AX1455" s="12" t="s">
        <v>51</v>
      </c>
      <c r="AZ1455" s="12" t="s">
        <v>51</v>
      </c>
    </row>
    <row r="1456" spans="1:52" s="12" customFormat="1" ht="14.4" hidden="1" x14ac:dyDescent="0.3">
      <c r="A1456" s="12" t="s">
        <v>39</v>
      </c>
      <c r="B1456" s="12" t="s">
        <v>4133</v>
      </c>
      <c r="C1456" s="12">
        <v>70</v>
      </c>
      <c r="D1456" s="12">
        <v>418</v>
      </c>
      <c r="F1456" s="12" t="s">
        <v>1249</v>
      </c>
      <c r="G1456" s="12" t="str">
        <f t="shared" si="36"/>
        <v>7041870694027</v>
      </c>
      <c r="H1456" s="12" t="s">
        <v>4364</v>
      </c>
      <c r="I1456" s="12">
        <v>70694027</v>
      </c>
      <c r="J1456" s="12" t="s">
        <v>4365</v>
      </c>
      <c r="K1456" s="12" t="s">
        <v>246</v>
      </c>
      <c r="L1456" s="12">
        <v>3106171127</v>
      </c>
      <c r="M1456" s="12" t="s">
        <v>4366</v>
      </c>
      <c r="N1456" s="12" t="s">
        <v>259</v>
      </c>
      <c r="O1456" s="12" t="s">
        <v>260</v>
      </c>
      <c r="P1456" s="88" t="s">
        <v>261</v>
      </c>
      <c r="Q1456" s="13">
        <v>45482</v>
      </c>
      <c r="R1456" s="59">
        <v>0.69499999999999995</v>
      </c>
      <c r="S1456" s="12" t="s">
        <v>49</v>
      </c>
      <c r="T1456" s="12" t="s">
        <v>4219</v>
      </c>
      <c r="U1456" s="12" t="s">
        <v>60</v>
      </c>
      <c r="V1456" s="13">
        <v>45230</v>
      </c>
      <c r="W1456" s="59">
        <v>0.84499999999999997</v>
      </c>
      <c r="X1456" s="12" t="s">
        <v>49</v>
      </c>
      <c r="Z1456" s="12" t="s">
        <v>60</v>
      </c>
      <c r="AA1456" s="12" t="s">
        <v>51</v>
      </c>
      <c r="AB1456" s="12" t="s">
        <v>51</v>
      </c>
      <c r="AU1456" s="12" t="s">
        <v>53</v>
      </c>
      <c r="AX1456" s="12" t="s">
        <v>51</v>
      </c>
      <c r="AZ1456" s="12" t="s">
        <v>51</v>
      </c>
    </row>
    <row r="1457" spans="1:52" s="12" customFormat="1" ht="14.4" hidden="1" x14ac:dyDescent="0.3">
      <c r="A1457" s="12" t="s">
        <v>39</v>
      </c>
      <c r="B1457" s="12" t="s">
        <v>4133</v>
      </c>
      <c r="C1457" s="12">
        <v>70</v>
      </c>
      <c r="D1457" s="12">
        <v>418</v>
      </c>
      <c r="F1457" s="12" t="s">
        <v>2310</v>
      </c>
      <c r="G1457" s="12" t="str">
        <f t="shared" si="36"/>
        <v>704181103219359</v>
      </c>
      <c r="H1457" s="12" t="s">
        <v>4367</v>
      </c>
      <c r="I1457" s="12">
        <v>1103219359</v>
      </c>
      <c r="J1457" s="12" t="s">
        <v>4368</v>
      </c>
      <c r="K1457" s="12" t="s">
        <v>246</v>
      </c>
      <c r="L1457" s="12">
        <v>3005291505</v>
      </c>
      <c r="M1457" s="12" t="s">
        <v>4369</v>
      </c>
      <c r="N1457" s="12" t="s">
        <v>259</v>
      </c>
      <c r="O1457" s="12" t="s">
        <v>260</v>
      </c>
      <c r="P1457" s="88" t="s">
        <v>261</v>
      </c>
      <c r="Q1457" s="13">
        <v>45496</v>
      </c>
      <c r="R1457" s="18">
        <v>0.65249999999999997</v>
      </c>
      <c r="S1457" s="12" t="s">
        <v>49</v>
      </c>
      <c r="T1457" s="12" t="s">
        <v>4098</v>
      </c>
      <c r="U1457" s="12" t="s">
        <v>50</v>
      </c>
      <c r="AU1457" s="12" t="s">
        <v>53</v>
      </c>
    </row>
    <row r="1458" spans="1:52" s="12" customFormat="1" ht="14.4" hidden="1" x14ac:dyDescent="0.3">
      <c r="A1458" s="12" t="s">
        <v>39</v>
      </c>
      <c r="B1458" s="12" t="s">
        <v>4133</v>
      </c>
      <c r="C1458" s="12">
        <v>70</v>
      </c>
      <c r="D1458" s="12">
        <v>418</v>
      </c>
      <c r="F1458" s="12" t="s">
        <v>4370</v>
      </c>
      <c r="G1458" s="12" t="str">
        <f t="shared" si="36"/>
        <v>7041811032160913</v>
      </c>
      <c r="H1458" s="12" t="s">
        <v>4371</v>
      </c>
      <c r="I1458" s="12">
        <v>11032160913</v>
      </c>
      <c r="J1458" s="12" t="s">
        <v>4372</v>
      </c>
      <c r="K1458" s="12" t="s">
        <v>246</v>
      </c>
      <c r="L1458" s="12">
        <v>3142986096</v>
      </c>
      <c r="M1458" s="12" t="s">
        <v>4373</v>
      </c>
      <c r="N1458" s="12" t="s">
        <v>259</v>
      </c>
      <c r="O1458" s="12" t="s">
        <v>260</v>
      </c>
      <c r="P1458" s="88" t="s">
        <v>261</v>
      </c>
      <c r="Q1458" s="13">
        <v>45539</v>
      </c>
      <c r="R1458" s="16">
        <v>0.61</v>
      </c>
      <c r="S1458" s="12" t="s">
        <v>49</v>
      </c>
      <c r="T1458" s="12" t="s">
        <v>4098</v>
      </c>
      <c r="U1458" s="12" t="s">
        <v>60</v>
      </c>
      <c r="AA1458" s="12" t="s">
        <v>51</v>
      </c>
      <c r="AB1458" s="12" t="s">
        <v>51</v>
      </c>
      <c r="AU1458" s="12" t="s">
        <v>53</v>
      </c>
      <c r="AX1458" s="12" t="s">
        <v>51</v>
      </c>
      <c r="AZ1458" s="12" t="s">
        <v>51</v>
      </c>
    </row>
    <row r="1459" spans="1:52" s="12" customFormat="1" ht="14.4" hidden="1" x14ac:dyDescent="0.3">
      <c r="A1459" s="12" t="s">
        <v>39</v>
      </c>
      <c r="B1459" s="12" t="s">
        <v>4133</v>
      </c>
      <c r="C1459" s="12">
        <v>70</v>
      </c>
      <c r="D1459" s="12">
        <v>418</v>
      </c>
      <c r="F1459" s="12" t="s">
        <v>4374</v>
      </c>
      <c r="G1459" s="12" t="str">
        <f t="shared" si="36"/>
        <v>704181103216398</v>
      </c>
      <c r="H1459" s="12" t="s">
        <v>4375</v>
      </c>
      <c r="I1459" s="12">
        <v>1103216398</v>
      </c>
      <c r="J1459" s="12" t="s">
        <v>4376</v>
      </c>
      <c r="K1459" s="12" t="s">
        <v>246</v>
      </c>
      <c r="L1459" s="12">
        <v>3144751184</v>
      </c>
      <c r="M1459" s="12" t="s">
        <v>4377</v>
      </c>
      <c r="N1459" s="12" t="s">
        <v>259</v>
      </c>
      <c r="O1459" s="12" t="s">
        <v>260</v>
      </c>
      <c r="P1459" s="88" t="s">
        <v>261</v>
      </c>
      <c r="Q1459" s="13">
        <v>45539</v>
      </c>
      <c r="R1459" s="59">
        <v>0.61499999999999999</v>
      </c>
      <c r="S1459" s="12" t="s">
        <v>49</v>
      </c>
      <c r="T1459" s="12" t="s">
        <v>4098</v>
      </c>
      <c r="U1459" s="12" t="s">
        <v>50</v>
      </c>
      <c r="AU1459" s="12" t="s">
        <v>53</v>
      </c>
    </row>
    <row r="1460" spans="1:52" s="12" customFormat="1" ht="14.4" hidden="1" x14ac:dyDescent="0.3">
      <c r="A1460" s="12" t="s">
        <v>39</v>
      </c>
      <c r="B1460" s="12" t="s">
        <v>4133</v>
      </c>
      <c r="C1460" s="12">
        <v>70</v>
      </c>
      <c r="D1460" s="12">
        <v>418</v>
      </c>
      <c r="F1460" s="12" t="s">
        <v>4378</v>
      </c>
      <c r="G1460" s="12" t="str">
        <f t="shared" si="36"/>
        <v>7041892551401</v>
      </c>
      <c r="I1460" s="12">
        <v>92551401</v>
      </c>
      <c r="J1460" s="12" t="s">
        <v>4379</v>
      </c>
      <c r="K1460" s="12" t="s">
        <v>246</v>
      </c>
      <c r="L1460" s="12">
        <v>3114270474</v>
      </c>
      <c r="M1460" s="12" t="s">
        <v>4380</v>
      </c>
      <c r="N1460" s="12" t="s">
        <v>259</v>
      </c>
      <c r="O1460" s="12" t="s">
        <v>260</v>
      </c>
      <c r="P1460" s="88" t="s">
        <v>261</v>
      </c>
      <c r="AU1460" s="12" t="s">
        <v>53</v>
      </c>
    </row>
    <row r="1461" spans="1:52" s="12" customFormat="1" ht="14.4" hidden="1" x14ac:dyDescent="0.3">
      <c r="A1461" s="12" t="s">
        <v>39</v>
      </c>
      <c r="B1461" s="12" t="s">
        <v>4133</v>
      </c>
      <c r="C1461" s="12">
        <v>70</v>
      </c>
      <c r="D1461" s="12">
        <v>418</v>
      </c>
      <c r="F1461" s="12" t="s">
        <v>4381</v>
      </c>
      <c r="G1461" s="12" t="str">
        <f t="shared" si="36"/>
        <v>704181193109507</v>
      </c>
      <c r="H1461" s="12" t="s">
        <v>4382</v>
      </c>
      <c r="I1461" s="12">
        <v>1193109507</v>
      </c>
      <c r="J1461" s="12" t="s">
        <v>4383</v>
      </c>
      <c r="K1461" s="12" t="s">
        <v>133</v>
      </c>
      <c r="L1461" s="12">
        <v>3234051588</v>
      </c>
      <c r="M1461" s="12" t="s">
        <v>4384</v>
      </c>
      <c r="N1461" s="12" t="s">
        <v>259</v>
      </c>
      <c r="O1461" s="12" t="s">
        <v>260</v>
      </c>
      <c r="P1461" s="88" t="s">
        <v>261</v>
      </c>
      <c r="Q1461" s="13">
        <v>45561</v>
      </c>
      <c r="R1461" s="59">
        <v>0.73499999999999999</v>
      </c>
      <c r="S1461" s="12" t="s">
        <v>49</v>
      </c>
      <c r="T1461" s="12" t="s">
        <v>4098</v>
      </c>
      <c r="U1461" s="12" t="s">
        <v>60</v>
      </c>
      <c r="V1461" s="13">
        <v>45097</v>
      </c>
      <c r="W1461" s="18">
        <v>0.63249999999999995</v>
      </c>
      <c r="X1461" s="12" t="s">
        <v>49</v>
      </c>
      <c r="Z1461" s="12" t="s">
        <v>50</v>
      </c>
      <c r="AA1461" s="12" t="s">
        <v>51</v>
      </c>
      <c r="AB1461" s="12" t="s">
        <v>51</v>
      </c>
      <c r="AU1461" s="12" t="s">
        <v>53</v>
      </c>
      <c r="AX1461" s="12" t="s">
        <v>51</v>
      </c>
      <c r="AZ1461" s="12" t="s">
        <v>51</v>
      </c>
    </row>
    <row r="1462" spans="1:52" s="12" customFormat="1" ht="14.4" hidden="1" x14ac:dyDescent="0.3">
      <c r="A1462" s="12" t="s">
        <v>39</v>
      </c>
      <c r="B1462" s="12" t="s">
        <v>4133</v>
      </c>
      <c r="C1462" s="12">
        <v>70</v>
      </c>
      <c r="D1462" s="12">
        <v>418</v>
      </c>
      <c r="F1462" s="12" t="s">
        <v>4385</v>
      </c>
      <c r="G1462" s="12" t="str">
        <f t="shared" si="36"/>
        <v>7041818775802</v>
      </c>
      <c r="I1462" s="12">
        <v>18775802</v>
      </c>
      <c r="J1462" s="12" t="s">
        <v>4386</v>
      </c>
      <c r="K1462" s="12" t="s">
        <v>246</v>
      </c>
      <c r="L1462" s="12">
        <v>3233933298</v>
      </c>
      <c r="M1462" s="12" t="s">
        <v>4387</v>
      </c>
      <c r="N1462" s="12" t="s">
        <v>259</v>
      </c>
      <c r="O1462" s="12" t="s">
        <v>260</v>
      </c>
      <c r="P1462" s="88" t="s">
        <v>261</v>
      </c>
      <c r="Q1462" s="13">
        <v>45559</v>
      </c>
      <c r="R1462" s="18">
        <v>0.71750000000000003</v>
      </c>
      <c r="S1462" s="12" t="s">
        <v>49</v>
      </c>
      <c r="T1462" s="12" t="s">
        <v>4219</v>
      </c>
      <c r="U1462" s="12" t="s">
        <v>60</v>
      </c>
      <c r="V1462" s="13">
        <v>45036</v>
      </c>
      <c r="W1462" s="59">
        <v>0.625</v>
      </c>
      <c r="X1462" s="12" t="s">
        <v>49</v>
      </c>
      <c r="Z1462" s="12" t="s">
        <v>60</v>
      </c>
      <c r="AA1462" s="12" t="s">
        <v>51</v>
      </c>
      <c r="AB1462" s="12" t="s">
        <v>51</v>
      </c>
      <c r="AU1462" s="12" t="s">
        <v>53</v>
      </c>
      <c r="AX1462" s="12" t="s">
        <v>51</v>
      </c>
      <c r="AZ1462" s="12" t="s">
        <v>51</v>
      </c>
    </row>
    <row r="1463" spans="1:52" s="12" customFormat="1" ht="14.4" hidden="1" x14ac:dyDescent="0.3">
      <c r="A1463" s="12" t="s">
        <v>39</v>
      </c>
      <c r="B1463" s="12" t="s">
        <v>4133</v>
      </c>
      <c r="C1463" s="12">
        <v>70</v>
      </c>
      <c r="D1463" s="12">
        <v>418</v>
      </c>
      <c r="F1463" s="12" t="s">
        <v>4388</v>
      </c>
      <c r="G1463" s="12" t="str">
        <f t="shared" si="36"/>
        <v>7041818777062</v>
      </c>
      <c r="H1463" s="12" t="s">
        <v>4389</v>
      </c>
      <c r="I1463" s="12">
        <v>18777062</v>
      </c>
      <c r="J1463" s="12" t="s">
        <v>4390</v>
      </c>
      <c r="K1463" s="12" t="s">
        <v>246</v>
      </c>
      <c r="L1463" s="12">
        <v>3107134582</v>
      </c>
      <c r="M1463" s="12" t="s">
        <v>4391</v>
      </c>
      <c r="N1463" s="12" t="s">
        <v>259</v>
      </c>
      <c r="O1463" s="12" t="s">
        <v>260</v>
      </c>
      <c r="P1463" s="88" t="s">
        <v>261</v>
      </c>
      <c r="Q1463" s="13">
        <v>45559</v>
      </c>
      <c r="R1463" s="16">
        <v>0.78</v>
      </c>
      <c r="S1463" s="12" t="s">
        <v>49</v>
      </c>
      <c r="T1463" s="12" t="s">
        <v>4098</v>
      </c>
      <c r="U1463" s="12" t="s">
        <v>50</v>
      </c>
      <c r="V1463" s="12" t="s">
        <v>4392</v>
      </c>
      <c r="W1463" s="16">
        <v>0.62749999999999995</v>
      </c>
      <c r="X1463" s="12" t="s">
        <v>49</v>
      </c>
      <c r="Z1463" s="12" t="s">
        <v>50</v>
      </c>
      <c r="AA1463" s="12" t="s">
        <v>51</v>
      </c>
      <c r="AB1463" s="12" t="s">
        <v>51</v>
      </c>
      <c r="AU1463" s="12" t="s">
        <v>53</v>
      </c>
      <c r="AX1463" s="12" t="s">
        <v>51</v>
      </c>
      <c r="AZ1463" s="12" t="s">
        <v>51</v>
      </c>
    </row>
    <row r="1464" spans="1:52" s="12" customFormat="1" ht="14.4" hidden="1" x14ac:dyDescent="0.3">
      <c r="A1464" s="12" t="s">
        <v>39</v>
      </c>
      <c r="B1464" s="12" t="s">
        <v>4133</v>
      </c>
      <c r="C1464" s="12">
        <v>70</v>
      </c>
      <c r="D1464" s="12">
        <v>418</v>
      </c>
      <c r="F1464" s="12" t="s">
        <v>4393</v>
      </c>
      <c r="G1464" s="12" t="str">
        <f t="shared" si="36"/>
        <v>7041818777592-9</v>
      </c>
      <c r="H1464" s="12" t="s">
        <v>4394</v>
      </c>
      <c r="I1464" s="12" t="s">
        <v>4395</v>
      </c>
      <c r="J1464" s="12" t="s">
        <v>4396</v>
      </c>
      <c r="K1464" s="12" t="s">
        <v>246</v>
      </c>
      <c r="L1464" s="12">
        <v>3106048894</v>
      </c>
      <c r="M1464" s="12" t="s">
        <v>4397</v>
      </c>
      <c r="N1464" s="12" t="s">
        <v>259</v>
      </c>
      <c r="O1464" s="12" t="s">
        <v>260</v>
      </c>
      <c r="P1464" s="88" t="s">
        <v>261</v>
      </c>
      <c r="Q1464" s="13">
        <v>45567</v>
      </c>
      <c r="R1464" s="16" t="s">
        <v>4108</v>
      </c>
      <c r="S1464" s="12" t="s">
        <v>49</v>
      </c>
      <c r="T1464" s="12" t="s">
        <v>4098</v>
      </c>
      <c r="U1464" s="12" t="s">
        <v>60</v>
      </c>
      <c r="AA1464" s="12" t="s">
        <v>51</v>
      </c>
      <c r="AB1464" s="12" t="s">
        <v>51</v>
      </c>
      <c r="AU1464" s="12" t="s">
        <v>53</v>
      </c>
      <c r="AX1464" s="12" t="s">
        <v>51</v>
      </c>
      <c r="AZ1464" s="12" t="s">
        <v>51</v>
      </c>
    </row>
    <row r="1465" spans="1:52" s="12" customFormat="1" ht="14.4" hidden="1" x14ac:dyDescent="0.3">
      <c r="A1465" s="12" t="s">
        <v>39</v>
      </c>
      <c r="B1465" s="12" t="s">
        <v>4133</v>
      </c>
      <c r="C1465" s="12">
        <v>70</v>
      </c>
      <c r="D1465" s="12">
        <v>418</v>
      </c>
      <c r="F1465" s="12" t="s">
        <v>4398</v>
      </c>
      <c r="G1465" s="12" t="str">
        <f t="shared" si="36"/>
        <v>7041818778072</v>
      </c>
      <c r="H1465" s="12" t="s">
        <v>4399</v>
      </c>
      <c r="I1465" s="12">
        <v>18778072</v>
      </c>
      <c r="J1465" s="12" t="s">
        <v>4400</v>
      </c>
      <c r="K1465" s="12" t="s">
        <v>246</v>
      </c>
      <c r="L1465" s="12">
        <v>3244773617</v>
      </c>
      <c r="M1465" s="12" t="s">
        <v>4401</v>
      </c>
      <c r="N1465" s="12" t="s">
        <v>259</v>
      </c>
      <c r="O1465" s="12" t="s">
        <v>260</v>
      </c>
      <c r="P1465" s="88" t="s">
        <v>261</v>
      </c>
      <c r="Q1465" s="13">
        <v>45567</v>
      </c>
      <c r="R1465" s="12" t="s">
        <v>4402</v>
      </c>
      <c r="S1465" s="12" t="s">
        <v>49</v>
      </c>
      <c r="T1465" s="12" t="s">
        <v>4098</v>
      </c>
      <c r="U1465" s="12" t="s">
        <v>60</v>
      </c>
      <c r="AA1465" s="12" t="s">
        <v>51</v>
      </c>
      <c r="AB1465" s="12" t="s">
        <v>51</v>
      </c>
      <c r="AU1465" s="12" t="s">
        <v>53</v>
      </c>
      <c r="AX1465" s="12" t="s">
        <v>51</v>
      </c>
      <c r="AZ1465" s="12" t="s">
        <v>51</v>
      </c>
    </row>
    <row r="1466" spans="1:52" s="12" customFormat="1" ht="14.4" hidden="1" x14ac:dyDescent="0.3">
      <c r="A1466" s="12" t="s">
        <v>39</v>
      </c>
      <c r="B1466" s="12" t="s">
        <v>4133</v>
      </c>
      <c r="C1466" s="12">
        <v>70</v>
      </c>
      <c r="D1466" s="12">
        <v>418</v>
      </c>
      <c r="F1466" s="12" t="s">
        <v>2592</v>
      </c>
      <c r="G1466" s="12" t="str">
        <f t="shared" si="36"/>
        <v>7041818777919</v>
      </c>
      <c r="I1466" s="12">
        <v>18777919</v>
      </c>
      <c r="J1466" s="12" t="s">
        <v>4403</v>
      </c>
      <c r="K1466" s="12" t="s">
        <v>246</v>
      </c>
      <c r="L1466" s="12">
        <v>3102450442</v>
      </c>
      <c r="M1466" s="12" t="s">
        <v>4404</v>
      </c>
      <c r="N1466" s="12" t="s">
        <v>259</v>
      </c>
      <c r="O1466" s="12" t="s">
        <v>260</v>
      </c>
      <c r="P1466" s="88" t="s">
        <v>261</v>
      </c>
      <c r="AU1466" s="12" t="s">
        <v>53</v>
      </c>
    </row>
    <row r="1467" spans="1:52" s="12" customFormat="1" ht="14.4" hidden="1" x14ac:dyDescent="0.3">
      <c r="A1467" s="12" t="s">
        <v>39</v>
      </c>
      <c r="B1467" s="12" t="s">
        <v>4133</v>
      </c>
      <c r="C1467" s="12">
        <v>70</v>
      </c>
      <c r="D1467" s="12">
        <v>418</v>
      </c>
      <c r="F1467" s="12" t="s">
        <v>4405</v>
      </c>
      <c r="G1467" s="12" t="str">
        <f t="shared" si="36"/>
        <v>70418925565525</v>
      </c>
      <c r="H1467" s="12" t="s">
        <v>4406</v>
      </c>
      <c r="I1467" s="12">
        <v>925565525</v>
      </c>
      <c r="J1467" s="12" t="s">
        <v>4407</v>
      </c>
      <c r="K1467" s="12" t="s">
        <v>246</v>
      </c>
      <c r="L1467" s="12">
        <v>3205711957</v>
      </c>
      <c r="M1467" s="12" t="s">
        <v>4408</v>
      </c>
      <c r="N1467" s="12" t="s">
        <v>259</v>
      </c>
      <c r="O1467" s="12" t="s">
        <v>260</v>
      </c>
      <c r="P1467" s="88" t="s">
        <v>261</v>
      </c>
      <c r="Q1467" s="13">
        <v>45568</v>
      </c>
      <c r="R1467" s="59">
        <v>0.745</v>
      </c>
      <c r="S1467" s="12" t="s">
        <v>49</v>
      </c>
      <c r="T1467" s="12" t="s">
        <v>4098</v>
      </c>
      <c r="U1467" s="12" t="s">
        <v>50</v>
      </c>
      <c r="V1467" s="13">
        <v>45034</v>
      </c>
      <c r="W1467" s="18">
        <v>0.82250000000000001</v>
      </c>
      <c r="X1467" s="12" t="s">
        <v>49</v>
      </c>
      <c r="Z1467" s="12" t="s">
        <v>50</v>
      </c>
      <c r="AA1467" s="12" t="s">
        <v>51</v>
      </c>
      <c r="AB1467" s="12" t="s">
        <v>51</v>
      </c>
      <c r="AU1467" s="12" t="s">
        <v>53</v>
      </c>
      <c r="AX1467" s="12" t="s">
        <v>51</v>
      </c>
      <c r="AZ1467" s="12" t="s">
        <v>51</v>
      </c>
    </row>
    <row r="1468" spans="1:52" s="12" customFormat="1" ht="14.4" hidden="1" x14ac:dyDescent="0.3">
      <c r="A1468" s="12" t="s">
        <v>39</v>
      </c>
      <c r="B1468" s="12" t="s">
        <v>4133</v>
      </c>
      <c r="C1468" s="12">
        <v>70</v>
      </c>
      <c r="D1468" s="12">
        <v>418</v>
      </c>
      <c r="F1468" s="12" t="s">
        <v>4409</v>
      </c>
      <c r="G1468" s="12" t="str">
        <f t="shared" si="36"/>
        <v>704181002301923</v>
      </c>
      <c r="H1468" s="12" t="s">
        <v>4410</v>
      </c>
      <c r="I1468" s="12">
        <v>1002301923</v>
      </c>
      <c r="J1468" s="12" t="s">
        <v>4411</v>
      </c>
      <c r="K1468" s="12" t="s">
        <v>246</v>
      </c>
      <c r="L1468" s="12">
        <v>3022509941</v>
      </c>
      <c r="M1468" s="12" t="s">
        <v>4412</v>
      </c>
      <c r="N1468" s="12" t="s">
        <v>259</v>
      </c>
      <c r="O1468" s="12" t="s">
        <v>260</v>
      </c>
      <c r="P1468" s="88" t="s">
        <v>261</v>
      </c>
      <c r="Q1468" s="13">
        <v>45609</v>
      </c>
      <c r="R1468" s="16">
        <v>0.66</v>
      </c>
      <c r="S1468" s="12" t="s">
        <v>49</v>
      </c>
      <c r="T1468" s="12" t="s">
        <v>4098</v>
      </c>
      <c r="U1468" s="12" t="s">
        <v>60</v>
      </c>
      <c r="AA1468" s="12" t="s">
        <v>51</v>
      </c>
      <c r="AB1468" s="12" t="s">
        <v>51</v>
      </c>
      <c r="AU1468" s="12" t="s">
        <v>53</v>
      </c>
      <c r="AX1468" s="12" t="s">
        <v>51</v>
      </c>
      <c r="AZ1468" s="12" t="s">
        <v>51</v>
      </c>
    </row>
    <row r="1469" spans="1:52" s="12" customFormat="1" ht="14.4" hidden="1" x14ac:dyDescent="0.3">
      <c r="A1469" s="12" t="s">
        <v>39</v>
      </c>
      <c r="B1469" s="12" t="s">
        <v>4133</v>
      </c>
      <c r="C1469" s="12">
        <v>70</v>
      </c>
      <c r="D1469" s="12">
        <v>418</v>
      </c>
      <c r="F1469" s="12" t="s">
        <v>4413</v>
      </c>
      <c r="G1469" s="12" t="str">
        <f t="shared" si="36"/>
        <v>704189012111106</v>
      </c>
      <c r="H1469" s="12" t="s">
        <v>4414</v>
      </c>
      <c r="I1469" s="12">
        <v>9012111106</v>
      </c>
      <c r="J1469" s="12" t="s">
        <v>4415</v>
      </c>
      <c r="K1469" s="12" t="s">
        <v>246</v>
      </c>
      <c r="L1469" s="12">
        <v>3007433394</v>
      </c>
      <c r="M1469" s="12" t="s">
        <v>4373</v>
      </c>
      <c r="N1469" s="12" t="s">
        <v>259</v>
      </c>
      <c r="O1469" s="12" t="s">
        <v>260</v>
      </c>
      <c r="P1469" s="88" t="s">
        <v>261</v>
      </c>
      <c r="Q1469" s="13">
        <v>45609</v>
      </c>
      <c r="R1469" s="16" t="s">
        <v>4108</v>
      </c>
      <c r="S1469" s="12" t="s">
        <v>49</v>
      </c>
      <c r="T1469" s="12" t="s">
        <v>4219</v>
      </c>
      <c r="U1469" s="12" t="s">
        <v>60</v>
      </c>
      <c r="V1469" s="13">
        <v>43907</v>
      </c>
      <c r="W1469" s="16" t="s">
        <v>1906</v>
      </c>
      <c r="X1469" s="12" t="s">
        <v>49</v>
      </c>
      <c r="Z1469" s="12" t="s">
        <v>50</v>
      </c>
      <c r="AA1469" s="12" t="s">
        <v>51</v>
      </c>
      <c r="AB1469" s="12" t="s">
        <v>51</v>
      </c>
      <c r="AU1469" s="12" t="s">
        <v>53</v>
      </c>
      <c r="AX1469" s="12" t="s">
        <v>51</v>
      </c>
      <c r="AZ1469" s="12" t="s">
        <v>51</v>
      </c>
    </row>
    <row r="1470" spans="1:52" s="12" customFormat="1" ht="14.4" hidden="1" x14ac:dyDescent="0.3">
      <c r="A1470" s="12" t="s">
        <v>39</v>
      </c>
      <c r="B1470" s="12" t="s">
        <v>4133</v>
      </c>
      <c r="C1470" s="12">
        <v>70</v>
      </c>
      <c r="D1470" s="12">
        <v>418</v>
      </c>
      <c r="F1470" s="12" t="s">
        <v>4416</v>
      </c>
      <c r="G1470" s="12" t="str">
        <f t="shared" si="36"/>
        <v>704189012111106</v>
      </c>
      <c r="H1470" s="12" t="s">
        <v>4417</v>
      </c>
      <c r="I1470" s="12">
        <v>9012111106</v>
      </c>
      <c r="J1470" s="12" t="s">
        <v>4418</v>
      </c>
      <c r="K1470" s="12" t="s">
        <v>246</v>
      </c>
      <c r="L1470" s="12">
        <v>3007433394</v>
      </c>
      <c r="M1470" s="12" t="s">
        <v>4373</v>
      </c>
      <c r="N1470" s="12" t="s">
        <v>259</v>
      </c>
      <c r="O1470" s="12" t="s">
        <v>260</v>
      </c>
      <c r="P1470" s="88" t="s">
        <v>261</v>
      </c>
      <c r="Q1470" s="13">
        <v>45622</v>
      </c>
      <c r="R1470" s="16">
        <v>0.97</v>
      </c>
      <c r="S1470" s="12" t="s">
        <v>210</v>
      </c>
      <c r="T1470" s="12" t="s">
        <v>4098</v>
      </c>
      <c r="U1470" s="12" t="s">
        <v>60</v>
      </c>
      <c r="V1470" s="13">
        <v>45288</v>
      </c>
      <c r="W1470" s="16">
        <v>0.96</v>
      </c>
      <c r="X1470" s="12" t="s">
        <v>210</v>
      </c>
      <c r="Z1470" s="12" t="s">
        <v>50</v>
      </c>
      <c r="AA1470" s="12" t="s">
        <v>51</v>
      </c>
      <c r="AB1470" s="12" t="s">
        <v>51</v>
      </c>
      <c r="AU1470" s="12" t="s">
        <v>53</v>
      </c>
      <c r="AX1470" s="12" t="s">
        <v>51</v>
      </c>
      <c r="AZ1470" s="12" t="s">
        <v>51</v>
      </c>
    </row>
    <row r="1471" spans="1:52" s="12" customFormat="1" ht="14.4" hidden="1" x14ac:dyDescent="0.3">
      <c r="A1471" s="12" t="s">
        <v>39</v>
      </c>
      <c r="B1471" s="12" t="s">
        <v>4133</v>
      </c>
      <c r="C1471" s="12">
        <v>70</v>
      </c>
      <c r="D1471" s="12">
        <v>418</v>
      </c>
      <c r="F1471" s="12" t="s">
        <v>4419</v>
      </c>
      <c r="G1471" s="12" t="str">
        <f t="shared" si="36"/>
        <v>7041811032160913</v>
      </c>
      <c r="H1471" s="12" t="s">
        <v>4420</v>
      </c>
      <c r="I1471" s="12">
        <v>11032160913</v>
      </c>
      <c r="J1471" s="12" t="s">
        <v>4421</v>
      </c>
      <c r="K1471" s="12" t="s">
        <v>246</v>
      </c>
      <c r="L1471" s="12">
        <v>3007433394</v>
      </c>
      <c r="M1471" s="12" t="s">
        <v>4373</v>
      </c>
      <c r="N1471" s="12" t="s">
        <v>259</v>
      </c>
      <c r="O1471" s="12" t="s">
        <v>260</v>
      </c>
      <c r="P1471" s="88" t="s">
        <v>261</v>
      </c>
      <c r="Q1471" s="13">
        <v>45568</v>
      </c>
      <c r="R1471" s="18">
        <v>0.71250000000000002</v>
      </c>
      <c r="S1471" s="12" t="s">
        <v>49</v>
      </c>
      <c r="T1471" s="12" t="s">
        <v>4098</v>
      </c>
      <c r="U1471" s="12" t="s">
        <v>60</v>
      </c>
      <c r="AU1471" s="12" t="s">
        <v>53</v>
      </c>
    </row>
    <row r="1472" spans="1:52" s="12" customFormat="1" ht="14.4" hidden="1" x14ac:dyDescent="0.3">
      <c r="A1472" s="12" t="s">
        <v>39</v>
      </c>
      <c r="B1472" s="12" t="s">
        <v>4133</v>
      </c>
      <c r="C1472" s="12">
        <v>70</v>
      </c>
      <c r="D1472" s="12">
        <v>418</v>
      </c>
      <c r="E1472" s="12" t="s">
        <v>4422</v>
      </c>
      <c r="F1472" s="275" t="s">
        <v>7870</v>
      </c>
      <c r="G1472" s="12" t="str">
        <f t="shared" si="36"/>
        <v>7041811031249341</v>
      </c>
      <c r="H1472" s="12" t="s">
        <v>4422</v>
      </c>
      <c r="I1472" s="12">
        <v>11031249341</v>
      </c>
      <c r="J1472" s="12" t="s">
        <v>4423</v>
      </c>
      <c r="K1472" s="12" t="s">
        <v>230</v>
      </c>
      <c r="L1472" s="12">
        <v>3138492726</v>
      </c>
      <c r="M1472" s="17" t="s">
        <v>4424</v>
      </c>
      <c r="N1472" s="12" t="s">
        <v>259</v>
      </c>
      <c r="O1472" s="12" t="s">
        <v>260</v>
      </c>
      <c r="P1472" s="88" t="s">
        <v>261</v>
      </c>
      <c r="Q1472" s="13">
        <v>46052</v>
      </c>
      <c r="R1472" s="12" t="s">
        <v>8587</v>
      </c>
      <c r="S1472" s="12" t="s">
        <v>49</v>
      </c>
      <c r="T1472" s="12" t="s">
        <v>7672</v>
      </c>
      <c r="U1472" s="12" t="s">
        <v>2456</v>
      </c>
      <c r="V1472" s="13">
        <v>45827</v>
      </c>
      <c r="W1472" s="16">
        <v>0.85</v>
      </c>
      <c r="X1472" s="12" t="s">
        <v>74</v>
      </c>
      <c r="Y1472" s="12" t="s">
        <v>4098</v>
      </c>
      <c r="Z1472" s="12" t="s">
        <v>60</v>
      </c>
      <c r="AA1472" s="12" t="s">
        <v>51</v>
      </c>
      <c r="AB1472" s="12" t="s">
        <v>51</v>
      </c>
      <c r="AC1472" s="13">
        <v>45758</v>
      </c>
      <c r="AD1472" s="16">
        <v>0.76</v>
      </c>
      <c r="AE1472" s="12" t="s">
        <v>74</v>
      </c>
      <c r="AF1472" s="12" t="s">
        <v>2456</v>
      </c>
      <c r="AG1472" s="12" t="s">
        <v>51</v>
      </c>
      <c r="AH1472" s="12" t="s">
        <v>51</v>
      </c>
      <c r="AI1472" s="13">
        <v>45757</v>
      </c>
      <c r="AJ1472" s="12" t="s">
        <v>4425</v>
      </c>
      <c r="AK1472" s="12" t="s">
        <v>4426</v>
      </c>
      <c r="AL1472" s="12" t="s">
        <v>60</v>
      </c>
      <c r="AM1472" s="12" t="s">
        <v>51</v>
      </c>
      <c r="AN1472" s="12" t="s">
        <v>51</v>
      </c>
      <c r="AU1472" s="12" t="s">
        <v>53</v>
      </c>
      <c r="AX1472" s="12" t="s">
        <v>1920</v>
      </c>
      <c r="AY1472" s="12" t="s">
        <v>4427</v>
      </c>
      <c r="AZ1472" s="12" t="s">
        <v>7871</v>
      </c>
    </row>
    <row r="1473" spans="1:57" s="12" customFormat="1" ht="14.4" hidden="1" x14ac:dyDescent="0.3">
      <c r="A1473" s="12" t="s">
        <v>39</v>
      </c>
      <c r="B1473" s="12" t="s">
        <v>4133</v>
      </c>
      <c r="C1473" s="12">
        <v>70</v>
      </c>
      <c r="D1473" s="12">
        <v>418</v>
      </c>
      <c r="F1473" s="12" t="s">
        <v>4428</v>
      </c>
      <c r="G1473" s="12" t="str">
        <f t="shared" si="36"/>
        <v>704189012111106</v>
      </c>
      <c r="I1473" s="12">
        <v>9012111106</v>
      </c>
      <c r="J1473" s="12" t="s">
        <v>4429</v>
      </c>
      <c r="K1473" s="12" t="s">
        <v>246</v>
      </c>
      <c r="L1473" s="12">
        <v>3007433394</v>
      </c>
      <c r="M1473" s="12" t="s">
        <v>4373</v>
      </c>
      <c r="N1473" s="12" t="s">
        <v>259</v>
      </c>
      <c r="O1473" s="12" t="s">
        <v>260</v>
      </c>
      <c r="P1473" s="88" t="s">
        <v>261</v>
      </c>
      <c r="AU1473" s="12" t="s">
        <v>53</v>
      </c>
    </row>
    <row r="1474" spans="1:57" s="12" customFormat="1" ht="14.4" hidden="1" x14ac:dyDescent="0.3">
      <c r="A1474" s="12" t="s">
        <v>39</v>
      </c>
      <c r="B1474" s="12" t="s">
        <v>4133</v>
      </c>
      <c r="C1474" s="12">
        <v>70</v>
      </c>
      <c r="D1474" s="12">
        <v>418</v>
      </c>
      <c r="F1474" s="12" t="s">
        <v>4430</v>
      </c>
      <c r="G1474" s="12" t="str">
        <f t="shared" si="36"/>
        <v>70418187760020</v>
      </c>
      <c r="I1474" s="12">
        <v>187760020</v>
      </c>
      <c r="J1474" s="12" t="s">
        <v>4431</v>
      </c>
      <c r="K1474" s="12" t="s">
        <v>246</v>
      </c>
      <c r="L1474" s="12">
        <v>3107406985</v>
      </c>
      <c r="M1474" s="12" t="s">
        <v>4432</v>
      </c>
      <c r="N1474" s="12" t="s">
        <v>432</v>
      </c>
      <c r="O1474" s="12" t="s">
        <v>432</v>
      </c>
      <c r="P1474" s="88" t="s">
        <v>261</v>
      </c>
      <c r="AU1474" s="12" t="s">
        <v>53</v>
      </c>
    </row>
    <row r="1475" spans="1:57" s="12" customFormat="1" ht="14.4" hidden="1" x14ac:dyDescent="0.3">
      <c r="A1475" s="12" t="s">
        <v>39</v>
      </c>
      <c r="B1475" s="12" t="s">
        <v>4133</v>
      </c>
      <c r="C1475" s="12">
        <v>70</v>
      </c>
      <c r="D1475" s="12">
        <v>418</v>
      </c>
      <c r="F1475" s="12" t="s">
        <v>4433</v>
      </c>
      <c r="G1475" s="12" t="str">
        <f t="shared" si="36"/>
        <v>7041893114974</v>
      </c>
      <c r="I1475" s="12">
        <v>93114974</v>
      </c>
      <c r="J1475" s="12" t="s">
        <v>4434</v>
      </c>
      <c r="K1475" s="12" t="s">
        <v>246</v>
      </c>
      <c r="L1475" s="12">
        <v>3126388209</v>
      </c>
      <c r="M1475" s="12" t="s">
        <v>4435</v>
      </c>
      <c r="N1475" s="12" t="s">
        <v>432</v>
      </c>
      <c r="O1475" s="12" t="s">
        <v>432</v>
      </c>
      <c r="P1475" s="88" t="s">
        <v>261</v>
      </c>
      <c r="AU1475" s="12" t="s">
        <v>53</v>
      </c>
    </row>
    <row r="1476" spans="1:57" s="12" customFormat="1" ht="14.4" hidden="1" x14ac:dyDescent="0.3">
      <c r="A1476" s="12" t="s">
        <v>39</v>
      </c>
      <c r="B1476" s="12" t="s">
        <v>4133</v>
      </c>
      <c r="C1476" s="12">
        <v>70</v>
      </c>
      <c r="D1476" s="12">
        <v>418</v>
      </c>
      <c r="F1476" s="12" t="s">
        <v>4436</v>
      </c>
      <c r="G1476" s="12" t="str">
        <f t="shared" si="36"/>
        <v>70418925578911</v>
      </c>
      <c r="I1476" s="12">
        <v>925578911</v>
      </c>
      <c r="J1476" s="12" t="s">
        <v>4437</v>
      </c>
      <c r="K1476" s="12" t="s">
        <v>246</v>
      </c>
      <c r="L1476" s="12">
        <v>3147007678</v>
      </c>
      <c r="M1476" s="12" t="s">
        <v>4438</v>
      </c>
      <c r="N1476" s="12" t="s">
        <v>432</v>
      </c>
      <c r="O1476" s="12" t="s">
        <v>432</v>
      </c>
      <c r="P1476" s="88" t="s">
        <v>261</v>
      </c>
      <c r="AU1476" s="12" t="s">
        <v>53</v>
      </c>
    </row>
    <row r="1477" spans="1:57" s="12" customFormat="1" ht="14.4" hidden="1" x14ac:dyDescent="0.3">
      <c r="A1477" s="12" t="s">
        <v>39</v>
      </c>
      <c r="B1477" s="12" t="s">
        <v>4133</v>
      </c>
      <c r="C1477" s="12">
        <v>70</v>
      </c>
      <c r="D1477" s="12">
        <v>418</v>
      </c>
      <c r="F1477" s="12" t="s">
        <v>4439</v>
      </c>
      <c r="G1477" s="12" t="str">
        <f t="shared" si="36"/>
        <v>7041811032159231</v>
      </c>
      <c r="I1477" s="12">
        <v>11032159231</v>
      </c>
      <c r="J1477" s="12" t="s">
        <v>4440</v>
      </c>
      <c r="K1477" s="12" t="s">
        <v>246</v>
      </c>
      <c r="L1477" s="12">
        <v>3004669720</v>
      </c>
      <c r="M1477" s="12" t="s">
        <v>4441</v>
      </c>
      <c r="N1477" s="12" t="s">
        <v>432</v>
      </c>
      <c r="O1477" s="12" t="s">
        <v>432</v>
      </c>
      <c r="P1477" s="88" t="s">
        <v>261</v>
      </c>
      <c r="AU1477" s="12" t="s">
        <v>53</v>
      </c>
    </row>
    <row r="1478" spans="1:57" s="12" customFormat="1" ht="14.4" hidden="1" x14ac:dyDescent="0.3">
      <c r="A1478" s="12" t="s">
        <v>39</v>
      </c>
      <c r="B1478" s="12" t="s">
        <v>4133</v>
      </c>
      <c r="C1478" s="12">
        <v>70</v>
      </c>
      <c r="D1478" s="12">
        <v>418</v>
      </c>
      <c r="F1478" s="12" t="s">
        <v>4442</v>
      </c>
      <c r="G1478" s="12" t="str">
        <f t="shared" si="36"/>
        <v>70418925360117</v>
      </c>
      <c r="H1478" s="12" t="s">
        <v>4443</v>
      </c>
      <c r="I1478" s="12">
        <v>925360117</v>
      </c>
      <c r="J1478" s="12" t="s">
        <v>4444</v>
      </c>
      <c r="K1478" s="12" t="s">
        <v>246</v>
      </c>
      <c r="L1478" s="12">
        <v>3003485804</v>
      </c>
      <c r="M1478" s="12" t="s">
        <v>4445</v>
      </c>
      <c r="N1478" s="12" t="s">
        <v>432</v>
      </c>
      <c r="O1478" s="12" t="s">
        <v>432</v>
      </c>
      <c r="P1478" s="88" t="s">
        <v>261</v>
      </c>
      <c r="Q1478" s="13">
        <v>45626</v>
      </c>
      <c r="R1478" s="16">
        <v>0.9</v>
      </c>
      <c r="S1478" s="12" t="s">
        <v>210</v>
      </c>
      <c r="T1478" s="12" t="s">
        <v>4098</v>
      </c>
      <c r="U1478" s="12" t="s">
        <v>50</v>
      </c>
      <c r="AA1478" s="12" t="s">
        <v>51</v>
      </c>
      <c r="AB1478" s="12" t="s">
        <v>51</v>
      </c>
      <c r="AU1478" s="12" t="s">
        <v>53</v>
      </c>
      <c r="AX1478" s="12" t="s">
        <v>51</v>
      </c>
      <c r="AZ1478" s="12" t="s">
        <v>51</v>
      </c>
    </row>
    <row r="1479" spans="1:57" s="12" customFormat="1" ht="14.4" hidden="1" x14ac:dyDescent="0.3">
      <c r="A1479" s="12" t="s">
        <v>39</v>
      </c>
      <c r="B1479" s="12" t="s">
        <v>4133</v>
      </c>
      <c r="C1479" s="12">
        <v>70</v>
      </c>
      <c r="D1479" s="12">
        <v>418</v>
      </c>
      <c r="F1479" s="12" t="s">
        <v>4446</v>
      </c>
      <c r="G1479" s="12" t="str">
        <f t="shared" si="36"/>
        <v>7041811028305241</v>
      </c>
      <c r="H1479" s="12" t="s">
        <v>4447</v>
      </c>
      <c r="I1479" s="12">
        <v>11028305241</v>
      </c>
      <c r="J1479" s="12" t="s">
        <v>4448</v>
      </c>
      <c r="K1479" s="12" t="s">
        <v>246</v>
      </c>
      <c r="L1479" s="12">
        <v>3105280060</v>
      </c>
      <c r="M1479" s="12" t="s">
        <v>4449</v>
      </c>
      <c r="N1479" s="12" t="s">
        <v>432</v>
      </c>
      <c r="O1479" s="12" t="s">
        <v>432</v>
      </c>
      <c r="P1479" s="88" t="s">
        <v>261</v>
      </c>
      <c r="Q1479" s="13">
        <v>45626</v>
      </c>
      <c r="R1479" s="16">
        <v>0.84</v>
      </c>
      <c r="S1479" s="12" t="s">
        <v>49</v>
      </c>
      <c r="T1479" s="12" t="s">
        <v>4098</v>
      </c>
      <c r="U1479" s="12" t="s">
        <v>60</v>
      </c>
      <c r="AA1479" s="12" t="s">
        <v>51</v>
      </c>
      <c r="AB1479" s="12" t="s">
        <v>51</v>
      </c>
      <c r="AU1479" s="12" t="s">
        <v>53</v>
      </c>
      <c r="AX1479" s="12" t="s">
        <v>51</v>
      </c>
      <c r="AZ1479" s="12" t="s">
        <v>51</v>
      </c>
    </row>
    <row r="1480" spans="1:57" s="12" customFormat="1" ht="14.4" hidden="1" x14ac:dyDescent="0.3">
      <c r="A1480" s="12" t="s">
        <v>39</v>
      </c>
      <c r="B1480" s="12" t="s">
        <v>4133</v>
      </c>
      <c r="C1480" s="12">
        <v>70</v>
      </c>
      <c r="D1480" s="12">
        <v>418</v>
      </c>
      <c r="F1480" s="12" t="s">
        <v>4450</v>
      </c>
      <c r="G1480" s="12" t="str">
        <f t="shared" si="36"/>
        <v>704189014618398</v>
      </c>
      <c r="I1480" s="12">
        <v>9014618398</v>
      </c>
      <c r="J1480" s="12" t="s">
        <v>4451</v>
      </c>
      <c r="K1480" s="12" t="s">
        <v>246</v>
      </c>
      <c r="L1480" s="12">
        <v>3013463160</v>
      </c>
      <c r="M1480" s="12" t="s">
        <v>4452</v>
      </c>
      <c r="N1480" s="12" t="s">
        <v>432</v>
      </c>
      <c r="O1480" s="12" t="s">
        <v>432</v>
      </c>
      <c r="P1480" s="88" t="s">
        <v>261</v>
      </c>
      <c r="Q1480" s="13">
        <v>45625</v>
      </c>
      <c r="R1480" s="16">
        <v>0.91</v>
      </c>
      <c r="S1480" s="12" t="s">
        <v>210</v>
      </c>
      <c r="T1480" s="12" t="s">
        <v>4098</v>
      </c>
      <c r="U1480" s="12" t="s">
        <v>50</v>
      </c>
      <c r="AU1480" s="12" t="s">
        <v>53</v>
      </c>
    </row>
    <row r="1481" spans="1:57" s="12" customFormat="1" ht="14.4" x14ac:dyDescent="0.3">
      <c r="A1481" s="12" t="s">
        <v>39</v>
      </c>
      <c r="B1481" s="12" t="s">
        <v>4453</v>
      </c>
      <c r="C1481" s="12">
        <v>70</v>
      </c>
      <c r="D1481" s="12">
        <v>429</v>
      </c>
      <c r="F1481" s="275" t="s">
        <v>4454</v>
      </c>
      <c r="G1481" s="12" t="str">
        <f t="shared" si="36"/>
        <v>7042922565747</v>
      </c>
      <c r="H1481" s="12" t="s">
        <v>4455</v>
      </c>
      <c r="I1481" s="12">
        <v>22565747</v>
      </c>
      <c r="J1481" s="12" t="s">
        <v>4456</v>
      </c>
      <c r="K1481" s="12" t="s">
        <v>230</v>
      </c>
      <c r="L1481" s="12">
        <v>3243770312</v>
      </c>
      <c r="M1481" s="12" t="s">
        <v>8803</v>
      </c>
      <c r="N1481" s="12" t="s">
        <v>46</v>
      </c>
      <c r="O1481" s="12" t="s">
        <v>47</v>
      </c>
      <c r="P1481" s="88" t="s">
        <v>48</v>
      </c>
      <c r="Q1481" s="13">
        <v>46139</v>
      </c>
      <c r="R1481" s="12">
        <v>81</v>
      </c>
      <c r="S1481" s="12" t="s">
        <v>74</v>
      </c>
      <c r="T1481" s="12" t="s">
        <v>4491</v>
      </c>
      <c r="U1481" s="12" t="s">
        <v>60</v>
      </c>
      <c r="V1481" s="13">
        <v>45789</v>
      </c>
      <c r="W1481" s="12" t="s">
        <v>201</v>
      </c>
      <c r="X1481" s="12" t="s">
        <v>49</v>
      </c>
      <c r="Y1481" s="12" t="s">
        <v>4457</v>
      </c>
      <c r="Z1481" s="12" t="s">
        <v>60</v>
      </c>
      <c r="AA1481" s="12" t="s">
        <v>51</v>
      </c>
      <c r="AB1481" s="12" t="s">
        <v>51</v>
      </c>
      <c r="AC1481" s="13">
        <v>45415</v>
      </c>
      <c r="AD1481" s="59">
        <v>0.84499999999999997</v>
      </c>
      <c r="AE1481" s="12" t="s">
        <v>139</v>
      </c>
      <c r="AF1481" s="12" t="s">
        <v>50</v>
      </c>
      <c r="AG1481" s="12" t="s">
        <v>51</v>
      </c>
      <c r="AH1481" s="12" t="s">
        <v>51</v>
      </c>
      <c r="AI1481" s="13">
        <v>45084</v>
      </c>
      <c r="AJ1481" s="16">
        <v>0.67</v>
      </c>
      <c r="AK1481" s="12" t="s">
        <v>49</v>
      </c>
      <c r="AM1481" s="12" t="s">
        <v>51</v>
      </c>
      <c r="AN1481" s="12" t="s">
        <v>51</v>
      </c>
      <c r="AO1481" s="13">
        <v>44712</v>
      </c>
      <c r="AP1481" s="16">
        <v>0.81</v>
      </c>
      <c r="AQ1481" s="12" t="s">
        <v>49</v>
      </c>
      <c r="AR1481" s="12" t="s">
        <v>60</v>
      </c>
      <c r="AS1481" s="12" t="s">
        <v>51</v>
      </c>
      <c r="AT1481" s="12" t="s">
        <v>51</v>
      </c>
      <c r="AU1481" s="12" t="s">
        <v>53</v>
      </c>
      <c r="AX1481" s="12" t="s">
        <v>51</v>
      </c>
      <c r="AZ1481" s="12" t="s">
        <v>51</v>
      </c>
      <c r="BB1481" s="13">
        <v>44344</v>
      </c>
      <c r="BC1481" s="18">
        <v>0.92500000000000004</v>
      </c>
      <c r="BD1481" s="12" t="s">
        <v>319</v>
      </c>
      <c r="BE1481" s="12" t="s">
        <v>50</v>
      </c>
    </row>
    <row r="1482" spans="1:57" s="12" customFormat="1" ht="14.4" hidden="1" x14ac:dyDescent="0.3">
      <c r="A1482" s="12" t="s">
        <v>39</v>
      </c>
      <c r="B1482" s="12" t="s">
        <v>4453</v>
      </c>
      <c r="C1482" s="12">
        <v>70</v>
      </c>
      <c r="D1482" s="12">
        <v>429</v>
      </c>
      <c r="E1482" s="12" t="s">
        <v>8981</v>
      </c>
      <c r="F1482" s="275" t="s">
        <v>8982</v>
      </c>
      <c r="G1482" s="12" t="str">
        <f t="shared" si="36"/>
        <v>704299830507103</v>
      </c>
      <c r="H1482" s="367" t="s">
        <v>8983</v>
      </c>
      <c r="I1482" s="12">
        <v>9830507103</v>
      </c>
      <c r="J1482" s="12" t="s">
        <v>8984</v>
      </c>
      <c r="K1482" s="12" t="s">
        <v>4092</v>
      </c>
      <c r="L1482" s="12">
        <v>3128038861</v>
      </c>
      <c r="M1482" s="12" t="s">
        <v>8985</v>
      </c>
      <c r="N1482" s="12" t="s">
        <v>2901</v>
      </c>
      <c r="O1482" s="12" t="s">
        <v>7684</v>
      </c>
      <c r="P1482" s="88" t="s">
        <v>80</v>
      </c>
      <c r="Q1482" s="13">
        <v>46181</v>
      </c>
      <c r="R1482" s="12">
        <v>95</v>
      </c>
      <c r="S1482" s="12" t="s">
        <v>210</v>
      </c>
      <c r="U1482" s="12" t="s">
        <v>2456</v>
      </c>
      <c r="V1482" s="13"/>
      <c r="AC1482" s="13"/>
      <c r="AD1482" s="59"/>
      <c r="AI1482" s="13"/>
      <c r="AJ1482" s="16"/>
      <c r="AO1482" s="13"/>
      <c r="AP1482" s="16"/>
      <c r="AU1482" s="12" t="s">
        <v>53</v>
      </c>
      <c r="BB1482" s="13"/>
      <c r="BC1482" s="18"/>
    </row>
    <row r="1483" spans="1:57" s="12" customFormat="1" ht="14.4" x14ac:dyDescent="0.3">
      <c r="A1483" s="12" t="s">
        <v>39</v>
      </c>
      <c r="B1483" s="12" t="s">
        <v>4453</v>
      </c>
      <c r="C1483" s="12">
        <v>70</v>
      </c>
      <c r="D1483" s="12">
        <v>429</v>
      </c>
      <c r="F1483" s="275" t="s">
        <v>9268</v>
      </c>
      <c r="G1483" s="12" t="str">
        <f t="shared" si="36"/>
        <v>7042934945081</v>
      </c>
      <c r="H1483" s="366" t="s">
        <v>9269</v>
      </c>
      <c r="I1483" s="12">
        <v>34945081</v>
      </c>
      <c r="J1483" s="12" t="s">
        <v>9270</v>
      </c>
      <c r="K1483" s="12" t="s">
        <v>44</v>
      </c>
      <c r="L1483" s="12">
        <v>3216073644</v>
      </c>
      <c r="M1483" s="12" t="s">
        <v>9271</v>
      </c>
      <c r="N1483" s="12" t="s">
        <v>46</v>
      </c>
      <c r="O1483" s="12" t="s">
        <v>47</v>
      </c>
      <c r="P1483" s="88" t="s">
        <v>48</v>
      </c>
      <c r="Q1483" s="13">
        <v>46224</v>
      </c>
      <c r="R1483" s="12" t="s">
        <v>8558</v>
      </c>
      <c r="S1483" s="12" t="s">
        <v>49</v>
      </c>
      <c r="T1483" s="12" t="s">
        <v>9240</v>
      </c>
      <c r="U1483" s="12" t="s">
        <v>60</v>
      </c>
      <c r="V1483" s="13"/>
      <c r="AC1483" s="13"/>
      <c r="AD1483" s="59"/>
      <c r="AI1483" s="13"/>
      <c r="AJ1483" s="16"/>
      <c r="AO1483" s="13"/>
      <c r="AP1483" s="16"/>
      <c r="AU1483" s="12" t="s">
        <v>53</v>
      </c>
      <c r="BB1483" s="13"/>
      <c r="BC1483" s="18"/>
    </row>
    <row r="1484" spans="1:57" s="12" customFormat="1" ht="14.4" x14ac:dyDescent="0.3">
      <c r="A1484" s="12" t="s">
        <v>39</v>
      </c>
      <c r="B1484" s="12" t="s">
        <v>4453</v>
      </c>
      <c r="C1484" s="12">
        <v>70</v>
      </c>
      <c r="D1484" s="12">
        <v>429</v>
      </c>
      <c r="F1484" s="275" t="s">
        <v>4458</v>
      </c>
      <c r="G1484" s="12" t="str">
        <f t="shared" si="36"/>
        <v>7042964747478</v>
      </c>
      <c r="H1484" s="12" t="s">
        <v>8795</v>
      </c>
      <c r="I1484" s="15">
        <v>64747478</v>
      </c>
      <c r="J1484" s="12" t="s">
        <v>8796</v>
      </c>
      <c r="K1484" s="12" t="s">
        <v>230</v>
      </c>
      <c r="L1484" s="12">
        <v>3006157856</v>
      </c>
      <c r="M1484" s="12" t="s">
        <v>8797</v>
      </c>
      <c r="N1484" s="12" t="s">
        <v>46</v>
      </c>
      <c r="O1484" s="12" t="s">
        <v>47</v>
      </c>
      <c r="P1484" s="88" t="s">
        <v>48</v>
      </c>
      <c r="Q1484" s="13">
        <v>46134</v>
      </c>
      <c r="R1484" s="12" t="s">
        <v>4833</v>
      </c>
      <c r="S1484" s="12" t="s">
        <v>49</v>
      </c>
      <c r="T1484" s="12" t="s">
        <v>4457</v>
      </c>
      <c r="U1484" s="12" t="s">
        <v>60</v>
      </c>
      <c r="V1484" s="13">
        <v>45414</v>
      </c>
      <c r="W1484" s="16">
        <v>0.77</v>
      </c>
      <c r="X1484" s="12" t="s">
        <v>49</v>
      </c>
      <c r="Z1484" s="12" t="s">
        <v>60</v>
      </c>
      <c r="AA1484" s="12" t="s">
        <v>51</v>
      </c>
      <c r="AB1484" s="12" t="s">
        <v>51</v>
      </c>
      <c r="AC1484" s="13">
        <v>45105</v>
      </c>
      <c r="AD1484" s="16">
        <v>0.86</v>
      </c>
      <c r="AE1484" s="12" t="s">
        <v>49</v>
      </c>
      <c r="AF1484" s="12" t="s">
        <v>50</v>
      </c>
      <c r="AU1484" s="12" t="s">
        <v>53</v>
      </c>
      <c r="AX1484" s="12" t="s">
        <v>51</v>
      </c>
      <c r="AZ1484" s="12" t="s">
        <v>51</v>
      </c>
    </row>
    <row r="1485" spans="1:57" s="12" customFormat="1" ht="14.4" x14ac:dyDescent="0.3">
      <c r="A1485" s="12" t="s">
        <v>39</v>
      </c>
      <c r="B1485" s="12" t="s">
        <v>4453</v>
      </c>
      <c r="C1485" s="12">
        <v>70</v>
      </c>
      <c r="D1485" s="12">
        <v>429</v>
      </c>
      <c r="F1485" s="275" t="s">
        <v>4459</v>
      </c>
      <c r="G1485" s="12" t="str">
        <f t="shared" si="36"/>
        <v>7042951928917</v>
      </c>
      <c r="H1485" s="12" t="s">
        <v>4460</v>
      </c>
      <c r="I1485" s="15">
        <v>51928917</v>
      </c>
      <c r="J1485" s="12" t="s">
        <v>4461</v>
      </c>
      <c r="K1485" s="12" t="s">
        <v>133</v>
      </c>
      <c r="L1485" s="12">
        <v>3126415024</v>
      </c>
      <c r="M1485" s="17" t="s">
        <v>4462</v>
      </c>
      <c r="N1485" s="12" t="s">
        <v>46</v>
      </c>
      <c r="O1485" s="12" t="s">
        <v>47</v>
      </c>
      <c r="P1485" s="88" t="s">
        <v>48</v>
      </c>
      <c r="Q1485" s="13">
        <v>45414</v>
      </c>
      <c r="R1485" s="18">
        <v>0.72499999999999998</v>
      </c>
      <c r="S1485" s="12" t="s">
        <v>49</v>
      </c>
      <c r="U1485" s="12" t="s">
        <v>60</v>
      </c>
      <c r="V1485" s="13">
        <v>45055</v>
      </c>
      <c r="W1485" s="16">
        <v>0.78</v>
      </c>
      <c r="X1485" s="12" t="s">
        <v>49</v>
      </c>
      <c r="Z1485" s="12" t="s">
        <v>50</v>
      </c>
      <c r="AA1485" s="12" t="s">
        <v>51</v>
      </c>
      <c r="AB1485" s="12" t="s">
        <v>51</v>
      </c>
      <c r="AU1485" s="12" t="s">
        <v>53</v>
      </c>
      <c r="AX1485" s="12" t="s">
        <v>51</v>
      </c>
      <c r="AZ1485" s="12" t="s">
        <v>51</v>
      </c>
    </row>
    <row r="1486" spans="1:57" s="12" customFormat="1" ht="14.4" x14ac:dyDescent="0.3">
      <c r="A1486" s="12" t="s">
        <v>39</v>
      </c>
      <c r="B1486" s="12" t="s">
        <v>4453</v>
      </c>
      <c r="C1486" s="12">
        <v>70</v>
      </c>
      <c r="D1486" s="12">
        <v>429</v>
      </c>
      <c r="F1486" s="275" t="s">
        <v>4463</v>
      </c>
      <c r="G1486" s="12" t="str">
        <f t="shared" ref="G1486:G1559" si="37">C1486&amp;D1486&amp;I1486</f>
        <v>704291102206426</v>
      </c>
      <c r="H1486" s="12" t="s">
        <v>4464</v>
      </c>
      <c r="I1486" s="15">
        <v>1102206426</v>
      </c>
      <c r="J1486" s="12" t="s">
        <v>4465</v>
      </c>
      <c r="K1486" s="12" t="s">
        <v>230</v>
      </c>
      <c r="L1486" s="12">
        <v>3014674434</v>
      </c>
      <c r="M1486" s="12" t="s">
        <v>45</v>
      </c>
      <c r="N1486" s="12" t="s">
        <v>46</v>
      </c>
      <c r="O1486" s="12" t="s">
        <v>47</v>
      </c>
      <c r="P1486" s="88" t="s">
        <v>48</v>
      </c>
      <c r="Q1486" s="13">
        <v>46208</v>
      </c>
      <c r="R1486" s="12">
        <v>75</v>
      </c>
      <c r="S1486" s="12" t="s">
        <v>49</v>
      </c>
      <c r="T1486" s="12" t="s">
        <v>4457</v>
      </c>
      <c r="U1486" s="12" t="s">
        <v>60</v>
      </c>
      <c r="V1486" s="13">
        <v>45415</v>
      </c>
      <c r="W1486" s="16">
        <v>0.79</v>
      </c>
      <c r="X1486" s="12" t="s">
        <v>49</v>
      </c>
      <c r="Z1486" s="12" t="s">
        <v>50</v>
      </c>
      <c r="AA1486" s="12" t="s">
        <v>51</v>
      </c>
      <c r="AB1486" s="12" t="s">
        <v>51</v>
      </c>
      <c r="AC1486" s="13">
        <v>45070</v>
      </c>
      <c r="AD1486" s="59">
        <v>0.73499999999999999</v>
      </c>
      <c r="AE1486" s="12" t="s">
        <v>49</v>
      </c>
      <c r="AF1486" s="12" t="s">
        <v>60</v>
      </c>
      <c r="AU1486" s="12" t="s">
        <v>53</v>
      </c>
      <c r="AX1486" s="12" t="s">
        <v>51</v>
      </c>
      <c r="AZ1486" s="12" t="s">
        <v>51</v>
      </c>
    </row>
    <row r="1487" spans="1:57" s="12" customFormat="1" ht="14.4" x14ac:dyDescent="0.3">
      <c r="A1487" s="12" t="s">
        <v>39</v>
      </c>
      <c r="B1487" s="12" t="s">
        <v>4453</v>
      </c>
      <c r="C1487" s="12">
        <v>70</v>
      </c>
      <c r="D1487" s="12">
        <v>429</v>
      </c>
      <c r="F1487" s="275" t="s">
        <v>4466</v>
      </c>
      <c r="G1487" s="12" t="str">
        <f t="shared" si="37"/>
        <v>704291104328602</v>
      </c>
      <c r="H1487" s="12" t="s">
        <v>4467</v>
      </c>
      <c r="I1487" s="15">
        <v>1104328602</v>
      </c>
      <c r="J1487" s="12" t="s">
        <v>9264</v>
      </c>
      <c r="K1487" s="12" t="s">
        <v>230</v>
      </c>
      <c r="L1487" s="12">
        <v>3126203017</v>
      </c>
      <c r="M1487" s="12" t="s">
        <v>9265</v>
      </c>
      <c r="N1487" s="12" t="s">
        <v>46</v>
      </c>
      <c r="O1487" s="12" t="s">
        <v>47</v>
      </c>
      <c r="P1487" s="88" t="s">
        <v>48</v>
      </c>
      <c r="Q1487" s="13">
        <v>46209</v>
      </c>
      <c r="R1487" s="12">
        <v>81</v>
      </c>
      <c r="S1487" s="12" t="s">
        <v>49</v>
      </c>
      <c r="T1487" s="12" t="s">
        <v>4491</v>
      </c>
      <c r="U1487" s="12" t="s">
        <v>60</v>
      </c>
      <c r="V1487" s="13">
        <v>45447</v>
      </c>
      <c r="W1487" s="16">
        <v>0.86</v>
      </c>
      <c r="X1487" s="12" t="s">
        <v>49</v>
      </c>
      <c r="Z1487" s="12" t="s">
        <v>60</v>
      </c>
      <c r="AA1487" s="12" t="s">
        <v>51</v>
      </c>
      <c r="AB1487" s="12" t="s">
        <v>51</v>
      </c>
      <c r="AC1487" s="13">
        <v>45103</v>
      </c>
      <c r="AD1487" s="59">
        <v>0.88500000000000001</v>
      </c>
      <c r="AE1487" s="12" t="s">
        <v>49</v>
      </c>
      <c r="AG1487" s="12" t="s">
        <v>51</v>
      </c>
      <c r="AH1487" s="12" t="s">
        <v>51</v>
      </c>
      <c r="AI1487" s="13">
        <v>44909</v>
      </c>
      <c r="AJ1487" s="16">
        <v>0.7</v>
      </c>
      <c r="AK1487" s="12" t="s">
        <v>49</v>
      </c>
      <c r="AL1487" s="12" t="s">
        <v>50</v>
      </c>
      <c r="AM1487" s="12" t="s">
        <v>51</v>
      </c>
      <c r="AN1487" s="12" t="s">
        <v>51</v>
      </c>
      <c r="AO1487" s="13">
        <v>44670</v>
      </c>
      <c r="AP1487" s="59">
        <v>0.78500000000000003</v>
      </c>
      <c r="AQ1487" s="12" t="s">
        <v>49</v>
      </c>
      <c r="AR1487" s="12" t="s">
        <v>60</v>
      </c>
      <c r="AS1487" s="12" t="s">
        <v>51</v>
      </c>
      <c r="AT1487" s="12" t="s">
        <v>51</v>
      </c>
      <c r="AU1487" s="12" t="s">
        <v>53</v>
      </c>
      <c r="AX1487" s="12" t="s">
        <v>51</v>
      </c>
      <c r="AZ1487" s="12" t="s">
        <v>51</v>
      </c>
      <c r="BB1487" s="13">
        <v>44462</v>
      </c>
      <c r="BC1487" s="16" t="s">
        <v>201</v>
      </c>
      <c r="BD1487" s="12" t="s">
        <v>49</v>
      </c>
      <c r="BE1487" s="12" t="s">
        <v>50</v>
      </c>
    </row>
    <row r="1488" spans="1:57" s="12" customFormat="1" ht="14.4" x14ac:dyDescent="0.3">
      <c r="A1488" s="12" t="s">
        <v>39</v>
      </c>
      <c r="B1488" s="12" t="s">
        <v>4453</v>
      </c>
      <c r="C1488" s="12">
        <v>70</v>
      </c>
      <c r="D1488" s="12">
        <v>429</v>
      </c>
      <c r="F1488" s="275" t="s">
        <v>9236</v>
      </c>
      <c r="G1488" s="12" t="str">
        <f t="shared" si="37"/>
        <v>704291002073545</v>
      </c>
      <c r="H1488" s="12" t="s">
        <v>9237</v>
      </c>
      <c r="I1488" s="12">
        <v>1002073545</v>
      </c>
      <c r="J1488" s="12" t="s">
        <v>9238</v>
      </c>
      <c r="K1488" s="12" t="s">
        <v>44</v>
      </c>
      <c r="L1488" s="12">
        <v>3216073644</v>
      </c>
      <c r="M1488" s="12" t="s">
        <v>9239</v>
      </c>
      <c r="N1488" s="12" t="s">
        <v>46</v>
      </c>
      <c r="O1488" s="12" t="s">
        <v>47</v>
      </c>
      <c r="P1488" s="88" t="s">
        <v>48</v>
      </c>
      <c r="Q1488" s="13">
        <v>46147</v>
      </c>
      <c r="R1488" s="12" t="s">
        <v>7753</v>
      </c>
      <c r="S1488" s="12" t="s">
        <v>49</v>
      </c>
      <c r="T1488" s="12" t="s">
        <v>9240</v>
      </c>
      <c r="U1488" s="12" t="s">
        <v>50</v>
      </c>
      <c r="V1488" s="13"/>
      <c r="W1488" s="59"/>
      <c r="AC1488" s="13"/>
      <c r="AD1488" s="16"/>
      <c r="AI1488" s="13"/>
      <c r="AJ1488" s="59"/>
      <c r="AO1488" s="13"/>
      <c r="AP1488" s="16"/>
      <c r="AU1488" s="12" t="s">
        <v>53</v>
      </c>
    </row>
    <row r="1489" spans="1:57" s="12" customFormat="1" ht="14.4" x14ac:dyDescent="0.3">
      <c r="A1489" s="12" t="s">
        <v>39</v>
      </c>
      <c r="B1489" s="12" t="s">
        <v>4453</v>
      </c>
      <c r="C1489" s="12">
        <v>70</v>
      </c>
      <c r="D1489" s="12">
        <v>429</v>
      </c>
      <c r="F1489" s="275" t="s">
        <v>4468</v>
      </c>
      <c r="G1489" s="12" t="str">
        <f t="shared" si="37"/>
        <v>704291024563480</v>
      </c>
      <c r="H1489" s="12" t="s">
        <v>4469</v>
      </c>
      <c r="I1489" s="15">
        <v>1024563480</v>
      </c>
      <c r="J1489" s="12" t="s">
        <v>125</v>
      </c>
      <c r="K1489" s="12" t="s">
        <v>230</v>
      </c>
      <c r="L1489" s="12">
        <v>3006504130</v>
      </c>
      <c r="M1489" s="12" t="s">
        <v>9266</v>
      </c>
      <c r="N1489" s="12" t="s">
        <v>46</v>
      </c>
      <c r="O1489" s="12" t="s">
        <v>47</v>
      </c>
      <c r="P1489" s="88" t="s">
        <v>48</v>
      </c>
      <c r="Q1489" s="13">
        <v>46211</v>
      </c>
      <c r="R1489" s="12" t="s">
        <v>4833</v>
      </c>
      <c r="S1489" s="12" t="s">
        <v>49</v>
      </c>
      <c r="T1489" s="12" t="s">
        <v>9240</v>
      </c>
      <c r="U1489" s="12" t="s">
        <v>60</v>
      </c>
      <c r="V1489" s="13">
        <v>45469</v>
      </c>
      <c r="W1489" s="16">
        <v>0.79</v>
      </c>
      <c r="X1489" s="12" t="s">
        <v>49</v>
      </c>
      <c r="Z1489" s="12" t="s">
        <v>60</v>
      </c>
      <c r="AA1489" s="12" t="s">
        <v>51</v>
      </c>
      <c r="AB1489" s="12" t="s">
        <v>51</v>
      </c>
      <c r="AC1489" s="13">
        <v>45040</v>
      </c>
      <c r="AD1489" s="59">
        <v>0.86499999999999999</v>
      </c>
      <c r="AE1489" s="12" t="s">
        <v>49</v>
      </c>
      <c r="AF1489" s="12" t="s">
        <v>60</v>
      </c>
      <c r="AU1489" s="12" t="s">
        <v>53</v>
      </c>
      <c r="AX1489" s="12" t="s">
        <v>51</v>
      </c>
      <c r="AZ1489" s="12" t="s">
        <v>51</v>
      </c>
    </row>
    <row r="1490" spans="1:57" s="12" customFormat="1" ht="14.4" x14ac:dyDescent="0.3">
      <c r="A1490" s="12" t="s">
        <v>39</v>
      </c>
      <c r="B1490" s="12" t="s">
        <v>4453</v>
      </c>
      <c r="C1490" s="12">
        <v>70</v>
      </c>
      <c r="D1490" s="12">
        <v>429</v>
      </c>
      <c r="F1490" s="275" t="s">
        <v>4470</v>
      </c>
      <c r="G1490" s="12" t="str">
        <f t="shared" si="37"/>
        <v>7042964725324</v>
      </c>
      <c r="H1490" s="12" t="s">
        <v>4471</v>
      </c>
      <c r="I1490" s="15">
        <v>64725324</v>
      </c>
      <c r="J1490" s="12" t="s">
        <v>9284</v>
      </c>
      <c r="K1490" s="12" t="s">
        <v>230</v>
      </c>
      <c r="L1490" s="12">
        <v>3205111172</v>
      </c>
      <c r="N1490" s="12" t="s">
        <v>46</v>
      </c>
      <c r="O1490" s="12" t="s">
        <v>47</v>
      </c>
      <c r="P1490" s="88" t="s">
        <v>48</v>
      </c>
      <c r="Q1490" s="13">
        <v>46219</v>
      </c>
      <c r="R1490" s="12">
        <v>75</v>
      </c>
      <c r="S1490" s="12" t="s">
        <v>49</v>
      </c>
      <c r="T1490" s="12" t="s">
        <v>4457</v>
      </c>
      <c r="U1490" s="12" t="s">
        <v>60</v>
      </c>
      <c r="V1490" s="13">
        <v>45428</v>
      </c>
      <c r="W1490" s="12" t="s">
        <v>1937</v>
      </c>
      <c r="X1490" s="12" t="s">
        <v>49</v>
      </c>
      <c r="Z1490" s="12" t="s">
        <v>60</v>
      </c>
      <c r="AA1490" s="12" t="s">
        <v>51</v>
      </c>
      <c r="AB1490" s="12" t="s">
        <v>51</v>
      </c>
      <c r="AC1490" s="13">
        <v>45388</v>
      </c>
      <c r="AD1490" s="59">
        <v>0.83499999999999996</v>
      </c>
      <c r="AE1490" s="12" t="s">
        <v>49</v>
      </c>
      <c r="AG1490" s="12" t="s">
        <v>51</v>
      </c>
      <c r="AH1490" s="12" t="s">
        <v>51</v>
      </c>
      <c r="AI1490" s="13">
        <v>45065</v>
      </c>
      <c r="AJ1490" s="16">
        <v>0.78</v>
      </c>
      <c r="AK1490" s="12" t="s">
        <v>49</v>
      </c>
      <c r="AL1490" s="12" t="s">
        <v>50</v>
      </c>
      <c r="AM1490" s="12" t="s">
        <v>51</v>
      </c>
      <c r="AN1490" s="12" t="s">
        <v>51</v>
      </c>
      <c r="AO1490" s="13">
        <v>44911</v>
      </c>
      <c r="AP1490" s="16">
        <v>0.78500000000000003</v>
      </c>
      <c r="AQ1490" s="12" t="s">
        <v>49</v>
      </c>
      <c r="AR1490" s="12" t="s">
        <v>60</v>
      </c>
      <c r="AS1490" s="12" t="s">
        <v>51</v>
      </c>
      <c r="AT1490" s="12" t="s">
        <v>51</v>
      </c>
      <c r="AU1490" s="12" t="s">
        <v>53</v>
      </c>
      <c r="AX1490" s="12" t="s">
        <v>51</v>
      </c>
      <c r="AZ1490" s="12" t="s">
        <v>51</v>
      </c>
      <c r="BB1490" s="13">
        <v>44670</v>
      </c>
      <c r="BC1490" s="59">
        <v>0.78500000000000003</v>
      </c>
      <c r="BD1490" s="12" t="s">
        <v>49</v>
      </c>
      <c r="BE1490" s="12" t="s">
        <v>50</v>
      </c>
    </row>
    <row r="1491" spans="1:57" s="12" customFormat="1" ht="14.4" x14ac:dyDescent="0.3">
      <c r="A1491" s="12" t="s">
        <v>39</v>
      </c>
      <c r="B1491" s="12" t="s">
        <v>4453</v>
      </c>
      <c r="C1491" s="12">
        <v>70</v>
      </c>
      <c r="D1491" s="12">
        <v>429</v>
      </c>
      <c r="F1491" s="275" t="s">
        <v>9248</v>
      </c>
      <c r="G1491" s="12" t="str">
        <f t="shared" si="37"/>
        <v>7042943692079</v>
      </c>
      <c r="H1491" s="12" t="s">
        <v>4472</v>
      </c>
      <c r="I1491" s="15">
        <v>43692079</v>
      </c>
      <c r="J1491" s="12" t="s">
        <v>4473</v>
      </c>
      <c r="K1491" s="12" t="s">
        <v>230</v>
      </c>
      <c r="L1491" s="12">
        <v>3152268133</v>
      </c>
      <c r="M1491" s="12" t="s">
        <v>193</v>
      </c>
      <c r="N1491" s="12" t="s">
        <v>46</v>
      </c>
      <c r="O1491" s="12" t="s">
        <v>47</v>
      </c>
      <c r="P1491" s="88" t="s">
        <v>48</v>
      </c>
      <c r="Q1491" s="13">
        <v>46146</v>
      </c>
      <c r="R1491" s="12">
        <v>77</v>
      </c>
      <c r="S1491" s="12" t="s">
        <v>49</v>
      </c>
      <c r="T1491" s="12" t="s">
        <v>4457</v>
      </c>
      <c r="U1491" s="12" t="s">
        <v>60</v>
      </c>
      <c r="V1491" s="13">
        <v>45849</v>
      </c>
      <c r="W1491" s="16">
        <v>0.76</v>
      </c>
      <c r="X1491" s="12" t="s">
        <v>49</v>
      </c>
      <c r="Z1491" s="12" t="s">
        <v>60</v>
      </c>
      <c r="AA1491" s="12" t="s">
        <v>51</v>
      </c>
      <c r="AB1491" s="12" t="s">
        <v>51</v>
      </c>
      <c r="AC1491" s="13">
        <v>45469</v>
      </c>
      <c r="AD1491" s="16">
        <v>0.79</v>
      </c>
      <c r="AE1491" s="12" t="s">
        <v>49</v>
      </c>
      <c r="AF1491" s="12" t="s">
        <v>60</v>
      </c>
      <c r="AG1491" s="12" t="s">
        <v>51</v>
      </c>
      <c r="AH1491" s="12" t="s">
        <v>51</v>
      </c>
      <c r="AI1491" s="13">
        <v>44568</v>
      </c>
      <c r="AJ1491" s="59">
        <v>0.78500000000000003</v>
      </c>
      <c r="AK1491" s="12" t="s">
        <v>49</v>
      </c>
      <c r="AL1491" s="12" t="s">
        <v>50</v>
      </c>
      <c r="AM1491" s="12" t="s">
        <v>51</v>
      </c>
      <c r="AN1491" s="12" t="s">
        <v>51</v>
      </c>
      <c r="AO1491" s="13">
        <v>44916</v>
      </c>
      <c r="AP1491" s="59">
        <v>0.73499999999999999</v>
      </c>
      <c r="AQ1491" s="12" t="s">
        <v>49</v>
      </c>
      <c r="AR1491" s="12" t="s">
        <v>50</v>
      </c>
      <c r="AU1491" s="12" t="s">
        <v>53</v>
      </c>
      <c r="AX1491" s="12" t="s">
        <v>51</v>
      </c>
      <c r="AZ1491" s="12" t="s">
        <v>51</v>
      </c>
    </row>
    <row r="1492" spans="1:57" s="12" customFormat="1" ht="14.4" x14ac:dyDescent="0.3">
      <c r="A1492" s="12" t="s">
        <v>39</v>
      </c>
      <c r="B1492" s="12" t="s">
        <v>4453</v>
      </c>
      <c r="C1492" s="12">
        <v>70</v>
      </c>
      <c r="D1492" s="12">
        <v>429</v>
      </c>
      <c r="F1492" s="275" t="s">
        <v>4474</v>
      </c>
      <c r="G1492" s="12" t="str">
        <f t="shared" si="37"/>
        <v>704299193112</v>
      </c>
      <c r="H1492" s="12" t="s">
        <v>4475</v>
      </c>
      <c r="I1492" s="15">
        <v>9193112</v>
      </c>
      <c r="J1492" s="12" t="s">
        <v>4476</v>
      </c>
      <c r="K1492" s="12" t="s">
        <v>230</v>
      </c>
      <c r="L1492" s="12">
        <v>3135703090</v>
      </c>
      <c r="M1492" s="12" t="s">
        <v>193</v>
      </c>
      <c r="N1492" s="12" t="s">
        <v>46</v>
      </c>
      <c r="O1492" s="12" t="s">
        <v>47</v>
      </c>
      <c r="P1492" s="88" t="s">
        <v>48</v>
      </c>
      <c r="Q1492" s="13">
        <v>46216</v>
      </c>
      <c r="R1492" s="12">
        <v>79</v>
      </c>
      <c r="S1492" s="12" t="s">
        <v>49</v>
      </c>
      <c r="T1492" s="12" t="s">
        <v>4491</v>
      </c>
      <c r="U1492" s="12" t="s">
        <v>9263</v>
      </c>
      <c r="V1492" s="13">
        <v>45880</v>
      </c>
      <c r="W1492" s="59">
        <v>0.755</v>
      </c>
      <c r="X1492" s="12" t="s">
        <v>49</v>
      </c>
      <c r="Z1492" s="12" t="s">
        <v>60</v>
      </c>
      <c r="AA1492" s="12" t="s">
        <v>51</v>
      </c>
      <c r="AB1492" s="12" t="s">
        <v>52</v>
      </c>
      <c r="AC1492" s="13">
        <v>45411</v>
      </c>
      <c r="AD1492" s="59">
        <v>0.82499999999999996</v>
      </c>
      <c r="AE1492" s="12" t="s">
        <v>49</v>
      </c>
      <c r="AF1492" s="12" t="s">
        <v>60</v>
      </c>
      <c r="AG1492" s="12" t="s">
        <v>51</v>
      </c>
      <c r="AH1492" s="12" t="s">
        <v>51</v>
      </c>
      <c r="AI1492" s="13">
        <v>44916</v>
      </c>
      <c r="AJ1492" s="59">
        <v>0.745</v>
      </c>
      <c r="AK1492" s="12" t="s">
        <v>49</v>
      </c>
      <c r="AL1492" s="12" t="s">
        <v>50</v>
      </c>
      <c r="AM1492" s="12" t="s">
        <v>51</v>
      </c>
      <c r="AN1492" s="12" t="s">
        <v>51</v>
      </c>
      <c r="AO1492" s="12" t="s">
        <v>4477</v>
      </c>
      <c r="AP1492" s="16">
        <v>0.85</v>
      </c>
      <c r="AQ1492" s="12" t="s">
        <v>49</v>
      </c>
      <c r="AR1492" s="12" t="s">
        <v>50</v>
      </c>
      <c r="AS1492" s="12" t="s">
        <v>51</v>
      </c>
      <c r="AT1492" s="12" t="s">
        <v>51</v>
      </c>
      <c r="AU1492" s="12" t="s">
        <v>53</v>
      </c>
      <c r="AX1492" s="12" t="s">
        <v>51</v>
      </c>
      <c r="AZ1492" s="12" t="s">
        <v>51</v>
      </c>
      <c r="BB1492" s="13">
        <v>44161</v>
      </c>
      <c r="BC1492" s="59">
        <v>0.81499999999999995</v>
      </c>
      <c r="BD1492" s="12" t="s">
        <v>49</v>
      </c>
      <c r="BE1492" s="12" t="s">
        <v>50</v>
      </c>
    </row>
    <row r="1493" spans="1:57" s="12" customFormat="1" ht="14.4" x14ac:dyDescent="0.3">
      <c r="A1493" s="12" t="s">
        <v>39</v>
      </c>
      <c r="B1493" s="12" t="s">
        <v>4453</v>
      </c>
      <c r="C1493" s="12">
        <v>70</v>
      </c>
      <c r="D1493" s="12">
        <v>429</v>
      </c>
      <c r="F1493" s="275" t="s">
        <v>4478</v>
      </c>
      <c r="G1493" s="12" t="str">
        <f t="shared" si="37"/>
        <v>7042992125429</v>
      </c>
      <c r="H1493" s="12" t="s">
        <v>4479</v>
      </c>
      <c r="I1493" s="15">
        <v>92125429</v>
      </c>
      <c r="J1493" s="12" t="s">
        <v>4480</v>
      </c>
      <c r="K1493" s="12" t="s">
        <v>230</v>
      </c>
      <c r="L1493" s="12">
        <v>3113141780</v>
      </c>
      <c r="M1493" s="12" t="s">
        <v>9267</v>
      </c>
      <c r="N1493" s="12" t="s">
        <v>46</v>
      </c>
      <c r="O1493" s="12" t="s">
        <v>47</v>
      </c>
      <c r="P1493" s="88" t="s">
        <v>48</v>
      </c>
      <c r="Q1493" s="13">
        <v>46217</v>
      </c>
      <c r="R1493" s="12" t="s">
        <v>7753</v>
      </c>
      <c r="S1493" s="12" t="s">
        <v>49</v>
      </c>
      <c r="T1493" s="12" t="s">
        <v>9240</v>
      </c>
      <c r="U1493" s="12" t="s">
        <v>60</v>
      </c>
      <c r="V1493" s="13">
        <v>45456</v>
      </c>
      <c r="W1493" s="12" t="s">
        <v>1906</v>
      </c>
      <c r="X1493" s="12" t="s">
        <v>49</v>
      </c>
      <c r="Z1493" s="12" t="s">
        <v>60</v>
      </c>
      <c r="AA1493" s="12" t="s">
        <v>51</v>
      </c>
      <c r="AB1493" s="12" t="s">
        <v>51</v>
      </c>
      <c r="AC1493" s="13">
        <v>45174</v>
      </c>
      <c r="AD1493" s="59">
        <v>0.78500000000000003</v>
      </c>
      <c r="AE1493" s="12" t="s">
        <v>49</v>
      </c>
      <c r="AF1493" s="12" t="s">
        <v>60</v>
      </c>
      <c r="AU1493" s="12" t="s">
        <v>53</v>
      </c>
      <c r="AX1493" s="12" t="s">
        <v>51</v>
      </c>
      <c r="AZ1493" s="12" t="s">
        <v>51</v>
      </c>
    </row>
    <row r="1494" spans="1:57" s="12" customFormat="1" ht="14.4" x14ac:dyDescent="0.3">
      <c r="A1494" s="12" t="s">
        <v>39</v>
      </c>
      <c r="B1494" s="12" t="s">
        <v>4453</v>
      </c>
      <c r="C1494" s="12">
        <v>70</v>
      </c>
      <c r="D1494" s="12">
        <v>429</v>
      </c>
      <c r="F1494" s="275" t="s">
        <v>4481</v>
      </c>
      <c r="G1494" s="12" t="str">
        <f t="shared" si="37"/>
        <v>7042992126746</v>
      </c>
      <c r="H1494" s="12" t="s">
        <v>4482</v>
      </c>
      <c r="I1494" s="15">
        <v>92126746</v>
      </c>
      <c r="J1494" s="12" t="s">
        <v>4483</v>
      </c>
      <c r="K1494" s="12" t="s">
        <v>230</v>
      </c>
      <c r="L1494" s="12">
        <v>3236582455</v>
      </c>
      <c r="M1494" s="12" t="s">
        <v>9235</v>
      </c>
      <c r="N1494" s="12" t="s">
        <v>46</v>
      </c>
      <c r="O1494" s="12" t="s">
        <v>47</v>
      </c>
      <c r="P1494" s="88" t="s">
        <v>48</v>
      </c>
      <c r="Q1494" s="13">
        <v>46160</v>
      </c>
      <c r="R1494" s="12" t="s">
        <v>8558</v>
      </c>
      <c r="S1494" s="12" t="s">
        <v>49</v>
      </c>
      <c r="T1494" s="12" t="s">
        <v>4491</v>
      </c>
      <c r="U1494" s="12" t="s">
        <v>60</v>
      </c>
      <c r="V1494" s="13">
        <v>45495</v>
      </c>
      <c r="W1494" s="16">
        <v>0.78</v>
      </c>
      <c r="X1494" s="12" t="s">
        <v>49</v>
      </c>
      <c r="Z1494" s="12" t="s">
        <v>60</v>
      </c>
      <c r="AA1494" s="12" t="s">
        <v>51</v>
      </c>
      <c r="AB1494" s="12" t="s">
        <v>51</v>
      </c>
      <c r="AC1494" s="13">
        <v>45168</v>
      </c>
      <c r="AD1494" s="59">
        <v>0.755</v>
      </c>
      <c r="AE1494" s="12" t="s">
        <v>49</v>
      </c>
      <c r="AF1494" s="12" t="s">
        <v>60</v>
      </c>
      <c r="AU1494" s="12" t="s">
        <v>53</v>
      </c>
      <c r="AX1494" s="12" t="s">
        <v>51</v>
      </c>
      <c r="AZ1494" s="12" t="s">
        <v>51</v>
      </c>
    </row>
    <row r="1495" spans="1:57" s="12" customFormat="1" ht="14.4" x14ac:dyDescent="0.3">
      <c r="A1495" s="12" t="s">
        <v>39</v>
      </c>
      <c r="B1495" s="12" t="s">
        <v>4453</v>
      </c>
      <c r="C1495" s="12">
        <v>70</v>
      </c>
      <c r="D1495" s="12">
        <v>429</v>
      </c>
      <c r="F1495" s="275" t="s">
        <v>4484</v>
      </c>
      <c r="G1495" s="12" t="str">
        <f t="shared" si="37"/>
        <v>7042964589961</v>
      </c>
      <c r="H1495" s="12" t="s">
        <v>4485</v>
      </c>
      <c r="I1495" s="15">
        <v>64589961</v>
      </c>
      <c r="J1495" s="12" t="s">
        <v>4486</v>
      </c>
      <c r="K1495" s="12" t="s">
        <v>230</v>
      </c>
      <c r="L1495" s="12">
        <v>3113485022</v>
      </c>
      <c r="M1495" s="12" t="s">
        <v>193</v>
      </c>
      <c r="N1495" s="12" t="s">
        <v>46</v>
      </c>
      <c r="O1495" s="12" t="s">
        <v>47</v>
      </c>
      <c r="P1495" s="88" t="s">
        <v>48</v>
      </c>
      <c r="Q1495" s="13">
        <v>46146</v>
      </c>
      <c r="R1495" s="12">
        <v>79</v>
      </c>
      <c r="S1495" s="12" t="s">
        <v>49</v>
      </c>
      <c r="T1495" s="12" t="s">
        <v>4491</v>
      </c>
      <c r="U1495" s="12" t="s">
        <v>60</v>
      </c>
      <c r="V1495" s="13">
        <v>45866</v>
      </c>
      <c r="W1495" s="59">
        <v>0.755</v>
      </c>
      <c r="X1495" s="12" t="s">
        <v>49</v>
      </c>
      <c r="Z1495" s="12" t="s">
        <v>60</v>
      </c>
      <c r="AA1495" s="12" t="s">
        <v>51</v>
      </c>
      <c r="AB1495" s="12" t="s">
        <v>51</v>
      </c>
      <c r="AC1495" s="13">
        <v>45464</v>
      </c>
      <c r="AD1495" s="16">
        <v>0.79</v>
      </c>
      <c r="AE1495" s="12" t="s">
        <v>49</v>
      </c>
      <c r="AF1495" s="12" t="s">
        <v>60</v>
      </c>
      <c r="AG1495" s="12" t="s">
        <v>51</v>
      </c>
      <c r="AH1495" s="12" t="s">
        <v>51</v>
      </c>
      <c r="AI1495" s="13">
        <v>44637</v>
      </c>
      <c r="AJ1495" s="59">
        <v>0.875</v>
      </c>
      <c r="AK1495" s="12" t="s">
        <v>49</v>
      </c>
      <c r="AL1495" s="12" t="s">
        <v>50</v>
      </c>
      <c r="AM1495" s="12" t="s">
        <v>51</v>
      </c>
      <c r="AN1495" s="12" t="s">
        <v>51</v>
      </c>
      <c r="AO1495" s="13">
        <v>44494</v>
      </c>
      <c r="AP1495" s="59">
        <v>0.80500000000000005</v>
      </c>
      <c r="AQ1495" s="12" t="s">
        <v>49</v>
      </c>
      <c r="AR1495" s="12" t="s">
        <v>60</v>
      </c>
      <c r="AS1495" s="12" t="s">
        <v>51</v>
      </c>
      <c r="AT1495" s="12" t="s">
        <v>51</v>
      </c>
      <c r="AU1495" s="12" t="s">
        <v>53</v>
      </c>
      <c r="AX1495" s="12" t="s">
        <v>51</v>
      </c>
      <c r="AZ1495" s="12" t="s">
        <v>51</v>
      </c>
    </row>
    <row r="1496" spans="1:57" s="12" customFormat="1" ht="14.4" hidden="1" x14ac:dyDescent="0.3">
      <c r="A1496" s="12" t="s">
        <v>39</v>
      </c>
      <c r="B1496" s="12" t="s">
        <v>4453</v>
      </c>
      <c r="C1496" s="12">
        <v>70</v>
      </c>
      <c r="D1496" s="12">
        <v>429</v>
      </c>
      <c r="F1496" s="275" t="s">
        <v>4487</v>
      </c>
      <c r="G1496" s="12" t="str">
        <f t="shared" si="37"/>
        <v>7042932681068</v>
      </c>
      <c r="H1496" s="12" t="s">
        <v>9245</v>
      </c>
      <c r="I1496" s="12">
        <v>32681068</v>
      </c>
      <c r="J1496" s="12" t="s">
        <v>9246</v>
      </c>
      <c r="K1496" s="12" t="s">
        <v>230</v>
      </c>
      <c r="L1496" s="12">
        <v>3166232567</v>
      </c>
      <c r="M1496" s="12" t="s">
        <v>9247</v>
      </c>
      <c r="N1496" s="12" t="s">
        <v>46</v>
      </c>
      <c r="O1496" s="12" t="s">
        <v>2797</v>
      </c>
      <c r="P1496" s="88" t="s">
        <v>80</v>
      </c>
      <c r="Q1496" s="13">
        <v>46167</v>
      </c>
      <c r="R1496" s="12">
        <v>83</v>
      </c>
      <c r="S1496" s="12" t="s">
        <v>49</v>
      </c>
      <c r="T1496" s="12" t="s">
        <v>4457</v>
      </c>
      <c r="U1496" s="12" t="s">
        <v>60</v>
      </c>
      <c r="V1496" s="13">
        <v>45849</v>
      </c>
      <c r="W1496" s="16">
        <v>0.83</v>
      </c>
      <c r="X1496" s="12" t="s">
        <v>49</v>
      </c>
      <c r="Y1496" s="12" t="s">
        <v>4457</v>
      </c>
      <c r="Z1496" s="12" t="s">
        <v>60</v>
      </c>
      <c r="AA1496" s="12" t="s">
        <v>51</v>
      </c>
      <c r="AB1496" s="12" t="s">
        <v>51</v>
      </c>
      <c r="AC1496" s="13">
        <v>45420</v>
      </c>
      <c r="AD1496" s="16">
        <v>0.87</v>
      </c>
      <c r="AE1496" s="12" t="s">
        <v>49</v>
      </c>
      <c r="AG1496" s="12" t="s">
        <v>51</v>
      </c>
      <c r="AH1496" s="12" t="s">
        <v>51</v>
      </c>
      <c r="AI1496" s="13">
        <v>45069</v>
      </c>
      <c r="AJ1496" s="59">
        <v>0.81499999999999995</v>
      </c>
      <c r="AK1496" s="12" t="s">
        <v>49</v>
      </c>
      <c r="AL1496" s="12" t="s">
        <v>50</v>
      </c>
      <c r="AU1496" s="12" t="s">
        <v>53</v>
      </c>
      <c r="AX1496" s="12" t="s">
        <v>51</v>
      </c>
      <c r="AZ1496" s="12" t="s">
        <v>51</v>
      </c>
    </row>
    <row r="1497" spans="1:57" s="12" customFormat="1" ht="14.4" hidden="1" x14ac:dyDescent="0.3">
      <c r="A1497" s="12" t="s">
        <v>39</v>
      </c>
      <c r="B1497" s="12" t="s">
        <v>4453</v>
      </c>
      <c r="C1497" s="12">
        <v>70</v>
      </c>
      <c r="D1497" s="12">
        <v>429</v>
      </c>
      <c r="F1497" s="275" t="s">
        <v>4488</v>
      </c>
      <c r="G1497" s="12" t="str">
        <f t="shared" si="37"/>
        <v>704291104374534</v>
      </c>
      <c r="H1497" s="12" t="s">
        <v>9233</v>
      </c>
      <c r="I1497" s="15">
        <v>1104374534</v>
      </c>
      <c r="J1497" s="12" t="s">
        <v>9234</v>
      </c>
      <c r="K1497" s="12" t="s">
        <v>230</v>
      </c>
      <c r="L1497" s="12">
        <v>3145750803</v>
      </c>
      <c r="M1497" s="12" t="s">
        <v>45</v>
      </c>
      <c r="N1497" s="12" t="s">
        <v>46</v>
      </c>
      <c r="O1497" s="12" t="s">
        <v>2797</v>
      </c>
      <c r="P1497" s="88" t="s">
        <v>80</v>
      </c>
      <c r="Q1497" s="13">
        <v>46167</v>
      </c>
      <c r="R1497" s="12">
        <v>77</v>
      </c>
      <c r="S1497" s="12" t="s">
        <v>49</v>
      </c>
      <c r="T1497" s="12" t="s">
        <v>4457</v>
      </c>
      <c r="U1497" s="12" t="s">
        <v>60</v>
      </c>
      <c r="V1497" s="13">
        <v>45880</v>
      </c>
      <c r="W1497" s="16">
        <v>0.83</v>
      </c>
      <c r="X1497" s="12" t="s">
        <v>69</v>
      </c>
      <c r="Y1497" s="12" t="s">
        <v>4457</v>
      </c>
      <c r="Z1497" s="12" t="s">
        <v>50</v>
      </c>
      <c r="AA1497" s="12" t="s">
        <v>51</v>
      </c>
      <c r="AB1497" s="12" t="s">
        <v>51</v>
      </c>
      <c r="AC1497" s="13">
        <v>45420</v>
      </c>
      <c r="AD1497" s="16">
        <v>0.87</v>
      </c>
      <c r="AE1497" s="12" t="s">
        <v>49</v>
      </c>
      <c r="AF1497" s="12" t="s">
        <v>60</v>
      </c>
      <c r="AU1497" s="12" t="s">
        <v>53</v>
      </c>
      <c r="AX1497" s="12" t="s">
        <v>51</v>
      </c>
      <c r="AZ1497" s="12" t="s">
        <v>51</v>
      </c>
    </row>
    <row r="1498" spans="1:57" s="12" customFormat="1" ht="14.4" hidden="1" x14ac:dyDescent="0.3">
      <c r="A1498" s="12" t="s">
        <v>39</v>
      </c>
      <c r="B1498" s="12" t="s">
        <v>4453</v>
      </c>
      <c r="C1498" s="12">
        <v>70</v>
      </c>
      <c r="D1498" s="12">
        <v>429</v>
      </c>
      <c r="F1498" s="275" t="s">
        <v>4489</v>
      </c>
      <c r="G1498" s="12" t="str">
        <f t="shared" si="37"/>
        <v>7042992130824</v>
      </c>
      <c r="H1498" s="366" t="s">
        <v>9261</v>
      </c>
      <c r="I1498" s="15">
        <v>92130824</v>
      </c>
      <c r="J1498" s="12" t="s">
        <v>9283</v>
      </c>
      <c r="K1498" s="12" t="s">
        <v>230</v>
      </c>
      <c r="L1498" s="12">
        <v>3106410831</v>
      </c>
      <c r="M1498" s="12" t="s">
        <v>4490</v>
      </c>
      <c r="N1498" s="12" t="s">
        <v>46</v>
      </c>
      <c r="O1498" s="12" t="s">
        <v>2797</v>
      </c>
      <c r="P1498" s="88" t="s">
        <v>80</v>
      </c>
      <c r="Q1498" s="13">
        <v>46224</v>
      </c>
      <c r="R1498" s="12">
        <v>83</v>
      </c>
      <c r="S1498" s="12" t="s">
        <v>49</v>
      </c>
      <c r="T1498" s="12" t="s">
        <v>4457</v>
      </c>
      <c r="U1498" s="12" t="s">
        <v>60</v>
      </c>
      <c r="V1498" s="13">
        <v>45873</v>
      </c>
      <c r="W1498" s="59">
        <v>0.90500000000000003</v>
      </c>
      <c r="X1498" s="12" t="s">
        <v>319</v>
      </c>
      <c r="Y1498" s="12" t="s">
        <v>4491</v>
      </c>
      <c r="Z1498" s="12" t="s">
        <v>60</v>
      </c>
      <c r="AA1498" s="12" t="s">
        <v>51</v>
      </c>
      <c r="AB1498" s="12" t="s">
        <v>51</v>
      </c>
      <c r="AC1498" s="13">
        <v>45401</v>
      </c>
      <c r="AD1498" s="59">
        <v>0.88500000000000001</v>
      </c>
      <c r="AE1498" s="12" t="s">
        <v>49</v>
      </c>
      <c r="AF1498" s="12" t="s">
        <v>60</v>
      </c>
      <c r="AG1498" s="12" t="s">
        <v>51</v>
      </c>
      <c r="AH1498" s="12" t="s">
        <v>51</v>
      </c>
      <c r="AI1498" s="13">
        <v>45035</v>
      </c>
      <c r="AJ1498" s="59">
        <v>0.86499999999999999</v>
      </c>
      <c r="AK1498" s="12" t="s">
        <v>49</v>
      </c>
      <c r="AL1498" s="12" t="s">
        <v>60</v>
      </c>
      <c r="AU1498" s="12" t="s">
        <v>53</v>
      </c>
      <c r="AX1498" s="12" t="s">
        <v>51</v>
      </c>
      <c r="AZ1498" s="12" t="s">
        <v>51</v>
      </c>
    </row>
    <row r="1499" spans="1:57" s="12" customFormat="1" ht="14.4" hidden="1" x14ac:dyDescent="0.3">
      <c r="A1499" s="12" t="s">
        <v>39</v>
      </c>
      <c r="B1499" s="12" t="s">
        <v>4453</v>
      </c>
      <c r="C1499" s="12">
        <v>70</v>
      </c>
      <c r="D1499" s="12">
        <v>429</v>
      </c>
      <c r="F1499" s="275" t="s">
        <v>4492</v>
      </c>
      <c r="G1499" s="12" t="str">
        <f t="shared" si="37"/>
        <v>7042992130824</v>
      </c>
      <c r="H1499" s="366" t="s">
        <v>9261</v>
      </c>
      <c r="I1499" s="15">
        <v>92130824</v>
      </c>
      <c r="J1499" s="12" t="s">
        <v>4493</v>
      </c>
      <c r="K1499" s="12" t="s">
        <v>230</v>
      </c>
      <c r="L1499" s="12">
        <v>3106410831</v>
      </c>
      <c r="M1499" s="12" t="s">
        <v>9262</v>
      </c>
      <c r="N1499" s="12" t="s">
        <v>46</v>
      </c>
      <c r="O1499" s="12" t="s">
        <v>2797</v>
      </c>
      <c r="P1499" s="88" t="s">
        <v>80</v>
      </c>
      <c r="Q1499" s="13">
        <v>46223</v>
      </c>
      <c r="R1499" s="12" t="s">
        <v>8595</v>
      </c>
      <c r="S1499" s="12" t="s">
        <v>49</v>
      </c>
      <c r="T1499" s="12" t="s">
        <v>4491</v>
      </c>
      <c r="U1499" s="12" t="s">
        <v>60</v>
      </c>
      <c r="V1499" s="13">
        <v>45859</v>
      </c>
      <c r="W1499" s="16">
        <v>0.85</v>
      </c>
      <c r="X1499" s="12" t="s">
        <v>139</v>
      </c>
      <c r="Y1499" s="12" t="s">
        <v>4491</v>
      </c>
      <c r="Z1499" s="12" t="s">
        <v>60</v>
      </c>
      <c r="AA1499" s="12" t="s">
        <v>51</v>
      </c>
      <c r="AB1499" s="12" t="s">
        <v>51</v>
      </c>
      <c r="AC1499" s="13">
        <v>45463</v>
      </c>
      <c r="AD1499" s="18">
        <v>0.80500000000000005</v>
      </c>
      <c r="AE1499" s="12" t="s">
        <v>49</v>
      </c>
      <c r="AG1499" s="12" t="s">
        <v>51</v>
      </c>
      <c r="AH1499" s="12" t="s">
        <v>51</v>
      </c>
      <c r="AI1499" s="13">
        <v>45154</v>
      </c>
      <c r="AJ1499" s="16">
        <v>0.87</v>
      </c>
      <c r="AK1499" s="12" t="s">
        <v>49</v>
      </c>
      <c r="AL1499" s="12" t="s">
        <v>60</v>
      </c>
      <c r="AM1499" s="12" t="s">
        <v>51</v>
      </c>
      <c r="AN1499" s="12" t="s">
        <v>51</v>
      </c>
      <c r="AO1499" s="13">
        <v>44684</v>
      </c>
      <c r="AP1499" s="59">
        <v>0.78500000000000003</v>
      </c>
      <c r="AQ1499" s="12" t="s">
        <v>49</v>
      </c>
      <c r="AR1499" s="12" t="s">
        <v>60</v>
      </c>
      <c r="AU1499" s="12" t="s">
        <v>53</v>
      </c>
      <c r="AX1499" s="12" t="s">
        <v>51</v>
      </c>
      <c r="AZ1499" s="12" t="s">
        <v>51</v>
      </c>
    </row>
    <row r="1500" spans="1:57" s="12" customFormat="1" ht="14.4" hidden="1" x14ac:dyDescent="0.3">
      <c r="A1500" s="12" t="s">
        <v>39</v>
      </c>
      <c r="B1500" s="12" t="s">
        <v>4453</v>
      </c>
      <c r="C1500" s="12">
        <v>70</v>
      </c>
      <c r="D1500" s="12">
        <v>429</v>
      </c>
      <c r="F1500" s="275" t="s">
        <v>4494</v>
      </c>
      <c r="G1500" s="12" t="str">
        <f t="shared" si="37"/>
        <v>704291104410280</v>
      </c>
      <c r="H1500" s="12" t="s">
        <v>4495</v>
      </c>
      <c r="I1500" s="15">
        <v>1104410280</v>
      </c>
      <c r="J1500" s="12" t="s">
        <v>4496</v>
      </c>
      <c r="K1500" s="12" t="s">
        <v>230</v>
      </c>
      <c r="L1500" s="12">
        <v>3113197022</v>
      </c>
      <c r="M1500" s="12" t="s">
        <v>193</v>
      </c>
      <c r="N1500" s="12" t="s">
        <v>46</v>
      </c>
      <c r="O1500" s="12" t="s">
        <v>2797</v>
      </c>
      <c r="P1500" s="88" t="s">
        <v>80</v>
      </c>
      <c r="Q1500" s="13">
        <v>45502</v>
      </c>
      <c r="R1500" s="16">
        <v>0.78</v>
      </c>
      <c r="S1500" s="12" t="s">
        <v>49</v>
      </c>
      <c r="U1500" s="12" t="s">
        <v>60</v>
      </c>
      <c r="V1500" s="13">
        <v>45145</v>
      </c>
      <c r="W1500" s="59">
        <v>0.755</v>
      </c>
      <c r="X1500" s="12" t="s">
        <v>49</v>
      </c>
      <c r="Z1500" s="12" t="s">
        <v>60</v>
      </c>
      <c r="AA1500" s="12" t="s">
        <v>51</v>
      </c>
      <c r="AB1500" s="12" t="s">
        <v>51</v>
      </c>
      <c r="AU1500" s="12" t="s">
        <v>53</v>
      </c>
      <c r="AX1500" s="12" t="s">
        <v>51</v>
      </c>
      <c r="AZ1500" s="12" t="s">
        <v>51</v>
      </c>
    </row>
    <row r="1501" spans="1:57" s="12" customFormat="1" ht="14.4" x14ac:dyDescent="0.3">
      <c r="A1501" s="12" t="s">
        <v>39</v>
      </c>
      <c r="B1501" s="12" t="s">
        <v>4453</v>
      </c>
      <c r="C1501" s="12">
        <v>70</v>
      </c>
      <c r="D1501" s="12">
        <v>429</v>
      </c>
      <c r="F1501" s="275" t="s">
        <v>9768</v>
      </c>
      <c r="G1501" s="12" t="str">
        <f t="shared" si="37"/>
        <v>704293895683</v>
      </c>
      <c r="H1501" s="12" t="s">
        <v>9785</v>
      </c>
      <c r="I1501" s="12">
        <v>3895683</v>
      </c>
      <c r="J1501" s="12" t="s">
        <v>9769</v>
      </c>
      <c r="K1501" s="12" t="s">
        <v>44</v>
      </c>
      <c r="L1501" s="12">
        <v>3122346747</v>
      </c>
      <c r="M1501" s="12" t="s">
        <v>9770</v>
      </c>
      <c r="N1501" s="12" t="s">
        <v>46</v>
      </c>
      <c r="O1501" s="12" t="s">
        <v>47</v>
      </c>
      <c r="P1501" s="88" t="s">
        <v>48</v>
      </c>
      <c r="Q1501" s="13">
        <v>46258</v>
      </c>
      <c r="R1501" s="12" t="s">
        <v>2783</v>
      </c>
      <c r="S1501" s="12" t="s">
        <v>49</v>
      </c>
      <c r="T1501" s="12" t="s">
        <v>4491</v>
      </c>
      <c r="U1501" s="12" t="s">
        <v>60</v>
      </c>
      <c r="V1501" s="13">
        <v>45975</v>
      </c>
      <c r="W1501" s="12">
        <v>79.5</v>
      </c>
      <c r="X1501" s="12" t="s">
        <v>49</v>
      </c>
      <c r="Z1501" s="12" t="s">
        <v>60</v>
      </c>
      <c r="AA1501" s="12" t="s">
        <v>51</v>
      </c>
      <c r="AB1501" s="12" t="s">
        <v>51</v>
      </c>
      <c r="AU1501" s="12" t="s">
        <v>53</v>
      </c>
    </row>
    <row r="1502" spans="1:57" s="12" customFormat="1" ht="14.4" x14ac:dyDescent="0.3">
      <c r="A1502" s="12" t="s">
        <v>39</v>
      </c>
      <c r="B1502" s="12" t="s">
        <v>4453</v>
      </c>
      <c r="C1502" s="12">
        <v>70</v>
      </c>
      <c r="D1502" s="12">
        <v>429</v>
      </c>
      <c r="F1502" s="275" t="s">
        <v>9771</v>
      </c>
      <c r="G1502" s="12" t="str">
        <f t="shared" si="37"/>
        <v>7042922978262</v>
      </c>
      <c r="H1502" s="12" t="s">
        <v>9772</v>
      </c>
      <c r="I1502" s="12">
        <v>22978262</v>
      </c>
      <c r="J1502" s="12" t="s">
        <v>9773</v>
      </c>
      <c r="K1502" s="12" t="s">
        <v>44</v>
      </c>
      <c r="L1502" s="12">
        <v>3205108697</v>
      </c>
      <c r="M1502" s="12" t="s">
        <v>9770</v>
      </c>
      <c r="N1502" s="12" t="s">
        <v>46</v>
      </c>
      <c r="O1502" s="12" t="s">
        <v>47</v>
      </c>
      <c r="P1502" s="88" t="s">
        <v>48</v>
      </c>
      <c r="Q1502" s="13">
        <v>45979</v>
      </c>
      <c r="R1502" s="12">
        <v>79</v>
      </c>
      <c r="S1502" s="12" t="s">
        <v>49</v>
      </c>
      <c r="U1502" s="12" t="s">
        <v>60</v>
      </c>
      <c r="V1502" s="13"/>
      <c r="W1502" s="59"/>
      <c r="AU1502" s="12" t="s">
        <v>53</v>
      </c>
    </row>
    <row r="1503" spans="1:57" s="12" customFormat="1" ht="14.4" x14ac:dyDescent="0.3">
      <c r="A1503" s="12" t="s">
        <v>39</v>
      </c>
      <c r="B1503" s="12" t="s">
        <v>4453</v>
      </c>
      <c r="C1503" s="12">
        <v>70</v>
      </c>
      <c r="D1503" s="12">
        <v>429</v>
      </c>
      <c r="F1503" s="275" t="s">
        <v>9786</v>
      </c>
      <c r="G1503" s="12" t="str">
        <f t="shared" si="37"/>
        <v>7042973240765</v>
      </c>
      <c r="H1503" s="12" t="s">
        <v>9788</v>
      </c>
      <c r="I1503" s="12">
        <v>73240765</v>
      </c>
      <c r="J1503" s="12" t="s">
        <v>9787</v>
      </c>
      <c r="K1503" s="12" t="s">
        <v>44</v>
      </c>
      <c r="L1503" s="12">
        <v>3145268244</v>
      </c>
      <c r="M1503" s="12" t="s">
        <v>45</v>
      </c>
      <c r="N1503" s="12" t="s">
        <v>46</v>
      </c>
      <c r="O1503" s="12" t="s">
        <v>47</v>
      </c>
      <c r="P1503" s="88" t="s">
        <v>48</v>
      </c>
      <c r="Q1503" s="13">
        <v>46258</v>
      </c>
      <c r="R1503" s="12" t="s">
        <v>7753</v>
      </c>
      <c r="S1503" s="12" t="s">
        <v>49</v>
      </c>
      <c r="T1503" s="12" t="s">
        <v>4491</v>
      </c>
      <c r="U1503" s="12" t="s">
        <v>60</v>
      </c>
      <c r="V1503" s="13"/>
      <c r="W1503" s="59"/>
      <c r="AU1503" s="12" t="s">
        <v>53</v>
      </c>
    </row>
    <row r="1504" spans="1:57" s="12" customFormat="1" ht="14.4" hidden="1" x14ac:dyDescent="0.3">
      <c r="A1504" s="12" t="s">
        <v>39</v>
      </c>
      <c r="B1504" s="12" t="s">
        <v>4453</v>
      </c>
      <c r="C1504" s="12">
        <v>70</v>
      </c>
      <c r="D1504" s="12">
        <v>429</v>
      </c>
      <c r="F1504" s="275" t="s">
        <v>9789</v>
      </c>
      <c r="G1504" s="12" t="str">
        <f t="shared" si="37"/>
        <v>7042964380442</v>
      </c>
      <c r="H1504" s="12" t="s">
        <v>9790</v>
      </c>
      <c r="I1504" s="12">
        <v>64380442</v>
      </c>
      <c r="J1504" s="12" t="s">
        <v>4637</v>
      </c>
      <c r="K1504" s="12" t="s">
        <v>44</v>
      </c>
      <c r="L1504" s="12">
        <v>3205462441</v>
      </c>
      <c r="M1504" s="12" t="s">
        <v>8987</v>
      </c>
      <c r="N1504" s="12" t="s">
        <v>46</v>
      </c>
      <c r="O1504" s="12" t="s">
        <v>521</v>
      </c>
      <c r="P1504" s="88" t="s">
        <v>48</v>
      </c>
      <c r="Q1504" s="13">
        <v>46262</v>
      </c>
      <c r="R1504" s="12">
        <v>85</v>
      </c>
      <c r="S1504" s="12" t="s">
        <v>49</v>
      </c>
      <c r="T1504" s="12" t="s">
        <v>4491</v>
      </c>
      <c r="U1504" s="12" t="s">
        <v>60</v>
      </c>
      <c r="V1504" s="13"/>
      <c r="W1504" s="59"/>
      <c r="AU1504" s="12" t="s">
        <v>53</v>
      </c>
    </row>
    <row r="1505" spans="1:52" s="12" customFormat="1" ht="14.4" hidden="1" x14ac:dyDescent="0.3">
      <c r="A1505" s="12" t="s">
        <v>39</v>
      </c>
      <c r="B1505" s="12" t="s">
        <v>4453</v>
      </c>
      <c r="C1505" s="12">
        <v>70</v>
      </c>
      <c r="D1505" s="12">
        <v>429</v>
      </c>
      <c r="F1505" s="12" t="s">
        <v>4497</v>
      </c>
      <c r="G1505" s="12" t="str">
        <f t="shared" si="37"/>
        <v>7042964725492</v>
      </c>
      <c r="H1505" s="12" t="s">
        <v>4498</v>
      </c>
      <c r="I1505" s="12">
        <v>64725492</v>
      </c>
      <c r="J1505" s="12" t="s">
        <v>4499</v>
      </c>
      <c r="K1505" s="12" t="s">
        <v>230</v>
      </c>
      <c r="L1505" s="12">
        <v>3205410593</v>
      </c>
      <c r="M1505" s="12" t="s">
        <v>45</v>
      </c>
      <c r="N1505" s="12" t="s">
        <v>46</v>
      </c>
      <c r="O1505" s="12" t="s">
        <v>7651</v>
      </c>
      <c r="P1505" s="88" t="s">
        <v>48</v>
      </c>
      <c r="Q1505" s="13">
        <v>45456</v>
      </c>
      <c r="R1505" s="59">
        <v>0.88500000000000001</v>
      </c>
      <c r="S1505" s="12" t="s">
        <v>49</v>
      </c>
      <c r="U1505" s="12" t="s">
        <v>60</v>
      </c>
      <c r="V1505" s="13">
        <v>45131</v>
      </c>
      <c r="W1505" s="16">
        <v>0.83</v>
      </c>
      <c r="X1505" s="12" t="s">
        <v>49</v>
      </c>
      <c r="Z1505" s="12" t="s">
        <v>60</v>
      </c>
      <c r="AA1505" s="12" t="s">
        <v>51</v>
      </c>
      <c r="AB1505" s="12" t="s">
        <v>51</v>
      </c>
      <c r="AC1505" s="13">
        <v>44608</v>
      </c>
      <c r="AD1505" s="16">
        <v>0.9</v>
      </c>
      <c r="AE1505" s="12" t="s">
        <v>319</v>
      </c>
      <c r="AF1505" s="12" t="s">
        <v>50</v>
      </c>
      <c r="AU1505" s="12" t="s">
        <v>53</v>
      </c>
      <c r="AX1505" s="12" t="s">
        <v>51</v>
      </c>
      <c r="AZ1505" s="12" t="s">
        <v>51</v>
      </c>
    </row>
    <row r="1506" spans="1:52" s="12" customFormat="1" ht="14.4" hidden="1" x14ac:dyDescent="0.3">
      <c r="A1506" s="12" t="s">
        <v>39</v>
      </c>
      <c r="B1506" s="12" t="s">
        <v>4453</v>
      </c>
      <c r="C1506" s="12">
        <v>70</v>
      </c>
      <c r="D1506" s="12">
        <v>429</v>
      </c>
      <c r="F1506" s="12" t="s">
        <v>4500</v>
      </c>
      <c r="G1506" s="12" t="str">
        <f t="shared" si="37"/>
        <v>7042964747924</v>
      </c>
      <c r="H1506" s="12" t="s">
        <v>4501</v>
      </c>
      <c r="I1506" s="12">
        <v>64747924</v>
      </c>
      <c r="J1506" s="12" t="s">
        <v>4502</v>
      </c>
      <c r="K1506" s="12" t="s">
        <v>230</v>
      </c>
      <c r="L1506" s="12">
        <v>3144633258</v>
      </c>
      <c r="M1506" s="12" t="s">
        <v>193</v>
      </c>
      <c r="N1506" s="12" t="s">
        <v>46</v>
      </c>
      <c r="O1506" s="12" t="s">
        <v>7651</v>
      </c>
      <c r="P1506" s="88" t="s">
        <v>48</v>
      </c>
      <c r="Q1506" s="13">
        <v>45492</v>
      </c>
      <c r="R1506" s="16">
        <v>0.83</v>
      </c>
      <c r="S1506" s="12" t="s">
        <v>49</v>
      </c>
      <c r="U1506" s="12" t="s">
        <v>50</v>
      </c>
      <c r="V1506" s="13">
        <v>44608</v>
      </c>
      <c r="W1506" s="16">
        <v>0.9</v>
      </c>
      <c r="X1506" s="12" t="s">
        <v>319</v>
      </c>
      <c r="Z1506" s="12" t="s">
        <v>60</v>
      </c>
      <c r="AA1506" s="12" t="s">
        <v>51</v>
      </c>
      <c r="AB1506" s="12" t="s">
        <v>51</v>
      </c>
      <c r="AU1506" s="12" t="s">
        <v>53</v>
      </c>
      <c r="AX1506" s="12" t="s">
        <v>51</v>
      </c>
      <c r="AZ1506" s="12" t="s">
        <v>51</v>
      </c>
    </row>
    <row r="1507" spans="1:52" s="12" customFormat="1" ht="14.4" hidden="1" x14ac:dyDescent="0.3">
      <c r="A1507" s="12" t="s">
        <v>39</v>
      </c>
      <c r="B1507" s="12" t="s">
        <v>4453</v>
      </c>
      <c r="C1507" s="12">
        <v>70</v>
      </c>
      <c r="D1507" s="12">
        <v>429</v>
      </c>
      <c r="F1507" s="12" t="s">
        <v>4503</v>
      </c>
      <c r="G1507" s="12" t="str">
        <f t="shared" si="37"/>
        <v>704291104375934</v>
      </c>
      <c r="H1507" s="12" t="s">
        <v>4504</v>
      </c>
      <c r="I1507" s="12">
        <v>1104375934</v>
      </c>
      <c r="J1507" s="12" t="s">
        <v>4505</v>
      </c>
      <c r="K1507" s="12" t="s">
        <v>44</v>
      </c>
      <c r="L1507" s="12">
        <v>3025233010</v>
      </c>
      <c r="M1507" s="12" t="s">
        <v>4506</v>
      </c>
      <c r="N1507" s="12" t="s">
        <v>46</v>
      </c>
      <c r="O1507" s="12" t="s">
        <v>1773</v>
      </c>
      <c r="P1507" s="88" t="s">
        <v>48</v>
      </c>
      <c r="Q1507" s="13">
        <v>45638</v>
      </c>
      <c r="R1507" s="12" t="s">
        <v>146</v>
      </c>
      <c r="S1507" s="12" t="s">
        <v>69</v>
      </c>
      <c r="U1507" s="12" t="s">
        <v>60</v>
      </c>
      <c r="AA1507" s="12" t="s">
        <v>51</v>
      </c>
      <c r="AB1507" s="12" t="s">
        <v>51</v>
      </c>
      <c r="AU1507" s="12" t="s">
        <v>53</v>
      </c>
      <c r="AX1507" s="12" t="s">
        <v>51</v>
      </c>
      <c r="AZ1507" s="12" t="s">
        <v>51</v>
      </c>
    </row>
    <row r="1508" spans="1:52" s="12" customFormat="1" ht="14.4" hidden="1" x14ac:dyDescent="0.3">
      <c r="A1508" s="12" t="s">
        <v>39</v>
      </c>
      <c r="B1508" s="12" t="s">
        <v>4453</v>
      </c>
      <c r="C1508" s="12">
        <v>70</v>
      </c>
      <c r="D1508" s="12">
        <v>429</v>
      </c>
      <c r="E1508" s="12" t="s">
        <v>784</v>
      </c>
      <c r="F1508" s="12" t="s">
        <v>4507</v>
      </c>
      <c r="G1508" s="12" t="str">
        <f t="shared" si="37"/>
        <v>704299007222278</v>
      </c>
      <c r="H1508" s="12" t="s">
        <v>2827</v>
      </c>
      <c r="I1508" s="15">
        <v>9007222278</v>
      </c>
      <c r="J1508" s="12" t="s">
        <v>4508</v>
      </c>
      <c r="K1508" s="12" t="s">
        <v>230</v>
      </c>
      <c r="L1508" s="12">
        <v>3116382227</v>
      </c>
      <c r="M1508" s="12" t="s">
        <v>779</v>
      </c>
      <c r="N1508" s="12" t="s">
        <v>127</v>
      </c>
      <c r="O1508" s="12" t="s">
        <v>2822</v>
      </c>
      <c r="P1508" s="88" t="s">
        <v>48</v>
      </c>
      <c r="Q1508" s="13">
        <v>45873</v>
      </c>
      <c r="R1508" s="59">
        <v>0.91500000000000004</v>
      </c>
      <c r="S1508" s="12" t="s">
        <v>210</v>
      </c>
      <c r="T1508" s="12" t="s">
        <v>4334</v>
      </c>
      <c r="U1508" s="12" t="s">
        <v>2456</v>
      </c>
      <c r="AA1508" s="12" t="s">
        <v>51</v>
      </c>
      <c r="AB1508" s="12" t="s">
        <v>51</v>
      </c>
      <c r="AU1508" s="12" t="s">
        <v>53</v>
      </c>
      <c r="AX1508" s="12" t="s">
        <v>51</v>
      </c>
      <c r="AZ1508" s="12" t="s">
        <v>51</v>
      </c>
    </row>
    <row r="1509" spans="1:52" s="12" customFormat="1" ht="14.4" hidden="1" x14ac:dyDescent="0.3">
      <c r="A1509" s="12" t="s">
        <v>39</v>
      </c>
      <c r="B1509" s="12" t="s">
        <v>4453</v>
      </c>
      <c r="C1509" s="12">
        <v>70</v>
      </c>
      <c r="D1509" s="12">
        <v>429</v>
      </c>
      <c r="E1509" s="12" t="s">
        <v>8807</v>
      </c>
      <c r="F1509" s="275" t="s">
        <v>4510</v>
      </c>
      <c r="G1509" s="12" t="str">
        <f t="shared" si="37"/>
        <v>70429823002060</v>
      </c>
      <c r="H1509" s="12" t="s">
        <v>4511</v>
      </c>
      <c r="I1509" s="15">
        <v>823002060</v>
      </c>
      <c r="J1509" s="12" t="s">
        <v>8808</v>
      </c>
      <c r="K1509" s="12" t="s">
        <v>230</v>
      </c>
      <c r="L1509" s="12">
        <v>3135361308</v>
      </c>
      <c r="M1509" s="12" t="s">
        <v>8809</v>
      </c>
      <c r="N1509" s="12" t="s">
        <v>127</v>
      </c>
      <c r="O1509" s="12" t="s">
        <v>2822</v>
      </c>
      <c r="P1509" s="88" t="s">
        <v>48</v>
      </c>
      <c r="Q1509" s="13">
        <v>46132</v>
      </c>
      <c r="R1509" s="12" t="s">
        <v>203</v>
      </c>
      <c r="S1509" s="12" t="s">
        <v>49</v>
      </c>
      <c r="T1509" s="12" t="s">
        <v>4457</v>
      </c>
      <c r="U1509" s="12" t="s">
        <v>60</v>
      </c>
      <c r="V1509" s="13">
        <v>45751</v>
      </c>
      <c r="W1509" s="12" t="s">
        <v>2148</v>
      </c>
      <c r="X1509" s="12" t="s">
        <v>49</v>
      </c>
      <c r="Z1509" s="12" t="s">
        <v>60</v>
      </c>
      <c r="AA1509" s="12" t="s">
        <v>51</v>
      </c>
      <c r="AB1509" s="12" t="s">
        <v>51</v>
      </c>
      <c r="AC1509" s="13">
        <v>45412</v>
      </c>
      <c r="AD1509" s="16">
        <v>0.81</v>
      </c>
      <c r="AE1509" s="12" t="s">
        <v>49</v>
      </c>
      <c r="AF1509" s="12" t="s">
        <v>60</v>
      </c>
      <c r="AG1509" s="12" t="s">
        <v>51</v>
      </c>
      <c r="AH1509" s="12" t="s">
        <v>51</v>
      </c>
      <c r="AI1509" s="13">
        <v>44896</v>
      </c>
      <c r="AJ1509" s="16">
        <v>0.7</v>
      </c>
      <c r="AK1509" s="12" t="s">
        <v>49</v>
      </c>
      <c r="AL1509" s="12" t="s">
        <v>60</v>
      </c>
      <c r="AU1509" s="12" t="s">
        <v>53</v>
      </c>
      <c r="AX1509" s="12" t="s">
        <v>51</v>
      </c>
      <c r="AZ1509" s="12" t="s">
        <v>51</v>
      </c>
    </row>
    <row r="1510" spans="1:52" s="12" customFormat="1" ht="14.4" hidden="1" x14ac:dyDescent="0.3">
      <c r="A1510" s="12" t="s">
        <v>39</v>
      </c>
      <c r="B1510" s="12" t="s">
        <v>4453</v>
      </c>
      <c r="C1510" s="12">
        <v>70</v>
      </c>
      <c r="D1510" s="12">
        <v>429</v>
      </c>
      <c r="E1510" s="12" t="s">
        <v>4509</v>
      </c>
      <c r="F1510" s="275" t="s">
        <v>4512</v>
      </c>
      <c r="G1510" s="12" t="str">
        <f t="shared" si="37"/>
        <v>70429823002060</v>
      </c>
      <c r="H1510" s="12" t="s">
        <v>4511</v>
      </c>
      <c r="I1510" s="15">
        <v>823002060</v>
      </c>
      <c r="J1510" s="12" t="s">
        <v>4513</v>
      </c>
      <c r="K1510" s="12" t="s">
        <v>133</v>
      </c>
      <c r="L1510" s="12">
        <v>3016424104</v>
      </c>
      <c r="M1510" s="17" t="s">
        <v>4514</v>
      </c>
      <c r="N1510" s="12" t="s">
        <v>127</v>
      </c>
      <c r="O1510" s="12" t="s">
        <v>2822</v>
      </c>
      <c r="P1510" s="88" t="s">
        <v>48</v>
      </c>
      <c r="Q1510" s="13">
        <v>46134</v>
      </c>
      <c r="R1510" s="12">
        <v>83</v>
      </c>
      <c r="S1510" s="12" t="s">
        <v>49</v>
      </c>
      <c r="T1510" s="12" t="s">
        <v>4457</v>
      </c>
      <c r="U1510" s="12" t="s">
        <v>60</v>
      </c>
      <c r="V1510" s="13">
        <v>45789</v>
      </c>
      <c r="W1510" s="12" t="s">
        <v>203</v>
      </c>
      <c r="X1510" s="12" t="s">
        <v>49</v>
      </c>
      <c r="Y1510" s="12" t="s">
        <v>50</v>
      </c>
      <c r="Z1510" s="12" t="s">
        <v>60</v>
      </c>
      <c r="AA1510" s="12" t="s">
        <v>51</v>
      </c>
      <c r="AB1510" s="12" t="s">
        <v>51</v>
      </c>
      <c r="AC1510" s="13">
        <v>45412</v>
      </c>
      <c r="AD1510" s="16">
        <v>0.8</v>
      </c>
      <c r="AE1510" s="12" t="s">
        <v>49</v>
      </c>
      <c r="AF1510" s="12" t="s">
        <v>50</v>
      </c>
      <c r="AU1510" s="12" t="s">
        <v>53</v>
      </c>
      <c r="AX1510" s="12" t="s">
        <v>51</v>
      </c>
      <c r="AZ1510" s="12" t="s">
        <v>51</v>
      </c>
    </row>
    <row r="1511" spans="1:52" s="12" customFormat="1" ht="14.4" hidden="1" x14ac:dyDescent="0.3">
      <c r="A1511" s="12" t="s">
        <v>39</v>
      </c>
      <c r="B1511" s="12" t="s">
        <v>4453</v>
      </c>
      <c r="C1511" s="12">
        <v>70</v>
      </c>
      <c r="D1511" s="12">
        <v>429</v>
      </c>
      <c r="E1511" s="12" t="s">
        <v>4509</v>
      </c>
      <c r="F1511" s="275" t="s">
        <v>4515</v>
      </c>
      <c r="G1511" s="12" t="str">
        <f t="shared" si="37"/>
        <v>704298230020607</v>
      </c>
      <c r="H1511" s="12" t="s">
        <v>4511</v>
      </c>
      <c r="I1511" s="15">
        <v>8230020607</v>
      </c>
      <c r="J1511" s="12" t="s">
        <v>4516</v>
      </c>
      <c r="K1511" s="12" t="s">
        <v>133</v>
      </c>
      <c r="L1511" s="12">
        <v>3225263186</v>
      </c>
      <c r="M1511" s="12" t="s">
        <v>8802</v>
      </c>
      <c r="N1511" s="12" t="s">
        <v>127</v>
      </c>
      <c r="O1511" s="12" t="s">
        <v>2822</v>
      </c>
      <c r="P1511" s="88" t="s">
        <v>48</v>
      </c>
      <c r="Q1511" s="13">
        <v>46132</v>
      </c>
      <c r="R1511" s="12">
        <v>87</v>
      </c>
      <c r="S1511" s="12" t="s">
        <v>49</v>
      </c>
      <c r="T1511" s="12" t="s">
        <v>4491</v>
      </c>
      <c r="U1511" s="12" t="s">
        <v>50</v>
      </c>
      <c r="V1511" s="13">
        <v>45751</v>
      </c>
      <c r="W1511" s="16">
        <v>0.85</v>
      </c>
      <c r="X1511" s="12" t="s">
        <v>49</v>
      </c>
      <c r="Y1511" s="12" t="s">
        <v>4457</v>
      </c>
      <c r="Z1511" s="12" t="s">
        <v>60</v>
      </c>
      <c r="AA1511" s="12" t="s">
        <v>51</v>
      </c>
      <c r="AB1511" s="12" t="s">
        <v>51</v>
      </c>
      <c r="AC1511" s="13">
        <v>45443</v>
      </c>
      <c r="AD1511" s="12" t="s">
        <v>186</v>
      </c>
      <c r="AE1511" s="12" t="s">
        <v>49</v>
      </c>
      <c r="AF1511" s="12" t="s">
        <v>50</v>
      </c>
      <c r="AU1511" s="12" t="s">
        <v>53</v>
      </c>
      <c r="AX1511" s="12" t="s">
        <v>51</v>
      </c>
      <c r="AZ1511" s="12" t="s">
        <v>51</v>
      </c>
    </row>
    <row r="1512" spans="1:52" s="12" customFormat="1" ht="14.4" hidden="1" x14ac:dyDescent="0.3">
      <c r="A1512" s="12" t="s">
        <v>39</v>
      </c>
      <c r="B1512" s="12" t="s">
        <v>4453</v>
      </c>
      <c r="C1512" s="12">
        <v>70</v>
      </c>
      <c r="D1512" s="12">
        <v>429</v>
      </c>
      <c r="E1512" s="12" t="s">
        <v>8798</v>
      </c>
      <c r="F1512" s="275" t="s">
        <v>4517</v>
      </c>
      <c r="G1512" s="12" t="str">
        <f t="shared" si="37"/>
        <v>70429823002060</v>
      </c>
      <c r="H1512" s="12" t="s">
        <v>8799</v>
      </c>
      <c r="I1512" s="15">
        <v>823002060</v>
      </c>
      <c r="J1512" s="12" t="s">
        <v>8800</v>
      </c>
      <c r="K1512" s="12" t="s">
        <v>133</v>
      </c>
      <c r="L1512" s="12">
        <v>3106054892</v>
      </c>
      <c r="M1512" s="12" t="s">
        <v>8801</v>
      </c>
      <c r="N1512" s="12" t="s">
        <v>127</v>
      </c>
      <c r="O1512" s="12" t="s">
        <v>2822</v>
      </c>
      <c r="P1512" s="88" t="s">
        <v>48</v>
      </c>
      <c r="Q1512" s="13">
        <v>46132</v>
      </c>
      <c r="R1512" s="12" t="s">
        <v>4833</v>
      </c>
      <c r="S1512" s="12" t="s">
        <v>49</v>
      </c>
      <c r="U1512" s="12" t="s">
        <v>60</v>
      </c>
      <c r="AU1512" s="12" t="s">
        <v>53</v>
      </c>
    </row>
    <row r="1513" spans="1:52" s="12" customFormat="1" ht="14.4" hidden="1" x14ac:dyDescent="0.3">
      <c r="A1513" s="12" t="s">
        <v>39</v>
      </c>
      <c r="B1513" s="12" t="s">
        <v>4453</v>
      </c>
      <c r="C1513" s="12">
        <v>70</v>
      </c>
      <c r="D1513" s="12">
        <v>429</v>
      </c>
      <c r="E1513" s="12" t="s">
        <v>9231</v>
      </c>
      <c r="F1513" s="275" t="s">
        <v>4518</v>
      </c>
      <c r="G1513" s="12" t="str">
        <f t="shared" si="37"/>
        <v>70429823002997</v>
      </c>
      <c r="H1513" s="12" t="s">
        <v>4523</v>
      </c>
      <c r="I1513" s="15">
        <v>823002997</v>
      </c>
      <c r="J1513" s="12" t="s">
        <v>4519</v>
      </c>
      <c r="K1513" s="12" t="s">
        <v>133</v>
      </c>
      <c r="L1513" s="12">
        <v>3107310088</v>
      </c>
      <c r="M1513" s="12" t="s">
        <v>9241</v>
      </c>
      <c r="N1513" s="12" t="s">
        <v>127</v>
      </c>
      <c r="O1513" s="12" t="s">
        <v>2822</v>
      </c>
      <c r="P1513" s="88" t="s">
        <v>48</v>
      </c>
      <c r="Q1513" s="13">
        <v>46153</v>
      </c>
      <c r="R1513" s="12" t="s">
        <v>4833</v>
      </c>
      <c r="S1513" s="12" t="s">
        <v>49</v>
      </c>
      <c r="T1513" s="12" t="s">
        <v>9240</v>
      </c>
      <c r="U1513" s="12" t="s">
        <v>60</v>
      </c>
      <c r="AU1513" s="12" t="s">
        <v>53</v>
      </c>
    </row>
    <row r="1514" spans="1:52" s="12" customFormat="1" ht="14.4" hidden="1" x14ac:dyDescent="0.3">
      <c r="A1514" s="12" t="s">
        <v>39</v>
      </c>
      <c r="B1514" s="12" t="s">
        <v>4453</v>
      </c>
      <c r="C1514" s="12">
        <v>70</v>
      </c>
      <c r="D1514" s="12">
        <v>429</v>
      </c>
      <c r="E1514" s="12" t="s">
        <v>9231</v>
      </c>
      <c r="F1514" s="275" t="s">
        <v>4520</v>
      </c>
      <c r="G1514" s="12" t="str">
        <f t="shared" si="37"/>
        <v>70429823002997</v>
      </c>
      <c r="H1514" s="12" t="s">
        <v>4523</v>
      </c>
      <c r="I1514" s="15">
        <v>823002997</v>
      </c>
      <c r="J1514" s="12" t="s">
        <v>4521</v>
      </c>
      <c r="K1514" s="12" t="s">
        <v>133</v>
      </c>
      <c r="L1514" s="12">
        <v>3002929505</v>
      </c>
      <c r="M1514" s="12" t="s">
        <v>9232</v>
      </c>
      <c r="N1514" s="12" t="s">
        <v>127</v>
      </c>
      <c r="O1514" s="12" t="s">
        <v>2822</v>
      </c>
      <c r="P1514" s="88" t="s">
        <v>48</v>
      </c>
      <c r="Q1514" s="13">
        <v>46153</v>
      </c>
      <c r="R1514" s="12" t="s">
        <v>8405</v>
      </c>
      <c r="S1514" s="12" t="s">
        <v>49</v>
      </c>
      <c r="T1514" s="12" t="s">
        <v>4491</v>
      </c>
      <c r="U1514" s="12" t="s">
        <v>60</v>
      </c>
      <c r="AU1514" s="12" t="s">
        <v>53</v>
      </c>
    </row>
    <row r="1515" spans="1:52" s="12" customFormat="1" ht="14.4" hidden="1" x14ac:dyDescent="0.3">
      <c r="A1515" s="12" t="s">
        <v>39</v>
      </c>
      <c r="B1515" s="12" t="s">
        <v>4453</v>
      </c>
      <c r="C1515" s="12">
        <v>70</v>
      </c>
      <c r="D1515" s="12">
        <v>429</v>
      </c>
      <c r="E1515" s="12" t="s">
        <v>4522</v>
      </c>
      <c r="F1515" s="275" t="s">
        <v>9242</v>
      </c>
      <c r="G1515" s="12" t="str">
        <f t="shared" si="37"/>
        <v>70429823002997</v>
      </c>
      <c r="H1515" s="12" t="s">
        <v>9243</v>
      </c>
      <c r="I1515" s="15">
        <v>823002997</v>
      </c>
      <c r="J1515" s="12" t="s">
        <v>4524</v>
      </c>
      <c r="K1515" s="12" t="s">
        <v>133</v>
      </c>
      <c r="L1515" s="12">
        <v>3233029773</v>
      </c>
      <c r="M1515" s="17" t="s">
        <v>9244</v>
      </c>
      <c r="N1515" s="12" t="s">
        <v>127</v>
      </c>
      <c r="O1515" s="12" t="s">
        <v>2822</v>
      </c>
      <c r="P1515" s="88" t="s">
        <v>48</v>
      </c>
      <c r="Q1515" s="13">
        <v>46157</v>
      </c>
      <c r="R1515" s="12">
        <v>80</v>
      </c>
      <c r="S1515" s="12" t="s">
        <v>49</v>
      </c>
      <c r="T1515" s="12" t="s">
        <v>4457</v>
      </c>
      <c r="U1515" s="12" t="s">
        <v>60</v>
      </c>
      <c r="V1515" s="13">
        <v>45790</v>
      </c>
      <c r="W1515" s="12" t="s">
        <v>203</v>
      </c>
      <c r="X1515" s="12" t="s">
        <v>49</v>
      </c>
      <c r="Y1515" s="12" t="s">
        <v>4457</v>
      </c>
      <c r="Z1515" s="12" t="s">
        <v>60</v>
      </c>
      <c r="AA1515" s="12" t="s">
        <v>51</v>
      </c>
      <c r="AB1515" s="12" t="s">
        <v>51</v>
      </c>
      <c r="AU1515" s="12" t="s">
        <v>53</v>
      </c>
      <c r="AX1515" s="12" t="s">
        <v>51</v>
      </c>
      <c r="AZ1515" s="12" t="s">
        <v>51</v>
      </c>
    </row>
    <row r="1516" spans="1:52" s="12" customFormat="1" ht="14.4" hidden="1" x14ac:dyDescent="0.3">
      <c r="A1516" s="12" t="s">
        <v>39</v>
      </c>
      <c r="B1516" s="12" t="s">
        <v>4453</v>
      </c>
      <c r="C1516" s="12">
        <v>70</v>
      </c>
      <c r="D1516" s="12">
        <v>429</v>
      </c>
      <c r="E1516" s="12" t="s">
        <v>8523</v>
      </c>
      <c r="F1516" s="275" t="s">
        <v>8524</v>
      </c>
      <c r="G1516" s="12" t="str">
        <f t="shared" si="37"/>
        <v>70429800249845-8</v>
      </c>
      <c r="H1516" s="12" t="s">
        <v>4525</v>
      </c>
      <c r="I1516" s="15" t="s">
        <v>4526</v>
      </c>
      <c r="J1516" s="12" t="s">
        <v>4527</v>
      </c>
      <c r="K1516" s="12" t="s">
        <v>133</v>
      </c>
      <c r="L1516" s="12">
        <v>3126010438</v>
      </c>
      <c r="M1516" s="12" t="s">
        <v>4528</v>
      </c>
      <c r="N1516" s="12" t="s">
        <v>127</v>
      </c>
      <c r="O1516" s="12" t="s">
        <v>2822</v>
      </c>
      <c r="P1516" s="88"/>
      <c r="AU1516" s="12" t="s">
        <v>53</v>
      </c>
    </row>
    <row r="1517" spans="1:52" s="12" customFormat="1" ht="14.4" hidden="1" x14ac:dyDescent="0.3">
      <c r="A1517" s="12" t="s">
        <v>39</v>
      </c>
      <c r="B1517" s="12" t="s">
        <v>4453</v>
      </c>
      <c r="C1517" s="12">
        <v>70</v>
      </c>
      <c r="D1517" s="12">
        <v>429</v>
      </c>
      <c r="E1517" s="12" t="s">
        <v>8523</v>
      </c>
      <c r="F1517" s="275" t="s">
        <v>8525</v>
      </c>
      <c r="G1517" s="12" t="str">
        <f t="shared" si="37"/>
        <v>70429800249845-8</v>
      </c>
      <c r="H1517" s="12" t="s">
        <v>4525</v>
      </c>
      <c r="I1517" s="15" t="s">
        <v>4526</v>
      </c>
      <c r="J1517" s="12" t="s">
        <v>4529</v>
      </c>
      <c r="K1517" s="12" t="s">
        <v>133</v>
      </c>
      <c r="L1517" s="12">
        <v>3234071409</v>
      </c>
      <c r="M1517" s="12" t="s">
        <v>193</v>
      </c>
      <c r="N1517" s="12" t="s">
        <v>127</v>
      </c>
      <c r="O1517" s="12" t="s">
        <v>2822</v>
      </c>
      <c r="P1517" s="88"/>
      <c r="AU1517" s="12" t="s">
        <v>53</v>
      </c>
    </row>
    <row r="1518" spans="1:52" s="12" customFormat="1" ht="14.4" hidden="1" x14ac:dyDescent="0.3">
      <c r="A1518" s="12" t="s">
        <v>39</v>
      </c>
      <c r="B1518" s="12" t="s">
        <v>4453</v>
      </c>
      <c r="C1518" s="12">
        <v>70</v>
      </c>
      <c r="D1518" s="12">
        <v>429</v>
      </c>
      <c r="E1518" s="12" t="s">
        <v>8523</v>
      </c>
      <c r="F1518" s="275" t="s">
        <v>8526</v>
      </c>
      <c r="G1518" s="12" t="str">
        <f t="shared" si="37"/>
        <v>70429800249845-8</v>
      </c>
      <c r="H1518" s="12" t="s">
        <v>4525</v>
      </c>
      <c r="I1518" s="15" t="s">
        <v>4526</v>
      </c>
      <c r="J1518" s="12" t="s">
        <v>4530</v>
      </c>
      <c r="K1518" s="12" t="s">
        <v>133</v>
      </c>
      <c r="L1518" s="12">
        <v>3147113929</v>
      </c>
      <c r="M1518" s="12" t="s">
        <v>193</v>
      </c>
      <c r="N1518" s="12" t="s">
        <v>127</v>
      </c>
      <c r="O1518" s="12" t="s">
        <v>2822</v>
      </c>
      <c r="P1518" s="88"/>
      <c r="AU1518" s="12" t="s">
        <v>53</v>
      </c>
    </row>
    <row r="1519" spans="1:52" s="12" customFormat="1" ht="14.4" hidden="1" x14ac:dyDescent="0.3">
      <c r="A1519" s="12" t="s">
        <v>39</v>
      </c>
      <c r="B1519" s="12" t="s">
        <v>4453</v>
      </c>
      <c r="C1519" s="12">
        <v>70</v>
      </c>
      <c r="D1519" s="12">
        <v>429</v>
      </c>
      <c r="E1519" s="12" t="s">
        <v>9782</v>
      </c>
      <c r="F1519" s="275" t="s">
        <v>4531</v>
      </c>
      <c r="G1519" s="12" t="str">
        <f t="shared" si="37"/>
        <v>704298230029972</v>
      </c>
      <c r="H1519" s="366" t="s">
        <v>9783</v>
      </c>
      <c r="I1519" s="15">
        <v>8230029972</v>
      </c>
      <c r="J1519" s="12" t="s">
        <v>4532</v>
      </c>
      <c r="K1519" s="12" t="s">
        <v>133</v>
      </c>
      <c r="L1519" s="12">
        <v>3002489508</v>
      </c>
      <c r="M1519" s="12" t="s">
        <v>9784</v>
      </c>
      <c r="N1519" s="12" t="s">
        <v>127</v>
      </c>
      <c r="O1519" s="12" t="s">
        <v>2822</v>
      </c>
      <c r="P1519" s="88" t="s">
        <v>48</v>
      </c>
      <c r="Q1519" s="13">
        <v>46252</v>
      </c>
      <c r="R1519" s="12">
        <v>77</v>
      </c>
      <c r="S1519" s="12" t="s">
        <v>49</v>
      </c>
      <c r="T1519" s="12" t="s">
        <v>4491</v>
      </c>
      <c r="U1519" s="12" t="s">
        <v>50</v>
      </c>
      <c r="AU1519" s="12" t="s">
        <v>53</v>
      </c>
    </row>
    <row r="1520" spans="1:52" s="12" customFormat="1" ht="14.4" hidden="1" x14ac:dyDescent="0.3">
      <c r="A1520" s="12" t="s">
        <v>39</v>
      </c>
      <c r="B1520" s="12" t="s">
        <v>4453</v>
      </c>
      <c r="C1520" s="12">
        <v>70</v>
      </c>
      <c r="D1520" s="12">
        <v>429</v>
      </c>
      <c r="E1520" s="12" t="s">
        <v>8337</v>
      </c>
      <c r="F1520" s="275" t="s">
        <v>4533</v>
      </c>
      <c r="G1520" s="12" t="str">
        <f t="shared" si="37"/>
        <v>70429902024779</v>
      </c>
      <c r="H1520" s="12" t="s">
        <v>710</v>
      </c>
      <c r="I1520" s="12">
        <v>902024779</v>
      </c>
      <c r="J1520" s="12" t="s">
        <v>4534</v>
      </c>
      <c r="K1520" s="12" t="s">
        <v>133</v>
      </c>
      <c r="L1520" s="12">
        <v>3103155698</v>
      </c>
      <c r="M1520" s="17" t="s">
        <v>8335</v>
      </c>
      <c r="N1520" s="12" t="s">
        <v>127</v>
      </c>
      <c r="O1520" s="12" t="s">
        <v>2822</v>
      </c>
      <c r="P1520" s="88" t="s">
        <v>48</v>
      </c>
      <c r="Q1520" s="13">
        <v>46093</v>
      </c>
      <c r="R1520" s="12">
        <v>76</v>
      </c>
      <c r="S1520" s="12" t="s">
        <v>49</v>
      </c>
      <c r="U1520" s="12" t="s">
        <v>50</v>
      </c>
      <c r="V1520" s="13">
        <v>45727</v>
      </c>
      <c r="W1520" s="12" t="s">
        <v>142</v>
      </c>
      <c r="X1520" s="12" t="s">
        <v>49</v>
      </c>
      <c r="Y1520" s="12" t="s">
        <v>4491</v>
      </c>
      <c r="Z1520" s="12" t="s">
        <v>2881</v>
      </c>
      <c r="AA1520" s="12" t="s">
        <v>51</v>
      </c>
      <c r="AB1520" s="12" t="s">
        <v>51</v>
      </c>
      <c r="AC1520" s="13">
        <v>45590</v>
      </c>
      <c r="AD1520" s="12" t="s">
        <v>167</v>
      </c>
      <c r="AE1520" s="12" t="s">
        <v>49</v>
      </c>
      <c r="AF1520" s="12" t="s">
        <v>50</v>
      </c>
      <c r="AG1520" s="12" t="s">
        <v>51</v>
      </c>
      <c r="AH1520" s="12" t="s">
        <v>51</v>
      </c>
      <c r="AU1520" s="12" t="s">
        <v>53</v>
      </c>
      <c r="AX1520" s="12" t="s">
        <v>51</v>
      </c>
      <c r="AZ1520" s="12" t="s">
        <v>51</v>
      </c>
    </row>
    <row r="1521" spans="1:52" s="12" customFormat="1" ht="14.4" hidden="1" x14ac:dyDescent="0.3">
      <c r="A1521" s="12" t="s">
        <v>39</v>
      </c>
      <c r="B1521" s="12" t="s">
        <v>4453</v>
      </c>
      <c r="C1521" s="12">
        <v>70</v>
      </c>
      <c r="D1521" s="12">
        <v>429</v>
      </c>
      <c r="E1521" s="12" t="s">
        <v>196</v>
      </c>
      <c r="F1521" s="12" t="s">
        <v>4535</v>
      </c>
      <c r="G1521" s="12" t="str">
        <f t="shared" si="37"/>
        <v>704299018220624-2</v>
      </c>
      <c r="H1521" s="12" t="s">
        <v>4536</v>
      </c>
      <c r="I1521" s="12" t="s">
        <v>4537</v>
      </c>
      <c r="J1521" s="12" t="s">
        <v>4538</v>
      </c>
      <c r="K1521" s="12" t="s">
        <v>133</v>
      </c>
      <c r="L1521" s="12">
        <v>3205063024</v>
      </c>
      <c r="M1521" s="12" t="s">
        <v>193</v>
      </c>
      <c r="N1521" s="12" t="s">
        <v>127</v>
      </c>
      <c r="O1521" s="12" t="s">
        <v>2822</v>
      </c>
      <c r="P1521" s="88"/>
      <c r="AU1521" s="12" t="s">
        <v>53</v>
      </c>
    </row>
    <row r="1522" spans="1:52" s="12" customFormat="1" ht="14.4" hidden="1" x14ac:dyDescent="0.3">
      <c r="A1522" s="12" t="s">
        <v>39</v>
      </c>
      <c r="B1522" s="12" t="s">
        <v>4453</v>
      </c>
      <c r="C1522" s="12">
        <v>70</v>
      </c>
      <c r="D1522" s="12">
        <v>429</v>
      </c>
      <c r="E1522" s="12" t="s">
        <v>8337</v>
      </c>
      <c r="F1522" s="275" t="s">
        <v>4539</v>
      </c>
      <c r="G1522" s="12" t="str">
        <f t="shared" si="37"/>
        <v>70429902024779</v>
      </c>
      <c r="H1522" s="12" t="s">
        <v>710</v>
      </c>
      <c r="I1522" s="12">
        <v>902024779</v>
      </c>
      <c r="J1522" s="12" t="s">
        <v>4540</v>
      </c>
      <c r="K1522" s="12" t="s">
        <v>133</v>
      </c>
      <c r="L1522" s="12">
        <v>3103155698</v>
      </c>
      <c r="M1522" s="12" t="s">
        <v>8335</v>
      </c>
      <c r="N1522" s="12" t="s">
        <v>127</v>
      </c>
      <c r="O1522" s="12" t="s">
        <v>2822</v>
      </c>
      <c r="P1522" s="88" t="s">
        <v>48</v>
      </c>
      <c r="Q1522" s="13">
        <v>46128</v>
      </c>
      <c r="R1522" s="12">
        <v>89</v>
      </c>
      <c r="S1522" s="12" t="s">
        <v>49</v>
      </c>
      <c r="T1522" s="12" t="s">
        <v>4491</v>
      </c>
      <c r="U1522" s="12" t="s">
        <v>50</v>
      </c>
      <c r="V1522" s="13">
        <v>45727</v>
      </c>
      <c r="W1522" s="16">
        <v>0.78</v>
      </c>
      <c r="X1522" s="12" t="s">
        <v>49</v>
      </c>
      <c r="Y1522" s="12" t="s">
        <v>4491</v>
      </c>
      <c r="Z1522" s="12" t="s">
        <v>2881</v>
      </c>
      <c r="AA1522" s="12" t="s">
        <v>51</v>
      </c>
      <c r="AB1522" s="12" t="s">
        <v>51</v>
      </c>
      <c r="AC1522" s="13">
        <v>45621</v>
      </c>
      <c r="AD1522" s="12" t="s">
        <v>2148</v>
      </c>
      <c r="AE1522" s="12" t="s">
        <v>49</v>
      </c>
      <c r="AF1522" s="12" t="s">
        <v>60</v>
      </c>
      <c r="AU1522" s="12" t="s">
        <v>53</v>
      </c>
      <c r="AX1522" s="12" t="s">
        <v>51</v>
      </c>
      <c r="AZ1522" s="12" t="s">
        <v>51</v>
      </c>
    </row>
    <row r="1523" spans="1:52" s="12" customFormat="1" ht="14.4" hidden="1" x14ac:dyDescent="0.3">
      <c r="A1523" s="12" t="s">
        <v>39</v>
      </c>
      <c r="B1523" s="12" t="s">
        <v>4453</v>
      </c>
      <c r="C1523" s="12">
        <v>70</v>
      </c>
      <c r="D1523" s="12">
        <v>429</v>
      </c>
      <c r="E1523" s="12" t="s">
        <v>8337</v>
      </c>
      <c r="F1523" s="275" t="s">
        <v>4541</v>
      </c>
      <c r="G1523" s="12" t="str">
        <f t="shared" si="37"/>
        <v>70429902024779</v>
      </c>
      <c r="H1523" s="12" t="s">
        <v>710</v>
      </c>
      <c r="I1523" s="12">
        <v>902024779</v>
      </c>
      <c r="J1523" s="12" t="s">
        <v>4513</v>
      </c>
      <c r="K1523" s="12" t="s">
        <v>133</v>
      </c>
      <c r="L1523" s="12">
        <v>3103155698</v>
      </c>
      <c r="M1523" s="12" t="s">
        <v>8335</v>
      </c>
      <c r="N1523" s="12" t="s">
        <v>127</v>
      </c>
      <c r="O1523" s="12" t="s">
        <v>2822</v>
      </c>
      <c r="P1523" s="88" t="s">
        <v>48</v>
      </c>
      <c r="Q1523" s="13">
        <v>46105</v>
      </c>
      <c r="R1523" s="12" t="s">
        <v>8588</v>
      </c>
      <c r="S1523" s="12" t="s">
        <v>49</v>
      </c>
      <c r="U1523" s="12" t="s">
        <v>50</v>
      </c>
      <c r="AU1523" s="12" t="s">
        <v>53</v>
      </c>
    </row>
    <row r="1524" spans="1:52" s="12" customFormat="1" ht="14.4" hidden="1" x14ac:dyDescent="0.3">
      <c r="A1524" s="12" t="s">
        <v>39</v>
      </c>
      <c r="B1524" s="12" t="s">
        <v>4453</v>
      </c>
      <c r="C1524" s="12">
        <v>70</v>
      </c>
      <c r="D1524" s="12">
        <v>429</v>
      </c>
      <c r="E1524" s="12" t="s">
        <v>8337</v>
      </c>
      <c r="F1524" s="275" t="s">
        <v>4542</v>
      </c>
      <c r="G1524" s="12" t="str">
        <f t="shared" si="37"/>
        <v>70429902024779</v>
      </c>
      <c r="H1524" s="12" t="s">
        <v>710</v>
      </c>
      <c r="I1524" s="12">
        <v>902024779</v>
      </c>
      <c r="J1524" s="12" t="s">
        <v>8340</v>
      </c>
      <c r="K1524" s="12" t="s">
        <v>133</v>
      </c>
      <c r="L1524" s="12">
        <v>3103155698</v>
      </c>
      <c r="M1524" s="12" t="s">
        <v>8335</v>
      </c>
      <c r="N1524" s="12" t="s">
        <v>127</v>
      </c>
      <c r="O1524" s="12" t="s">
        <v>2822</v>
      </c>
      <c r="P1524" s="88" t="s">
        <v>48</v>
      </c>
      <c r="Q1524" s="13">
        <v>46094</v>
      </c>
      <c r="R1524" s="12">
        <v>84</v>
      </c>
      <c r="S1524" s="12" t="s">
        <v>49</v>
      </c>
      <c r="U1524" s="12" t="s">
        <v>60</v>
      </c>
      <c r="V1524" s="13">
        <v>45749</v>
      </c>
      <c r="W1524" s="16">
        <v>0.75</v>
      </c>
      <c r="X1524" s="12" t="s">
        <v>49</v>
      </c>
      <c r="Y1524" s="12" t="s">
        <v>4491</v>
      </c>
      <c r="Z1524" s="12" t="s">
        <v>2881</v>
      </c>
      <c r="AC1524" s="13">
        <v>45637</v>
      </c>
      <c r="AD1524" s="12" t="s">
        <v>2148</v>
      </c>
      <c r="AE1524" s="12" t="s">
        <v>49</v>
      </c>
      <c r="AF1524" s="12" t="s">
        <v>60</v>
      </c>
      <c r="AG1524" s="12" t="s">
        <v>51</v>
      </c>
      <c r="AH1524" s="12" t="s">
        <v>51</v>
      </c>
      <c r="AU1524" s="12" t="s">
        <v>53</v>
      </c>
      <c r="AX1524" s="12" t="s">
        <v>51</v>
      </c>
      <c r="AZ1524" s="12" t="s">
        <v>51</v>
      </c>
    </row>
    <row r="1525" spans="1:52" s="12" customFormat="1" ht="14.4" hidden="1" x14ac:dyDescent="0.3">
      <c r="A1525" s="12" t="s">
        <v>39</v>
      </c>
      <c r="B1525" s="12" t="s">
        <v>4453</v>
      </c>
      <c r="C1525" s="12">
        <v>70</v>
      </c>
      <c r="D1525" s="12">
        <v>429</v>
      </c>
      <c r="E1525" s="12" t="s">
        <v>196</v>
      </c>
      <c r="F1525" s="12" t="s">
        <v>4543</v>
      </c>
      <c r="G1525" s="12" t="str">
        <f t="shared" si="37"/>
        <v>704299017484310</v>
      </c>
      <c r="H1525" s="12" t="s">
        <v>710</v>
      </c>
      <c r="I1525" s="12">
        <v>9017484310</v>
      </c>
      <c r="J1525" s="12" t="s">
        <v>8340</v>
      </c>
      <c r="K1525" s="12" t="s">
        <v>133</v>
      </c>
      <c r="L1525" s="12">
        <v>3103155698</v>
      </c>
      <c r="M1525" s="12" t="s">
        <v>788</v>
      </c>
      <c r="N1525" s="12" t="s">
        <v>127</v>
      </c>
      <c r="O1525" s="12" t="s">
        <v>2822</v>
      </c>
      <c r="P1525" s="88" t="s">
        <v>48</v>
      </c>
      <c r="Q1525" s="13">
        <v>45749</v>
      </c>
      <c r="R1525" s="16">
        <v>0.78</v>
      </c>
      <c r="S1525" s="12" t="s">
        <v>49</v>
      </c>
      <c r="T1525" s="12" t="s">
        <v>4491</v>
      </c>
      <c r="U1525" s="12" t="s">
        <v>2881</v>
      </c>
      <c r="AA1525" s="12" t="s">
        <v>51</v>
      </c>
      <c r="AB1525" s="12" t="s">
        <v>51</v>
      </c>
      <c r="AU1525" s="12" t="s">
        <v>53</v>
      </c>
      <c r="AX1525" s="12" t="s">
        <v>51</v>
      </c>
      <c r="AZ1525" s="12" t="s">
        <v>51</v>
      </c>
    </row>
    <row r="1526" spans="1:52" s="12" customFormat="1" ht="14.4" hidden="1" x14ac:dyDescent="0.3">
      <c r="A1526" s="12" t="s">
        <v>39</v>
      </c>
      <c r="B1526" s="12" t="s">
        <v>4453</v>
      </c>
      <c r="C1526" s="12">
        <v>70</v>
      </c>
      <c r="D1526" s="12">
        <v>429</v>
      </c>
      <c r="E1526" s="12" t="s">
        <v>196</v>
      </c>
      <c r="F1526" s="12" t="s">
        <v>4544</v>
      </c>
      <c r="G1526" s="12" t="str">
        <f t="shared" si="37"/>
        <v>70429901820624-2</v>
      </c>
      <c r="H1526" s="12" t="s">
        <v>214</v>
      </c>
      <c r="I1526" s="12" t="s">
        <v>2701</v>
      </c>
      <c r="J1526" s="12" t="s">
        <v>45</v>
      </c>
      <c r="K1526" s="12" t="s">
        <v>133</v>
      </c>
      <c r="L1526" s="12">
        <v>3045840505</v>
      </c>
      <c r="M1526" s="12" t="s">
        <v>193</v>
      </c>
      <c r="N1526" s="12" t="s">
        <v>127</v>
      </c>
      <c r="O1526" s="12" t="s">
        <v>2822</v>
      </c>
      <c r="P1526" s="88"/>
      <c r="U1526" s="12" t="s">
        <v>2881</v>
      </c>
      <c r="AU1526" s="12" t="s">
        <v>53</v>
      </c>
    </row>
    <row r="1527" spans="1:52" s="12" customFormat="1" ht="14.4" hidden="1" x14ac:dyDescent="0.3">
      <c r="A1527" s="12" t="s">
        <v>39</v>
      </c>
      <c r="B1527" s="12" t="s">
        <v>4453</v>
      </c>
      <c r="C1527" s="12">
        <v>70</v>
      </c>
      <c r="D1527" s="12">
        <v>429</v>
      </c>
      <c r="E1527" s="12" t="s">
        <v>196</v>
      </c>
      <c r="F1527" s="12" t="s">
        <v>4545</v>
      </c>
      <c r="G1527" s="12" t="str">
        <f t="shared" si="37"/>
        <v>704299017484310</v>
      </c>
      <c r="H1527" s="12" t="s">
        <v>710</v>
      </c>
      <c r="I1527" s="12">
        <v>9017484310</v>
      </c>
      <c r="J1527" s="12" t="s">
        <v>4516</v>
      </c>
      <c r="K1527" s="12" t="s">
        <v>133</v>
      </c>
      <c r="L1527" s="12">
        <v>3103155698</v>
      </c>
      <c r="M1527" s="12" t="s">
        <v>788</v>
      </c>
      <c r="N1527" s="12" t="s">
        <v>127</v>
      </c>
      <c r="O1527" s="12" t="s">
        <v>2822</v>
      </c>
      <c r="P1527" s="88" t="s">
        <v>48</v>
      </c>
      <c r="Q1527" s="13">
        <v>45754</v>
      </c>
      <c r="R1527" s="16">
        <v>0.7</v>
      </c>
      <c r="S1527" s="12" t="s">
        <v>49</v>
      </c>
      <c r="T1527" s="12" t="s">
        <v>4491</v>
      </c>
      <c r="U1527" s="12" t="s">
        <v>2881</v>
      </c>
      <c r="AA1527" s="12" t="s">
        <v>51</v>
      </c>
      <c r="AB1527" s="12" t="s">
        <v>51</v>
      </c>
      <c r="AU1527" s="12" t="s">
        <v>53</v>
      </c>
      <c r="AX1527" s="12" t="s">
        <v>51</v>
      </c>
      <c r="AZ1527" s="12" t="s">
        <v>51</v>
      </c>
    </row>
    <row r="1528" spans="1:52" s="12" customFormat="1" ht="14.4" hidden="1" x14ac:dyDescent="0.3">
      <c r="A1528" s="12" t="s">
        <v>39</v>
      </c>
      <c r="B1528" s="12" t="s">
        <v>4453</v>
      </c>
      <c r="C1528" s="12">
        <v>70</v>
      </c>
      <c r="D1528" s="12">
        <v>429</v>
      </c>
      <c r="E1528" s="12" t="s">
        <v>8337</v>
      </c>
      <c r="F1528" s="275" t="s">
        <v>4546</v>
      </c>
      <c r="G1528" s="12" t="str">
        <f t="shared" si="37"/>
        <v>70429902024779</v>
      </c>
      <c r="H1528" s="12" t="s">
        <v>710</v>
      </c>
      <c r="I1528" s="12">
        <v>902024779</v>
      </c>
      <c r="J1528" s="12" t="s">
        <v>4547</v>
      </c>
      <c r="K1528" s="12" t="s">
        <v>133</v>
      </c>
      <c r="L1528" s="12">
        <v>3103153698</v>
      </c>
      <c r="M1528" s="12" t="s">
        <v>8335</v>
      </c>
      <c r="N1528" s="12" t="s">
        <v>127</v>
      </c>
      <c r="O1528" s="12" t="s">
        <v>2822</v>
      </c>
      <c r="P1528" s="88" t="s">
        <v>48</v>
      </c>
      <c r="Q1528" s="13">
        <v>46091</v>
      </c>
      <c r="R1528" s="12">
        <v>85</v>
      </c>
      <c r="S1528" s="12" t="s">
        <v>49</v>
      </c>
      <c r="U1528" s="12" t="s">
        <v>50</v>
      </c>
      <c r="V1528" s="13">
        <v>45729</v>
      </c>
      <c r="W1528" s="16">
        <v>0.72</v>
      </c>
      <c r="X1528" s="12" t="s">
        <v>49</v>
      </c>
      <c r="Y1528" s="12" t="s">
        <v>4457</v>
      </c>
      <c r="Z1528" s="12" t="s">
        <v>2881</v>
      </c>
      <c r="AA1528" s="12" t="s">
        <v>51</v>
      </c>
      <c r="AB1528" s="12" t="s">
        <v>51</v>
      </c>
      <c r="AC1528" s="13">
        <v>45628</v>
      </c>
      <c r="AD1528" s="59">
        <v>0.82499999999999996</v>
      </c>
      <c r="AE1528" s="12" t="s">
        <v>74</v>
      </c>
      <c r="AF1528" s="12" t="s">
        <v>60</v>
      </c>
      <c r="AU1528" s="12" t="s">
        <v>53</v>
      </c>
      <c r="AX1528" s="12" t="s">
        <v>51</v>
      </c>
      <c r="AZ1528" s="12" t="s">
        <v>51</v>
      </c>
    </row>
    <row r="1529" spans="1:52" s="12" customFormat="1" ht="14.4" hidden="1" x14ac:dyDescent="0.3">
      <c r="A1529" s="12" t="s">
        <v>39</v>
      </c>
      <c r="B1529" s="12" t="s">
        <v>4453</v>
      </c>
      <c r="C1529" s="12">
        <v>70</v>
      </c>
      <c r="D1529" s="12">
        <v>429</v>
      </c>
      <c r="E1529" s="12" t="s">
        <v>196</v>
      </c>
      <c r="F1529" s="275" t="s">
        <v>4549</v>
      </c>
      <c r="G1529" s="12" t="str">
        <f t="shared" si="37"/>
        <v>70429902024779</v>
      </c>
      <c r="H1529" s="12" t="s">
        <v>710</v>
      </c>
      <c r="I1529" s="12">
        <v>902024779</v>
      </c>
      <c r="J1529" s="12" t="s">
        <v>4529</v>
      </c>
      <c r="K1529" s="12" t="s">
        <v>133</v>
      </c>
      <c r="L1529" s="12">
        <v>3103155698</v>
      </c>
      <c r="M1529" s="12" t="s">
        <v>8335</v>
      </c>
      <c r="N1529" s="12" t="s">
        <v>127</v>
      </c>
      <c r="O1529" s="12" t="s">
        <v>2822</v>
      </c>
      <c r="P1529" s="88" t="s">
        <v>48</v>
      </c>
      <c r="Q1529" s="13">
        <v>46098</v>
      </c>
      <c r="R1529" s="12" t="s">
        <v>7753</v>
      </c>
      <c r="S1529" s="12" t="s">
        <v>49</v>
      </c>
      <c r="T1529" s="12" t="s">
        <v>4457</v>
      </c>
      <c r="U1529" s="12" t="s">
        <v>60</v>
      </c>
      <c r="V1529" s="13">
        <v>45730</v>
      </c>
      <c r="W1529" s="16">
        <v>0.84</v>
      </c>
      <c r="X1529" s="12" t="s">
        <v>49</v>
      </c>
      <c r="Y1529" s="12" t="s">
        <v>4457</v>
      </c>
      <c r="Z1529" s="12" t="s">
        <v>4548</v>
      </c>
      <c r="AA1529" s="12" t="s">
        <v>51</v>
      </c>
      <c r="AB1529" s="12" t="s">
        <v>51</v>
      </c>
      <c r="AC1529" s="13">
        <v>45632</v>
      </c>
      <c r="AD1529" s="12" t="s">
        <v>1090</v>
      </c>
      <c r="AE1529" s="12" t="s">
        <v>49</v>
      </c>
      <c r="AF1529" s="12" t="s">
        <v>60</v>
      </c>
      <c r="AU1529" s="12" t="s">
        <v>53</v>
      </c>
      <c r="AX1529" s="12" t="s">
        <v>51</v>
      </c>
      <c r="AZ1529" s="12" t="s">
        <v>51</v>
      </c>
    </row>
    <row r="1530" spans="1:52" s="12" customFormat="1" ht="14.4" hidden="1" x14ac:dyDescent="0.3">
      <c r="A1530" s="12" t="s">
        <v>39</v>
      </c>
      <c r="B1530" s="12" t="s">
        <v>4453</v>
      </c>
      <c r="C1530" s="12">
        <v>70</v>
      </c>
      <c r="D1530" s="12">
        <v>429</v>
      </c>
      <c r="E1530" s="12" t="s">
        <v>8337</v>
      </c>
      <c r="F1530" s="275" t="s">
        <v>4550</v>
      </c>
      <c r="G1530" s="12" t="str">
        <f t="shared" si="37"/>
        <v>70429902024779</v>
      </c>
      <c r="H1530" s="12" t="s">
        <v>710</v>
      </c>
      <c r="I1530" s="12">
        <v>902024779</v>
      </c>
      <c r="J1530" s="12" t="s">
        <v>4551</v>
      </c>
      <c r="K1530" s="12" t="s">
        <v>133</v>
      </c>
      <c r="L1530" s="12">
        <v>3103155698</v>
      </c>
      <c r="M1530" s="12" t="s">
        <v>8335</v>
      </c>
      <c r="N1530" s="12" t="s">
        <v>127</v>
      </c>
      <c r="O1530" s="12" t="s">
        <v>2822</v>
      </c>
      <c r="P1530" s="88" t="s">
        <v>48</v>
      </c>
      <c r="Q1530" s="13">
        <v>46133</v>
      </c>
      <c r="R1530" s="12">
        <v>84</v>
      </c>
      <c r="S1530" s="12" t="s">
        <v>49</v>
      </c>
      <c r="T1530" s="12" t="s">
        <v>4491</v>
      </c>
      <c r="U1530" s="12" t="s">
        <v>60</v>
      </c>
      <c r="V1530" s="13">
        <v>45726</v>
      </c>
      <c r="W1530" s="12" t="s">
        <v>81</v>
      </c>
      <c r="X1530" s="12" t="s">
        <v>49</v>
      </c>
      <c r="Y1530" s="12" t="s">
        <v>2881</v>
      </c>
      <c r="Z1530" s="12" t="s">
        <v>60</v>
      </c>
      <c r="AA1530" s="12" t="s">
        <v>51</v>
      </c>
      <c r="AB1530" s="12" t="s">
        <v>51</v>
      </c>
      <c r="AC1530" s="13">
        <v>45617</v>
      </c>
      <c r="AD1530" s="12" t="s">
        <v>186</v>
      </c>
      <c r="AE1530" s="12" t="s">
        <v>49</v>
      </c>
      <c r="AF1530" s="12" t="s">
        <v>60</v>
      </c>
      <c r="AU1530" s="12" t="s">
        <v>53</v>
      </c>
      <c r="AX1530" s="12" t="s">
        <v>51</v>
      </c>
      <c r="AZ1530" s="12" t="s">
        <v>51</v>
      </c>
    </row>
    <row r="1531" spans="1:52" s="12" customFormat="1" ht="14.4" hidden="1" x14ac:dyDescent="0.3">
      <c r="A1531" s="12" t="s">
        <v>39</v>
      </c>
      <c r="B1531" s="12" t="s">
        <v>4453</v>
      </c>
      <c r="C1531" s="12">
        <v>70</v>
      </c>
      <c r="D1531" s="12">
        <v>429</v>
      </c>
      <c r="E1531" s="12" t="s">
        <v>8337</v>
      </c>
      <c r="F1531" s="275" t="s">
        <v>4552</v>
      </c>
      <c r="G1531" s="12" t="str">
        <f t="shared" si="37"/>
        <v>704299020247794</v>
      </c>
      <c r="H1531" s="12" t="s">
        <v>710</v>
      </c>
      <c r="I1531" s="12">
        <v>9020247794</v>
      </c>
      <c r="J1531" s="12" t="s">
        <v>4551</v>
      </c>
      <c r="K1531" s="12" t="s">
        <v>133</v>
      </c>
      <c r="L1531" s="12">
        <v>3103155698</v>
      </c>
      <c r="M1531" s="17" t="s">
        <v>8335</v>
      </c>
      <c r="N1531" s="12" t="s">
        <v>127</v>
      </c>
      <c r="O1531" s="12" t="s">
        <v>2822</v>
      </c>
      <c r="P1531" s="88" t="s">
        <v>48</v>
      </c>
      <c r="Q1531" s="13">
        <v>46073</v>
      </c>
      <c r="R1531" s="16">
        <v>0.84</v>
      </c>
      <c r="S1531" s="12" t="s">
        <v>49</v>
      </c>
      <c r="U1531" s="12" t="s">
        <v>50</v>
      </c>
      <c r="V1531" s="13">
        <v>45726</v>
      </c>
      <c r="W1531" s="16">
        <v>0.81</v>
      </c>
      <c r="X1531" s="12" t="s">
        <v>49</v>
      </c>
      <c r="Z1531" s="12" t="s">
        <v>2881</v>
      </c>
      <c r="AA1531" s="12" t="s">
        <v>51</v>
      </c>
      <c r="AB1531" s="12" t="s">
        <v>51</v>
      </c>
      <c r="AC1531" s="13">
        <v>45617</v>
      </c>
      <c r="AD1531" s="16">
        <v>0.85</v>
      </c>
      <c r="AE1531" s="12" t="s">
        <v>49</v>
      </c>
      <c r="AU1531" s="12" t="s">
        <v>53</v>
      </c>
      <c r="AX1531" s="12" t="s">
        <v>51</v>
      </c>
      <c r="AZ1531" s="12" t="s">
        <v>51</v>
      </c>
    </row>
    <row r="1532" spans="1:52" s="12" customFormat="1" ht="14.4" hidden="1" x14ac:dyDescent="0.3">
      <c r="A1532" s="12" t="s">
        <v>39</v>
      </c>
      <c r="B1532" s="12" t="s">
        <v>4453</v>
      </c>
      <c r="C1532" s="12">
        <v>70</v>
      </c>
      <c r="D1532" s="12">
        <v>429</v>
      </c>
      <c r="E1532" s="12" t="s">
        <v>8337</v>
      </c>
      <c r="F1532" s="275" t="s">
        <v>4553</v>
      </c>
      <c r="G1532" s="12" t="str">
        <f t="shared" si="37"/>
        <v>70429902024779</v>
      </c>
      <c r="H1532" s="12" t="s">
        <v>710</v>
      </c>
      <c r="I1532" s="12">
        <v>902024779</v>
      </c>
      <c r="J1532" s="12" t="s">
        <v>4554</v>
      </c>
      <c r="K1532" s="12" t="s">
        <v>133</v>
      </c>
      <c r="L1532" s="12">
        <v>3103155698</v>
      </c>
      <c r="M1532" s="12" t="s">
        <v>8335</v>
      </c>
      <c r="N1532" s="12" t="s">
        <v>127</v>
      </c>
      <c r="O1532" s="12" t="s">
        <v>2822</v>
      </c>
      <c r="P1532" s="88" t="s">
        <v>48</v>
      </c>
      <c r="Q1532" s="13">
        <v>46073</v>
      </c>
      <c r="R1532" s="12" t="s">
        <v>8405</v>
      </c>
      <c r="S1532" s="12" t="s">
        <v>49</v>
      </c>
      <c r="T1532" s="12" t="s">
        <v>4457</v>
      </c>
      <c r="U1532" s="12" t="s">
        <v>4548</v>
      </c>
      <c r="V1532" s="13">
        <v>45727</v>
      </c>
      <c r="W1532" s="16">
        <v>0.88</v>
      </c>
      <c r="X1532" s="12" t="s">
        <v>49</v>
      </c>
      <c r="Z1532" s="12" t="s">
        <v>60</v>
      </c>
      <c r="AA1532" s="12" t="s">
        <v>51</v>
      </c>
      <c r="AB1532" s="12" t="s">
        <v>51</v>
      </c>
      <c r="AC1532" s="13">
        <v>45618</v>
      </c>
      <c r="AD1532" s="16">
        <v>0.85</v>
      </c>
      <c r="AE1532" s="12" t="s">
        <v>49</v>
      </c>
      <c r="AU1532" s="12" t="s">
        <v>53</v>
      </c>
      <c r="AX1532" s="12" t="s">
        <v>51</v>
      </c>
      <c r="AZ1532" s="12" t="s">
        <v>51</v>
      </c>
    </row>
    <row r="1533" spans="1:52" s="12" customFormat="1" ht="14.4" hidden="1" x14ac:dyDescent="0.3">
      <c r="A1533" s="12" t="s">
        <v>39</v>
      </c>
      <c r="B1533" s="12" t="s">
        <v>4453</v>
      </c>
      <c r="C1533" s="12">
        <v>70</v>
      </c>
      <c r="D1533" s="12">
        <v>429</v>
      </c>
      <c r="E1533" s="12" t="s">
        <v>8337</v>
      </c>
      <c r="F1533" s="275" t="s">
        <v>4555</v>
      </c>
      <c r="G1533" s="12" t="str">
        <f t="shared" si="37"/>
        <v>70429902024779</v>
      </c>
      <c r="H1533" s="12" t="s">
        <v>710</v>
      </c>
      <c r="I1533" s="12">
        <v>902024779</v>
      </c>
      <c r="J1533" s="12" t="s">
        <v>4556</v>
      </c>
      <c r="K1533" s="12" t="s">
        <v>133</v>
      </c>
      <c r="L1533" s="12">
        <v>3103155698</v>
      </c>
      <c r="M1533" s="12" t="s">
        <v>8335</v>
      </c>
      <c r="N1533" s="12" t="s">
        <v>127</v>
      </c>
      <c r="O1533" s="12" t="s">
        <v>2822</v>
      </c>
      <c r="P1533" s="88" t="s">
        <v>48</v>
      </c>
      <c r="Q1533" s="13">
        <v>46133</v>
      </c>
      <c r="R1533" s="12">
        <v>84</v>
      </c>
      <c r="S1533" s="12" t="s">
        <v>49</v>
      </c>
      <c r="U1533" s="12" t="s">
        <v>60</v>
      </c>
      <c r="V1533" s="13">
        <v>45728</v>
      </c>
      <c r="W1533" s="16">
        <v>0.82</v>
      </c>
      <c r="X1533" s="12" t="s">
        <v>49</v>
      </c>
      <c r="Y1533" s="12" t="s">
        <v>4491</v>
      </c>
      <c r="Z1533" s="12" t="s">
        <v>4548</v>
      </c>
      <c r="AA1533" s="12" t="s">
        <v>51</v>
      </c>
      <c r="AB1533" s="12" t="s">
        <v>51</v>
      </c>
      <c r="AC1533" s="12" t="s">
        <v>4557</v>
      </c>
      <c r="AD1533" s="16">
        <v>0.85</v>
      </c>
      <c r="AE1533" s="12" t="s">
        <v>49</v>
      </c>
      <c r="AF1533" s="12" t="s">
        <v>50</v>
      </c>
      <c r="AU1533" s="12" t="s">
        <v>53</v>
      </c>
      <c r="AX1533" s="12" t="s">
        <v>51</v>
      </c>
      <c r="AZ1533" s="12" t="s">
        <v>51</v>
      </c>
    </row>
    <row r="1534" spans="1:52" s="12" customFormat="1" ht="14.4" hidden="1" x14ac:dyDescent="0.3">
      <c r="A1534" s="12" t="s">
        <v>39</v>
      </c>
      <c r="B1534" s="12" t="s">
        <v>4453</v>
      </c>
      <c r="C1534" s="12">
        <v>70</v>
      </c>
      <c r="D1534" s="12">
        <v>429</v>
      </c>
      <c r="E1534" s="12" t="s">
        <v>8337</v>
      </c>
      <c r="F1534" s="275" t="s">
        <v>8336</v>
      </c>
      <c r="G1534" s="12" t="str">
        <f t="shared" si="37"/>
        <v>70429902024779</v>
      </c>
      <c r="H1534" s="12" t="s">
        <v>710</v>
      </c>
      <c r="I1534" s="12">
        <v>902024779</v>
      </c>
      <c r="J1534" s="12" t="s">
        <v>4558</v>
      </c>
      <c r="K1534" s="12" t="s">
        <v>133</v>
      </c>
      <c r="L1534" s="12">
        <v>3103155648</v>
      </c>
      <c r="M1534" s="12" t="s">
        <v>8335</v>
      </c>
      <c r="N1534" s="12" t="s">
        <v>127</v>
      </c>
      <c r="O1534" s="12" t="s">
        <v>2822</v>
      </c>
      <c r="P1534" s="88" t="s">
        <v>48</v>
      </c>
      <c r="Q1534" s="13">
        <v>46104</v>
      </c>
      <c r="R1534" s="12">
        <v>79</v>
      </c>
      <c r="S1534" s="12" t="s">
        <v>49</v>
      </c>
      <c r="U1534" s="12" t="s">
        <v>60</v>
      </c>
      <c r="V1534" s="13">
        <v>45730</v>
      </c>
      <c r="W1534" s="16">
        <v>0.79</v>
      </c>
      <c r="X1534" s="12" t="s">
        <v>49</v>
      </c>
      <c r="Y1534" s="12" t="s">
        <v>4457</v>
      </c>
      <c r="Z1534" s="12" t="s">
        <v>4548</v>
      </c>
      <c r="AA1534" s="12" t="s">
        <v>51</v>
      </c>
      <c r="AB1534" s="12" t="s">
        <v>51</v>
      </c>
      <c r="AU1534" s="12" t="s">
        <v>53</v>
      </c>
      <c r="AX1534" s="12" t="s">
        <v>51</v>
      </c>
      <c r="AZ1534" s="12" t="s">
        <v>51</v>
      </c>
    </row>
    <row r="1535" spans="1:52" s="12" customFormat="1" ht="14.4" hidden="1" x14ac:dyDescent="0.3">
      <c r="A1535" s="12" t="s">
        <v>39</v>
      </c>
      <c r="B1535" s="12" t="s">
        <v>4453</v>
      </c>
      <c r="C1535" s="12">
        <v>70</v>
      </c>
      <c r="D1535" s="12">
        <v>429</v>
      </c>
      <c r="E1535" s="12" t="s">
        <v>8337</v>
      </c>
      <c r="F1535" s="275" t="s">
        <v>4559</v>
      </c>
      <c r="G1535" s="12" t="str">
        <f t="shared" si="37"/>
        <v>70429902024779</v>
      </c>
      <c r="H1535" s="12" t="s">
        <v>710</v>
      </c>
      <c r="I1535" s="12">
        <v>902024779</v>
      </c>
      <c r="J1535" s="12" t="s">
        <v>4560</v>
      </c>
      <c r="K1535" s="12" t="s">
        <v>133</v>
      </c>
      <c r="L1535" s="12">
        <v>3103155698</v>
      </c>
      <c r="M1535" s="12" t="s">
        <v>8335</v>
      </c>
      <c r="N1535" s="12" t="s">
        <v>127</v>
      </c>
      <c r="O1535" s="12" t="s">
        <v>2822</v>
      </c>
      <c r="P1535" s="88" t="s">
        <v>48</v>
      </c>
      <c r="Q1535" s="13">
        <v>46093</v>
      </c>
      <c r="R1535" s="12" t="s">
        <v>7753</v>
      </c>
      <c r="S1535" s="12" t="s">
        <v>49</v>
      </c>
      <c r="T1535" s="12" t="s">
        <v>4457</v>
      </c>
      <c r="U1535" s="12" t="s">
        <v>60</v>
      </c>
      <c r="V1535" s="13" t="s">
        <v>4561</v>
      </c>
      <c r="W1535" s="16">
        <v>0.84</v>
      </c>
      <c r="X1535" s="12" t="s">
        <v>2441</v>
      </c>
      <c r="Y1535" s="12" t="s">
        <v>4457</v>
      </c>
      <c r="Z1535" s="12" t="s">
        <v>4548</v>
      </c>
      <c r="AU1535" s="12" t="s">
        <v>53</v>
      </c>
    </row>
    <row r="1536" spans="1:52" s="12" customFormat="1" ht="14.4" hidden="1" x14ac:dyDescent="0.3">
      <c r="A1536" s="12" t="s">
        <v>39</v>
      </c>
      <c r="B1536" s="12" t="s">
        <v>4453</v>
      </c>
      <c r="C1536" s="12">
        <v>70</v>
      </c>
      <c r="D1536" s="12">
        <v>429</v>
      </c>
      <c r="E1536" s="12" t="s">
        <v>196</v>
      </c>
      <c r="F1536" s="275" t="s">
        <v>4562</v>
      </c>
      <c r="G1536" s="12" t="str">
        <f t="shared" si="37"/>
        <v>70429902024774</v>
      </c>
      <c r="H1536" s="12" t="s">
        <v>710</v>
      </c>
      <c r="I1536" s="12">
        <v>902024774</v>
      </c>
      <c r="J1536" s="12" t="s">
        <v>4563</v>
      </c>
      <c r="K1536" s="12" t="s">
        <v>133</v>
      </c>
      <c r="L1536" s="12">
        <v>3103155698</v>
      </c>
      <c r="M1536" s="12" t="s">
        <v>8335</v>
      </c>
      <c r="N1536" s="12" t="s">
        <v>127</v>
      </c>
      <c r="O1536" s="12" t="s">
        <v>2822</v>
      </c>
      <c r="P1536" s="88" t="s">
        <v>48</v>
      </c>
      <c r="Q1536" s="13">
        <v>46097</v>
      </c>
      <c r="R1536" s="12">
        <v>85</v>
      </c>
      <c r="S1536" s="12" t="s">
        <v>2441</v>
      </c>
      <c r="T1536" s="12" t="s">
        <v>4491</v>
      </c>
      <c r="U1536" s="12" t="s">
        <v>60</v>
      </c>
      <c r="V1536" s="13">
        <v>45727</v>
      </c>
      <c r="W1536" s="16">
        <v>0.85</v>
      </c>
      <c r="X1536" s="12" t="s">
        <v>49</v>
      </c>
      <c r="Y1536" s="12" t="s">
        <v>4457</v>
      </c>
      <c r="Z1536" s="12" t="s">
        <v>4548</v>
      </c>
      <c r="AA1536" s="12" t="s">
        <v>51</v>
      </c>
      <c r="AB1536" s="12" t="s">
        <v>51</v>
      </c>
      <c r="AU1536" s="12" t="s">
        <v>53</v>
      </c>
      <c r="AX1536" s="12" t="s">
        <v>51</v>
      </c>
      <c r="AZ1536" s="12" t="s">
        <v>51</v>
      </c>
    </row>
    <row r="1537" spans="1:52" s="12" customFormat="1" ht="14.4" hidden="1" x14ac:dyDescent="0.3">
      <c r="A1537" s="12" t="s">
        <v>39</v>
      </c>
      <c r="B1537" s="12" t="s">
        <v>4453</v>
      </c>
      <c r="C1537" s="12">
        <v>70</v>
      </c>
      <c r="D1537" s="12">
        <v>429</v>
      </c>
      <c r="E1537" s="12" t="s">
        <v>196</v>
      </c>
      <c r="F1537" s="12" t="s">
        <v>4564</v>
      </c>
      <c r="G1537" s="12" t="str">
        <f t="shared" si="37"/>
        <v>704299017484310</v>
      </c>
      <c r="H1537" s="12" t="s">
        <v>710</v>
      </c>
      <c r="I1537" s="12">
        <v>9017484310</v>
      </c>
      <c r="J1537" s="12" t="s">
        <v>4565</v>
      </c>
      <c r="K1537" s="12" t="s">
        <v>133</v>
      </c>
      <c r="L1537" s="12">
        <v>3103155698</v>
      </c>
      <c r="M1537" s="12" t="s">
        <v>788</v>
      </c>
      <c r="N1537" s="12" t="s">
        <v>127</v>
      </c>
      <c r="O1537" s="12" t="s">
        <v>2822</v>
      </c>
      <c r="P1537" s="88" t="s">
        <v>48</v>
      </c>
      <c r="Q1537" s="13">
        <v>45727</v>
      </c>
      <c r="R1537" s="16">
        <v>0.88</v>
      </c>
      <c r="S1537" s="12" t="s">
        <v>49</v>
      </c>
      <c r="T1537" s="12" t="s">
        <v>4457</v>
      </c>
      <c r="U1537" s="12" t="s">
        <v>2881</v>
      </c>
      <c r="V1537" s="13">
        <v>45589</v>
      </c>
      <c r="W1537" s="12" t="s">
        <v>1937</v>
      </c>
      <c r="X1537" s="12" t="s">
        <v>49</v>
      </c>
      <c r="Z1537" s="12" t="s">
        <v>60</v>
      </c>
      <c r="AA1537" s="12" t="s">
        <v>51</v>
      </c>
      <c r="AB1537" s="12" t="s">
        <v>51</v>
      </c>
      <c r="AU1537" s="12" t="s">
        <v>53</v>
      </c>
      <c r="AX1537" s="12" t="s">
        <v>51</v>
      </c>
      <c r="AZ1537" s="12" t="s">
        <v>51</v>
      </c>
    </row>
    <row r="1538" spans="1:52" s="12" customFormat="1" ht="14.4" hidden="1" x14ac:dyDescent="0.3">
      <c r="A1538" s="12" t="s">
        <v>39</v>
      </c>
      <c r="B1538" s="12" t="s">
        <v>4453</v>
      </c>
      <c r="C1538" s="12">
        <v>70</v>
      </c>
      <c r="D1538" s="12">
        <v>429</v>
      </c>
      <c r="E1538" s="12" t="s">
        <v>8337</v>
      </c>
      <c r="F1538" s="275" t="s">
        <v>8522</v>
      </c>
      <c r="G1538" s="12" t="str">
        <f t="shared" si="37"/>
        <v>70429902024779</v>
      </c>
      <c r="H1538" s="12" t="s">
        <v>710</v>
      </c>
      <c r="I1538" s="12">
        <v>902024779</v>
      </c>
      <c r="J1538" s="12" t="s">
        <v>4566</v>
      </c>
      <c r="K1538" s="12" t="s">
        <v>133</v>
      </c>
      <c r="L1538" s="12">
        <v>3103155698</v>
      </c>
      <c r="M1538" s="12" t="s">
        <v>8335</v>
      </c>
      <c r="N1538" s="12" t="s">
        <v>127</v>
      </c>
      <c r="O1538" s="12" t="s">
        <v>2822</v>
      </c>
      <c r="P1538" s="88" t="s">
        <v>48</v>
      </c>
      <c r="Q1538" s="13">
        <v>46092</v>
      </c>
      <c r="R1538" s="12">
        <v>86</v>
      </c>
      <c r="S1538" s="12" t="s">
        <v>49</v>
      </c>
      <c r="U1538" s="12" t="s">
        <v>50</v>
      </c>
      <c r="V1538" s="13">
        <v>45728</v>
      </c>
      <c r="W1538" s="16">
        <v>0.7</v>
      </c>
      <c r="X1538" s="12" t="s">
        <v>49</v>
      </c>
      <c r="Y1538" s="12" t="s">
        <v>4491</v>
      </c>
      <c r="Z1538" s="12" t="s">
        <v>2881</v>
      </c>
      <c r="AA1538" s="12" t="s">
        <v>51</v>
      </c>
      <c r="AB1538" s="12" t="s">
        <v>51</v>
      </c>
      <c r="AU1538" s="12" t="s">
        <v>53</v>
      </c>
      <c r="AX1538" s="12" t="s">
        <v>51</v>
      </c>
      <c r="AZ1538" s="12" t="s">
        <v>51</v>
      </c>
    </row>
    <row r="1539" spans="1:52" s="12" customFormat="1" ht="14.4" hidden="1" x14ac:dyDescent="0.3">
      <c r="A1539" s="12" t="s">
        <v>39</v>
      </c>
      <c r="B1539" s="12" t="s">
        <v>4453</v>
      </c>
      <c r="C1539" s="12">
        <v>70</v>
      </c>
      <c r="D1539" s="12">
        <v>429</v>
      </c>
      <c r="E1539" s="12" t="s">
        <v>8337</v>
      </c>
      <c r="F1539" s="275" t="s">
        <v>4567</v>
      </c>
      <c r="G1539" s="12" t="str">
        <f t="shared" si="37"/>
        <v>704299020247794</v>
      </c>
      <c r="H1539" s="12" t="s">
        <v>710</v>
      </c>
      <c r="I1539" s="12">
        <v>9020247794</v>
      </c>
      <c r="J1539" s="12" t="s">
        <v>4568</v>
      </c>
      <c r="K1539" s="12" t="s">
        <v>133</v>
      </c>
      <c r="L1539" s="12">
        <v>3103155698</v>
      </c>
      <c r="M1539" s="17" t="s">
        <v>8335</v>
      </c>
      <c r="N1539" s="12" t="s">
        <v>127</v>
      </c>
      <c r="O1539" s="12" t="s">
        <v>2822</v>
      </c>
      <c r="P1539" s="88" t="s">
        <v>48</v>
      </c>
      <c r="Q1539" s="13">
        <v>46073</v>
      </c>
      <c r="R1539" s="16">
        <v>0.84</v>
      </c>
      <c r="S1539" s="12" t="s">
        <v>49</v>
      </c>
      <c r="T1539" s="12" t="s">
        <v>4457</v>
      </c>
      <c r="U1539" s="12" t="s">
        <v>60</v>
      </c>
      <c r="V1539" s="13">
        <v>45726</v>
      </c>
      <c r="W1539" s="12" t="s">
        <v>4569</v>
      </c>
      <c r="X1539" s="12" t="s">
        <v>49</v>
      </c>
      <c r="Y1539" s="12" t="s">
        <v>4491</v>
      </c>
      <c r="Z1539" s="12" t="s">
        <v>2881</v>
      </c>
      <c r="AA1539" s="12" t="s">
        <v>51</v>
      </c>
      <c r="AB1539" s="12" t="s">
        <v>51</v>
      </c>
      <c r="AU1539" s="12" t="s">
        <v>53</v>
      </c>
      <c r="AX1539" s="12" t="s">
        <v>51</v>
      </c>
      <c r="AZ1539" s="12" t="s">
        <v>51</v>
      </c>
    </row>
    <row r="1540" spans="1:52" s="12" customFormat="1" ht="14.4" hidden="1" x14ac:dyDescent="0.3">
      <c r="A1540" s="12" t="s">
        <v>39</v>
      </c>
      <c r="B1540" s="12" t="s">
        <v>4453</v>
      </c>
      <c r="C1540" s="12">
        <v>70</v>
      </c>
      <c r="D1540" s="12">
        <v>429</v>
      </c>
      <c r="E1540" s="12" t="s">
        <v>8337</v>
      </c>
      <c r="F1540" s="275" t="s">
        <v>4570</v>
      </c>
      <c r="G1540" s="12" t="str">
        <f t="shared" si="37"/>
        <v>70429902024774</v>
      </c>
      <c r="H1540" s="12" t="s">
        <v>710</v>
      </c>
      <c r="I1540" s="12">
        <v>902024774</v>
      </c>
      <c r="J1540" s="12" t="s">
        <v>4529</v>
      </c>
      <c r="K1540" s="12" t="s">
        <v>133</v>
      </c>
      <c r="L1540" s="12">
        <v>3103155698</v>
      </c>
      <c r="M1540" s="12" t="s">
        <v>8335</v>
      </c>
      <c r="N1540" s="12" t="s">
        <v>127</v>
      </c>
      <c r="O1540" s="12" t="s">
        <v>2822</v>
      </c>
      <c r="P1540" s="88" t="s">
        <v>48</v>
      </c>
      <c r="Q1540" s="13">
        <v>46097</v>
      </c>
      <c r="R1540" s="12">
        <v>85</v>
      </c>
      <c r="S1540" s="12" t="s">
        <v>49</v>
      </c>
      <c r="V1540" s="13">
        <v>45730</v>
      </c>
      <c r="W1540" s="16">
        <v>0.84</v>
      </c>
      <c r="X1540" s="12" t="s">
        <v>49</v>
      </c>
      <c r="Y1540" s="12" t="s">
        <v>4457</v>
      </c>
      <c r="Z1540" s="12" t="s">
        <v>2881</v>
      </c>
      <c r="AA1540" s="12" t="s">
        <v>51</v>
      </c>
      <c r="AB1540" s="12" t="s">
        <v>51</v>
      </c>
      <c r="AC1540" s="13">
        <v>45632</v>
      </c>
      <c r="AD1540" s="12" t="s">
        <v>1090</v>
      </c>
      <c r="AE1540" s="12" t="s">
        <v>49</v>
      </c>
      <c r="AF1540" s="12" t="s">
        <v>50</v>
      </c>
      <c r="AU1540" s="12" t="s">
        <v>53</v>
      </c>
      <c r="AX1540" s="12" t="s">
        <v>51</v>
      </c>
      <c r="AZ1540" s="12" t="s">
        <v>51</v>
      </c>
    </row>
    <row r="1541" spans="1:52" s="12" customFormat="1" ht="14.4" hidden="1" x14ac:dyDescent="0.3">
      <c r="A1541" s="12" t="s">
        <v>39</v>
      </c>
      <c r="B1541" s="12" t="s">
        <v>4453</v>
      </c>
      <c r="C1541" s="12">
        <v>70</v>
      </c>
      <c r="D1541" s="12">
        <v>429</v>
      </c>
      <c r="E1541" s="12" t="s">
        <v>8981</v>
      </c>
      <c r="F1541" s="275" t="s">
        <v>8988</v>
      </c>
      <c r="G1541" s="12" t="str">
        <f t="shared" si="37"/>
        <v>704299830507103</v>
      </c>
      <c r="H1541" s="12" t="s">
        <v>8983</v>
      </c>
      <c r="I1541" s="12">
        <v>9830507103</v>
      </c>
      <c r="J1541" s="12" t="s">
        <v>8989</v>
      </c>
      <c r="K1541" s="12" t="s">
        <v>44</v>
      </c>
      <c r="L1541" s="12">
        <v>3128038861</v>
      </c>
      <c r="M1541" s="12" t="s">
        <v>8985</v>
      </c>
      <c r="N1541" s="12" t="s">
        <v>127</v>
      </c>
      <c r="O1541" s="12" t="s">
        <v>2822</v>
      </c>
      <c r="P1541" s="88" t="s">
        <v>48</v>
      </c>
      <c r="Q1541" s="13">
        <v>46178</v>
      </c>
      <c r="R1541" s="12">
        <v>93</v>
      </c>
      <c r="S1541" s="12" t="s">
        <v>319</v>
      </c>
      <c r="U1541" s="12" t="s">
        <v>2456</v>
      </c>
      <c r="V1541" s="13"/>
      <c r="W1541" s="16"/>
      <c r="AC1541" s="13"/>
      <c r="AU1541" s="12" t="s">
        <v>53</v>
      </c>
    </row>
    <row r="1542" spans="1:52" s="12" customFormat="1" ht="14.4" hidden="1" x14ac:dyDescent="0.3">
      <c r="A1542" s="12" t="s">
        <v>39</v>
      </c>
      <c r="B1542" s="12" t="s">
        <v>4453</v>
      </c>
      <c r="C1542" s="12">
        <v>70</v>
      </c>
      <c r="D1542" s="12">
        <v>429</v>
      </c>
      <c r="E1542" s="12" t="s">
        <v>8981</v>
      </c>
      <c r="F1542" s="275" t="s">
        <v>9249</v>
      </c>
      <c r="G1542" s="12" t="str">
        <f t="shared" si="37"/>
        <v>704299830507103</v>
      </c>
      <c r="H1542" s="12" t="s">
        <v>8983</v>
      </c>
      <c r="I1542" s="12">
        <v>9830507103</v>
      </c>
      <c r="J1542" s="12" t="s">
        <v>9250</v>
      </c>
      <c r="K1542" s="12" t="s">
        <v>44</v>
      </c>
      <c r="L1542" s="12">
        <v>3128038861</v>
      </c>
      <c r="M1542" s="12" t="s">
        <v>8985</v>
      </c>
      <c r="N1542" s="12" t="s">
        <v>127</v>
      </c>
      <c r="O1542" s="12" t="s">
        <v>2822</v>
      </c>
      <c r="P1542" s="88" t="s">
        <v>48</v>
      </c>
      <c r="Q1542" s="13">
        <v>46176</v>
      </c>
      <c r="R1542" s="12" t="s">
        <v>4658</v>
      </c>
      <c r="S1542" s="12" t="s">
        <v>49</v>
      </c>
      <c r="T1542" s="12" t="s">
        <v>9240</v>
      </c>
      <c r="U1542" s="12" t="s">
        <v>2456</v>
      </c>
      <c r="V1542" s="13"/>
      <c r="W1542" s="16"/>
      <c r="AC1542" s="13"/>
      <c r="AU1542" s="12" t="s">
        <v>53</v>
      </c>
    </row>
    <row r="1543" spans="1:52" s="12" customFormat="1" ht="14.4" hidden="1" x14ac:dyDescent="0.3">
      <c r="A1543" s="12" t="s">
        <v>39</v>
      </c>
      <c r="B1543" s="12" t="s">
        <v>4453</v>
      </c>
      <c r="C1543" s="12">
        <v>70</v>
      </c>
      <c r="D1543" s="12">
        <v>429</v>
      </c>
      <c r="E1543" s="12" t="s">
        <v>8981</v>
      </c>
      <c r="F1543" s="275" t="s">
        <v>9251</v>
      </c>
      <c r="G1543" s="12" t="str">
        <f t="shared" si="37"/>
        <v>704299830507103</v>
      </c>
      <c r="H1543" s="12" t="s">
        <v>8983</v>
      </c>
      <c r="I1543" s="12">
        <v>9830507103</v>
      </c>
      <c r="J1543" s="12" t="s">
        <v>9252</v>
      </c>
      <c r="K1543" s="12" t="s">
        <v>44</v>
      </c>
      <c r="L1543" s="12">
        <v>3128038861</v>
      </c>
      <c r="M1543" s="12" t="s">
        <v>8985</v>
      </c>
      <c r="N1543" s="12" t="s">
        <v>127</v>
      </c>
      <c r="O1543" s="12" t="s">
        <v>2822</v>
      </c>
      <c r="P1543" s="88" t="s">
        <v>48</v>
      </c>
      <c r="Q1543" s="13">
        <v>46183</v>
      </c>
      <c r="R1543" s="12">
        <v>86</v>
      </c>
      <c r="S1543" s="12" t="s">
        <v>49</v>
      </c>
      <c r="T1543" s="12" t="s">
        <v>9240</v>
      </c>
      <c r="U1543" s="12" t="s">
        <v>2456</v>
      </c>
      <c r="V1543" s="13"/>
      <c r="W1543" s="16"/>
      <c r="AC1543" s="13"/>
      <c r="AU1543" s="12" t="s">
        <v>53</v>
      </c>
    </row>
    <row r="1544" spans="1:52" s="12" customFormat="1" ht="14.4" hidden="1" x14ac:dyDescent="0.3">
      <c r="A1544" s="12" t="s">
        <v>39</v>
      </c>
      <c r="B1544" s="12" t="s">
        <v>4453</v>
      </c>
      <c r="C1544" s="12">
        <v>70</v>
      </c>
      <c r="D1544" s="12">
        <v>429</v>
      </c>
      <c r="E1544" s="12" t="s">
        <v>8981</v>
      </c>
      <c r="F1544" s="275" t="s">
        <v>9257</v>
      </c>
      <c r="G1544" s="12" t="str">
        <f t="shared" si="37"/>
        <v>704299830507103</v>
      </c>
      <c r="H1544" s="12" t="s">
        <v>8983</v>
      </c>
      <c r="I1544" s="12">
        <v>9830507103</v>
      </c>
      <c r="J1544" s="12" t="s">
        <v>9258</v>
      </c>
      <c r="K1544" s="12" t="s">
        <v>44</v>
      </c>
      <c r="L1544" s="12">
        <v>3128038861</v>
      </c>
      <c r="M1544" s="12" t="s">
        <v>8985</v>
      </c>
      <c r="N1544" s="12" t="s">
        <v>127</v>
      </c>
      <c r="O1544" s="12" t="s">
        <v>2822</v>
      </c>
      <c r="P1544" s="88" t="s">
        <v>48</v>
      </c>
      <c r="Q1544" s="13">
        <v>46177</v>
      </c>
      <c r="R1544" s="12" t="s">
        <v>8270</v>
      </c>
      <c r="S1544" s="12" t="s">
        <v>49</v>
      </c>
      <c r="T1544" s="12" t="s">
        <v>4457</v>
      </c>
      <c r="U1544" s="12" t="s">
        <v>2456</v>
      </c>
      <c r="V1544" s="13"/>
      <c r="W1544" s="16"/>
      <c r="AC1544" s="13"/>
      <c r="AU1544" s="12" t="s">
        <v>53</v>
      </c>
    </row>
    <row r="1545" spans="1:52" s="12" customFormat="1" ht="14.4" hidden="1" x14ac:dyDescent="0.3">
      <c r="A1545" s="12" t="s">
        <v>39</v>
      </c>
      <c r="B1545" s="12" t="s">
        <v>4453</v>
      </c>
      <c r="C1545" s="12">
        <v>70</v>
      </c>
      <c r="D1545" s="12">
        <v>429</v>
      </c>
      <c r="E1545" s="12" t="s">
        <v>8981</v>
      </c>
      <c r="F1545" s="275" t="s">
        <v>9259</v>
      </c>
      <c r="G1545" s="12" t="str">
        <f t="shared" si="37"/>
        <v>704299830507103</v>
      </c>
      <c r="H1545" s="12" t="s">
        <v>8983</v>
      </c>
      <c r="I1545" s="12">
        <v>9830507103</v>
      </c>
      <c r="J1545" s="12" t="s">
        <v>9260</v>
      </c>
      <c r="K1545" s="12" t="s">
        <v>44</v>
      </c>
      <c r="L1545" s="12">
        <v>3128038861</v>
      </c>
      <c r="M1545" s="12" t="s">
        <v>8985</v>
      </c>
      <c r="N1545" s="12" t="s">
        <v>127</v>
      </c>
      <c r="O1545" s="12" t="s">
        <v>2822</v>
      </c>
      <c r="P1545" s="88" t="s">
        <v>48</v>
      </c>
      <c r="Q1545" s="13">
        <v>46183</v>
      </c>
      <c r="R1545" s="12" t="s">
        <v>8421</v>
      </c>
      <c r="S1545" s="12" t="s">
        <v>49</v>
      </c>
      <c r="T1545" s="12" t="s">
        <v>4457</v>
      </c>
      <c r="U1545" s="12" t="s">
        <v>2456</v>
      </c>
      <c r="V1545" s="13"/>
      <c r="W1545" s="16"/>
      <c r="AC1545" s="13"/>
      <c r="AU1545" s="12" t="s">
        <v>53</v>
      </c>
    </row>
    <row r="1546" spans="1:52" s="12" customFormat="1" ht="14.4" hidden="1" x14ac:dyDescent="0.3">
      <c r="A1546" s="12" t="s">
        <v>39</v>
      </c>
      <c r="B1546" s="12" t="s">
        <v>4453</v>
      </c>
      <c r="C1546" s="12">
        <v>70</v>
      </c>
      <c r="D1546" s="12">
        <v>429</v>
      </c>
      <c r="F1546" s="275" t="s">
        <v>9253</v>
      </c>
      <c r="G1546" s="12" t="str">
        <f t="shared" si="37"/>
        <v>7042964747936</v>
      </c>
      <c r="H1546" s="12" t="s">
        <v>9254</v>
      </c>
      <c r="I1546" s="12">
        <v>64747936</v>
      </c>
      <c r="J1546" s="12" t="s">
        <v>9255</v>
      </c>
      <c r="K1546" s="12" t="s">
        <v>44</v>
      </c>
      <c r="L1546" s="12">
        <v>3126467099</v>
      </c>
      <c r="M1546" s="12" t="s">
        <v>9256</v>
      </c>
      <c r="N1546" s="12" t="s">
        <v>432</v>
      </c>
      <c r="O1546" s="12" t="s">
        <v>432</v>
      </c>
      <c r="P1546" s="88" t="s">
        <v>261</v>
      </c>
      <c r="Q1546" s="13">
        <v>46184</v>
      </c>
      <c r="R1546" s="12">
        <v>83</v>
      </c>
      <c r="S1546" s="12" t="s">
        <v>49</v>
      </c>
      <c r="T1546" s="12" t="s">
        <v>9240</v>
      </c>
      <c r="U1546" s="12" t="s">
        <v>2456</v>
      </c>
      <c r="V1546" s="13"/>
      <c r="AU1546" s="12" t="s">
        <v>53</v>
      </c>
    </row>
    <row r="1547" spans="1:52" s="12" customFormat="1" ht="14.4" hidden="1" x14ac:dyDescent="0.3">
      <c r="A1547" s="12" t="s">
        <v>39</v>
      </c>
      <c r="B1547" s="12" t="s">
        <v>4453</v>
      </c>
      <c r="C1547" s="12">
        <v>70</v>
      </c>
      <c r="D1547" s="12">
        <v>429</v>
      </c>
      <c r="F1547" s="275" t="s">
        <v>4571</v>
      </c>
      <c r="G1547" s="12" t="str">
        <f t="shared" si="37"/>
        <v>704291038439718</v>
      </c>
      <c r="H1547" s="12" t="s">
        <v>4572</v>
      </c>
      <c r="I1547" s="12">
        <v>1038439718</v>
      </c>
      <c r="J1547" s="12" t="s">
        <v>4573</v>
      </c>
      <c r="K1547" s="12" t="s">
        <v>230</v>
      </c>
      <c r="L1547" s="12">
        <v>3205088893</v>
      </c>
      <c r="M1547" s="17" t="s">
        <v>4574</v>
      </c>
      <c r="N1547" s="12" t="s">
        <v>432</v>
      </c>
      <c r="O1547" s="12" t="s">
        <v>432</v>
      </c>
      <c r="P1547" s="88" t="s">
        <v>261</v>
      </c>
      <c r="Q1547" s="13">
        <v>45779</v>
      </c>
      <c r="R1547" s="12" t="s">
        <v>1906</v>
      </c>
      <c r="S1547" s="12" t="s">
        <v>49</v>
      </c>
      <c r="T1547" s="12" t="s">
        <v>4457</v>
      </c>
      <c r="U1547" s="12" t="s">
        <v>2456</v>
      </c>
      <c r="V1547" s="13">
        <v>45646</v>
      </c>
      <c r="W1547" s="12" t="s">
        <v>2148</v>
      </c>
      <c r="X1547" s="12" t="s">
        <v>49</v>
      </c>
      <c r="Z1547" s="12" t="s">
        <v>60</v>
      </c>
      <c r="AA1547" s="12" t="s">
        <v>51</v>
      </c>
      <c r="AB1547" s="12" t="s">
        <v>51</v>
      </c>
      <c r="AU1547" s="12" t="s">
        <v>53</v>
      </c>
      <c r="AX1547" s="12" t="s">
        <v>51</v>
      </c>
      <c r="AZ1547" s="12" t="s">
        <v>51</v>
      </c>
    </row>
    <row r="1548" spans="1:52" s="12" customFormat="1" ht="14.4" hidden="1" x14ac:dyDescent="0.3">
      <c r="A1548" s="12" t="s">
        <v>39</v>
      </c>
      <c r="B1548" s="12" t="s">
        <v>4453</v>
      </c>
      <c r="C1548" s="12">
        <v>70</v>
      </c>
      <c r="D1548" s="12">
        <v>429</v>
      </c>
      <c r="F1548" s="275" t="s">
        <v>9280</v>
      </c>
      <c r="G1548" s="12" t="str">
        <f t="shared" si="37"/>
        <v>7042964747845</v>
      </c>
      <c r="H1548" s="12" t="s">
        <v>9281</v>
      </c>
      <c r="I1548" s="12">
        <v>64747845</v>
      </c>
      <c r="J1548" s="12" t="s">
        <v>9282</v>
      </c>
      <c r="K1548" s="12" t="s">
        <v>44</v>
      </c>
      <c r="L1548" s="12">
        <v>3002900973</v>
      </c>
      <c r="M1548" s="17"/>
      <c r="N1548" s="12" t="s">
        <v>432</v>
      </c>
      <c r="O1548" s="12" t="s">
        <v>432</v>
      </c>
      <c r="P1548" s="88" t="s">
        <v>261</v>
      </c>
      <c r="Q1548" s="13">
        <v>46217</v>
      </c>
      <c r="R1548" s="12" t="s">
        <v>8595</v>
      </c>
      <c r="S1548" s="12" t="s">
        <v>49</v>
      </c>
      <c r="T1548" s="12" t="s">
        <v>4457</v>
      </c>
      <c r="U1548" s="12" t="s">
        <v>2456</v>
      </c>
      <c r="V1548" s="13"/>
      <c r="AU1548" s="12" t="s">
        <v>53</v>
      </c>
    </row>
    <row r="1549" spans="1:52" s="12" customFormat="1" ht="14.4" hidden="1" x14ac:dyDescent="0.3">
      <c r="A1549" s="12" t="s">
        <v>39</v>
      </c>
      <c r="B1549" s="12" t="s">
        <v>4453</v>
      </c>
      <c r="C1549" s="12">
        <v>70</v>
      </c>
      <c r="D1549" s="12">
        <v>429</v>
      </c>
      <c r="F1549" s="275" t="s">
        <v>9276</v>
      </c>
      <c r="G1549" s="12" t="str">
        <f t="shared" si="37"/>
        <v>7042992127521</v>
      </c>
      <c r="H1549" s="12" t="s">
        <v>9277</v>
      </c>
      <c r="I1549" s="12">
        <v>92127521</v>
      </c>
      <c r="J1549" s="12" t="s">
        <v>9278</v>
      </c>
      <c r="K1549" s="12" t="s">
        <v>44</v>
      </c>
      <c r="L1549" s="12">
        <v>3136813519</v>
      </c>
      <c r="M1549" s="17" t="s">
        <v>9279</v>
      </c>
      <c r="N1549" s="12" t="s">
        <v>432</v>
      </c>
      <c r="O1549" s="12" t="s">
        <v>432</v>
      </c>
      <c r="P1549" s="88" t="s">
        <v>261</v>
      </c>
      <c r="Q1549" s="13">
        <v>46217</v>
      </c>
      <c r="R1549" s="12" t="s">
        <v>4833</v>
      </c>
      <c r="S1549" s="12" t="s">
        <v>49</v>
      </c>
      <c r="T1549" s="12" t="s">
        <v>4457</v>
      </c>
      <c r="U1549" s="12" t="s">
        <v>2456</v>
      </c>
      <c r="V1549" s="13"/>
      <c r="AU1549" s="12" t="s">
        <v>53</v>
      </c>
    </row>
    <row r="1550" spans="1:52" s="12" customFormat="1" ht="14.4" hidden="1" x14ac:dyDescent="0.3">
      <c r="A1550" s="12" t="s">
        <v>39</v>
      </c>
      <c r="B1550" s="12" t="s">
        <v>4453</v>
      </c>
      <c r="C1550" s="12">
        <v>70</v>
      </c>
      <c r="D1550" s="12">
        <v>429</v>
      </c>
      <c r="F1550" s="275" t="s">
        <v>4575</v>
      </c>
      <c r="G1550" s="12" t="str">
        <f t="shared" si="37"/>
        <v>7042945740991</v>
      </c>
      <c r="H1550" s="12" t="s">
        <v>4576</v>
      </c>
      <c r="I1550" s="12">
        <v>45740991</v>
      </c>
      <c r="J1550" s="12" t="s">
        <v>4577</v>
      </c>
      <c r="K1550" s="12" t="s">
        <v>230</v>
      </c>
      <c r="L1550" s="12">
        <v>3207072030</v>
      </c>
      <c r="M1550" s="12" t="s">
        <v>4578</v>
      </c>
      <c r="N1550" s="12" t="s">
        <v>432</v>
      </c>
      <c r="O1550" s="12" t="s">
        <v>432</v>
      </c>
      <c r="P1550" s="88" t="s">
        <v>261</v>
      </c>
      <c r="Q1550" s="13">
        <v>46177</v>
      </c>
      <c r="R1550" s="12" t="s">
        <v>7753</v>
      </c>
      <c r="S1550" s="12" t="s">
        <v>49</v>
      </c>
      <c r="T1550" s="12" t="s">
        <v>9240</v>
      </c>
      <c r="U1550" s="12" t="s">
        <v>4747</v>
      </c>
      <c r="V1550" s="13">
        <v>45775</v>
      </c>
      <c r="W1550" s="12" t="s">
        <v>167</v>
      </c>
      <c r="X1550" s="12" t="s">
        <v>49</v>
      </c>
      <c r="Y1550" s="12" t="s">
        <v>4457</v>
      </c>
      <c r="Z1550" s="12" t="s">
        <v>2456</v>
      </c>
      <c r="AA1550" s="12" t="s">
        <v>51</v>
      </c>
      <c r="AB1550" s="12" t="s">
        <v>51</v>
      </c>
      <c r="AC1550" s="13">
        <v>45372</v>
      </c>
      <c r="AD1550" s="12" t="s">
        <v>167</v>
      </c>
      <c r="AE1550" s="12" t="s">
        <v>49</v>
      </c>
      <c r="AF1550" s="12" t="s">
        <v>60</v>
      </c>
      <c r="AU1550" s="12" t="s">
        <v>53</v>
      </c>
      <c r="AX1550" s="12" t="s">
        <v>51</v>
      </c>
      <c r="AZ1550" s="12" t="s">
        <v>51</v>
      </c>
    </row>
    <row r="1551" spans="1:52" s="12" customFormat="1" ht="14.4" hidden="1" x14ac:dyDescent="0.3">
      <c r="A1551" s="12" t="s">
        <v>39</v>
      </c>
      <c r="B1551" s="12" t="s">
        <v>4453</v>
      </c>
      <c r="C1551" s="12">
        <v>70</v>
      </c>
      <c r="D1551" s="12">
        <v>429</v>
      </c>
      <c r="F1551" s="275" t="s">
        <v>9710</v>
      </c>
      <c r="G1551" s="12" t="str">
        <f t="shared" si="37"/>
        <v>704291007859689</v>
      </c>
      <c r="H1551" s="12" t="s">
        <v>9711</v>
      </c>
      <c r="I1551" s="12">
        <v>1007859689</v>
      </c>
      <c r="J1551" s="12" t="s">
        <v>9775</v>
      </c>
      <c r="K1551" s="12" t="s">
        <v>44</v>
      </c>
      <c r="L1551" s="12">
        <v>3239037275</v>
      </c>
      <c r="M1551" s="12" t="s">
        <v>9712</v>
      </c>
      <c r="N1551" s="12" t="s">
        <v>432</v>
      </c>
      <c r="O1551" s="12" t="s">
        <v>432</v>
      </c>
      <c r="P1551" s="88" t="s">
        <v>261</v>
      </c>
      <c r="Q1551" s="13">
        <v>45964</v>
      </c>
      <c r="R1551" s="12">
        <v>88.5</v>
      </c>
      <c r="S1551" s="12" t="s">
        <v>49</v>
      </c>
      <c r="U1551" s="12" t="s">
        <v>4747</v>
      </c>
      <c r="V1551" s="13"/>
      <c r="AC1551" s="13"/>
      <c r="AU1551" s="12" t="s">
        <v>53</v>
      </c>
    </row>
    <row r="1552" spans="1:52" s="12" customFormat="1" ht="14.4" hidden="1" x14ac:dyDescent="0.3">
      <c r="A1552" s="12" t="s">
        <v>39</v>
      </c>
      <c r="B1552" s="12" t="s">
        <v>4453</v>
      </c>
      <c r="C1552" s="12">
        <v>70</v>
      </c>
      <c r="D1552" s="12">
        <v>429</v>
      </c>
      <c r="F1552" s="12" t="s">
        <v>4579</v>
      </c>
      <c r="G1552" s="12" t="str">
        <f t="shared" si="37"/>
        <v>704291104375303</v>
      </c>
      <c r="H1552" s="12" t="s">
        <v>4580</v>
      </c>
      <c r="I1552" s="12">
        <v>1104375303</v>
      </c>
      <c r="J1552" s="12" t="s">
        <v>4581</v>
      </c>
      <c r="K1552" s="12" t="s">
        <v>230</v>
      </c>
      <c r="L1552" s="12">
        <v>3123292773</v>
      </c>
      <c r="M1552" s="12" t="s">
        <v>193</v>
      </c>
      <c r="N1552" s="12" t="s">
        <v>432</v>
      </c>
      <c r="O1552" s="12" t="s">
        <v>432</v>
      </c>
      <c r="P1552" s="88" t="s">
        <v>261</v>
      </c>
      <c r="Q1552" s="13">
        <v>45378</v>
      </c>
      <c r="R1552" s="16">
        <v>0.86499999999999999</v>
      </c>
      <c r="S1552" s="12" t="s">
        <v>49</v>
      </c>
      <c r="U1552" s="12" t="s">
        <v>2456</v>
      </c>
      <c r="AA1552" s="12" t="s">
        <v>51</v>
      </c>
      <c r="AB1552" s="12" t="s">
        <v>51</v>
      </c>
      <c r="AU1552" s="12" t="s">
        <v>53</v>
      </c>
      <c r="AX1552" s="12" t="s">
        <v>51</v>
      </c>
      <c r="AZ1552" s="12" t="s">
        <v>51</v>
      </c>
    </row>
    <row r="1553" spans="1:52" s="12" customFormat="1" ht="14.4" hidden="1" x14ac:dyDescent="0.3">
      <c r="A1553" s="12" t="s">
        <v>39</v>
      </c>
      <c r="B1553" s="12" t="s">
        <v>4453</v>
      </c>
      <c r="C1553" s="12">
        <v>70</v>
      </c>
      <c r="D1553" s="12">
        <v>429</v>
      </c>
      <c r="F1553" s="12" t="s">
        <v>4582</v>
      </c>
      <c r="G1553" s="12" t="str">
        <f t="shared" si="37"/>
        <v>7042924812007</v>
      </c>
      <c r="H1553" s="12" t="s">
        <v>4583</v>
      </c>
      <c r="I1553" s="12">
        <v>24812007</v>
      </c>
      <c r="J1553" s="12" t="s">
        <v>4584</v>
      </c>
      <c r="K1553" s="12" t="s">
        <v>230</v>
      </c>
      <c r="L1553" s="12">
        <v>3126248492</v>
      </c>
      <c r="M1553" s="12" t="s">
        <v>193</v>
      </c>
      <c r="N1553" s="12" t="s">
        <v>432</v>
      </c>
      <c r="O1553" s="12" t="s">
        <v>432</v>
      </c>
      <c r="P1553" s="88" t="s">
        <v>261</v>
      </c>
      <c r="Q1553" s="13">
        <v>45377</v>
      </c>
      <c r="R1553" s="16">
        <v>0.88500000000000001</v>
      </c>
      <c r="S1553" s="12" t="s">
        <v>49</v>
      </c>
      <c r="U1553" s="12" t="s">
        <v>2456</v>
      </c>
      <c r="AA1553" s="12" t="s">
        <v>51</v>
      </c>
      <c r="AB1553" s="12" t="s">
        <v>51</v>
      </c>
      <c r="AU1553" s="12" t="s">
        <v>53</v>
      </c>
      <c r="AX1553" s="12" t="s">
        <v>51</v>
      </c>
      <c r="AZ1553" s="12" t="s">
        <v>51</v>
      </c>
    </row>
    <row r="1554" spans="1:52" s="12" customFormat="1" ht="14.4" hidden="1" x14ac:dyDescent="0.3">
      <c r="A1554" s="12" t="s">
        <v>39</v>
      </c>
      <c r="B1554" s="12" t="s">
        <v>4453</v>
      </c>
      <c r="C1554" s="12">
        <v>70</v>
      </c>
      <c r="D1554" s="12">
        <v>429</v>
      </c>
      <c r="F1554" s="12" t="s">
        <v>4585</v>
      </c>
      <c r="G1554" s="12" t="str">
        <f t="shared" si="37"/>
        <v>7042945444096</v>
      </c>
      <c r="H1554" s="12" t="s">
        <v>4586</v>
      </c>
      <c r="I1554" s="12">
        <v>45444096</v>
      </c>
      <c r="J1554" s="12" t="s">
        <v>4587</v>
      </c>
      <c r="K1554" s="12" t="s">
        <v>230</v>
      </c>
      <c r="L1554" s="12">
        <v>3106253502</v>
      </c>
      <c r="M1554" s="12" t="s">
        <v>193</v>
      </c>
      <c r="N1554" s="12" t="s">
        <v>432</v>
      </c>
      <c r="O1554" s="12" t="s">
        <v>432</v>
      </c>
      <c r="P1554" s="88" t="s">
        <v>261</v>
      </c>
      <c r="Q1554" s="13">
        <v>45461</v>
      </c>
      <c r="R1554" s="16">
        <v>0.85</v>
      </c>
      <c r="S1554" s="12" t="s">
        <v>49</v>
      </c>
      <c r="U1554" s="12" t="s">
        <v>2456</v>
      </c>
      <c r="AA1554" s="12" t="s">
        <v>51</v>
      </c>
      <c r="AB1554" s="12" t="s">
        <v>51</v>
      </c>
      <c r="AU1554" s="12" t="s">
        <v>53</v>
      </c>
      <c r="AX1554" s="12" t="s">
        <v>51</v>
      </c>
      <c r="AZ1554" s="12" t="s">
        <v>51</v>
      </c>
    </row>
    <row r="1555" spans="1:52" s="12" customFormat="1" ht="14.4" hidden="1" x14ac:dyDescent="0.3">
      <c r="A1555" s="12" t="s">
        <v>39</v>
      </c>
      <c r="B1555" s="12" t="s">
        <v>4453</v>
      </c>
      <c r="C1555" s="12">
        <v>70</v>
      </c>
      <c r="D1555" s="12">
        <v>429</v>
      </c>
      <c r="F1555" s="12" t="s">
        <v>4588</v>
      </c>
      <c r="G1555" s="12" t="str">
        <f t="shared" si="37"/>
        <v>70429</v>
      </c>
      <c r="H1555" s="12" t="s">
        <v>4589</v>
      </c>
      <c r="J1555" s="12" t="s">
        <v>4590</v>
      </c>
      <c r="K1555" s="12" t="s">
        <v>230</v>
      </c>
      <c r="L1555" s="12" t="s">
        <v>45</v>
      </c>
      <c r="M1555" s="12" t="s">
        <v>193</v>
      </c>
      <c r="N1555" s="12" t="s">
        <v>432</v>
      </c>
      <c r="O1555" s="12" t="s">
        <v>432</v>
      </c>
      <c r="P1555" s="88" t="s">
        <v>261</v>
      </c>
      <c r="Q1555" s="13">
        <v>45623</v>
      </c>
      <c r="R1555" s="16">
        <v>0.88500000000000001</v>
      </c>
      <c r="S1555" s="12" t="s">
        <v>49</v>
      </c>
      <c r="U1555" s="12" t="s">
        <v>2456</v>
      </c>
      <c r="AA1555" s="12" t="s">
        <v>51</v>
      </c>
      <c r="AB1555" s="12" t="s">
        <v>51</v>
      </c>
      <c r="AU1555" s="12" t="s">
        <v>53</v>
      </c>
      <c r="AX1555" s="12" t="s">
        <v>51</v>
      </c>
      <c r="AZ1555" s="12" t="s">
        <v>51</v>
      </c>
    </row>
    <row r="1556" spans="1:52" s="12" customFormat="1" ht="14.4" hidden="1" x14ac:dyDescent="0.3">
      <c r="A1556" s="12" t="s">
        <v>39</v>
      </c>
      <c r="B1556" s="12" t="s">
        <v>4453</v>
      </c>
      <c r="C1556" s="12">
        <v>70</v>
      </c>
      <c r="D1556" s="12">
        <v>429</v>
      </c>
      <c r="F1556" s="12" t="s">
        <v>4591</v>
      </c>
      <c r="G1556" s="12" t="str">
        <f t="shared" si="37"/>
        <v>704298060276</v>
      </c>
      <c r="H1556" s="12" t="s">
        <v>4592</v>
      </c>
      <c r="I1556" s="12">
        <v>8060276</v>
      </c>
      <c r="J1556" s="12" t="s">
        <v>4593</v>
      </c>
      <c r="K1556" s="12" t="s">
        <v>230</v>
      </c>
      <c r="L1556" s="12" t="s">
        <v>45</v>
      </c>
      <c r="M1556" s="12" t="s">
        <v>193</v>
      </c>
      <c r="N1556" s="12" t="s">
        <v>432</v>
      </c>
      <c r="O1556" s="12" t="s">
        <v>432</v>
      </c>
      <c r="P1556" s="88" t="s">
        <v>261</v>
      </c>
      <c r="Q1556" s="13">
        <v>45624</v>
      </c>
      <c r="R1556" s="16">
        <v>0.82</v>
      </c>
      <c r="S1556" s="12" t="s">
        <v>49</v>
      </c>
      <c r="U1556" s="12" t="s">
        <v>2456</v>
      </c>
      <c r="AA1556" s="12" t="s">
        <v>51</v>
      </c>
      <c r="AB1556" s="12" t="s">
        <v>51</v>
      </c>
      <c r="AU1556" s="12" t="s">
        <v>53</v>
      </c>
      <c r="AX1556" s="12" t="s">
        <v>51</v>
      </c>
      <c r="AZ1556" s="12" t="s">
        <v>51</v>
      </c>
    </row>
    <row r="1557" spans="1:52" s="12" customFormat="1" ht="14.4" hidden="1" x14ac:dyDescent="0.3">
      <c r="A1557" s="12" t="s">
        <v>39</v>
      </c>
      <c r="B1557" s="12" t="s">
        <v>4453</v>
      </c>
      <c r="C1557" s="12">
        <v>70</v>
      </c>
      <c r="D1557" s="12">
        <v>429</v>
      </c>
      <c r="F1557" s="12" t="s">
        <v>4594</v>
      </c>
      <c r="G1557" s="12" t="str">
        <f t="shared" si="37"/>
        <v>70429</v>
      </c>
      <c r="H1557" s="12" t="s">
        <v>4595</v>
      </c>
      <c r="J1557" s="12" t="s">
        <v>4596</v>
      </c>
      <c r="K1557" s="12" t="s">
        <v>230</v>
      </c>
      <c r="L1557" s="12" t="s">
        <v>45</v>
      </c>
      <c r="M1557" s="12" t="s">
        <v>193</v>
      </c>
      <c r="N1557" s="12" t="s">
        <v>432</v>
      </c>
      <c r="O1557" s="12" t="s">
        <v>432</v>
      </c>
      <c r="P1557" s="88" t="s">
        <v>261</v>
      </c>
      <c r="Q1557" s="13">
        <v>45371</v>
      </c>
      <c r="R1557" s="16">
        <v>0.80500000000000005</v>
      </c>
      <c r="S1557" s="12" t="s">
        <v>49</v>
      </c>
      <c r="U1557" s="12" t="s">
        <v>2456</v>
      </c>
      <c r="AA1557" s="12" t="s">
        <v>51</v>
      </c>
      <c r="AB1557" s="12" t="s">
        <v>51</v>
      </c>
      <c r="AU1557" s="12" t="s">
        <v>53</v>
      </c>
      <c r="AX1557" s="12" t="s">
        <v>51</v>
      </c>
      <c r="AZ1557" s="12" t="s">
        <v>51</v>
      </c>
    </row>
    <row r="1558" spans="1:52" s="12" customFormat="1" ht="14.4" hidden="1" x14ac:dyDescent="0.3">
      <c r="A1558" s="12" t="s">
        <v>39</v>
      </c>
      <c r="B1558" s="12" t="s">
        <v>4453</v>
      </c>
      <c r="C1558" s="12">
        <v>70</v>
      </c>
      <c r="D1558" s="12">
        <v>429</v>
      </c>
      <c r="F1558" s="12" t="s">
        <v>4597</v>
      </c>
      <c r="G1558" s="12" t="str">
        <f t="shared" si="37"/>
        <v>70429</v>
      </c>
      <c r="H1558" s="12" t="s">
        <v>4598</v>
      </c>
      <c r="J1558" s="12" t="s">
        <v>4599</v>
      </c>
      <c r="K1558" s="12" t="s">
        <v>230</v>
      </c>
      <c r="L1558" s="12" t="s">
        <v>45</v>
      </c>
      <c r="M1558" s="12" t="s">
        <v>193</v>
      </c>
      <c r="N1558" s="12" t="s">
        <v>432</v>
      </c>
      <c r="O1558" s="12" t="s">
        <v>432</v>
      </c>
      <c r="P1558" s="88" t="s">
        <v>261</v>
      </c>
      <c r="Q1558" s="13">
        <v>45492</v>
      </c>
      <c r="R1558" s="16">
        <v>0.81499999999999995</v>
      </c>
      <c r="S1558" s="12" t="s">
        <v>49</v>
      </c>
      <c r="U1558" s="12" t="s">
        <v>2456</v>
      </c>
      <c r="AA1558" s="12" t="s">
        <v>51</v>
      </c>
      <c r="AB1558" s="12" t="s">
        <v>51</v>
      </c>
      <c r="AU1558" s="12" t="s">
        <v>53</v>
      </c>
      <c r="AX1558" s="12" t="s">
        <v>51</v>
      </c>
      <c r="AZ1558" s="12" t="s">
        <v>51</v>
      </c>
    </row>
    <row r="1559" spans="1:52" s="12" customFormat="1" ht="14.4" hidden="1" x14ac:dyDescent="0.3">
      <c r="A1559" s="12" t="s">
        <v>39</v>
      </c>
      <c r="B1559" s="12" t="s">
        <v>4453</v>
      </c>
      <c r="C1559" s="12">
        <v>70</v>
      </c>
      <c r="D1559" s="12">
        <v>429</v>
      </c>
      <c r="F1559" s="12" t="s">
        <v>4600</v>
      </c>
      <c r="G1559" s="12" t="str">
        <f t="shared" si="37"/>
        <v>7042964725211</v>
      </c>
      <c r="H1559" s="12" t="s">
        <v>4601</v>
      </c>
      <c r="I1559" s="12">
        <v>64725211</v>
      </c>
      <c r="J1559" s="12" t="s">
        <v>4596</v>
      </c>
      <c r="K1559" s="12" t="s">
        <v>230</v>
      </c>
      <c r="L1559" s="12">
        <v>3248187095</v>
      </c>
      <c r="M1559" s="12" t="s">
        <v>193</v>
      </c>
      <c r="N1559" s="12" t="s">
        <v>432</v>
      </c>
      <c r="O1559" s="12" t="s">
        <v>432</v>
      </c>
      <c r="P1559" s="88" t="s">
        <v>261</v>
      </c>
      <c r="Q1559" s="13">
        <v>45440</v>
      </c>
      <c r="R1559" s="16">
        <v>0.88500000000000001</v>
      </c>
      <c r="S1559" s="12" t="s">
        <v>49</v>
      </c>
      <c r="U1559" s="12" t="s">
        <v>2456</v>
      </c>
      <c r="AA1559" s="12" t="s">
        <v>51</v>
      </c>
      <c r="AB1559" s="12" t="s">
        <v>51</v>
      </c>
      <c r="AU1559" s="12" t="s">
        <v>53</v>
      </c>
      <c r="AX1559" s="12" t="s">
        <v>51</v>
      </c>
      <c r="AZ1559" s="12" t="s">
        <v>51</v>
      </c>
    </row>
    <row r="1560" spans="1:52" s="12" customFormat="1" ht="14.4" hidden="1" x14ac:dyDescent="0.3">
      <c r="A1560" s="12" t="s">
        <v>39</v>
      </c>
      <c r="B1560" s="12" t="s">
        <v>4453</v>
      </c>
      <c r="C1560" s="12">
        <v>70</v>
      </c>
      <c r="D1560" s="12">
        <v>429</v>
      </c>
      <c r="F1560" s="12" t="s">
        <v>4602</v>
      </c>
      <c r="G1560" s="12" t="str">
        <f t="shared" ref="G1560:G1588" si="38">C1560&amp;D1560&amp;I1560</f>
        <v>7042992128393</v>
      </c>
      <c r="H1560" s="12" t="s">
        <v>4603</v>
      </c>
      <c r="I1560" s="15">
        <v>92128393</v>
      </c>
      <c r="J1560" s="12" t="s">
        <v>4604</v>
      </c>
      <c r="K1560" s="12" t="s">
        <v>230</v>
      </c>
      <c r="L1560" s="12">
        <v>3136546699</v>
      </c>
      <c r="M1560" s="12" t="s">
        <v>4605</v>
      </c>
      <c r="N1560" s="12" t="s">
        <v>432</v>
      </c>
      <c r="O1560" s="12" t="s">
        <v>432</v>
      </c>
      <c r="P1560" s="88" t="s">
        <v>261</v>
      </c>
      <c r="Q1560" s="13">
        <v>45371</v>
      </c>
      <c r="R1560" s="16">
        <v>0.8</v>
      </c>
      <c r="S1560" s="12" t="s">
        <v>49</v>
      </c>
      <c r="U1560" s="12" t="s">
        <v>2456</v>
      </c>
      <c r="AA1560" s="12" t="s">
        <v>51</v>
      </c>
      <c r="AB1560" s="12" t="s">
        <v>51</v>
      </c>
      <c r="AU1560" s="12" t="s">
        <v>53</v>
      </c>
      <c r="AX1560" s="12" t="s">
        <v>51</v>
      </c>
      <c r="AZ1560" s="12" t="s">
        <v>51</v>
      </c>
    </row>
    <row r="1561" spans="1:52" s="12" customFormat="1" ht="14.4" hidden="1" x14ac:dyDescent="0.3">
      <c r="A1561" s="12" t="s">
        <v>39</v>
      </c>
      <c r="B1561" s="12" t="s">
        <v>4453</v>
      </c>
      <c r="C1561" s="12">
        <v>70</v>
      </c>
      <c r="D1561" s="12">
        <v>429</v>
      </c>
      <c r="F1561" s="12" t="s">
        <v>4606</v>
      </c>
      <c r="G1561" s="12" t="str">
        <f t="shared" si="38"/>
        <v>7042933065549</v>
      </c>
      <c r="H1561" s="12" t="s">
        <v>4607</v>
      </c>
      <c r="I1561" s="15">
        <v>33065549</v>
      </c>
      <c r="J1561" s="12" t="s">
        <v>4608</v>
      </c>
      <c r="K1561" s="12" t="s">
        <v>230</v>
      </c>
      <c r="L1561" s="12">
        <v>3127141333</v>
      </c>
      <c r="M1561" s="12" t="s">
        <v>193</v>
      </c>
      <c r="N1561" s="12" t="s">
        <v>432</v>
      </c>
      <c r="O1561" s="12" t="s">
        <v>432</v>
      </c>
      <c r="P1561" s="88" t="s">
        <v>261</v>
      </c>
      <c r="Q1561" s="13">
        <v>45393</v>
      </c>
      <c r="R1561" s="59">
        <v>0.86499999999999999</v>
      </c>
      <c r="S1561" s="12" t="s">
        <v>49</v>
      </c>
      <c r="U1561" s="12" t="s">
        <v>2456</v>
      </c>
      <c r="AA1561" s="12" t="s">
        <v>51</v>
      </c>
      <c r="AB1561" s="12" t="s">
        <v>51</v>
      </c>
      <c r="AU1561" s="12" t="s">
        <v>53</v>
      </c>
      <c r="AX1561" s="12" t="s">
        <v>51</v>
      </c>
      <c r="AZ1561" s="12" t="s">
        <v>51</v>
      </c>
    </row>
    <row r="1562" spans="1:52" s="12" customFormat="1" ht="14.4" hidden="1" x14ac:dyDescent="0.3">
      <c r="A1562" s="12" t="s">
        <v>39</v>
      </c>
      <c r="B1562" s="12" t="s">
        <v>4453</v>
      </c>
      <c r="C1562" s="12">
        <v>70</v>
      </c>
      <c r="D1562" s="12">
        <v>429</v>
      </c>
      <c r="F1562" s="275" t="s">
        <v>4609</v>
      </c>
      <c r="G1562" s="12" t="str">
        <f t="shared" si="38"/>
        <v>7042973194197</v>
      </c>
      <c r="H1562" s="12" t="s">
        <v>4610</v>
      </c>
      <c r="I1562" s="15">
        <v>73194197</v>
      </c>
      <c r="J1562" s="12" t="s">
        <v>4611</v>
      </c>
      <c r="K1562" s="12" t="s">
        <v>230</v>
      </c>
      <c r="L1562" s="12">
        <v>3235232351</v>
      </c>
      <c r="M1562" s="12" t="s">
        <v>8990</v>
      </c>
      <c r="N1562" s="12" t="s">
        <v>432</v>
      </c>
      <c r="O1562" s="12" t="s">
        <v>432</v>
      </c>
      <c r="P1562" s="88" t="s">
        <v>261</v>
      </c>
      <c r="Q1562" s="13">
        <v>46195</v>
      </c>
      <c r="R1562" s="12">
        <v>83</v>
      </c>
      <c r="S1562" s="12" t="s">
        <v>49</v>
      </c>
      <c r="U1562" s="12" t="s">
        <v>2456</v>
      </c>
      <c r="V1562" s="13">
        <v>45384</v>
      </c>
      <c r="W1562" s="59">
        <v>0.83499999999999996</v>
      </c>
      <c r="X1562" s="12" t="s">
        <v>49</v>
      </c>
      <c r="Z1562" s="12" t="s">
        <v>2456</v>
      </c>
      <c r="AA1562" s="12" t="s">
        <v>51</v>
      </c>
      <c r="AB1562" s="12" t="s">
        <v>51</v>
      </c>
      <c r="AU1562" s="12" t="s">
        <v>53</v>
      </c>
      <c r="AX1562" s="12" t="s">
        <v>51</v>
      </c>
      <c r="AZ1562" s="12" t="s">
        <v>51</v>
      </c>
    </row>
    <row r="1563" spans="1:52" s="12" customFormat="1" ht="14.4" hidden="1" x14ac:dyDescent="0.3">
      <c r="A1563" s="12" t="s">
        <v>39</v>
      </c>
      <c r="B1563" s="12" t="s">
        <v>4453</v>
      </c>
      <c r="C1563" s="12">
        <v>70</v>
      </c>
      <c r="D1563" s="12">
        <v>429</v>
      </c>
      <c r="F1563" s="12" t="s">
        <v>4612</v>
      </c>
      <c r="G1563" s="12" t="str">
        <f t="shared" si="38"/>
        <v>704291005677293</v>
      </c>
      <c r="H1563" s="12" t="s">
        <v>4613</v>
      </c>
      <c r="I1563" s="15">
        <v>1005677293</v>
      </c>
      <c r="J1563" s="12" t="s">
        <v>4614</v>
      </c>
      <c r="K1563" s="12" t="s">
        <v>230</v>
      </c>
      <c r="L1563" s="12">
        <v>3017033147</v>
      </c>
      <c r="M1563" s="12" t="s">
        <v>4615</v>
      </c>
      <c r="N1563" s="12" t="s">
        <v>432</v>
      </c>
      <c r="O1563" s="12" t="s">
        <v>432</v>
      </c>
      <c r="P1563" s="88" t="s">
        <v>261</v>
      </c>
      <c r="Q1563" s="13">
        <v>45394</v>
      </c>
      <c r="R1563" s="59">
        <v>0.88500000000000001</v>
      </c>
      <c r="S1563" s="12" t="s">
        <v>49</v>
      </c>
      <c r="U1563" s="12" t="s">
        <v>2456</v>
      </c>
      <c r="AA1563" s="12" t="s">
        <v>51</v>
      </c>
      <c r="AB1563" s="12" t="s">
        <v>51</v>
      </c>
      <c r="AU1563" s="12" t="s">
        <v>53</v>
      </c>
      <c r="AX1563" s="12" t="s">
        <v>51</v>
      </c>
      <c r="AZ1563" s="12" t="s">
        <v>51</v>
      </c>
    </row>
    <row r="1564" spans="1:52" s="12" customFormat="1" ht="14.4" hidden="1" x14ac:dyDescent="0.3">
      <c r="A1564" s="12" t="s">
        <v>39</v>
      </c>
      <c r="B1564" s="12" t="s">
        <v>4453</v>
      </c>
      <c r="C1564" s="12">
        <v>70</v>
      </c>
      <c r="D1564" s="12">
        <v>429</v>
      </c>
      <c r="F1564" s="275" t="s">
        <v>4616</v>
      </c>
      <c r="G1564" s="12" t="str">
        <f t="shared" si="38"/>
        <v>704291100012257</v>
      </c>
      <c r="H1564" s="12" t="s">
        <v>9708</v>
      </c>
      <c r="I1564" s="12">
        <v>1100012257</v>
      </c>
      <c r="J1564" s="12" t="s">
        <v>9776</v>
      </c>
      <c r="K1564" s="12" t="s">
        <v>44</v>
      </c>
      <c r="L1564" s="12">
        <v>3237575578</v>
      </c>
      <c r="M1564" s="12" t="s">
        <v>9709</v>
      </c>
      <c r="N1564" s="12" t="s">
        <v>432</v>
      </c>
      <c r="O1564" s="12" t="s">
        <v>432</v>
      </c>
      <c r="P1564" s="88" t="s">
        <v>261</v>
      </c>
      <c r="Q1564" s="13">
        <v>45776</v>
      </c>
      <c r="R1564" s="12">
        <v>83</v>
      </c>
      <c r="S1564" s="12" t="s">
        <v>49</v>
      </c>
      <c r="U1564" s="12" t="s">
        <v>2456</v>
      </c>
      <c r="V1564" s="13">
        <v>45384</v>
      </c>
      <c r="W1564" s="59">
        <v>0.83499999999999996</v>
      </c>
      <c r="X1564" s="12" t="s">
        <v>49</v>
      </c>
      <c r="Z1564" s="12" t="s">
        <v>2456</v>
      </c>
      <c r="AA1564" s="12" t="s">
        <v>51</v>
      </c>
      <c r="AB1564" s="12" t="s">
        <v>51</v>
      </c>
      <c r="AU1564" s="12" t="s">
        <v>53</v>
      </c>
      <c r="AX1564" s="12" t="s">
        <v>51</v>
      </c>
      <c r="AZ1564" s="12" t="s">
        <v>51</v>
      </c>
    </row>
    <row r="1565" spans="1:52" s="12" customFormat="1" ht="14.4" hidden="1" x14ac:dyDescent="0.3">
      <c r="A1565" s="12" t="s">
        <v>39</v>
      </c>
      <c r="B1565" s="12" t="s">
        <v>4453</v>
      </c>
      <c r="C1565" s="12">
        <v>70</v>
      </c>
      <c r="D1565" s="12">
        <v>429</v>
      </c>
      <c r="F1565" s="12" t="s">
        <v>4617</v>
      </c>
      <c r="G1565" s="12" t="str">
        <f t="shared" si="38"/>
        <v>704291005675088</v>
      </c>
      <c r="H1565" s="12" t="s">
        <v>4618</v>
      </c>
      <c r="I1565" s="15">
        <v>1005675088</v>
      </c>
      <c r="J1565" s="12" t="s">
        <v>4619</v>
      </c>
      <c r="K1565" s="12" t="s">
        <v>230</v>
      </c>
      <c r="L1565" s="12">
        <v>3013665087</v>
      </c>
      <c r="M1565" s="12" t="s">
        <v>4620</v>
      </c>
      <c r="N1565" s="12" t="s">
        <v>432</v>
      </c>
      <c r="O1565" s="12" t="s">
        <v>432</v>
      </c>
      <c r="P1565" s="88" t="s">
        <v>261</v>
      </c>
      <c r="Q1565" s="13">
        <v>45378</v>
      </c>
      <c r="R1565" s="59">
        <v>0.88500000000000001</v>
      </c>
      <c r="S1565" s="12" t="s">
        <v>49</v>
      </c>
      <c r="U1565" s="12" t="s">
        <v>2456</v>
      </c>
      <c r="AA1565" s="12" t="s">
        <v>51</v>
      </c>
      <c r="AB1565" s="12" t="s">
        <v>51</v>
      </c>
      <c r="AU1565" s="12" t="s">
        <v>53</v>
      </c>
      <c r="AX1565" s="12" t="s">
        <v>51</v>
      </c>
      <c r="AZ1565" s="12" t="s">
        <v>51</v>
      </c>
    </row>
    <row r="1566" spans="1:52" s="12" customFormat="1" ht="14.4" hidden="1" x14ac:dyDescent="0.3">
      <c r="A1566" s="12" t="s">
        <v>39</v>
      </c>
      <c r="B1566" s="12" t="s">
        <v>4453</v>
      </c>
      <c r="C1566" s="12">
        <v>70</v>
      </c>
      <c r="D1566" s="12">
        <v>429</v>
      </c>
      <c r="F1566" s="275" t="s">
        <v>9774</v>
      </c>
      <c r="G1566" s="12" t="str">
        <f t="shared" si="38"/>
        <v>7042964726365</v>
      </c>
      <c r="H1566" s="12" t="s">
        <v>4621</v>
      </c>
      <c r="I1566" s="15">
        <v>64726365</v>
      </c>
      <c r="J1566" s="12" t="s">
        <v>4622</v>
      </c>
      <c r="K1566" s="12" t="s">
        <v>230</v>
      </c>
      <c r="L1566" s="12">
        <v>3218118348</v>
      </c>
      <c r="M1566" s="12" t="s">
        <v>45</v>
      </c>
      <c r="N1566" s="12" t="s">
        <v>432</v>
      </c>
      <c r="O1566" s="12" t="s">
        <v>432</v>
      </c>
      <c r="P1566" s="88" t="s">
        <v>261</v>
      </c>
      <c r="Q1566" s="13">
        <v>45378</v>
      </c>
      <c r="R1566" s="59">
        <v>0.86499999999999999</v>
      </c>
      <c r="S1566" s="12" t="s">
        <v>49</v>
      </c>
      <c r="U1566" s="12" t="s">
        <v>2456</v>
      </c>
      <c r="AA1566" s="12" t="s">
        <v>51</v>
      </c>
      <c r="AB1566" s="12" t="s">
        <v>51</v>
      </c>
      <c r="AU1566" s="12" t="s">
        <v>53</v>
      </c>
      <c r="AX1566" s="12" t="s">
        <v>51</v>
      </c>
      <c r="AZ1566" s="12" t="s">
        <v>51</v>
      </c>
    </row>
    <row r="1567" spans="1:52" s="12" customFormat="1" ht="14.4" hidden="1" x14ac:dyDescent="0.3">
      <c r="A1567" s="12" t="s">
        <v>39</v>
      </c>
      <c r="B1567" s="12" t="s">
        <v>4453</v>
      </c>
      <c r="C1567" s="12">
        <v>70</v>
      </c>
      <c r="D1567" s="12">
        <v>429</v>
      </c>
      <c r="F1567" s="12" t="s">
        <v>4623</v>
      </c>
      <c r="G1567" s="12" t="str">
        <f t="shared" si="38"/>
        <v>70429730981130</v>
      </c>
      <c r="H1567" s="12" t="s">
        <v>4624</v>
      </c>
      <c r="I1567" s="15">
        <v>730981130</v>
      </c>
      <c r="J1567" s="12" t="s">
        <v>4516</v>
      </c>
      <c r="K1567" s="12" t="s">
        <v>133</v>
      </c>
      <c r="L1567" s="12">
        <v>3132750481</v>
      </c>
      <c r="M1567" s="12" t="s">
        <v>4625</v>
      </c>
      <c r="N1567" s="12" t="s">
        <v>432</v>
      </c>
      <c r="O1567" s="12" t="s">
        <v>432</v>
      </c>
      <c r="P1567" s="88" t="s">
        <v>261</v>
      </c>
      <c r="Q1567" s="13">
        <v>45693</v>
      </c>
      <c r="R1567" s="16">
        <v>0.84</v>
      </c>
      <c r="S1567" s="12" t="s">
        <v>49</v>
      </c>
      <c r="U1567" s="12" t="s">
        <v>2456</v>
      </c>
      <c r="V1567" s="13">
        <v>45377</v>
      </c>
      <c r="W1567" s="59">
        <v>0.80500000000000005</v>
      </c>
      <c r="X1567" s="12" t="s">
        <v>49</v>
      </c>
      <c r="Z1567" s="12" t="s">
        <v>60</v>
      </c>
      <c r="AA1567" s="12" t="s">
        <v>51</v>
      </c>
      <c r="AB1567" s="12" t="s">
        <v>51</v>
      </c>
      <c r="AU1567" s="12" t="s">
        <v>53</v>
      </c>
      <c r="AX1567" s="12" t="s">
        <v>51</v>
      </c>
      <c r="AZ1567" s="12" t="s">
        <v>51</v>
      </c>
    </row>
    <row r="1568" spans="1:52" s="12" customFormat="1" ht="14.4" hidden="1" x14ac:dyDescent="0.3">
      <c r="A1568" s="12" t="s">
        <v>39</v>
      </c>
      <c r="B1568" s="12" t="s">
        <v>4453</v>
      </c>
      <c r="C1568" s="12">
        <v>70</v>
      </c>
      <c r="D1568" s="12">
        <v>429</v>
      </c>
      <c r="F1568" s="275" t="s">
        <v>8986</v>
      </c>
      <c r="G1568" s="12" t="str">
        <f t="shared" si="38"/>
        <v>7042992130418</v>
      </c>
      <c r="H1568" s="12" t="s">
        <v>4626</v>
      </c>
      <c r="I1568" s="15">
        <v>92130418</v>
      </c>
      <c r="J1568" s="12" t="s">
        <v>4627</v>
      </c>
      <c r="K1568" s="12" t="s">
        <v>230</v>
      </c>
      <c r="L1568" s="12">
        <v>3135075271</v>
      </c>
      <c r="M1568" s="12" t="s">
        <v>8987</v>
      </c>
      <c r="N1568" s="12" t="s">
        <v>432</v>
      </c>
      <c r="O1568" s="12" t="s">
        <v>432</v>
      </c>
      <c r="P1568" s="88" t="s">
        <v>261</v>
      </c>
      <c r="Q1568" s="13">
        <v>46177</v>
      </c>
      <c r="R1568" s="12" t="s">
        <v>8538</v>
      </c>
      <c r="S1568" s="12" t="s">
        <v>49</v>
      </c>
      <c r="U1568" s="12" t="s">
        <v>2456</v>
      </c>
      <c r="V1568" s="13">
        <v>45371</v>
      </c>
      <c r="W1568" s="59">
        <v>0.80500000000000005</v>
      </c>
      <c r="X1568" s="12" t="s">
        <v>49</v>
      </c>
      <c r="Z1568" s="12" t="s">
        <v>2456</v>
      </c>
      <c r="AA1568" s="12" t="s">
        <v>51</v>
      </c>
      <c r="AB1568" s="12" t="s">
        <v>51</v>
      </c>
      <c r="AU1568" s="12" t="s">
        <v>53</v>
      </c>
      <c r="AX1568" s="12" t="s">
        <v>51</v>
      </c>
      <c r="AZ1568" s="12" t="s">
        <v>51</v>
      </c>
    </row>
    <row r="1569" spans="1:52" s="12" customFormat="1" ht="14.4" hidden="1" x14ac:dyDescent="0.3">
      <c r="A1569" s="12" t="s">
        <v>39</v>
      </c>
      <c r="B1569" s="12" t="s">
        <v>4453</v>
      </c>
      <c r="C1569" s="12">
        <v>70</v>
      </c>
      <c r="D1569" s="12">
        <v>429</v>
      </c>
      <c r="F1569" s="275" t="s">
        <v>4628</v>
      </c>
      <c r="G1569" s="12" t="str">
        <f t="shared" si="38"/>
        <v>7042992125675</v>
      </c>
      <c r="H1569" s="12" t="s">
        <v>4629</v>
      </c>
      <c r="I1569" s="15">
        <v>92125675</v>
      </c>
      <c r="J1569" s="12" t="s">
        <v>4630</v>
      </c>
      <c r="K1569" s="12" t="s">
        <v>230</v>
      </c>
      <c r="L1569" s="12">
        <v>92125675</v>
      </c>
      <c r="M1569" s="12" t="s">
        <v>4631</v>
      </c>
      <c r="N1569" s="12" t="s">
        <v>432</v>
      </c>
      <c r="O1569" s="12" t="s">
        <v>432</v>
      </c>
      <c r="P1569" s="88" t="s">
        <v>261</v>
      </c>
      <c r="Q1569" s="13">
        <v>45776</v>
      </c>
      <c r="R1569" s="12">
        <v>83.5</v>
      </c>
      <c r="S1569" s="12" t="s">
        <v>49</v>
      </c>
      <c r="U1569" s="12" t="s">
        <v>2456</v>
      </c>
      <c r="V1569" s="13">
        <v>45393</v>
      </c>
      <c r="W1569" s="59">
        <v>0.86499999999999999</v>
      </c>
      <c r="X1569" s="12" t="s">
        <v>49</v>
      </c>
      <c r="Z1569" s="12" t="s">
        <v>2456</v>
      </c>
      <c r="AA1569" s="12" t="s">
        <v>51</v>
      </c>
      <c r="AB1569" s="12" t="s">
        <v>51</v>
      </c>
      <c r="AU1569" s="12" t="s">
        <v>53</v>
      </c>
      <c r="AX1569" s="12" t="s">
        <v>51</v>
      </c>
      <c r="AZ1569" s="12" t="s">
        <v>51</v>
      </c>
    </row>
    <row r="1570" spans="1:52" s="12" customFormat="1" ht="14.4" hidden="1" x14ac:dyDescent="0.3">
      <c r="A1570" s="12" t="s">
        <v>39</v>
      </c>
      <c r="B1570" s="12" t="s">
        <v>4453</v>
      </c>
      <c r="C1570" s="12">
        <v>70</v>
      </c>
      <c r="D1570" s="12">
        <v>429</v>
      </c>
      <c r="F1570" s="12" t="s">
        <v>4632</v>
      </c>
      <c r="G1570" s="12" t="str">
        <f t="shared" si="38"/>
        <v>704298865457</v>
      </c>
      <c r="H1570" s="12" t="s">
        <v>4633</v>
      </c>
      <c r="I1570" s="15">
        <v>8865457</v>
      </c>
      <c r="J1570" s="12" t="s">
        <v>4634</v>
      </c>
      <c r="K1570" s="12" t="s">
        <v>230</v>
      </c>
      <c r="M1570" s="12" t="s">
        <v>45</v>
      </c>
      <c r="N1570" s="12" t="s">
        <v>432</v>
      </c>
      <c r="O1570" s="12" t="s">
        <v>432</v>
      </c>
      <c r="P1570" s="88" t="s">
        <v>261</v>
      </c>
      <c r="Q1570" s="13">
        <v>45397</v>
      </c>
      <c r="R1570" s="59">
        <v>0.83499999999999996</v>
      </c>
      <c r="S1570" s="12" t="s">
        <v>49</v>
      </c>
      <c r="U1570" s="12" t="s">
        <v>2456</v>
      </c>
      <c r="AA1570" s="12" t="s">
        <v>51</v>
      </c>
      <c r="AB1570" s="12" t="s">
        <v>51</v>
      </c>
      <c r="AU1570" s="12" t="s">
        <v>53</v>
      </c>
      <c r="AX1570" s="12" t="s">
        <v>51</v>
      </c>
      <c r="AZ1570" s="12" t="s">
        <v>51</v>
      </c>
    </row>
    <row r="1571" spans="1:52" s="12" customFormat="1" ht="14.4" hidden="1" x14ac:dyDescent="0.3">
      <c r="A1571" s="12" t="s">
        <v>39</v>
      </c>
      <c r="B1571" s="12" t="s">
        <v>4453</v>
      </c>
      <c r="C1571" s="12">
        <v>70</v>
      </c>
      <c r="D1571" s="12">
        <v>429</v>
      </c>
      <c r="F1571" s="12" t="s">
        <v>9272</v>
      </c>
      <c r="G1571" s="12" t="str">
        <f t="shared" si="38"/>
        <v>704291005674859</v>
      </c>
      <c r="H1571" s="12" t="s">
        <v>9273</v>
      </c>
      <c r="I1571" s="12">
        <v>1005674859</v>
      </c>
      <c r="J1571" s="12" t="s">
        <v>9274</v>
      </c>
      <c r="K1571" s="12" t="s">
        <v>230</v>
      </c>
      <c r="L1571" s="12">
        <v>3214438706</v>
      </c>
      <c r="M1571" s="12" t="s">
        <v>9275</v>
      </c>
      <c r="N1571" s="12" t="s">
        <v>432</v>
      </c>
      <c r="O1571" s="12" t="s">
        <v>432</v>
      </c>
      <c r="P1571" s="88" t="s">
        <v>261</v>
      </c>
      <c r="Q1571" s="13">
        <v>46218</v>
      </c>
      <c r="R1571" s="12">
        <v>89</v>
      </c>
      <c r="S1571" s="12" t="s">
        <v>49</v>
      </c>
      <c r="T1571" s="12" t="s">
        <v>9240</v>
      </c>
      <c r="U1571" s="12" t="s">
        <v>2456</v>
      </c>
      <c r="V1571" s="13">
        <v>45604</v>
      </c>
      <c r="W1571" s="59">
        <v>0.88500000000000001</v>
      </c>
      <c r="X1571" s="12" t="s">
        <v>49</v>
      </c>
      <c r="Z1571" s="12" t="s">
        <v>2456</v>
      </c>
      <c r="AA1571" s="12" t="s">
        <v>51</v>
      </c>
      <c r="AB1571" s="12" t="s">
        <v>51</v>
      </c>
      <c r="AU1571" s="12" t="s">
        <v>53</v>
      </c>
      <c r="AX1571" s="12" t="s">
        <v>51</v>
      </c>
      <c r="AZ1571" s="12" t="s">
        <v>51</v>
      </c>
    </row>
    <row r="1572" spans="1:52" s="12" customFormat="1" ht="14.4" hidden="1" x14ac:dyDescent="0.3">
      <c r="A1572" s="12" t="s">
        <v>39</v>
      </c>
      <c r="B1572" s="12" t="s">
        <v>4453</v>
      </c>
      <c r="C1572" s="12">
        <v>70</v>
      </c>
      <c r="D1572" s="12">
        <v>429</v>
      </c>
      <c r="F1572" s="12" t="s">
        <v>4635</v>
      </c>
      <c r="G1572" s="12" t="str">
        <f t="shared" si="38"/>
        <v>704291104382254</v>
      </c>
      <c r="H1572" s="12" t="s">
        <v>4636</v>
      </c>
      <c r="I1572" s="12">
        <v>1104382254</v>
      </c>
      <c r="J1572" s="12" t="s">
        <v>4637</v>
      </c>
      <c r="K1572" s="12" t="s">
        <v>230</v>
      </c>
      <c r="L1572" s="12">
        <v>3112844171</v>
      </c>
      <c r="M1572" s="12" t="s">
        <v>45</v>
      </c>
      <c r="N1572" s="12" t="s">
        <v>432</v>
      </c>
      <c r="O1572" s="12" t="s">
        <v>432</v>
      </c>
      <c r="P1572" s="88" t="s">
        <v>261</v>
      </c>
      <c r="Q1572" s="13">
        <v>45597</v>
      </c>
      <c r="R1572" s="59">
        <v>0.88500000000000001</v>
      </c>
      <c r="S1572" s="12" t="s">
        <v>49</v>
      </c>
      <c r="U1572" s="12" t="s">
        <v>2456</v>
      </c>
      <c r="AA1572" s="12" t="s">
        <v>51</v>
      </c>
      <c r="AB1572" s="12" t="s">
        <v>51</v>
      </c>
      <c r="AU1572" s="12" t="s">
        <v>53</v>
      </c>
      <c r="AX1572" s="12" t="s">
        <v>51</v>
      </c>
      <c r="AZ1572" s="12" t="s">
        <v>51</v>
      </c>
    </row>
    <row r="1573" spans="1:52" s="12" customFormat="1" ht="14.4" hidden="1" x14ac:dyDescent="0.3">
      <c r="A1573" s="12" t="s">
        <v>39</v>
      </c>
      <c r="B1573" s="12" t="s">
        <v>4453</v>
      </c>
      <c r="C1573" s="12">
        <v>70</v>
      </c>
      <c r="D1573" s="12">
        <v>429</v>
      </c>
      <c r="F1573" s="275" t="s">
        <v>9707</v>
      </c>
      <c r="G1573" s="12" t="str">
        <f t="shared" si="38"/>
        <v>704297003974464</v>
      </c>
      <c r="H1573" s="12" t="s">
        <v>4638</v>
      </c>
      <c r="I1573" s="12">
        <v>7003974464</v>
      </c>
      <c r="J1573" s="12" t="s">
        <v>9777</v>
      </c>
      <c r="K1573" s="12" t="s">
        <v>230</v>
      </c>
      <c r="L1573" s="12">
        <v>3136997794</v>
      </c>
      <c r="M1573" s="12" t="s">
        <v>4639</v>
      </c>
      <c r="N1573" s="12" t="s">
        <v>432</v>
      </c>
      <c r="O1573" s="12" t="s">
        <v>432</v>
      </c>
      <c r="P1573" s="88" t="s">
        <v>261</v>
      </c>
      <c r="Q1573" s="13">
        <v>46252</v>
      </c>
      <c r="R1573" s="12">
        <v>82</v>
      </c>
      <c r="S1573" s="12" t="s">
        <v>49</v>
      </c>
      <c r="U1573" s="12" t="s">
        <v>2456</v>
      </c>
      <c r="V1573" s="13">
        <v>45779</v>
      </c>
      <c r="W1573" s="59">
        <v>0.81499999999999995</v>
      </c>
      <c r="X1573" s="12" t="s">
        <v>49</v>
      </c>
      <c r="Z1573" s="12" t="s">
        <v>2456</v>
      </c>
      <c r="AA1573" s="12" t="s">
        <v>51</v>
      </c>
      <c r="AB1573" s="12" t="s">
        <v>51</v>
      </c>
      <c r="AC1573" s="13">
        <v>45492</v>
      </c>
      <c r="AD1573" s="59">
        <v>0.76500000000000001</v>
      </c>
      <c r="AE1573" s="12" t="s">
        <v>49</v>
      </c>
      <c r="AF1573" s="12" t="s">
        <v>2456</v>
      </c>
      <c r="AG1573" s="12" t="s">
        <v>51</v>
      </c>
      <c r="AH1573" s="12" t="s">
        <v>51</v>
      </c>
      <c r="AU1573" s="12" t="s">
        <v>53</v>
      </c>
      <c r="AX1573" s="12" t="s">
        <v>51</v>
      </c>
      <c r="AZ1573" s="12" t="s">
        <v>51</v>
      </c>
    </row>
    <row r="1574" spans="1:52" s="12" customFormat="1" ht="14.4" hidden="1" x14ac:dyDescent="0.3">
      <c r="A1574" s="12" t="s">
        <v>39</v>
      </c>
      <c r="B1574" s="12" t="s">
        <v>4453</v>
      </c>
      <c r="C1574" s="12">
        <v>70</v>
      </c>
      <c r="D1574" s="12">
        <v>429</v>
      </c>
      <c r="F1574" s="12" t="s">
        <v>4640</v>
      </c>
      <c r="G1574" s="12" t="str">
        <f t="shared" si="38"/>
        <v>7042992127365</v>
      </c>
      <c r="H1574" s="12" t="s">
        <v>4641</v>
      </c>
      <c r="I1574" s="12">
        <v>92127365</v>
      </c>
      <c r="J1574" s="12" t="s">
        <v>4642</v>
      </c>
      <c r="K1574" s="12" t="s">
        <v>230</v>
      </c>
      <c r="L1574" s="12">
        <v>3205060771</v>
      </c>
      <c r="M1574" s="12" t="s">
        <v>4643</v>
      </c>
      <c r="N1574" s="12" t="s">
        <v>432</v>
      </c>
      <c r="O1574" s="12" t="s">
        <v>432</v>
      </c>
      <c r="P1574" s="88" t="s">
        <v>261</v>
      </c>
      <c r="Q1574" s="13">
        <v>45777</v>
      </c>
      <c r="R1574" s="16">
        <v>0.79</v>
      </c>
      <c r="S1574" s="12" t="s">
        <v>49</v>
      </c>
      <c r="U1574" s="12" t="s">
        <v>2456</v>
      </c>
      <c r="AA1574" s="12" t="s">
        <v>51</v>
      </c>
      <c r="AB1574" s="12" t="s">
        <v>51</v>
      </c>
      <c r="AU1574" s="12" t="s">
        <v>53</v>
      </c>
      <c r="AX1574" s="12" t="s">
        <v>51</v>
      </c>
      <c r="AZ1574" s="12" t="s">
        <v>51</v>
      </c>
    </row>
    <row r="1575" spans="1:52" s="12" customFormat="1" ht="14.4" hidden="1" x14ac:dyDescent="0.3">
      <c r="A1575" s="12" t="s">
        <v>39</v>
      </c>
      <c r="B1575" s="12" t="s">
        <v>4453</v>
      </c>
      <c r="C1575" s="12">
        <v>70</v>
      </c>
      <c r="D1575" s="12">
        <v>429</v>
      </c>
      <c r="F1575" s="12" t="s">
        <v>4644</v>
      </c>
      <c r="G1575" s="12" t="str">
        <f t="shared" si="38"/>
        <v>7042922978022</v>
      </c>
      <c r="H1575" s="12" t="s">
        <v>4645</v>
      </c>
      <c r="I1575" s="12">
        <v>22978022</v>
      </c>
      <c r="J1575" s="12" t="s">
        <v>4646</v>
      </c>
      <c r="K1575" s="12" t="s">
        <v>230</v>
      </c>
      <c r="L1575" s="12">
        <v>3184317153</v>
      </c>
      <c r="M1575" s="12" t="s">
        <v>4647</v>
      </c>
      <c r="N1575" s="12" t="s">
        <v>432</v>
      </c>
      <c r="O1575" s="12" t="s">
        <v>432</v>
      </c>
      <c r="P1575" s="88" t="s">
        <v>261</v>
      </c>
      <c r="Q1575" s="13">
        <v>45779</v>
      </c>
      <c r="R1575" s="59">
        <v>0.85499999999999998</v>
      </c>
      <c r="S1575" s="12" t="s">
        <v>49</v>
      </c>
      <c r="U1575" s="12" t="s">
        <v>2456</v>
      </c>
      <c r="AA1575" s="12" t="s">
        <v>51</v>
      </c>
      <c r="AB1575" s="12" t="s">
        <v>51</v>
      </c>
      <c r="AU1575" s="12" t="s">
        <v>53</v>
      </c>
      <c r="AX1575" s="12" t="s">
        <v>51</v>
      </c>
      <c r="AZ1575" s="12" t="s">
        <v>51</v>
      </c>
    </row>
    <row r="1576" spans="1:52" s="12" customFormat="1" ht="14.4" hidden="1" x14ac:dyDescent="0.3">
      <c r="A1576" s="12" t="s">
        <v>39</v>
      </c>
      <c r="B1576" s="12" t="s">
        <v>4453</v>
      </c>
      <c r="C1576" s="12">
        <v>70</v>
      </c>
      <c r="D1576" s="12">
        <v>429</v>
      </c>
      <c r="F1576" s="12" t="s">
        <v>4648</v>
      </c>
      <c r="G1576" s="12" t="str">
        <f t="shared" si="38"/>
        <v>7042992125675</v>
      </c>
      <c r="H1576" s="12" t="s">
        <v>4649</v>
      </c>
      <c r="I1576" s="12">
        <v>92125675</v>
      </c>
      <c r="J1576" s="12" t="s">
        <v>45</v>
      </c>
      <c r="K1576" s="12" t="s">
        <v>230</v>
      </c>
      <c r="L1576" s="12">
        <v>3114180965</v>
      </c>
      <c r="M1576" s="12" t="s">
        <v>193</v>
      </c>
      <c r="N1576" s="12" t="s">
        <v>432</v>
      </c>
      <c r="O1576" s="12" t="s">
        <v>432</v>
      </c>
      <c r="P1576" s="88" t="s">
        <v>261</v>
      </c>
      <c r="Q1576" s="13">
        <v>45625</v>
      </c>
      <c r="R1576" s="16">
        <v>0.88</v>
      </c>
      <c r="S1576" s="12" t="s">
        <v>49</v>
      </c>
      <c r="U1576" s="12" t="s">
        <v>2456</v>
      </c>
      <c r="AA1576" s="12" t="s">
        <v>51</v>
      </c>
      <c r="AB1576" s="12" t="s">
        <v>51</v>
      </c>
      <c r="AU1576" s="12" t="s">
        <v>53</v>
      </c>
      <c r="AX1576" s="12" t="s">
        <v>51</v>
      </c>
      <c r="AZ1576" s="12" t="s">
        <v>51</v>
      </c>
    </row>
    <row r="1577" spans="1:52" s="12" customFormat="1" ht="14.4" hidden="1" x14ac:dyDescent="0.3">
      <c r="A1577" s="12" t="s">
        <v>39</v>
      </c>
      <c r="B1577" s="12" t="s">
        <v>4453</v>
      </c>
      <c r="C1577" s="12">
        <v>70</v>
      </c>
      <c r="D1577" s="12">
        <v>429</v>
      </c>
      <c r="F1577" s="12" t="s">
        <v>4650</v>
      </c>
      <c r="G1577" s="12" t="str">
        <f t="shared" si="38"/>
        <v>7042932800095</v>
      </c>
      <c r="H1577" s="12" t="s">
        <v>4651</v>
      </c>
      <c r="I1577" s="15">
        <v>32800095</v>
      </c>
      <c r="J1577" s="12" t="s">
        <v>4652</v>
      </c>
      <c r="K1577" s="12" t="s">
        <v>230</v>
      </c>
      <c r="L1577" s="12">
        <v>3232342622</v>
      </c>
      <c r="M1577" s="12" t="s">
        <v>4653</v>
      </c>
      <c r="N1577" s="12" t="s">
        <v>259</v>
      </c>
      <c r="O1577" s="12" t="s">
        <v>260</v>
      </c>
      <c r="P1577" s="88" t="s">
        <v>261</v>
      </c>
      <c r="Q1577" s="13">
        <v>45492</v>
      </c>
      <c r="R1577" s="12" t="s">
        <v>4654</v>
      </c>
      <c r="S1577" s="12" t="s">
        <v>210</v>
      </c>
      <c r="U1577" s="12" t="s">
        <v>60</v>
      </c>
      <c r="V1577" s="13">
        <v>45118</v>
      </c>
      <c r="W1577" s="59">
        <v>0.88500000000000001</v>
      </c>
      <c r="X1577" s="12" t="s">
        <v>49</v>
      </c>
      <c r="Z1577" s="12" t="s">
        <v>50</v>
      </c>
      <c r="AA1577" s="12" t="s">
        <v>51</v>
      </c>
      <c r="AB1577" s="12" t="s">
        <v>51</v>
      </c>
      <c r="AU1577" s="12" t="s">
        <v>53</v>
      </c>
      <c r="AX1577" s="12" t="s">
        <v>51</v>
      </c>
      <c r="AZ1577" s="12" t="s">
        <v>51</v>
      </c>
    </row>
    <row r="1578" spans="1:52" s="12" customFormat="1" ht="14.4" hidden="1" x14ac:dyDescent="0.3">
      <c r="A1578" s="12" t="s">
        <v>39</v>
      </c>
      <c r="B1578" s="12" t="s">
        <v>4453</v>
      </c>
      <c r="C1578" s="12">
        <v>70</v>
      </c>
      <c r="D1578" s="12">
        <v>429</v>
      </c>
      <c r="F1578" s="12" t="s">
        <v>3950</v>
      </c>
      <c r="G1578" s="12" t="str">
        <f t="shared" si="38"/>
        <v>70429706987143</v>
      </c>
      <c r="H1578" s="12" t="s">
        <v>4655</v>
      </c>
      <c r="I1578" s="15">
        <v>706987143</v>
      </c>
      <c r="J1578" s="12" t="s">
        <v>4656</v>
      </c>
      <c r="K1578" s="12" t="s">
        <v>230</v>
      </c>
      <c r="L1578" s="12">
        <v>3205701923</v>
      </c>
      <c r="M1578" s="12" t="s">
        <v>4657</v>
      </c>
      <c r="N1578" s="12" t="s">
        <v>259</v>
      </c>
      <c r="O1578" s="12" t="s">
        <v>260</v>
      </c>
      <c r="P1578" s="88" t="s">
        <v>261</v>
      </c>
      <c r="Q1578" s="13">
        <v>45492</v>
      </c>
      <c r="R1578" s="12" t="s">
        <v>4658</v>
      </c>
      <c r="S1578" s="12" t="s">
        <v>49</v>
      </c>
      <c r="U1578" s="12" t="s">
        <v>60</v>
      </c>
      <c r="V1578" s="13">
        <v>45131</v>
      </c>
      <c r="W1578" s="59" t="s">
        <v>1090</v>
      </c>
      <c r="X1578" s="12" t="s">
        <v>49</v>
      </c>
      <c r="Z1578" s="12" t="s">
        <v>50</v>
      </c>
      <c r="AA1578" s="12" t="s">
        <v>51</v>
      </c>
      <c r="AB1578" s="12" t="s">
        <v>51</v>
      </c>
      <c r="AU1578" s="12" t="s">
        <v>53</v>
      </c>
      <c r="AX1578" s="12" t="s">
        <v>51</v>
      </c>
      <c r="AZ1578" s="12" t="s">
        <v>51</v>
      </c>
    </row>
    <row r="1579" spans="1:52" s="12" customFormat="1" ht="14.4" hidden="1" x14ac:dyDescent="0.3">
      <c r="A1579" s="12" t="s">
        <v>39</v>
      </c>
      <c r="B1579" s="12" t="s">
        <v>4453</v>
      </c>
      <c r="C1579" s="12">
        <v>70</v>
      </c>
      <c r="D1579" s="12">
        <v>429</v>
      </c>
      <c r="F1579" s="12" t="s">
        <v>4659</v>
      </c>
      <c r="G1579" s="12" t="str">
        <f t="shared" si="38"/>
        <v>70429921296404</v>
      </c>
      <c r="H1579" s="12" t="s">
        <v>4660</v>
      </c>
      <c r="I1579" s="15">
        <v>921296404</v>
      </c>
      <c r="J1579" s="12" t="s">
        <v>4661</v>
      </c>
      <c r="K1579" s="12" t="s">
        <v>230</v>
      </c>
      <c r="L1579" s="12">
        <v>3107910199</v>
      </c>
      <c r="M1579" s="12" t="s">
        <v>4662</v>
      </c>
      <c r="N1579" s="12" t="s">
        <v>259</v>
      </c>
      <c r="O1579" s="12" t="s">
        <v>260</v>
      </c>
      <c r="P1579" s="88" t="s">
        <v>261</v>
      </c>
      <c r="Q1579" s="13">
        <v>45492</v>
      </c>
      <c r="R1579" s="12">
        <v>81</v>
      </c>
      <c r="S1579" s="12" t="s">
        <v>49</v>
      </c>
      <c r="U1579" s="12" t="s">
        <v>60</v>
      </c>
      <c r="V1579" s="13">
        <v>45070</v>
      </c>
      <c r="W1579" s="59">
        <v>0.84699999999999998</v>
      </c>
      <c r="X1579" s="12" t="s">
        <v>49</v>
      </c>
      <c r="Z1579" s="12" t="s">
        <v>50</v>
      </c>
      <c r="AA1579" s="12" t="s">
        <v>51</v>
      </c>
      <c r="AB1579" s="12" t="s">
        <v>51</v>
      </c>
      <c r="AU1579" s="12" t="s">
        <v>53</v>
      </c>
      <c r="AX1579" s="12" t="s">
        <v>51</v>
      </c>
      <c r="AZ1579" s="12" t="s">
        <v>51</v>
      </c>
    </row>
    <row r="1580" spans="1:52" s="12" customFormat="1" ht="14.4" hidden="1" x14ac:dyDescent="0.3">
      <c r="A1580" s="12" t="s">
        <v>39</v>
      </c>
      <c r="B1580" s="12" t="s">
        <v>4453</v>
      </c>
      <c r="C1580" s="12">
        <v>70</v>
      </c>
      <c r="D1580" s="12">
        <v>429</v>
      </c>
      <c r="F1580" s="275" t="s">
        <v>8436</v>
      </c>
      <c r="G1580" s="12" t="str">
        <f t="shared" si="38"/>
        <v>704291104379758</v>
      </c>
      <c r="H1580" s="12" t="s">
        <v>8437</v>
      </c>
      <c r="I1580" s="12">
        <v>1104379758</v>
      </c>
      <c r="J1580" s="12" t="s">
        <v>8438</v>
      </c>
      <c r="K1580" s="12" t="s">
        <v>44</v>
      </c>
      <c r="L1580" s="12">
        <v>3218223779</v>
      </c>
      <c r="M1580" s="12" t="s">
        <v>8439</v>
      </c>
      <c r="N1580" s="12" t="s">
        <v>2901</v>
      </c>
      <c r="O1580" s="12" t="s">
        <v>8440</v>
      </c>
      <c r="P1580" s="88" t="s">
        <v>261</v>
      </c>
      <c r="Q1580" s="13">
        <v>46069</v>
      </c>
      <c r="R1580" s="16">
        <v>0.95</v>
      </c>
      <c r="S1580" s="12" t="s">
        <v>210</v>
      </c>
      <c r="U1580" s="12" t="s">
        <v>4747</v>
      </c>
      <c r="V1580" s="13"/>
      <c r="W1580" s="59"/>
    </row>
    <row r="1581" spans="1:52" s="12" customFormat="1" ht="14.4" hidden="1" x14ac:dyDescent="0.3">
      <c r="A1581" s="12" t="s">
        <v>39</v>
      </c>
      <c r="B1581" s="12" t="s">
        <v>4453</v>
      </c>
      <c r="C1581" s="12">
        <v>70</v>
      </c>
      <c r="D1581" s="12">
        <v>429</v>
      </c>
      <c r="E1581" s="12" t="s">
        <v>2363</v>
      </c>
      <c r="F1581" s="275" t="s">
        <v>363</v>
      </c>
      <c r="G1581" s="12" t="str">
        <f t="shared" si="38"/>
        <v>704299002769621</v>
      </c>
      <c r="H1581" s="12" t="s">
        <v>7911</v>
      </c>
      <c r="I1581" s="103">
        <v>9002769621</v>
      </c>
      <c r="J1581" s="12" t="s">
        <v>4663</v>
      </c>
      <c r="K1581" s="12" t="s">
        <v>230</v>
      </c>
      <c r="L1581" s="12">
        <v>3212560654</v>
      </c>
      <c r="M1581" s="17" t="s">
        <v>4664</v>
      </c>
      <c r="N1581" s="12" t="s">
        <v>259</v>
      </c>
      <c r="O1581" s="12" t="s">
        <v>260</v>
      </c>
      <c r="P1581" s="88" t="s">
        <v>261</v>
      </c>
      <c r="Q1581" s="13">
        <v>46125</v>
      </c>
      <c r="R1581" s="12" t="s">
        <v>8704</v>
      </c>
      <c r="S1581" s="12" t="s">
        <v>49</v>
      </c>
      <c r="U1581" s="12" t="s">
        <v>60</v>
      </c>
      <c r="V1581" s="13">
        <v>45972</v>
      </c>
      <c r="W1581" s="12" t="s">
        <v>81</v>
      </c>
      <c r="X1581" s="12" t="s">
        <v>49</v>
      </c>
      <c r="Z1581" s="12" t="s">
        <v>60</v>
      </c>
      <c r="AA1581" s="12" t="s">
        <v>51</v>
      </c>
      <c r="AB1581" s="12" t="s">
        <v>51</v>
      </c>
      <c r="AC1581" s="13">
        <v>45484</v>
      </c>
      <c r="AD1581" s="12" t="s">
        <v>4665</v>
      </c>
      <c r="AE1581" s="12" t="s">
        <v>49</v>
      </c>
      <c r="AF1581" s="12" t="s">
        <v>60</v>
      </c>
      <c r="AH1581" s="12" t="s">
        <v>51</v>
      </c>
      <c r="AI1581" s="13">
        <v>45477</v>
      </c>
      <c r="AJ1581" s="16" t="s">
        <v>4666</v>
      </c>
      <c r="AK1581" s="12" t="s">
        <v>4426</v>
      </c>
      <c r="AL1581" s="12" t="s">
        <v>60</v>
      </c>
      <c r="AO1581" s="13">
        <v>44862</v>
      </c>
      <c r="AP1581" s="16">
        <v>0.92</v>
      </c>
      <c r="AQ1581" s="12" t="s">
        <v>210</v>
      </c>
      <c r="AU1581" s="12" t="s">
        <v>53</v>
      </c>
      <c r="AX1581" s="12" t="s">
        <v>1920</v>
      </c>
      <c r="AY1581" s="12" t="s">
        <v>4667</v>
      </c>
      <c r="AZ1581" s="12" t="s">
        <v>4668</v>
      </c>
    </row>
    <row r="1582" spans="1:52" s="12" customFormat="1" ht="14.4" hidden="1" x14ac:dyDescent="0.3">
      <c r="A1582" s="12" t="s">
        <v>39</v>
      </c>
      <c r="B1582" s="12" t="s">
        <v>4453</v>
      </c>
      <c r="C1582" s="12">
        <v>70</v>
      </c>
      <c r="D1582" s="12">
        <v>429</v>
      </c>
      <c r="E1582" s="12" t="s">
        <v>2434</v>
      </c>
      <c r="F1582" s="12" t="s">
        <v>7621</v>
      </c>
      <c r="G1582" s="12" t="str">
        <f t="shared" si="38"/>
        <v>704299004805691</v>
      </c>
      <c r="H1582" s="12" t="s">
        <v>7908</v>
      </c>
      <c r="I1582" s="103">
        <v>9004805691</v>
      </c>
      <c r="J1582" s="12" t="s">
        <v>7909</v>
      </c>
      <c r="K1582" s="12" t="s">
        <v>230</v>
      </c>
      <c r="L1582" s="12">
        <v>3222103175</v>
      </c>
      <c r="M1582" s="17" t="s">
        <v>7910</v>
      </c>
      <c r="N1582" s="12" t="s">
        <v>1757</v>
      </c>
      <c r="O1582" s="12" t="s">
        <v>1758</v>
      </c>
      <c r="P1582" s="88" t="s">
        <v>48</v>
      </c>
      <c r="Q1582" s="13">
        <v>45972</v>
      </c>
      <c r="R1582" s="12" t="s">
        <v>2002</v>
      </c>
      <c r="S1582" s="12" t="s">
        <v>210</v>
      </c>
      <c r="U1582" s="12" t="s">
        <v>7620</v>
      </c>
      <c r="V1582" s="13">
        <v>45477</v>
      </c>
      <c r="W1582" s="16">
        <v>0.95</v>
      </c>
      <c r="X1582" s="12" t="s">
        <v>210</v>
      </c>
      <c r="AC1582" s="13"/>
      <c r="AD1582" s="16"/>
      <c r="AU1582" s="12" t="s">
        <v>53</v>
      </c>
      <c r="AX1582" s="12" t="s">
        <v>51</v>
      </c>
    </row>
    <row r="1583" spans="1:52" s="12" customFormat="1" ht="14.4" hidden="1" x14ac:dyDescent="0.3">
      <c r="A1583" s="12" t="s">
        <v>39</v>
      </c>
      <c r="B1583" s="12" t="s">
        <v>4453</v>
      </c>
      <c r="C1583" s="12">
        <v>70</v>
      </c>
      <c r="D1583" s="12">
        <v>429</v>
      </c>
      <c r="F1583" s="12" t="s">
        <v>4669</v>
      </c>
      <c r="G1583" s="12" t="str">
        <f t="shared" si="38"/>
        <v>7042922977301</v>
      </c>
      <c r="H1583" s="12" t="s">
        <v>4670</v>
      </c>
      <c r="I1583" s="15">
        <v>22977301</v>
      </c>
      <c r="J1583" s="12" t="s">
        <v>4661</v>
      </c>
      <c r="K1583" s="12" t="s">
        <v>230</v>
      </c>
      <c r="L1583" s="12">
        <v>3164540218</v>
      </c>
      <c r="M1583" s="12" t="s">
        <v>45</v>
      </c>
      <c r="N1583" s="12" t="s">
        <v>259</v>
      </c>
      <c r="O1583" s="12" t="s">
        <v>260</v>
      </c>
      <c r="P1583" s="88" t="s">
        <v>261</v>
      </c>
      <c r="Q1583" s="13">
        <v>45496</v>
      </c>
      <c r="R1583" s="12">
        <v>84</v>
      </c>
      <c r="S1583" s="12" t="s">
        <v>49</v>
      </c>
      <c r="U1583" s="12" t="s">
        <v>60</v>
      </c>
      <c r="V1583" s="13">
        <v>45237</v>
      </c>
      <c r="W1583" s="16">
        <v>0.85</v>
      </c>
      <c r="X1583" s="12" t="s">
        <v>49</v>
      </c>
      <c r="Z1583" s="12" t="s">
        <v>50</v>
      </c>
      <c r="AA1583" s="12" t="s">
        <v>51</v>
      </c>
      <c r="AB1583" s="12" t="s">
        <v>51</v>
      </c>
      <c r="AU1583" s="12" t="s">
        <v>53</v>
      </c>
      <c r="AX1583" s="12" t="s">
        <v>51</v>
      </c>
      <c r="AZ1583" s="12" t="s">
        <v>51</v>
      </c>
    </row>
    <row r="1584" spans="1:52" s="12" customFormat="1" ht="14.4" hidden="1" x14ac:dyDescent="0.3">
      <c r="A1584" s="12" t="s">
        <v>39</v>
      </c>
      <c r="B1584" s="12" t="s">
        <v>4453</v>
      </c>
      <c r="C1584" s="12">
        <v>70</v>
      </c>
      <c r="D1584" s="12">
        <v>429</v>
      </c>
      <c r="F1584" s="12" t="s">
        <v>4671</v>
      </c>
      <c r="G1584" s="12" t="str">
        <f t="shared" si="38"/>
        <v>7042923197670</v>
      </c>
      <c r="H1584" s="12" t="s">
        <v>4672</v>
      </c>
      <c r="I1584" s="15">
        <v>23197670</v>
      </c>
      <c r="J1584" s="12" t="s">
        <v>4673</v>
      </c>
      <c r="K1584" s="12" t="s">
        <v>230</v>
      </c>
      <c r="L1584" s="12">
        <v>3113966390</v>
      </c>
      <c r="M1584" s="12" t="s">
        <v>45</v>
      </c>
      <c r="N1584" s="12" t="s">
        <v>259</v>
      </c>
      <c r="O1584" s="12" t="s">
        <v>260</v>
      </c>
      <c r="P1584" s="88" t="s">
        <v>261</v>
      </c>
      <c r="Q1584" s="13">
        <v>45504</v>
      </c>
      <c r="R1584" s="12">
        <v>85</v>
      </c>
      <c r="S1584" s="12" t="s">
        <v>49</v>
      </c>
      <c r="U1584" s="12" t="s">
        <v>60</v>
      </c>
      <c r="V1584" s="13">
        <v>45159</v>
      </c>
      <c r="W1584" s="16">
        <v>0.81</v>
      </c>
      <c r="X1584" s="12" t="s">
        <v>49</v>
      </c>
      <c r="Z1584" s="12" t="s">
        <v>50</v>
      </c>
      <c r="AA1584" s="12" t="s">
        <v>51</v>
      </c>
      <c r="AB1584" s="12" t="s">
        <v>51</v>
      </c>
      <c r="AU1584" s="12" t="s">
        <v>53</v>
      </c>
      <c r="AX1584" s="12" t="s">
        <v>51</v>
      </c>
      <c r="AZ1584" s="12" t="s">
        <v>51</v>
      </c>
    </row>
    <row r="1585" spans="1:52" s="12" customFormat="1" ht="14.4" hidden="1" x14ac:dyDescent="0.3">
      <c r="A1585" s="12" t="s">
        <v>39</v>
      </c>
      <c r="B1585" s="12" t="s">
        <v>4453</v>
      </c>
      <c r="C1585" s="12">
        <v>70</v>
      </c>
      <c r="D1585" s="12">
        <v>429</v>
      </c>
      <c r="F1585" s="12" t="s">
        <v>4674</v>
      </c>
      <c r="G1585" s="12" t="str">
        <f t="shared" si="38"/>
        <v>7042992130224</v>
      </c>
      <c r="H1585" s="12" t="s">
        <v>4675</v>
      </c>
      <c r="I1585" s="15">
        <v>92130224</v>
      </c>
      <c r="J1585" s="12" t="s">
        <v>125</v>
      </c>
      <c r="K1585" s="12" t="s">
        <v>230</v>
      </c>
      <c r="L1585" s="12">
        <v>3215180397</v>
      </c>
      <c r="M1585" s="12" t="s">
        <v>4676</v>
      </c>
      <c r="N1585" s="12" t="s">
        <v>259</v>
      </c>
      <c r="O1585" s="12" t="s">
        <v>260</v>
      </c>
      <c r="P1585" s="88" t="s">
        <v>261</v>
      </c>
      <c r="Q1585" s="13">
        <v>45412</v>
      </c>
      <c r="R1585" s="12">
        <v>81</v>
      </c>
      <c r="S1585" s="12" t="s">
        <v>49</v>
      </c>
      <c r="U1585" s="12" t="s">
        <v>60</v>
      </c>
      <c r="V1585" s="13">
        <v>45028</v>
      </c>
      <c r="W1585" s="16">
        <v>0.81</v>
      </c>
      <c r="X1585" s="12" t="s">
        <v>49</v>
      </c>
      <c r="Z1585" s="12" t="s">
        <v>50</v>
      </c>
      <c r="AA1585" s="12" t="s">
        <v>51</v>
      </c>
      <c r="AB1585" s="12" t="s">
        <v>51</v>
      </c>
      <c r="AU1585" s="12" t="s">
        <v>53</v>
      </c>
      <c r="AX1585" s="12" t="s">
        <v>51</v>
      </c>
      <c r="AZ1585" s="12" t="s">
        <v>51</v>
      </c>
    </row>
    <row r="1586" spans="1:52" s="12" customFormat="1" ht="14.4" hidden="1" x14ac:dyDescent="0.3">
      <c r="A1586" s="12" t="s">
        <v>39</v>
      </c>
      <c r="B1586" s="12" t="s">
        <v>4453</v>
      </c>
      <c r="C1586" s="12">
        <v>70</v>
      </c>
      <c r="D1586" s="12">
        <v>429</v>
      </c>
      <c r="F1586" s="12" t="s">
        <v>4677</v>
      </c>
      <c r="G1586" s="12" t="str">
        <f t="shared" si="38"/>
        <v>7042989950901</v>
      </c>
      <c r="H1586" s="12" t="s">
        <v>4678</v>
      </c>
      <c r="I1586" s="15">
        <v>89950901</v>
      </c>
      <c r="J1586" s="12" t="s">
        <v>4679</v>
      </c>
      <c r="K1586" s="12" t="s">
        <v>230</v>
      </c>
      <c r="L1586" s="12">
        <v>3113949253</v>
      </c>
      <c r="M1586" s="12" t="s">
        <v>4676</v>
      </c>
      <c r="N1586" s="12" t="s">
        <v>259</v>
      </c>
      <c r="O1586" s="12" t="s">
        <v>260</v>
      </c>
      <c r="P1586" s="88" t="s">
        <v>261</v>
      </c>
      <c r="Q1586" s="13">
        <v>45394</v>
      </c>
      <c r="R1586" s="12">
        <v>86.5</v>
      </c>
      <c r="S1586" s="12" t="s">
        <v>49</v>
      </c>
      <c r="U1586" s="12" t="s">
        <v>60</v>
      </c>
      <c r="AA1586" s="12" t="s">
        <v>51</v>
      </c>
      <c r="AB1586" s="12" t="s">
        <v>51</v>
      </c>
      <c r="AU1586" s="12" t="s">
        <v>53</v>
      </c>
      <c r="AX1586" s="12" t="s">
        <v>51</v>
      </c>
      <c r="AZ1586" s="12" t="s">
        <v>51</v>
      </c>
    </row>
    <row r="1587" spans="1:52" s="12" customFormat="1" ht="14.4" hidden="1" x14ac:dyDescent="0.3">
      <c r="A1587" s="12" t="s">
        <v>39</v>
      </c>
      <c r="B1587" s="12" t="s">
        <v>4453</v>
      </c>
      <c r="C1587" s="12">
        <v>70</v>
      </c>
      <c r="D1587" s="12">
        <v>429</v>
      </c>
      <c r="E1587" s="12" t="s">
        <v>8705</v>
      </c>
      <c r="F1587" s="275" t="s">
        <v>8706</v>
      </c>
      <c r="G1587" s="12" t="str">
        <f t="shared" si="38"/>
        <v>704298002498459</v>
      </c>
      <c r="H1587" s="12" t="s">
        <v>8707</v>
      </c>
      <c r="I1587" s="12">
        <v>8002498459</v>
      </c>
      <c r="J1587" s="12" t="s">
        <v>4680</v>
      </c>
      <c r="K1587" s="12" t="s">
        <v>230</v>
      </c>
      <c r="L1587" s="12">
        <v>3213138823</v>
      </c>
      <c r="M1587" s="12" t="s">
        <v>8708</v>
      </c>
      <c r="N1587" s="12" t="s">
        <v>127</v>
      </c>
      <c r="O1587" s="12" t="s">
        <v>2822</v>
      </c>
      <c r="P1587" s="88" t="s">
        <v>48</v>
      </c>
      <c r="Q1587" s="13">
        <v>46125</v>
      </c>
      <c r="R1587" s="12" t="s">
        <v>8709</v>
      </c>
      <c r="S1587" s="12" t="s">
        <v>49</v>
      </c>
      <c r="U1587" s="12" t="s">
        <v>60</v>
      </c>
      <c r="V1587" s="13">
        <v>44453</v>
      </c>
      <c r="W1587" s="12" t="s">
        <v>1071</v>
      </c>
      <c r="X1587" s="12" t="s">
        <v>49</v>
      </c>
      <c r="Z1587" s="12" t="s">
        <v>60</v>
      </c>
      <c r="AA1587" s="12" t="s">
        <v>51</v>
      </c>
      <c r="AB1587" s="12" t="s">
        <v>51</v>
      </c>
      <c r="AC1587" s="13">
        <v>43635</v>
      </c>
      <c r="AD1587" s="16">
        <v>0.88</v>
      </c>
      <c r="AE1587" s="12" t="s">
        <v>49</v>
      </c>
      <c r="AF1587" s="12" t="s">
        <v>60</v>
      </c>
      <c r="AU1587" s="12" t="s">
        <v>53</v>
      </c>
      <c r="AX1587" s="12" t="s">
        <v>51</v>
      </c>
      <c r="AZ1587" s="12" t="s">
        <v>51</v>
      </c>
    </row>
    <row r="1588" spans="1:52" s="12" customFormat="1" ht="14.4" hidden="1" x14ac:dyDescent="0.3">
      <c r="A1588" s="12" t="s">
        <v>39</v>
      </c>
      <c r="B1588" s="12" t="s">
        <v>4453</v>
      </c>
      <c r="C1588" s="12">
        <v>70</v>
      </c>
      <c r="D1588" s="12">
        <v>429</v>
      </c>
      <c r="E1588" s="12" t="s">
        <v>8705</v>
      </c>
      <c r="F1588" s="275" t="s">
        <v>8710</v>
      </c>
      <c r="G1588" s="12" t="str">
        <f t="shared" si="38"/>
        <v>704298002498459</v>
      </c>
      <c r="H1588" s="12" t="s">
        <v>8707</v>
      </c>
      <c r="I1588" s="12">
        <v>8002498459</v>
      </c>
      <c r="J1588" s="12" t="s">
        <v>8711</v>
      </c>
      <c r="K1588" s="12" t="s">
        <v>230</v>
      </c>
      <c r="L1588" s="12">
        <v>3213138823</v>
      </c>
      <c r="M1588" s="58" t="s">
        <v>8708</v>
      </c>
      <c r="N1588" s="12" t="s">
        <v>127</v>
      </c>
      <c r="O1588" s="12" t="s">
        <v>2822</v>
      </c>
      <c r="P1588" s="88" t="s">
        <v>48</v>
      </c>
      <c r="Q1588" s="13">
        <v>46125</v>
      </c>
      <c r="R1588" s="12">
        <v>91</v>
      </c>
      <c r="S1588" s="12" t="s">
        <v>210</v>
      </c>
      <c r="U1588" s="12" t="s">
        <v>50</v>
      </c>
      <c r="V1588" s="13">
        <v>44453</v>
      </c>
      <c r="W1588" s="12" t="s">
        <v>1090</v>
      </c>
      <c r="X1588" s="12" t="s">
        <v>49</v>
      </c>
      <c r="Z1588" s="12" t="s">
        <v>60</v>
      </c>
      <c r="AA1588" s="12" t="s">
        <v>51</v>
      </c>
      <c r="AB1588" s="12" t="s">
        <v>51</v>
      </c>
      <c r="AC1588" s="13">
        <v>43635</v>
      </c>
      <c r="AD1588" s="12" t="s">
        <v>1090</v>
      </c>
      <c r="AE1588" s="12" t="s">
        <v>49</v>
      </c>
      <c r="AF1588" s="12" t="s">
        <v>60</v>
      </c>
      <c r="AU1588" s="12" t="s">
        <v>53</v>
      </c>
      <c r="AX1588" s="12" t="s">
        <v>51</v>
      </c>
      <c r="AZ1588" s="12" t="s">
        <v>51</v>
      </c>
    </row>
    <row r="1589" spans="1:52" s="12" customFormat="1" ht="14.4" hidden="1" x14ac:dyDescent="0.3">
      <c r="A1589" s="12" t="s">
        <v>39</v>
      </c>
      <c r="B1589" s="12" t="s">
        <v>8361</v>
      </c>
      <c r="C1589" s="12">
        <v>70</v>
      </c>
      <c r="D1589" s="12">
        <v>429</v>
      </c>
      <c r="F1589" s="12" t="s">
        <v>3485</v>
      </c>
      <c r="G1589" s="12" t="s">
        <v>3486</v>
      </c>
      <c r="H1589" s="12" t="s">
        <v>3487</v>
      </c>
      <c r="I1589" s="12" t="s">
        <v>3488</v>
      </c>
      <c r="J1589" s="12" t="s">
        <v>3489</v>
      </c>
      <c r="K1589" s="12" t="s">
        <v>246</v>
      </c>
      <c r="L1589" s="12">
        <v>3107093890</v>
      </c>
      <c r="M1589" s="17" t="s">
        <v>3490</v>
      </c>
      <c r="N1589" s="12" t="s">
        <v>432</v>
      </c>
      <c r="O1589" s="12" t="s">
        <v>432</v>
      </c>
      <c r="P1589" s="88" t="s">
        <v>276</v>
      </c>
      <c r="Q1589" s="13">
        <v>45777</v>
      </c>
      <c r="R1589" s="16">
        <v>0.79</v>
      </c>
      <c r="S1589" s="12" t="s">
        <v>49</v>
      </c>
      <c r="T1589" s="12" t="s">
        <v>3209</v>
      </c>
      <c r="U1589" s="12" t="s">
        <v>2456</v>
      </c>
      <c r="AU1589" s="12" t="s">
        <v>1208</v>
      </c>
    </row>
    <row r="1590" spans="1:52" s="12" customFormat="1" ht="14.4" hidden="1" x14ac:dyDescent="0.3">
      <c r="A1590" s="12" t="s">
        <v>39</v>
      </c>
      <c r="B1590" s="12" t="s">
        <v>8361</v>
      </c>
      <c r="C1590" s="12">
        <v>70</v>
      </c>
      <c r="D1590" s="12">
        <v>429</v>
      </c>
      <c r="F1590" s="12" t="s">
        <v>3524</v>
      </c>
      <c r="G1590" s="12" t="s">
        <v>3525</v>
      </c>
      <c r="H1590" s="12" t="s">
        <v>3526</v>
      </c>
      <c r="I1590" s="12" t="s">
        <v>3527</v>
      </c>
      <c r="J1590" s="12" t="s">
        <v>3528</v>
      </c>
      <c r="K1590" s="12" t="s">
        <v>246</v>
      </c>
      <c r="L1590" s="12">
        <v>3205060771</v>
      </c>
      <c r="M1590" s="17" t="s">
        <v>3529</v>
      </c>
      <c r="N1590" s="12" t="s">
        <v>432</v>
      </c>
      <c r="O1590" s="12" t="s">
        <v>432</v>
      </c>
      <c r="P1590" s="88" t="s">
        <v>261</v>
      </c>
      <c r="Q1590" s="13">
        <v>45767</v>
      </c>
      <c r="R1590" s="16">
        <v>0.79</v>
      </c>
      <c r="S1590" s="12" t="s">
        <v>49</v>
      </c>
      <c r="T1590" s="12" t="s">
        <v>3209</v>
      </c>
      <c r="U1590" s="12" t="s">
        <v>2456</v>
      </c>
      <c r="V1590" s="13"/>
      <c r="W1590" s="13"/>
      <c r="X1590" s="13"/>
      <c r="AU1590" s="12" t="s">
        <v>53</v>
      </c>
    </row>
    <row r="1591" spans="1:52" s="12" customFormat="1" ht="14.4" hidden="1" x14ac:dyDescent="0.3">
      <c r="A1591" s="12" t="s">
        <v>39</v>
      </c>
      <c r="B1591" s="12" t="s">
        <v>8361</v>
      </c>
      <c r="C1591" s="12">
        <v>70</v>
      </c>
      <c r="D1591" s="12">
        <v>429</v>
      </c>
      <c r="F1591" s="12" t="s">
        <v>3545</v>
      </c>
      <c r="G1591" s="12" t="s">
        <v>3546</v>
      </c>
      <c r="H1591" s="12" t="s">
        <v>3547</v>
      </c>
      <c r="I1591" s="12" t="s">
        <v>3548</v>
      </c>
      <c r="J1591" s="12" t="s">
        <v>3549</v>
      </c>
      <c r="K1591" s="12" t="s">
        <v>246</v>
      </c>
      <c r="L1591" s="12">
        <v>3116964454</v>
      </c>
      <c r="M1591" s="12" t="s">
        <v>45</v>
      </c>
      <c r="N1591" s="12" t="s">
        <v>432</v>
      </c>
      <c r="O1591" s="12" t="s">
        <v>432</v>
      </c>
      <c r="P1591" s="88" t="s">
        <v>261</v>
      </c>
      <c r="Q1591" s="13">
        <v>45757</v>
      </c>
      <c r="R1591" s="18">
        <v>0.85499999999999998</v>
      </c>
      <c r="S1591" s="12" t="s">
        <v>49</v>
      </c>
      <c r="T1591" s="12" t="s">
        <v>3209</v>
      </c>
      <c r="U1591" s="12" t="s">
        <v>2456</v>
      </c>
      <c r="V1591" s="13"/>
      <c r="W1591" s="16"/>
      <c r="X1591" s="13"/>
      <c r="AU1591" s="12" t="s">
        <v>53</v>
      </c>
    </row>
    <row r="1592" spans="1:52" s="12" customFormat="1" ht="14.4" hidden="1" x14ac:dyDescent="0.3">
      <c r="A1592" s="12" t="s">
        <v>39</v>
      </c>
      <c r="B1592" s="12" t="s">
        <v>8361</v>
      </c>
      <c r="C1592" s="12">
        <v>70</v>
      </c>
      <c r="D1592" s="12">
        <v>429</v>
      </c>
      <c r="F1592" s="275" t="s">
        <v>9778</v>
      </c>
      <c r="G1592" s="12" t="s">
        <v>3546</v>
      </c>
      <c r="H1592" s="12" t="s">
        <v>9779</v>
      </c>
      <c r="I1592" s="12">
        <v>42366857</v>
      </c>
      <c r="J1592" s="12" t="s">
        <v>9780</v>
      </c>
      <c r="K1592" s="12" t="s">
        <v>44</v>
      </c>
      <c r="L1592" s="12">
        <v>3218897788</v>
      </c>
      <c r="M1592" s="12" t="s">
        <v>9770</v>
      </c>
      <c r="N1592" s="12" t="s">
        <v>432</v>
      </c>
      <c r="O1592" s="12" t="s">
        <v>432</v>
      </c>
      <c r="P1592" s="88" t="s">
        <v>261</v>
      </c>
      <c r="Q1592" s="13">
        <v>46006</v>
      </c>
      <c r="R1592" s="12">
        <v>88.5</v>
      </c>
      <c r="S1592" s="12" t="s">
        <v>49</v>
      </c>
      <c r="U1592" s="12" t="s">
        <v>2456</v>
      </c>
      <c r="V1592" s="13"/>
      <c r="W1592" s="16"/>
      <c r="X1592" s="13"/>
      <c r="AU1592" s="12" t="s">
        <v>53</v>
      </c>
    </row>
    <row r="1593" spans="1:52" s="12" customFormat="1" ht="14.4" hidden="1" x14ac:dyDescent="0.3">
      <c r="A1593" s="12" t="s">
        <v>39</v>
      </c>
      <c r="B1593" s="12" t="s">
        <v>8361</v>
      </c>
      <c r="C1593" s="12">
        <v>70</v>
      </c>
      <c r="D1593" s="12">
        <v>429</v>
      </c>
      <c r="F1593" s="12" t="s">
        <v>3569</v>
      </c>
      <c r="G1593" s="12" t="s">
        <v>3570</v>
      </c>
      <c r="H1593" s="12" t="s">
        <v>3571</v>
      </c>
      <c r="I1593" s="12" t="s">
        <v>3572</v>
      </c>
      <c r="J1593" s="12" t="s">
        <v>3573</v>
      </c>
      <c r="K1593" s="12" t="s">
        <v>230</v>
      </c>
      <c r="L1593" s="12">
        <v>3205854522</v>
      </c>
      <c r="M1593" s="17" t="s">
        <v>3574</v>
      </c>
      <c r="N1593" s="12" t="s">
        <v>432</v>
      </c>
      <c r="O1593" s="12" t="s">
        <v>432</v>
      </c>
      <c r="P1593" s="88" t="s">
        <v>261</v>
      </c>
      <c r="Q1593" s="13">
        <v>45672</v>
      </c>
      <c r="R1593" s="12" t="s">
        <v>81</v>
      </c>
      <c r="S1593" s="12" t="s">
        <v>49</v>
      </c>
      <c r="T1593" s="12" t="s">
        <v>3209</v>
      </c>
      <c r="U1593" s="12" t="s">
        <v>2456</v>
      </c>
      <c r="AU1593" s="12" t="s">
        <v>1208</v>
      </c>
    </row>
    <row r="1594" spans="1:52" s="12" customFormat="1" ht="14.4" hidden="1" x14ac:dyDescent="0.3">
      <c r="A1594" s="12" t="s">
        <v>39</v>
      </c>
      <c r="B1594" s="12" t="s">
        <v>4724</v>
      </c>
      <c r="C1594" s="12">
        <v>70</v>
      </c>
      <c r="D1594" s="12">
        <v>473</v>
      </c>
      <c r="F1594" s="12" t="s">
        <v>4681</v>
      </c>
      <c r="G1594" s="12" t="str">
        <f t="shared" ref="G1594:G1659" si="39">C1594&amp;D1594&amp;I1594</f>
        <v>7047390550944</v>
      </c>
      <c r="H1594" s="12" t="s">
        <v>4682</v>
      </c>
      <c r="I1594" s="15">
        <v>90550944</v>
      </c>
      <c r="J1594" s="12" t="s">
        <v>4683</v>
      </c>
      <c r="K1594" s="12" t="s">
        <v>230</v>
      </c>
      <c r="N1594" s="12" t="s">
        <v>259</v>
      </c>
      <c r="O1594" s="12" t="s">
        <v>260</v>
      </c>
      <c r="P1594" s="88" t="s">
        <v>261</v>
      </c>
      <c r="AU1594" s="12" t="s">
        <v>53</v>
      </c>
      <c r="AX1594" s="12" t="s">
        <v>51</v>
      </c>
      <c r="AZ1594" s="12" t="s">
        <v>51</v>
      </c>
    </row>
    <row r="1595" spans="1:52" s="12" customFormat="1" ht="14.4" hidden="1" x14ac:dyDescent="0.3">
      <c r="A1595" s="12" t="s">
        <v>39</v>
      </c>
      <c r="B1595" s="12" t="s">
        <v>4724</v>
      </c>
      <c r="C1595" s="12">
        <v>70</v>
      </c>
      <c r="D1595" s="12">
        <v>473</v>
      </c>
      <c r="F1595" s="12" t="s">
        <v>4684</v>
      </c>
      <c r="G1595" s="12" t="str">
        <f t="shared" si="39"/>
        <v>7047311006238408</v>
      </c>
      <c r="H1595" s="12" t="s">
        <v>4685</v>
      </c>
      <c r="I1595" s="12">
        <v>11006238408</v>
      </c>
      <c r="J1595" s="12" t="s">
        <v>4686</v>
      </c>
      <c r="K1595" s="12" t="s">
        <v>133</v>
      </c>
      <c r="L1595" s="12">
        <v>3023399121</v>
      </c>
      <c r="M1595" s="12" t="s">
        <v>4687</v>
      </c>
      <c r="N1595" s="12" t="s">
        <v>432</v>
      </c>
      <c r="O1595" s="12" t="s">
        <v>432</v>
      </c>
      <c r="P1595" s="88" t="s">
        <v>261</v>
      </c>
      <c r="Q1595" s="13">
        <v>45373</v>
      </c>
      <c r="R1595" s="16">
        <v>0.85</v>
      </c>
      <c r="S1595" s="12" t="s">
        <v>49</v>
      </c>
      <c r="U1595" s="12" t="s">
        <v>4688</v>
      </c>
      <c r="AA1595" s="12" t="s">
        <v>51</v>
      </c>
      <c r="AB1595" s="12" t="s">
        <v>51</v>
      </c>
      <c r="AU1595" s="12" t="s">
        <v>53</v>
      </c>
      <c r="AX1595" s="12" t="s">
        <v>51</v>
      </c>
      <c r="AZ1595" s="12" t="s">
        <v>51</v>
      </c>
    </row>
    <row r="1596" spans="1:52" s="12" customFormat="1" ht="14.4" x14ac:dyDescent="0.3">
      <c r="A1596" s="12" t="s">
        <v>39</v>
      </c>
      <c r="B1596" s="12" t="s">
        <v>4724</v>
      </c>
      <c r="C1596" s="12">
        <v>70</v>
      </c>
      <c r="D1596" s="12">
        <v>473</v>
      </c>
      <c r="F1596" s="12" t="s">
        <v>4689</v>
      </c>
      <c r="G1596" s="12" t="str">
        <f t="shared" si="39"/>
        <v>7047392559813</v>
      </c>
      <c r="H1596" s="12" t="s">
        <v>4690</v>
      </c>
      <c r="I1596" s="15">
        <v>92559813</v>
      </c>
      <c r="J1596" s="12" t="s">
        <v>4691</v>
      </c>
      <c r="K1596" s="12" t="s">
        <v>230</v>
      </c>
      <c r="L1596" s="12">
        <v>3153909497</v>
      </c>
      <c r="M1596" s="12" t="s">
        <v>4692</v>
      </c>
      <c r="N1596" s="12" t="s">
        <v>46</v>
      </c>
      <c r="O1596" s="12" t="s">
        <v>47</v>
      </c>
      <c r="P1596" s="88" t="s">
        <v>48</v>
      </c>
      <c r="AU1596" s="12" t="s">
        <v>53</v>
      </c>
      <c r="AX1596" s="12" t="s">
        <v>51</v>
      </c>
      <c r="AZ1596" s="12" t="s">
        <v>51</v>
      </c>
    </row>
    <row r="1597" spans="1:52" s="12" customFormat="1" ht="14.4" x14ac:dyDescent="0.3">
      <c r="A1597" s="12" t="s">
        <v>39</v>
      </c>
      <c r="B1597" s="12" t="s">
        <v>4724</v>
      </c>
      <c r="C1597" s="12">
        <v>70</v>
      </c>
      <c r="D1597" s="12">
        <v>473</v>
      </c>
      <c r="F1597" s="275" t="s">
        <v>4693</v>
      </c>
      <c r="G1597" s="12" t="str">
        <f t="shared" si="39"/>
        <v>7047392551004</v>
      </c>
      <c r="H1597" s="12" t="s">
        <v>4694</v>
      </c>
      <c r="I1597" s="15">
        <v>92551004</v>
      </c>
      <c r="J1597" s="12" t="s">
        <v>4695</v>
      </c>
      <c r="K1597" s="12" t="s">
        <v>230</v>
      </c>
      <c r="L1597" s="12">
        <v>3126927184</v>
      </c>
      <c r="M1597" s="12" t="s">
        <v>9292</v>
      </c>
      <c r="N1597" s="12" t="s">
        <v>46</v>
      </c>
      <c r="O1597" s="12" t="s">
        <v>47</v>
      </c>
      <c r="P1597" s="88" t="s">
        <v>48</v>
      </c>
      <c r="Q1597" s="13" t="s">
        <v>9293</v>
      </c>
      <c r="R1597" s="12">
        <v>85</v>
      </c>
      <c r="S1597" s="12" t="s">
        <v>49</v>
      </c>
      <c r="U1597" s="12" t="s">
        <v>50</v>
      </c>
      <c r="V1597" s="13">
        <v>45859</v>
      </c>
      <c r="W1597" s="12" t="s">
        <v>167</v>
      </c>
      <c r="X1597" s="12" t="s">
        <v>74</v>
      </c>
      <c r="Z1597" s="12" t="s">
        <v>50</v>
      </c>
      <c r="AA1597" s="12" t="s">
        <v>51</v>
      </c>
      <c r="AB1597" s="12" t="s">
        <v>51</v>
      </c>
      <c r="AC1597" s="13">
        <v>45450</v>
      </c>
      <c r="AD1597" s="16">
        <v>0.72</v>
      </c>
      <c r="AE1597" s="12" t="s">
        <v>74</v>
      </c>
      <c r="AF1597" s="12" t="s">
        <v>60</v>
      </c>
      <c r="AU1597" s="12" t="s">
        <v>53</v>
      </c>
      <c r="AX1597" s="12" t="s">
        <v>51</v>
      </c>
      <c r="AZ1597" s="12" t="s">
        <v>51</v>
      </c>
    </row>
    <row r="1598" spans="1:52" s="12" customFormat="1" ht="14.4" x14ac:dyDescent="0.3">
      <c r="A1598" s="12" t="s">
        <v>39</v>
      </c>
      <c r="B1598" s="12" t="s">
        <v>4724</v>
      </c>
      <c r="C1598" s="12">
        <v>70</v>
      </c>
      <c r="D1598" s="12">
        <v>473</v>
      </c>
      <c r="F1598" s="275" t="s">
        <v>4696</v>
      </c>
      <c r="G1598" s="12" t="str">
        <f t="shared" si="39"/>
        <v>7047311306642256</v>
      </c>
      <c r="H1598" s="12" t="s">
        <v>9311</v>
      </c>
      <c r="I1598" s="12">
        <v>11306642256</v>
      </c>
      <c r="J1598" s="12" t="s">
        <v>4697</v>
      </c>
      <c r="K1598" s="12" t="s">
        <v>133</v>
      </c>
      <c r="L1598" s="12">
        <v>3242732514</v>
      </c>
      <c r="M1598" s="17" t="s">
        <v>9312</v>
      </c>
      <c r="N1598" s="12" t="s">
        <v>46</v>
      </c>
      <c r="O1598" s="12" t="s">
        <v>47</v>
      </c>
      <c r="P1598" s="88" t="s">
        <v>48</v>
      </c>
      <c r="Q1598" s="13">
        <v>46218</v>
      </c>
      <c r="R1598" s="12">
        <v>85</v>
      </c>
      <c r="S1598" s="12" t="s">
        <v>49</v>
      </c>
      <c r="U1598" s="12" t="s">
        <v>60</v>
      </c>
      <c r="V1598" s="13">
        <v>45876</v>
      </c>
      <c r="W1598" s="16">
        <v>0.85</v>
      </c>
      <c r="X1598" s="12" t="s">
        <v>74</v>
      </c>
      <c r="Z1598" s="12" t="s">
        <v>50</v>
      </c>
      <c r="AA1598" s="12" t="s">
        <v>51</v>
      </c>
      <c r="AB1598" s="12" t="s">
        <v>51</v>
      </c>
      <c r="AC1598" s="13">
        <v>45511</v>
      </c>
      <c r="AD1598" s="16">
        <v>0.76</v>
      </c>
      <c r="AE1598" s="12" t="s">
        <v>74</v>
      </c>
      <c r="AF1598" s="12" t="s">
        <v>60</v>
      </c>
      <c r="AU1598" s="12" t="s">
        <v>53</v>
      </c>
      <c r="AX1598" s="12" t="s">
        <v>51</v>
      </c>
      <c r="AZ1598" s="12" t="s">
        <v>51</v>
      </c>
    </row>
    <row r="1599" spans="1:52" s="12" customFormat="1" ht="14.4" x14ac:dyDescent="0.3">
      <c r="A1599" s="12" t="s">
        <v>39</v>
      </c>
      <c r="B1599" s="12" t="s">
        <v>4724</v>
      </c>
      <c r="C1599" s="12">
        <v>70</v>
      </c>
      <c r="D1599" s="12">
        <v>473</v>
      </c>
      <c r="F1599" s="275" t="s">
        <v>4698</v>
      </c>
      <c r="G1599" s="12" t="str">
        <f t="shared" si="39"/>
        <v>704739312251</v>
      </c>
      <c r="H1599" s="12" t="s">
        <v>4699</v>
      </c>
      <c r="I1599" s="12">
        <v>9312251</v>
      </c>
      <c r="J1599" s="12" t="s">
        <v>9309</v>
      </c>
      <c r="K1599" s="12" t="s">
        <v>133</v>
      </c>
      <c r="L1599" s="12">
        <v>3215872993</v>
      </c>
      <c r="M1599" s="12" t="s">
        <v>9310</v>
      </c>
      <c r="N1599" s="12" t="s">
        <v>46</v>
      </c>
      <c r="O1599" s="12" t="s">
        <v>47</v>
      </c>
      <c r="P1599" s="88" t="s">
        <v>48</v>
      </c>
      <c r="Q1599" s="13">
        <v>46220</v>
      </c>
      <c r="R1599" s="12">
        <v>69</v>
      </c>
      <c r="S1599" s="12" t="s">
        <v>74</v>
      </c>
      <c r="T1599" s="12" t="s">
        <v>8810</v>
      </c>
      <c r="U1599" s="12" t="s">
        <v>60</v>
      </c>
      <c r="V1599" s="13">
        <v>45797</v>
      </c>
      <c r="W1599" s="16">
        <v>0.85</v>
      </c>
      <c r="X1599" s="12" t="s">
        <v>49</v>
      </c>
      <c r="Z1599" s="12" t="s">
        <v>50</v>
      </c>
      <c r="AA1599" s="12" t="s">
        <v>51</v>
      </c>
      <c r="AB1599" s="12" t="s">
        <v>51</v>
      </c>
      <c r="AC1599" s="13">
        <v>45441</v>
      </c>
      <c r="AD1599" s="16">
        <v>0.7</v>
      </c>
      <c r="AE1599" s="12" t="s">
        <v>74</v>
      </c>
      <c r="AF1599" s="12" t="s">
        <v>60</v>
      </c>
      <c r="AU1599" s="12" t="s">
        <v>53</v>
      </c>
      <c r="AX1599" s="12" t="s">
        <v>51</v>
      </c>
      <c r="AZ1599" s="12" t="s">
        <v>51</v>
      </c>
    </row>
    <row r="1600" spans="1:52" s="12" customFormat="1" ht="14.4" hidden="1" x14ac:dyDescent="0.3">
      <c r="A1600" s="12" t="s">
        <v>39</v>
      </c>
      <c r="B1600" s="12" t="s">
        <v>4724</v>
      </c>
      <c r="C1600" s="12">
        <v>70</v>
      </c>
      <c r="D1600" s="12">
        <v>473</v>
      </c>
      <c r="F1600" s="12" t="s">
        <v>4701</v>
      </c>
      <c r="G1600" s="12" t="str">
        <f t="shared" si="39"/>
        <v>704731100625141</v>
      </c>
      <c r="H1600" s="12" t="s">
        <v>4702</v>
      </c>
      <c r="I1600" s="15">
        <v>1100625141</v>
      </c>
      <c r="J1600" s="12" t="s">
        <v>4703</v>
      </c>
      <c r="K1600" s="12" t="s">
        <v>230</v>
      </c>
      <c r="L1600" s="12">
        <v>3024204259</v>
      </c>
      <c r="M1600" s="12" t="s">
        <v>4704</v>
      </c>
      <c r="N1600" s="12" t="s">
        <v>432</v>
      </c>
      <c r="O1600" s="12" t="s">
        <v>432</v>
      </c>
      <c r="P1600" s="88" t="s">
        <v>261</v>
      </c>
      <c r="Q1600" s="13">
        <v>45423</v>
      </c>
      <c r="R1600" s="59">
        <v>0.78500000000000003</v>
      </c>
      <c r="S1600" s="12" t="s">
        <v>49</v>
      </c>
      <c r="U1600" s="12" t="s">
        <v>2456</v>
      </c>
      <c r="AA1600" s="12" t="s">
        <v>51</v>
      </c>
      <c r="AB1600" s="12" t="s">
        <v>51</v>
      </c>
      <c r="AU1600" s="12" t="s">
        <v>53</v>
      </c>
      <c r="AX1600" s="12" t="s">
        <v>51</v>
      </c>
      <c r="AZ1600" s="12" t="s">
        <v>51</v>
      </c>
    </row>
    <row r="1601" spans="1:52" s="12" customFormat="1" ht="14.4" hidden="1" x14ac:dyDescent="0.3">
      <c r="A1601" s="12" t="s">
        <v>39</v>
      </c>
      <c r="B1601" s="12" t="s">
        <v>4724</v>
      </c>
      <c r="C1601" s="12">
        <v>70</v>
      </c>
      <c r="D1601" s="12">
        <v>473</v>
      </c>
      <c r="F1601" s="12" t="s">
        <v>4705</v>
      </c>
      <c r="G1601" s="12" t="str">
        <f t="shared" si="39"/>
        <v>704731100623576</v>
      </c>
      <c r="H1601" s="12" t="s">
        <v>4706</v>
      </c>
      <c r="I1601" s="15">
        <v>1100623576</v>
      </c>
      <c r="J1601" s="12" t="s">
        <v>4707</v>
      </c>
      <c r="K1601" s="12" t="s">
        <v>230</v>
      </c>
      <c r="L1601" s="12">
        <v>3017589564</v>
      </c>
      <c r="M1601" s="17" t="s">
        <v>4708</v>
      </c>
      <c r="N1601" s="12" t="s">
        <v>46</v>
      </c>
      <c r="O1601" s="12" t="s">
        <v>2797</v>
      </c>
      <c r="P1601" s="88" t="s">
        <v>80</v>
      </c>
      <c r="Q1601" s="13">
        <v>45881</v>
      </c>
      <c r="R1601" s="16">
        <v>0.86</v>
      </c>
      <c r="S1601" s="12" t="s">
        <v>74</v>
      </c>
      <c r="U1601" s="12" t="s">
        <v>50</v>
      </c>
      <c r="V1601" s="13">
        <v>45511</v>
      </c>
      <c r="W1601" s="16">
        <v>0.64</v>
      </c>
      <c r="X1601" s="12" t="s">
        <v>74</v>
      </c>
      <c r="Z1601" s="12" t="s">
        <v>60</v>
      </c>
      <c r="AA1601" s="12" t="s">
        <v>51</v>
      </c>
      <c r="AB1601" s="12" t="s">
        <v>51</v>
      </c>
      <c r="AU1601" s="12" t="s">
        <v>53</v>
      </c>
      <c r="AX1601" s="12" t="s">
        <v>51</v>
      </c>
      <c r="AZ1601" s="12" t="s">
        <v>51</v>
      </c>
    </row>
    <row r="1602" spans="1:52" s="12" customFormat="1" ht="14.4" hidden="1" x14ac:dyDescent="0.3">
      <c r="A1602" s="12" t="s">
        <v>39</v>
      </c>
      <c r="B1602" s="12" t="s">
        <v>4724</v>
      </c>
      <c r="C1602" s="12">
        <v>70</v>
      </c>
      <c r="D1602" s="12">
        <v>473</v>
      </c>
      <c r="F1602" s="12" t="s">
        <v>4709</v>
      </c>
      <c r="G1602" s="12" t="str">
        <f t="shared" si="39"/>
        <v>704733912644-8</v>
      </c>
      <c r="H1602" s="12" t="s">
        <v>4710</v>
      </c>
      <c r="I1602" s="12" t="s">
        <v>4711</v>
      </c>
      <c r="J1602" s="12" t="s">
        <v>4712</v>
      </c>
      <c r="K1602" s="12" t="s">
        <v>230</v>
      </c>
      <c r="L1602" s="12">
        <v>3145380623</v>
      </c>
      <c r="M1602" s="12" t="s">
        <v>4713</v>
      </c>
      <c r="N1602" s="12" t="s">
        <v>432</v>
      </c>
      <c r="O1602" s="12" t="s">
        <v>432</v>
      </c>
      <c r="P1602" s="88"/>
      <c r="Q1602" s="13">
        <v>45387</v>
      </c>
      <c r="R1602" s="59">
        <v>0.755</v>
      </c>
      <c r="S1602" s="12" t="s">
        <v>49</v>
      </c>
      <c r="U1602" s="12" t="s">
        <v>2456</v>
      </c>
      <c r="AA1602" s="12" t="s">
        <v>51</v>
      </c>
      <c r="AB1602" s="12" t="s">
        <v>51</v>
      </c>
      <c r="AU1602" s="12" t="s">
        <v>53</v>
      </c>
      <c r="AX1602" s="12" t="s">
        <v>51</v>
      </c>
      <c r="AZ1602" s="12" t="s">
        <v>51</v>
      </c>
    </row>
    <row r="1603" spans="1:52" s="12" customFormat="1" ht="14.4" hidden="1" x14ac:dyDescent="0.3">
      <c r="A1603" s="12" t="s">
        <v>39</v>
      </c>
      <c r="B1603" s="12" t="s">
        <v>4724</v>
      </c>
      <c r="C1603" s="12">
        <v>70</v>
      </c>
      <c r="D1603" s="12">
        <v>473</v>
      </c>
      <c r="F1603" s="12" t="s">
        <v>4714</v>
      </c>
      <c r="G1603" s="12" t="str">
        <f t="shared" si="39"/>
        <v>7047364743590</v>
      </c>
      <c r="H1603" s="12" t="s">
        <v>4715</v>
      </c>
      <c r="I1603" s="12">
        <v>64743590</v>
      </c>
      <c r="J1603" s="12" t="s">
        <v>4716</v>
      </c>
      <c r="K1603" s="12" t="s">
        <v>230</v>
      </c>
      <c r="L1603" s="12">
        <v>3207175359</v>
      </c>
      <c r="M1603" s="12" t="s">
        <v>4717</v>
      </c>
      <c r="N1603" s="12" t="s">
        <v>432</v>
      </c>
      <c r="O1603" s="12" t="s">
        <v>432</v>
      </c>
      <c r="P1603" s="88" t="s">
        <v>261</v>
      </c>
      <c r="Q1603" s="13">
        <v>45393</v>
      </c>
      <c r="R1603" s="16">
        <v>0.75</v>
      </c>
      <c r="S1603" s="12" t="s">
        <v>49</v>
      </c>
      <c r="U1603" s="12" t="s">
        <v>2456</v>
      </c>
      <c r="AA1603" s="12" t="s">
        <v>51</v>
      </c>
      <c r="AB1603" s="12" t="s">
        <v>51</v>
      </c>
      <c r="AU1603" s="12" t="s">
        <v>53</v>
      </c>
      <c r="AX1603" s="12" t="s">
        <v>51</v>
      </c>
      <c r="AZ1603" s="12" t="s">
        <v>51</v>
      </c>
    </row>
    <row r="1604" spans="1:52" s="12" customFormat="1" ht="14.4" hidden="1" x14ac:dyDescent="0.3">
      <c r="A1604" s="12" t="s">
        <v>39</v>
      </c>
      <c r="B1604" s="12" t="s">
        <v>4724</v>
      </c>
      <c r="C1604" s="12">
        <v>70</v>
      </c>
      <c r="D1604" s="12">
        <v>473</v>
      </c>
      <c r="F1604" s="275" t="s">
        <v>9305</v>
      </c>
      <c r="G1604" s="12" t="str">
        <f t="shared" si="39"/>
        <v>704731005565882</v>
      </c>
      <c r="H1604" s="12" t="s">
        <v>9306</v>
      </c>
      <c r="I1604" s="12">
        <v>1005565882</v>
      </c>
      <c r="J1604" s="12" t="s">
        <v>9307</v>
      </c>
      <c r="K1604" s="12" t="s">
        <v>44</v>
      </c>
      <c r="L1604" s="12">
        <v>3147966592</v>
      </c>
      <c r="M1604" s="12" t="s">
        <v>9308</v>
      </c>
      <c r="N1604" s="12" t="s">
        <v>432</v>
      </c>
      <c r="O1604" s="12" t="s">
        <v>432</v>
      </c>
      <c r="P1604" s="88" t="s">
        <v>261</v>
      </c>
      <c r="Q1604" s="13">
        <v>46213</v>
      </c>
      <c r="R1604" s="12" t="s">
        <v>8709</v>
      </c>
      <c r="S1604" s="12" t="s">
        <v>210</v>
      </c>
      <c r="T1604" s="12" t="s">
        <v>8810</v>
      </c>
      <c r="U1604" s="12" t="s">
        <v>2456</v>
      </c>
      <c r="AU1604" s="12" t="s">
        <v>53</v>
      </c>
    </row>
    <row r="1605" spans="1:52" s="12" customFormat="1" ht="14.4" x14ac:dyDescent="0.3">
      <c r="A1605" s="12" t="s">
        <v>39</v>
      </c>
      <c r="B1605" s="12" t="s">
        <v>4724</v>
      </c>
      <c r="C1605" s="12">
        <v>70</v>
      </c>
      <c r="D1605" s="12">
        <v>473</v>
      </c>
      <c r="F1605" s="12" t="s">
        <v>4718</v>
      </c>
      <c r="G1605" s="12" t="str">
        <f t="shared" si="39"/>
        <v>7047392559813</v>
      </c>
      <c r="H1605" s="12" t="s">
        <v>4719</v>
      </c>
      <c r="I1605" s="15">
        <v>92559813</v>
      </c>
      <c r="J1605" s="12" t="s">
        <v>4720</v>
      </c>
      <c r="K1605" s="12" t="s">
        <v>230</v>
      </c>
      <c r="L1605" s="12">
        <v>3003277341</v>
      </c>
      <c r="M1605" s="12" t="s">
        <v>4721</v>
      </c>
      <c r="N1605" s="12" t="s">
        <v>46</v>
      </c>
      <c r="O1605" s="12" t="s">
        <v>47</v>
      </c>
      <c r="P1605" s="88" t="s">
        <v>48</v>
      </c>
      <c r="AU1605" s="12" t="s">
        <v>53</v>
      </c>
    </row>
    <row r="1606" spans="1:52" s="12" customFormat="1" ht="14.4" hidden="1" x14ac:dyDescent="0.3">
      <c r="A1606" s="12" t="s">
        <v>39</v>
      </c>
      <c r="B1606" s="12" t="s">
        <v>4724</v>
      </c>
      <c r="C1606" s="12">
        <v>70</v>
      </c>
      <c r="D1606" s="12">
        <v>473</v>
      </c>
      <c r="F1606" s="12" t="s">
        <v>3829</v>
      </c>
      <c r="G1606" s="12" t="str">
        <f t="shared" si="39"/>
        <v>70473900072094</v>
      </c>
      <c r="H1606" s="12" t="s">
        <v>4722</v>
      </c>
      <c r="I1606" s="15">
        <v>900072094</v>
      </c>
      <c r="J1606" s="12" t="s">
        <v>4723</v>
      </c>
      <c r="K1606" s="12" t="s">
        <v>230</v>
      </c>
      <c r="N1606" s="12" t="s">
        <v>127</v>
      </c>
      <c r="O1606" s="12" t="s">
        <v>2822</v>
      </c>
      <c r="P1606" s="88"/>
      <c r="AU1606" s="12" t="s">
        <v>53</v>
      </c>
    </row>
    <row r="1607" spans="1:52" s="12" customFormat="1" ht="14.4" hidden="1" x14ac:dyDescent="0.3">
      <c r="A1607" s="12" t="s">
        <v>39</v>
      </c>
      <c r="B1607" s="12" t="s">
        <v>4724</v>
      </c>
      <c r="C1607" s="12">
        <v>70</v>
      </c>
      <c r="D1607" s="12">
        <v>473</v>
      </c>
      <c r="F1607" s="12" t="s">
        <v>4725</v>
      </c>
      <c r="G1607" s="12" t="str">
        <f t="shared" si="39"/>
        <v>704731100622920</v>
      </c>
      <c r="H1607" s="12" t="s">
        <v>4726</v>
      </c>
      <c r="I1607" s="12">
        <v>1100622920</v>
      </c>
      <c r="J1607" s="12" t="s">
        <v>4727</v>
      </c>
      <c r="K1607" s="12" t="s">
        <v>230</v>
      </c>
      <c r="L1607" s="12">
        <v>3043960256</v>
      </c>
      <c r="M1607" s="12" t="s">
        <v>4728</v>
      </c>
      <c r="N1607" s="12" t="s">
        <v>432</v>
      </c>
      <c r="O1607" s="12" t="s">
        <v>432</v>
      </c>
      <c r="P1607" s="88" t="s">
        <v>261</v>
      </c>
      <c r="Q1607" s="13">
        <v>45373</v>
      </c>
      <c r="R1607" s="12" t="s">
        <v>1996</v>
      </c>
      <c r="S1607" s="12" t="s">
        <v>49</v>
      </c>
      <c r="U1607" s="12" t="s">
        <v>2456</v>
      </c>
      <c r="AA1607" s="12" t="s">
        <v>51</v>
      </c>
      <c r="AB1607" s="12" t="s">
        <v>51</v>
      </c>
      <c r="AU1607" s="12" t="s">
        <v>53</v>
      </c>
      <c r="AX1607" s="12" t="s">
        <v>51</v>
      </c>
      <c r="AZ1607" s="12" t="s">
        <v>51</v>
      </c>
    </row>
    <row r="1608" spans="1:52" s="12" customFormat="1" ht="14.4" hidden="1" x14ac:dyDescent="0.3">
      <c r="A1608" s="12" t="s">
        <v>39</v>
      </c>
      <c r="B1608" s="12" t="s">
        <v>4724</v>
      </c>
      <c r="C1608" s="12">
        <v>70</v>
      </c>
      <c r="D1608" s="12">
        <v>473</v>
      </c>
      <c r="F1608" s="12" t="s">
        <v>4729</v>
      </c>
      <c r="G1608" s="12" t="str">
        <f t="shared" si="39"/>
        <v>7047364550521</v>
      </c>
      <c r="H1608" s="12" t="s">
        <v>4730</v>
      </c>
      <c r="I1608" s="15">
        <v>64550521</v>
      </c>
      <c r="J1608" s="12" t="s">
        <v>4700</v>
      </c>
      <c r="K1608" s="12" t="s">
        <v>133</v>
      </c>
      <c r="L1608" s="12">
        <v>3107073583</v>
      </c>
      <c r="N1608" s="12" t="s">
        <v>127</v>
      </c>
      <c r="O1608" s="12" t="s">
        <v>2822</v>
      </c>
      <c r="P1608" s="88"/>
      <c r="AU1608" s="12" t="s">
        <v>53</v>
      </c>
    </row>
    <row r="1609" spans="1:52" s="12" customFormat="1" ht="14.4" hidden="1" x14ac:dyDescent="0.3">
      <c r="A1609" s="12" t="s">
        <v>39</v>
      </c>
      <c r="B1609" s="12" t="s">
        <v>4724</v>
      </c>
      <c r="C1609" s="12">
        <v>70</v>
      </c>
      <c r="D1609" s="12">
        <v>473</v>
      </c>
      <c r="F1609" s="12" t="s">
        <v>4731</v>
      </c>
      <c r="G1609" s="12" t="str">
        <f t="shared" si="39"/>
        <v>7047323012999</v>
      </c>
      <c r="H1609" s="12" t="s">
        <v>4732</v>
      </c>
      <c r="I1609" s="15">
        <v>23012999</v>
      </c>
      <c r="J1609" s="12" t="s">
        <v>4733</v>
      </c>
      <c r="K1609" s="12" t="s">
        <v>230</v>
      </c>
      <c r="L1609" s="12">
        <v>3007626026</v>
      </c>
      <c r="M1609" s="12" t="s">
        <v>4734</v>
      </c>
      <c r="N1609" s="12" t="s">
        <v>127</v>
      </c>
      <c r="O1609" s="12" t="s">
        <v>2822</v>
      </c>
      <c r="P1609" s="88"/>
      <c r="AU1609" s="12" t="s">
        <v>53</v>
      </c>
    </row>
    <row r="1610" spans="1:52" s="12" customFormat="1" ht="14.4" hidden="1" x14ac:dyDescent="0.3">
      <c r="A1610" s="12" t="s">
        <v>39</v>
      </c>
      <c r="B1610" s="12" t="s">
        <v>4724</v>
      </c>
      <c r="C1610" s="12">
        <v>70</v>
      </c>
      <c r="D1610" s="12">
        <v>473</v>
      </c>
      <c r="E1610" s="12" t="s">
        <v>9288</v>
      </c>
      <c r="F1610" s="275" t="s">
        <v>4735</v>
      </c>
      <c r="G1610" s="12" t="str">
        <f t="shared" si="39"/>
        <v>704738002313323</v>
      </c>
      <c r="H1610" s="12" t="s">
        <v>4838</v>
      </c>
      <c r="I1610" s="15">
        <v>8002313323</v>
      </c>
      <c r="J1610" s="12" t="s">
        <v>4736</v>
      </c>
      <c r="K1610" s="12" t="s">
        <v>230</v>
      </c>
      <c r="L1610" s="12">
        <v>3024471461</v>
      </c>
      <c r="M1610" s="12" t="s">
        <v>9296</v>
      </c>
      <c r="N1610" s="12" t="s">
        <v>127</v>
      </c>
      <c r="O1610" s="12" t="s">
        <v>2822</v>
      </c>
      <c r="P1610" s="88" t="s">
        <v>48</v>
      </c>
      <c r="Q1610" s="13">
        <v>46149</v>
      </c>
      <c r="R1610" s="12" t="s">
        <v>4833</v>
      </c>
      <c r="S1610" s="12" t="s">
        <v>49</v>
      </c>
      <c r="U1610" s="12" t="s">
        <v>60</v>
      </c>
      <c r="AU1610" s="12" t="s">
        <v>53</v>
      </c>
    </row>
    <row r="1611" spans="1:52" s="12" customFormat="1" ht="14.4" hidden="1" x14ac:dyDescent="0.3">
      <c r="A1611" s="12" t="s">
        <v>39</v>
      </c>
      <c r="B1611" s="12" t="s">
        <v>4724</v>
      </c>
      <c r="C1611" s="12">
        <v>70</v>
      </c>
      <c r="D1611" s="12">
        <v>473</v>
      </c>
      <c r="F1611" s="12" t="s">
        <v>1074</v>
      </c>
      <c r="G1611" s="12" t="str">
        <f t="shared" si="39"/>
        <v>70473800148870-1</v>
      </c>
      <c r="H1611" s="12" t="s">
        <v>4737</v>
      </c>
      <c r="I1611" s="15" t="s">
        <v>4738</v>
      </c>
      <c r="J1611" s="12" t="s">
        <v>4739</v>
      </c>
      <c r="K1611" s="12" t="s">
        <v>230</v>
      </c>
      <c r="L1611" s="12">
        <v>3123594246</v>
      </c>
      <c r="M1611" s="12" t="s">
        <v>4740</v>
      </c>
      <c r="N1611" s="12" t="s">
        <v>127</v>
      </c>
      <c r="O1611" s="12" t="s">
        <v>2822</v>
      </c>
      <c r="P1611" s="88"/>
      <c r="AU1611" s="12" t="s">
        <v>53</v>
      </c>
    </row>
    <row r="1612" spans="1:52" s="12" customFormat="1" ht="14.4" hidden="1" x14ac:dyDescent="0.3">
      <c r="A1612" s="12" t="s">
        <v>39</v>
      </c>
      <c r="B1612" s="12" t="s">
        <v>4724</v>
      </c>
      <c r="C1612" s="12">
        <v>70</v>
      </c>
      <c r="D1612" s="12">
        <v>473</v>
      </c>
      <c r="F1612" s="12" t="s">
        <v>4741</v>
      </c>
      <c r="G1612" s="12" t="str">
        <f t="shared" si="39"/>
        <v>7047330651518</v>
      </c>
      <c r="H1612" s="12" t="s">
        <v>4742</v>
      </c>
      <c r="I1612" s="15">
        <v>30651518</v>
      </c>
      <c r="J1612" s="12" t="s">
        <v>4743</v>
      </c>
      <c r="K1612" s="12" t="s">
        <v>230</v>
      </c>
      <c r="N1612" s="12" t="s">
        <v>780</v>
      </c>
      <c r="O1612" s="12" t="s">
        <v>260</v>
      </c>
      <c r="P1612" s="88"/>
      <c r="AU1612" s="12" t="s">
        <v>53</v>
      </c>
    </row>
    <row r="1613" spans="1:52" s="12" customFormat="1" ht="14.4" hidden="1" x14ac:dyDescent="0.3">
      <c r="A1613" s="12" t="s">
        <v>39</v>
      </c>
      <c r="B1613" s="12" t="s">
        <v>4724</v>
      </c>
      <c r="C1613" s="12">
        <v>70</v>
      </c>
      <c r="D1613" s="12">
        <v>473</v>
      </c>
      <c r="F1613" s="12" t="s">
        <v>4744</v>
      </c>
      <c r="G1613" s="12" t="str">
        <f t="shared" si="39"/>
        <v>7047311006308098</v>
      </c>
      <c r="H1613" s="12" t="s">
        <v>4745</v>
      </c>
      <c r="I1613" s="12">
        <v>11006308098</v>
      </c>
      <c r="J1613" s="12" t="s">
        <v>4746</v>
      </c>
      <c r="K1613" s="12" t="s">
        <v>230</v>
      </c>
      <c r="L1613" s="12">
        <v>3122888038</v>
      </c>
      <c r="N1613" s="12" t="s">
        <v>432</v>
      </c>
      <c r="O1613" s="12" t="s">
        <v>432</v>
      </c>
      <c r="P1613" s="88" t="s">
        <v>261</v>
      </c>
      <c r="Q1613" s="13">
        <v>45428</v>
      </c>
      <c r="R1613" s="16">
        <v>0.85</v>
      </c>
      <c r="S1613" s="12" t="s">
        <v>49</v>
      </c>
      <c r="U1613" s="12" t="s">
        <v>4747</v>
      </c>
      <c r="AA1613" s="12" t="s">
        <v>51</v>
      </c>
      <c r="AB1613" s="12" t="s">
        <v>51</v>
      </c>
      <c r="AU1613" s="12" t="s">
        <v>53</v>
      </c>
      <c r="AX1613" s="12" t="s">
        <v>51</v>
      </c>
      <c r="AZ1613" s="12" t="s">
        <v>51</v>
      </c>
    </row>
    <row r="1614" spans="1:52" s="12" customFormat="1" ht="14.4" hidden="1" x14ac:dyDescent="0.3">
      <c r="A1614" s="12" t="s">
        <v>39</v>
      </c>
      <c r="B1614" s="12" t="s">
        <v>4724</v>
      </c>
      <c r="C1614" s="12">
        <v>70</v>
      </c>
      <c r="D1614" s="12">
        <v>473</v>
      </c>
      <c r="F1614" s="12" t="s">
        <v>4748</v>
      </c>
      <c r="G1614" s="12" t="str">
        <f t="shared" si="39"/>
        <v>704731100626861</v>
      </c>
      <c r="H1614" s="12" t="s">
        <v>4749</v>
      </c>
      <c r="I1614" s="15">
        <v>1100626861</v>
      </c>
      <c r="J1614" s="12" t="s">
        <v>4750</v>
      </c>
      <c r="K1614" s="12" t="s">
        <v>230</v>
      </c>
      <c r="L1614" s="12">
        <v>3014394057</v>
      </c>
      <c r="M1614" s="12" t="s">
        <v>4751</v>
      </c>
      <c r="N1614" s="12" t="s">
        <v>432</v>
      </c>
      <c r="O1614" s="12" t="s">
        <v>432</v>
      </c>
      <c r="P1614" s="88" t="s">
        <v>261</v>
      </c>
      <c r="Q1614" s="13">
        <v>45420</v>
      </c>
      <c r="R1614" s="16">
        <v>0.92</v>
      </c>
      <c r="S1614" s="12" t="s">
        <v>210</v>
      </c>
      <c r="U1614" s="12" t="s">
        <v>4747</v>
      </c>
      <c r="AA1614" s="12" t="s">
        <v>51</v>
      </c>
      <c r="AB1614" s="12" t="s">
        <v>51</v>
      </c>
      <c r="AU1614" s="12" t="s">
        <v>53</v>
      </c>
      <c r="AX1614" s="12" t="s">
        <v>51</v>
      </c>
      <c r="AZ1614" s="12" t="s">
        <v>51</v>
      </c>
    </row>
    <row r="1615" spans="1:52" s="12" customFormat="1" ht="14.4" hidden="1" x14ac:dyDescent="0.3">
      <c r="A1615" s="12" t="s">
        <v>39</v>
      </c>
      <c r="B1615" s="12" t="s">
        <v>4724</v>
      </c>
      <c r="C1615" s="12">
        <v>70</v>
      </c>
      <c r="D1615" s="12">
        <v>473</v>
      </c>
      <c r="F1615" s="12" t="s">
        <v>4752</v>
      </c>
      <c r="G1615" s="12" t="str">
        <f t="shared" si="39"/>
        <v>704731103096142</v>
      </c>
      <c r="H1615" s="12" t="s">
        <v>4753</v>
      </c>
      <c r="I1615" s="15">
        <v>1103096142</v>
      </c>
      <c r="J1615" s="12" t="s">
        <v>4754</v>
      </c>
      <c r="K1615" s="12" t="s">
        <v>230</v>
      </c>
      <c r="L1615" s="12">
        <v>3004395083</v>
      </c>
      <c r="M1615" s="12" t="s">
        <v>4755</v>
      </c>
      <c r="N1615" s="12" t="s">
        <v>432</v>
      </c>
      <c r="O1615" s="12" t="s">
        <v>432</v>
      </c>
      <c r="P1615" s="88" t="s">
        <v>261</v>
      </c>
      <c r="Q1615" s="13">
        <v>45437</v>
      </c>
      <c r="R1615" s="16">
        <v>0.75</v>
      </c>
      <c r="S1615" s="12" t="s">
        <v>49</v>
      </c>
      <c r="U1615" s="12" t="s">
        <v>4747</v>
      </c>
      <c r="AA1615" s="12" t="s">
        <v>51</v>
      </c>
      <c r="AB1615" s="12" t="s">
        <v>51</v>
      </c>
      <c r="AU1615" s="12" t="s">
        <v>53</v>
      </c>
      <c r="AX1615" s="12" t="s">
        <v>51</v>
      </c>
      <c r="AZ1615" s="12" t="s">
        <v>51</v>
      </c>
    </row>
    <row r="1616" spans="1:52" s="12" customFormat="1" ht="14.4" hidden="1" x14ac:dyDescent="0.3">
      <c r="A1616" s="12" t="s">
        <v>39</v>
      </c>
      <c r="B1616" s="12" t="s">
        <v>4724</v>
      </c>
      <c r="C1616" s="12">
        <v>70</v>
      </c>
      <c r="D1616" s="12">
        <v>473</v>
      </c>
      <c r="F1616" s="12" t="s">
        <v>4756</v>
      </c>
      <c r="G1616" s="12" t="str">
        <f t="shared" si="39"/>
        <v>7047392518764</v>
      </c>
      <c r="H1616" s="12" t="s">
        <v>4757</v>
      </c>
      <c r="I1616" s="15">
        <v>92518764</v>
      </c>
      <c r="J1616" s="12" t="s">
        <v>4700</v>
      </c>
      <c r="K1616" s="12" t="s">
        <v>133</v>
      </c>
      <c r="L1616" s="12">
        <v>3135793506</v>
      </c>
      <c r="M1616" s="12" t="s">
        <v>4758</v>
      </c>
      <c r="N1616" s="12" t="s">
        <v>432</v>
      </c>
      <c r="O1616" s="12" t="s">
        <v>432</v>
      </c>
      <c r="P1616" s="88" t="s">
        <v>261</v>
      </c>
      <c r="Q1616" s="13">
        <v>45443</v>
      </c>
      <c r="R1616" s="16">
        <v>0.92</v>
      </c>
      <c r="S1616" s="12" t="s">
        <v>210</v>
      </c>
      <c r="U1616" s="12" t="s">
        <v>4747</v>
      </c>
      <c r="AA1616" s="12" t="s">
        <v>51</v>
      </c>
      <c r="AB1616" s="12" t="s">
        <v>51</v>
      </c>
      <c r="AU1616" s="12" t="s">
        <v>53</v>
      </c>
      <c r="AX1616" s="12" t="s">
        <v>51</v>
      </c>
      <c r="AZ1616" s="12" t="s">
        <v>51</v>
      </c>
    </row>
    <row r="1617" spans="1:52" s="12" customFormat="1" ht="14.4" hidden="1" x14ac:dyDescent="0.3">
      <c r="A1617" s="12" t="s">
        <v>39</v>
      </c>
      <c r="B1617" s="12" t="s">
        <v>4724</v>
      </c>
      <c r="C1617" s="12">
        <v>70</v>
      </c>
      <c r="D1617" s="12">
        <v>473</v>
      </c>
      <c r="F1617" s="12" t="s">
        <v>4759</v>
      </c>
      <c r="G1617" s="12" t="str">
        <f t="shared" si="39"/>
        <v>7047392154043</v>
      </c>
      <c r="H1617" s="12" t="s">
        <v>4760</v>
      </c>
      <c r="I1617" s="15">
        <v>92154043</v>
      </c>
      <c r="J1617" s="12" t="s">
        <v>4761</v>
      </c>
      <c r="K1617" s="12" t="s">
        <v>230</v>
      </c>
      <c r="N1617" s="12" t="s">
        <v>432</v>
      </c>
      <c r="O1617" s="12" t="s">
        <v>432</v>
      </c>
      <c r="P1617" s="88" t="s">
        <v>261</v>
      </c>
      <c r="Q1617" s="13">
        <v>45548</v>
      </c>
      <c r="R1617" s="16">
        <v>0.78</v>
      </c>
      <c r="S1617" s="12" t="s">
        <v>49</v>
      </c>
      <c r="U1617" s="12" t="s">
        <v>4747</v>
      </c>
      <c r="AA1617" s="12" t="s">
        <v>51</v>
      </c>
      <c r="AB1617" s="12" t="s">
        <v>51</v>
      </c>
      <c r="AU1617" s="12" t="s">
        <v>53</v>
      </c>
      <c r="AX1617" s="12" t="s">
        <v>51</v>
      </c>
      <c r="AZ1617" s="12" t="s">
        <v>51</v>
      </c>
    </row>
    <row r="1618" spans="1:52" s="12" customFormat="1" ht="14.4" hidden="1" x14ac:dyDescent="0.3">
      <c r="A1618" s="12" t="s">
        <v>39</v>
      </c>
      <c r="B1618" s="12" t="s">
        <v>4724</v>
      </c>
      <c r="C1618" s="12">
        <v>70</v>
      </c>
      <c r="D1618" s="12">
        <v>473</v>
      </c>
      <c r="F1618" s="12" t="s">
        <v>4762</v>
      </c>
      <c r="G1618" s="12" t="str">
        <f t="shared" si="39"/>
        <v>7047392154425</v>
      </c>
      <c r="H1618" s="12" t="s">
        <v>4763</v>
      </c>
      <c r="I1618" s="12">
        <v>92154425</v>
      </c>
      <c r="J1618" s="12" t="s">
        <v>4764</v>
      </c>
      <c r="K1618" s="12" t="s">
        <v>230</v>
      </c>
      <c r="L1618" s="12">
        <v>3002055268</v>
      </c>
      <c r="M1618" s="12" t="s">
        <v>4765</v>
      </c>
      <c r="N1618" s="12" t="s">
        <v>432</v>
      </c>
      <c r="O1618" s="12" t="s">
        <v>432</v>
      </c>
      <c r="P1618" s="88" t="s">
        <v>261</v>
      </c>
      <c r="Q1618" s="13">
        <v>45394</v>
      </c>
      <c r="R1618" s="12">
        <v>78</v>
      </c>
      <c r="S1618" s="12" t="s">
        <v>49</v>
      </c>
      <c r="U1618" s="12" t="s">
        <v>4747</v>
      </c>
      <c r="AA1618" s="12" t="s">
        <v>51</v>
      </c>
      <c r="AB1618" s="12" t="s">
        <v>51</v>
      </c>
      <c r="AU1618" s="12" t="s">
        <v>53</v>
      </c>
      <c r="AX1618" s="12" t="s">
        <v>51</v>
      </c>
      <c r="AZ1618" s="12" t="s">
        <v>51</v>
      </c>
    </row>
    <row r="1619" spans="1:52" s="12" customFormat="1" ht="14.4" hidden="1" x14ac:dyDescent="0.3">
      <c r="A1619" s="12" t="s">
        <v>39</v>
      </c>
      <c r="B1619" s="12" t="s">
        <v>4724</v>
      </c>
      <c r="C1619" s="12">
        <v>70</v>
      </c>
      <c r="D1619" s="12">
        <v>473</v>
      </c>
      <c r="F1619" s="12" t="s">
        <v>4766</v>
      </c>
      <c r="G1619" s="12" t="str">
        <f t="shared" si="39"/>
        <v>704731100622588</v>
      </c>
      <c r="H1619" s="12" t="s">
        <v>4767</v>
      </c>
      <c r="I1619" s="12">
        <v>1100622588</v>
      </c>
      <c r="J1619" s="12" t="s">
        <v>4768</v>
      </c>
      <c r="K1619" s="12" t="s">
        <v>230</v>
      </c>
      <c r="L1619" s="12">
        <v>3042115738</v>
      </c>
      <c r="M1619" s="12" t="s">
        <v>4769</v>
      </c>
      <c r="N1619" s="12" t="s">
        <v>432</v>
      </c>
      <c r="O1619" s="12" t="s">
        <v>432</v>
      </c>
      <c r="P1619" s="88"/>
      <c r="Q1619" s="13">
        <v>45388</v>
      </c>
      <c r="R1619" s="12">
        <v>81.5</v>
      </c>
      <c r="S1619" s="12" t="s">
        <v>49</v>
      </c>
      <c r="U1619" s="12" t="s">
        <v>4747</v>
      </c>
      <c r="AU1619" s="12" t="s">
        <v>53</v>
      </c>
    </row>
    <row r="1620" spans="1:52" s="12" customFormat="1" ht="14.4" hidden="1" x14ac:dyDescent="0.3">
      <c r="A1620" s="12" t="s">
        <v>39</v>
      </c>
      <c r="B1620" s="12" t="s">
        <v>4724</v>
      </c>
      <c r="C1620" s="12">
        <v>70</v>
      </c>
      <c r="D1620" s="12">
        <v>473</v>
      </c>
      <c r="F1620" s="275" t="s">
        <v>4770</v>
      </c>
      <c r="G1620" s="12" t="str">
        <f t="shared" si="39"/>
        <v>70473100629325</v>
      </c>
      <c r="H1620" s="12" t="s">
        <v>9285</v>
      </c>
      <c r="I1620" s="12">
        <v>100629325</v>
      </c>
      <c r="J1620" s="12" t="s">
        <v>9286</v>
      </c>
      <c r="K1620" s="12" t="s">
        <v>230</v>
      </c>
      <c r="L1620" s="12">
        <v>3043690475</v>
      </c>
      <c r="M1620" s="12" t="s">
        <v>9287</v>
      </c>
      <c r="N1620" s="12" t="s">
        <v>432</v>
      </c>
      <c r="O1620" s="12" t="s">
        <v>432</v>
      </c>
      <c r="P1620" s="88" t="s">
        <v>261</v>
      </c>
      <c r="Q1620" s="13">
        <v>46140</v>
      </c>
      <c r="R1620" s="12">
        <v>87</v>
      </c>
      <c r="S1620" s="12" t="s">
        <v>49</v>
      </c>
      <c r="U1620" s="12" t="s">
        <v>4747</v>
      </c>
      <c r="V1620" s="13">
        <v>45393</v>
      </c>
      <c r="W1620" s="12">
        <v>78</v>
      </c>
      <c r="X1620" s="12" t="s">
        <v>49</v>
      </c>
      <c r="Z1620" s="12" t="s">
        <v>4747</v>
      </c>
      <c r="AU1620" s="12" t="s">
        <v>53</v>
      </c>
    </row>
    <row r="1621" spans="1:52" s="12" customFormat="1" ht="14.4" hidden="1" x14ac:dyDescent="0.3">
      <c r="A1621" s="12" t="s">
        <v>39</v>
      </c>
      <c r="B1621" s="12" t="s">
        <v>4724</v>
      </c>
      <c r="C1621" s="12">
        <v>70</v>
      </c>
      <c r="D1621" s="12">
        <v>473</v>
      </c>
      <c r="F1621" s="12" t="s">
        <v>4772</v>
      </c>
      <c r="G1621" s="12" t="str">
        <f t="shared" si="39"/>
        <v>7047392552215-1</v>
      </c>
      <c r="H1621" s="12" t="s">
        <v>4773</v>
      </c>
      <c r="I1621" s="12" t="s">
        <v>4771</v>
      </c>
      <c r="J1621" s="12" t="s">
        <v>4774</v>
      </c>
      <c r="K1621" s="12" t="s">
        <v>230</v>
      </c>
      <c r="L1621" s="12">
        <v>3233003878</v>
      </c>
      <c r="N1621" s="12" t="s">
        <v>432</v>
      </c>
      <c r="O1621" s="12" t="s">
        <v>432</v>
      </c>
      <c r="P1621" s="88"/>
      <c r="Q1621" s="13">
        <v>45548</v>
      </c>
      <c r="R1621" s="12">
        <v>81.5</v>
      </c>
      <c r="S1621" s="12" t="s">
        <v>49</v>
      </c>
      <c r="U1621" s="12" t="s">
        <v>4747</v>
      </c>
      <c r="AU1621" s="12" t="s">
        <v>53</v>
      </c>
    </row>
    <row r="1622" spans="1:52" s="12" customFormat="1" ht="14.4" hidden="1" x14ac:dyDescent="0.3">
      <c r="A1622" s="12" t="s">
        <v>39</v>
      </c>
      <c r="B1622" s="12" t="s">
        <v>4724</v>
      </c>
      <c r="C1622" s="12">
        <v>70</v>
      </c>
      <c r="D1622" s="12">
        <v>473</v>
      </c>
      <c r="F1622" s="12" t="s">
        <v>4775</v>
      </c>
      <c r="G1622" s="12" t="str">
        <f t="shared" si="39"/>
        <v>7047392552215-1</v>
      </c>
      <c r="H1622" s="12" t="s">
        <v>4776</v>
      </c>
      <c r="I1622" s="12" t="s">
        <v>4771</v>
      </c>
      <c r="J1622" s="12" t="s">
        <v>4777</v>
      </c>
      <c r="K1622" s="12" t="s">
        <v>230</v>
      </c>
      <c r="L1622" s="12">
        <v>3002243788</v>
      </c>
      <c r="N1622" s="12" t="s">
        <v>432</v>
      </c>
      <c r="O1622" s="12" t="s">
        <v>432</v>
      </c>
      <c r="P1622" s="88"/>
      <c r="Q1622" s="13">
        <v>45547</v>
      </c>
      <c r="R1622" s="12">
        <v>78.5</v>
      </c>
      <c r="S1622" s="12" t="s">
        <v>49</v>
      </c>
      <c r="U1622" s="12" t="s">
        <v>4747</v>
      </c>
      <c r="AU1622" s="12" t="s">
        <v>53</v>
      </c>
    </row>
    <row r="1623" spans="1:52" s="12" customFormat="1" ht="14.4" x14ac:dyDescent="0.3">
      <c r="A1623" s="12" t="s">
        <v>39</v>
      </c>
      <c r="B1623" s="12" t="s">
        <v>4724</v>
      </c>
      <c r="C1623" s="12">
        <v>70</v>
      </c>
      <c r="D1623" s="12">
        <v>473</v>
      </c>
      <c r="F1623" s="275" t="s">
        <v>4778</v>
      </c>
      <c r="G1623" s="12" t="str">
        <f t="shared" si="39"/>
        <v>7047392552215-1</v>
      </c>
      <c r="H1623" s="12" t="s">
        <v>4779</v>
      </c>
      <c r="I1623" s="12" t="s">
        <v>4771</v>
      </c>
      <c r="J1623" s="12" t="s">
        <v>4780</v>
      </c>
      <c r="K1623" s="12" t="s">
        <v>230</v>
      </c>
      <c r="L1623" s="12">
        <v>3017021730</v>
      </c>
      <c r="M1623" s="12" t="s">
        <v>9297</v>
      </c>
      <c r="N1623" s="12" t="s">
        <v>46</v>
      </c>
      <c r="O1623" s="12" t="s">
        <v>47</v>
      </c>
      <c r="P1623" s="88" t="s">
        <v>48</v>
      </c>
      <c r="Q1623" s="13">
        <v>46178</v>
      </c>
      <c r="R1623" s="12">
        <v>85</v>
      </c>
      <c r="S1623" s="12" t="s">
        <v>49</v>
      </c>
      <c r="U1623" s="12" t="s">
        <v>60</v>
      </c>
      <c r="AU1623" s="12" t="s">
        <v>53</v>
      </c>
    </row>
    <row r="1624" spans="1:52" s="12" customFormat="1" ht="14.4" hidden="1" x14ac:dyDescent="0.3">
      <c r="A1624" s="12" t="s">
        <v>39</v>
      </c>
      <c r="B1624" s="12" t="s">
        <v>4724</v>
      </c>
      <c r="C1624" s="12">
        <v>70</v>
      </c>
      <c r="D1624" s="12">
        <v>473</v>
      </c>
      <c r="F1624" s="12" t="s">
        <v>4781</v>
      </c>
      <c r="G1624" s="12" t="str">
        <f t="shared" si="39"/>
        <v>7047392552215-1</v>
      </c>
      <c r="H1624" s="12" t="s">
        <v>4782</v>
      </c>
      <c r="I1624" s="12" t="s">
        <v>4771</v>
      </c>
      <c r="J1624" s="12" t="s">
        <v>4783</v>
      </c>
      <c r="K1624" s="12" t="s">
        <v>230</v>
      </c>
      <c r="L1624" s="12">
        <v>3135889722</v>
      </c>
      <c r="N1624" s="12" t="s">
        <v>127</v>
      </c>
      <c r="O1624" s="12" t="s">
        <v>2822</v>
      </c>
      <c r="P1624" s="88"/>
      <c r="AU1624" s="12" t="s">
        <v>53</v>
      </c>
    </row>
    <row r="1625" spans="1:52" s="12" customFormat="1" ht="14.4" hidden="1" x14ac:dyDescent="0.3">
      <c r="A1625" s="12" t="s">
        <v>39</v>
      </c>
      <c r="B1625" s="12" t="s">
        <v>4724</v>
      </c>
      <c r="C1625" s="12">
        <v>70</v>
      </c>
      <c r="D1625" s="12">
        <v>473</v>
      </c>
      <c r="F1625" s="12" t="s">
        <v>4784</v>
      </c>
      <c r="G1625" s="12" t="str">
        <f t="shared" si="39"/>
        <v>70473901845575-8</v>
      </c>
      <c r="H1625" s="12" t="s">
        <v>4785</v>
      </c>
      <c r="I1625" s="12" t="s">
        <v>4786</v>
      </c>
      <c r="J1625" s="12" t="s">
        <v>4787</v>
      </c>
      <c r="K1625" s="12" t="s">
        <v>230</v>
      </c>
      <c r="L1625" s="12">
        <v>3225936396</v>
      </c>
      <c r="N1625" s="12" t="s">
        <v>127</v>
      </c>
      <c r="O1625" s="12" t="s">
        <v>2822</v>
      </c>
      <c r="P1625" s="88"/>
      <c r="AU1625" s="12" t="s">
        <v>53</v>
      </c>
    </row>
    <row r="1626" spans="1:52" s="12" customFormat="1" ht="14.4" hidden="1" x14ac:dyDescent="0.3">
      <c r="A1626" s="12" t="s">
        <v>39</v>
      </c>
      <c r="B1626" s="12" t="s">
        <v>4724</v>
      </c>
      <c r="C1626" s="12">
        <v>70</v>
      </c>
      <c r="D1626" s="12">
        <v>473</v>
      </c>
      <c r="E1626" s="12" t="s">
        <v>4788</v>
      </c>
      <c r="F1626" s="12" t="s">
        <v>4789</v>
      </c>
      <c r="G1626" s="12" t="str">
        <f t="shared" si="39"/>
        <v>704739004298035</v>
      </c>
      <c r="H1626" s="12" t="s">
        <v>4790</v>
      </c>
      <c r="I1626" s="12">
        <v>9004298035</v>
      </c>
      <c r="J1626" s="12" t="s">
        <v>4791</v>
      </c>
      <c r="K1626" s="12" t="s">
        <v>230</v>
      </c>
      <c r="L1626" s="12">
        <v>3003974709</v>
      </c>
      <c r="M1626" s="17" t="s">
        <v>4792</v>
      </c>
      <c r="N1626" s="12" t="s">
        <v>127</v>
      </c>
      <c r="O1626" s="12" t="s">
        <v>2822</v>
      </c>
      <c r="P1626" s="88" t="s">
        <v>48</v>
      </c>
      <c r="Q1626" s="13">
        <v>45596</v>
      </c>
      <c r="R1626" s="12" t="s">
        <v>4108</v>
      </c>
      <c r="S1626" s="12" t="s">
        <v>49</v>
      </c>
      <c r="U1626" s="12" t="s">
        <v>60</v>
      </c>
      <c r="AA1626" s="12" t="s">
        <v>51</v>
      </c>
      <c r="AB1626" s="12" t="s">
        <v>51</v>
      </c>
      <c r="AU1626" s="12" t="s">
        <v>53</v>
      </c>
      <c r="AX1626" s="12" t="s">
        <v>1920</v>
      </c>
      <c r="AY1626" s="12" t="s">
        <v>1921</v>
      </c>
      <c r="AZ1626" s="12" t="s">
        <v>4793</v>
      </c>
    </row>
    <row r="1627" spans="1:52" s="12" customFormat="1" ht="14.4" hidden="1" x14ac:dyDescent="0.3">
      <c r="A1627" s="12" t="s">
        <v>39</v>
      </c>
      <c r="B1627" s="12" t="s">
        <v>4724</v>
      </c>
      <c r="C1627" s="12">
        <v>70</v>
      </c>
      <c r="D1627" s="12">
        <v>473</v>
      </c>
      <c r="F1627" s="12" t="s">
        <v>4794</v>
      </c>
      <c r="G1627" s="12" t="str">
        <f t="shared" si="39"/>
        <v>7047392153456</v>
      </c>
      <c r="H1627" s="12" t="s">
        <v>4795</v>
      </c>
      <c r="I1627" s="15">
        <v>92153456</v>
      </c>
      <c r="J1627" s="12" t="s">
        <v>4796</v>
      </c>
      <c r="K1627" s="12" t="s">
        <v>230</v>
      </c>
      <c r="L1627" s="12">
        <v>3126075658</v>
      </c>
      <c r="M1627" s="12" t="s">
        <v>4797</v>
      </c>
      <c r="N1627" s="12" t="s">
        <v>432</v>
      </c>
      <c r="O1627" s="12" t="s">
        <v>432</v>
      </c>
      <c r="P1627" s="88" t="s">
        <v>261</v>
      </c>
      <c r="Q1627" s="13">
        <v>45598</v>
      </c>
      <c r="R1627" s="12">
        <v>78</v>
      </c>
      <c r="S1627" s="12" t="s">
        <v>49</v>
      </c>
      <c r="U1627" s="12" t="s">
        <v>4798</v>
      </c>
      <c r="AU1627" s="12" t="s">
        <v>53</v>
      </c>
    </row>
    <row r="1628" spans="1:52" s="12" customFormat="1" ht="14.4" x14ac:dyDescent="0.3">
      <c r="A1628" s="12" t="s">
        <v>39</v>
      </c>
      <c r="B1628" s="12" t="s">
        <v>4724</v>
      </c>
      <c r="C1628" s="12">
        <v>70</v>
      </c>
      <c r="D1628" s="12">
        <v>473</v>
      </c>
      <c r="E1628" s="12" t="s">
        <v>9298</v>
      </c>
      <c r="F1628" s="275" t="s">
        <v>9299</v>
      </c>
      <c r="G1628" s="12" t="str">
        <f t="shared" si="39"/>
        <v>70473900223291</v>
      </c>
      <c r="H1628" s="12" t="s">
        <v>9300</v>
      </c>
      <c r="I1628" s="15">
        <v>900223291</v>
      </c>
      <c r="J1628" s="12" t="s">
        <v>9301</v>
      </c>
      <c r="K1628" s="12" t="s">
        <v>44</v>
      </c>
      <c r="L1628" s="12">
        <v>3002445094</v>
      </c>
      <c r="M1628" s="12" t="s">
        <v>9302</v>
      </c>
      <c r="N1628" s="12" t="s">
        <v>8021</v>
      </c>
      <c r="O1628" s="12" t="s">
        <v>47</v>
      </c>
      <c r="P1628" s="88" t="s">
        <v>48</v>
      </c>
      <c r="Q1628" s="13">
        <v>46215</v>
      </c>
      <c r="R1628" s="12">
        <v>98</v>
      </c>
      <c r="S1628" s="12" t="s">
        <v>319</v>
      </c>
      <c r="T1628" s="12" t="s">
        <v>8810</v>
      </c>
      <c r="U1628" s="12" t="s">
        <v>60</v>
      </c>
      <c r="AU1628" s="12" t="s">
        <v>53</v>
      </c>
    </row>
    <row r="1629" spans="1:52" s="12" customFormat="1" ht="14.4" x14ac:dyDescent="0.3">
      <c r="A1629" s="12" t="s">
        <v>39</v>
      </c>
      <c r="B1629" s="12" t="s">
        <v>4724</v>
      </c>
      <c r="C1629" s="12">
        <v>70</v>
      </c>
      <c r="D1629" s="12">
        <v>473</v>
      </c>
      <c r="E1629" s="12" t="s">
        <v>9298</v>
      </c>
      <c r="F1629" s="275" t="s">
        <v>9303</v>
      </c>
      <c r="G1629" s="12" t="str">
        <f t="shared" si="39"/>
        <v>70473900223291</v>
      </c>
      <c r="H1629" s="12" t="s">
        <v>9300</v>
      </c>
      <c r="I1629" s="15">
        <v>900223291</v>
      </c>
      <c r="J1629" s="12" t="s">
        <v>9304</v>
      </c>
      <c r="K1629" s="12" t="s">
        <v>44</v>
      </c>
      <c r="L1629" s="12">
        <v>3002445094</v>
      </c>
      <c r="M1629" s="12" t="s">
        <v>9302</v>
      </c>
      <c r="N1629" s="12" t="s">
        <v>8021</v>
      </c>
      <c r="O1629" s="12" t="s">
        <v>47</v>
      </c>
      <c r="P1629" s="88" t="s">
        <v>48</v>
      </c>
      <c r="Q1629" s="13">
        <v>46208</v>
      </c>
      <c r="R1629" s="12" t="s">
        <v>8589</v>
      </c>
      <c r="S1629" s="12" t="s">
        <v>319</v>
      </c>
      <c r="T1629" s="12" t="s">
        <v>8810</v>
      </c>
      <c r="U1629" s="12" t="s">
        <v>60</v>
      </c>
      <c r="AU1629" s="12" t="s">
        <v>53</v>
      </c>
    </row>
    <row r="1630" spans="1:52" s="12" customFormat="1" ht="14.4" hidden="1" x14ac:dyDescent="0.3">
      <c r="A1630" s="12" t="s">
        <v>39</v>
      </c>
      <c r="B1630" s="12" t="s">
        <v>4724</v>
      </c>
      <c r="C1630" s="12">
        <v>70</v>
      </c>
      <c r="D1630" s="12">
        <v>473</v>
      </c>
      <c r="E1630" s="12" t="s">
        <v>8337</v>
      </c>
      <c r="F1630" s="275" t="s">
        <v>4799</v>
      </c>
      <c r="G1630" s="12" t="str">
        <f t="shared" si="39"/>
        <v>70473902024779</v>
      </c>
      <c r="H1630" s="12" t="s">
        <v>710</v>
      </c>
      <c r="I1630" s="12">
        <v>902024779</v>
      </c>
      <c r="J1630" s="12" t="s">
        <v>4800</v>
      </c>
      <c r="K1630" s="12" t="s">
        <v>192</v>
      </c>
      <c r="L1630" s="12">
        <v>3045969044</v>
      </c>
      <c r="M1630" s="12" t="s">
        <v>8407</v>
      </c>
      <c r="N1630" s="12" t="s">
        <v>127</v>
      </c>
      <c r="O1630" s="12" t="s">
        <v>2822</v>
      </c>
      <c r="P1630" s="88" t="s">
        <v>48</v>
      </c>
      <c r="Q1630" s="13">
        <v>46074</v>
      </c>
      <c r="R1630" s="12" t="s">
        <v>8589</v>
      </c>
      <c r="S1630" s="12" t="s">
        <v>210</v>
      </c>
      <c r="T1630" s="12" t="s">
        <v>8810</v>
      </c>
      <c r="U1630" s="12" t="s">
        <v>60</v>
      </c>
      <c r="V1630" s="13">
        <v>45730</v>
      </c>
      <c r="W1630" s="16">
        <v>0.96</v>
      </c>
      <c r="X1630" s="12" t="s">
        <v>210</v>
      </c>
      <c r="Y1630" s="12" t="s">
        <v>8810</v>
      </c>
      <c r="Z1630" s="12" t="s">
        <v>2881</v>
      </c>
      <c r="AA1630" s="12" t="s">
        <v>51</v>
      </c>
      <c r="AB1630" s="12" t="s">
        <v>51</v>
      </c>
      <c r="AU1630" s="12" t="s">
        <v>53</v>
      </c>
      <c r="AX1630" s="12" t="s">
        <v>51</v>
      </c>
      <c r="AZ1630" s="12" t="s">
        <v>51</v>
      </c>
    </row>
    <row r="1631" spans="1:52" s="12" customFormat="1" ht="14.4" hidden="1" x14ac:dyDescent="0.3">
      <c r="A1631" s="12" t="s">
        <v>39</v>
      </c>
      <c r="B1631" s="12" t="s">
        <v>4724</v>
      </c>
      <c r="C1631" s="12">
        <v>70</v>
      </c>
      <c r="D1631" s="12">
        <v>473</v>
      </c>
      <c r="E1631" s="12" t="s">
        <v>8337</v>
      </c>
      <c r="F1631" s="275" t="s">
        <v>4801</v>
      </c>
      <c r="G1631" s="12" t="str">
        <f t="shared" si="39"/>
        <v>70473902024779</v>
      </c>
      <c r="H1631" s="12" t="s">
        <v>710</v>
      </c>
      <c r="I1631" s="12">
        <v>902024779</v>
      </c>
      <c r="J1631" s="12" t="s">
        <v>4802</v>
      </c>
      <c r="K1631" s="12" t="s">
        <v>133</v>
      </c>
      <c r="L1631" s="12">
        <v>3045969044</v>
      </c>
      <c r="M1631" s="12" t="s">
        <v>8407</v>
      </c>
      <c r="N1631" s="12" t="s">
        <v>127</v>
      </c>
      <c r="O1631" s="12" t="s">
        <v>2822</v>
      </c>
      <c r="P1631" s="88" t="s">
        <v>48</v>
      </c>
      <c r="Q1631" s="13">
        <v>46093</v>
      </c>
      <c r="R1631" s="12">
        <v>92</v>
      </c>
      <c r="S1631" s="12" t="s">
        <v>210</v>
      </c>
      <c r="T1631" s="12" t="s">
        <v>8810</v>
      </c>
      <c r="U1631" s="12" t="s">
        <v>60</v>
      </c>
      <c r="V1631" s="13">
        <v>45730</v>
      </c>
      <c r="W1631" s="16">
        <v>0.91</v>
      </c>
      <c r="X1631" s="12" t="s">
        <v>210</v>
      </c>
      <c r="Y1631" s="12" t="s">
        <v>8810</v>
      </c>
      <c r="Z1631" s="12" t="s">
        <v>2881</v>
      </c>
      <c r="AA1631" s="12" t="s">
        <v>51</v>
      </c>
      <c r="AB1631" s="12" t="s">
        <v>51</v>
      </c>
      <c r="AU1631" s="12" t="s">
        <v>53</v>
      </c>
      <c r="AX1631" s="12" t="s">
        <v>51</v>
      </c>
      <c r="AZ1631" s="12" t="s">
        <v>51</v>
      </c>
    </row>
    <row r="1632" spans="1:52" s="12" customFormat="1" ht="14.4" hidden="1" x14ac:dyDescent="0.3">
      <c r="A1632" s="12" t="s">
        <v>39</v>
      </c>
      <c r="B1632" s="12" t="s">
        <v>4724</v>
      </c>
      <c r="C1632" s="12">
        <v>70</v>
      </c>
      <c r="D1632" s="12">
        <v>473</v>
      </c>
      <c r="E1632" s="12" t="s">
        <v>8337</v>
      </c>
      <c r="F1632" s="275" t="s">
        <v>4803</v>
      </c>
      <c r="G1632" s="12" t="str">
        <f t="shared" si="39"/>
        <v>70473902024779</v>
      </c>
      <c r="H1632" s="12" t="s">
        <v>710</v>
      </c>
      <c r="I1632" s="12">
        <v>902024779</v>
      </c>
      <c r="J1632" s="12" t="s">
        <v>4804</v>
      </c>
      <c r="K1632" s="12" t="s">
        <v>133</v>
      </c>
      <c r="L1632" s="12">
        <v>3205504096</v>
      </c>
      <c r="M1632" s="17" t="s">
        <v>8407</v>
      </c>
      <c r="N1632" s="12" t="s">
        <v>127</v>
      </c>
      <c r="O1632" s="12" t="s">
        <v>2822</v>
      </c>
      <c r="P1632" s="88" t="s">
        <v>48</v>
      </c>
      <c r="Q1632" s="13">
        <v>46073</v>
      </c>
      <c r="R1632" s="12">
        <v>97</v>
      </c>
      <c r="S1632" s="12" t="s">
        <v>210</v>
      </c>
      <c r="T1632" s="12" t="s">
        <v>8810</v>
      </c>
      <c r="U1632" s="12" t="s">
        <v>50</v>
      </c>
      <c r="V1632" s="13">
        <v>45741</v>
      </c>
      <c r="W1632" s="16">
        <v>0.9</v>
      </c>
      <c r="X1632" s="12" t="s">
        <v>210</v>
      </c>
      <c r="Y1632" s="12" t="s">
        <v>8810</v>
      </c>
      <c r="Z1632" s="12" t="s">
        <v>2881</v>
      </c>
      <c r="AA1632" s="12" t="s">
        <v>51</v>
      </c>
      <c r="AB1632" s="12" t="s">
        <v>51</v>
      </c>
      <c r="AU1632" s="12" t="s">
        <v>53</v>
      </c>
      <c r="AX1632" s="12" t="s">
        <v>51</v>
      </c>
      <c r="AZ1632" s="12" t="s">
        <v>51</v>
      </c>
    </row>
    <row r="1633" spans="1:52" s="12" customFormat="1" ht="14.4" hidden="1" x14ac:dyDescent="0.3">
      <c r="A1633" s="12" t="s">
        <v>39</v>
      </c>
      <c r="B1633" s="12" t="s">
        <v>4724</v>
      </c>
      <c r="C1633" s="12">
        <v>70</v>
      </c>
      <c r="D1633" s="12">
        <v>473</v>
      </c>
      <c r="E1633" s="12" t="s">
        <v>8337</v>
      </c>
      <c r="F1633" s="275" t="s">
        <v>4805</v>
      </c>
      <c r="G1633" s="12" t="str">
        <f t="shared" si="39"/>
        <v>70473902024779</v>
      </c>
      <c r="H1633" s="12" t="s">
        <v>710</v>
      </c>
      <c r="I1633" s="12">
        <v>902024779</v>
      </c>
      <c r="J1633" s="12" t="s">
        <v>4806</v>
      </c>
      <c r="K1633" s="12" t="s">
        <v>133</v>
      </c>
      <c r="L1633" s="12">
        <v>3045969044</v>
      </c>
      <c r="M1633" s="12" t="s">
        <v>8407</v>
      </c>
      <c r="N1633" s="12" t="s">
        <v>127</v>
      </c>
      <c r="O1633" s="12" t="s">
        <v>2822</v>
      </c>
      <c r="P1633" s="88" t="s">
        <v>48</v>
      </c>
      <c r="Q1633" s="13">
        <v>46091</v>
      </c>
      <c r="R1633" s="12">
        <v>89</v>
      </c>
      <c r="S1633" s="12" t="s">
        <v>49</v>
      </c>
      <c r="T1633" s="12" t="s">
        <v>8810</v>
      </c>
      <c r="U1633" s="12" t="s">
        <v>60</v>
      </c>
      <c r="V1633" s="13">
        <v>45741</v>
      </c>
      <c r="W1633" s="12" t="s">
        <v>138</v>
      </c>
      <c r="X1633" s="12" t="s">
        <v>74</v>
      </c>
      <c r="Y1633" s="12" t="s">
        <v>8810</v>
      </c>
      <c r="Z1633" s="12" t="s">
        <v>2881</v>
      </c>
      <c r="AA1633" s="12" t="s">
        <v>51</v>
      </c>
      <c r="AB1633" s="12" t="s">
        <v>51</v>
      </c>
      <c r="AU1633" s="12" t="s">
        <v>53</v>
      </c>
      <c r="AX1633" s="12" t="s">
        <v>51</v>
      </c>
      <c r="AZ1633" s="12" t="s">
        <v>51</v>
      </c>
    </row>
    <row r="1634" spans="1:52" s="12" customFormat="1" ht="14.4" hidden="1" x14ac:dyDescent="0.3">
      <c r="A1634" s="12" t="s">
        <v>39</v>
      </c>
      <c r="B1634" s="12" t="s">
        <v>4724</v>
      </c>
      <c r="C1634" s="12">
        <v>70</v>
      </c>
      <c r="D1634" s="12">
        <v>473</v>
      </c>
      <c r="E1634" s="12" t="s">
        <v>8337</v>
      </c>
      <c r="F1634" s="275" t="s">
        <v>4807</v>
      </c>
      <c r="G1634" s="12" t="str">
        <f t="shared" si="39"/>
        <v>70473902024779</v>
      </c>
      <c r="H1634" s="12" t="s">
        <v>710</v>
      </c>
      <c r="I1634" s="12">
        <v>902024779</v>
      </c>
      <c r="J1634" s="12" t="s">
        <v>4808</v>
      </c>
      <c r="K1634" s="12" t="s">
        <v>133</v>
      </c>
      <c r="L1634" s="12">
        <v>3045969044</v>
      </c>
      <c r="M1634" s="12" t="s">
        <v>8407</v>
      </c>
      <c r="N1634" s="12" t="s">
        <v>127</v>
      </c>
      <c r="O1634" s="12" t="s">
        <v>2822</v>
      </c>
      <c r="P1634" s="88" t="s">
        <v>48</v>
      </c>
      <c r="Q1634" s="13">
        <v>46136</v>
      </c>
      <c r="R1634" s="12">
        <v>93</v>
      </c>
      <c r="S1634" s="12" t="s">
        <v>319</v>
      </c>
      <c r="U1634" s="12" t="s">
        <v>60</v>
      </c>
      <c r="V1634" s="13">
        <v>45741</v>
      </c>
      <c r="W1634" s="16">
        <v>0.82</v>
      </c>
      <c r="X1634" s="12" t="s">
        <v>74</v>
      </c>
      <c r="Z1634" s="12" t="s">
        <v>2881</v>
      </c>
      <c r="AA1634" s="12" t="s">
        <v>51</v>
      </c>
      <c r="AB1634" s="12" t="s">
        <v>51</v>
      </c>
      <c r="AU1634" s="12" t="s">
        <v>53</v>
      </c>
      <c r="AX1634" s="12" t="s">
        <v>51</v>
      </c>
      <c r="AZ1634" s="12" t="s">
        <v>51</v>
      </c>
    </row>
    <row r="1635" spans="1:52" s="12" customFormat="1" ht="14.4" hidden="1" x14ac:dyDescent="0.3">
      <c r="A1635" s="12" t="s">
        <v>39</v>
      </c>
      <c r="B1635" s="12" t="s">
        <v>4724</v>
      </c>
      <c r="C1635" s="12">
        <v>70</v>
      </c>
      <c r="D1635" s="12">
        <v>473</v>
      </c>
      <c r="E1635" s="12" t="s">
        <v>8337</v>
      </c>
      <c r="F1635" s="275" t="s">
        <v>4809</v>
      </c>
      <c r="G1635" s="12" t="str">
        <f t="shared" si="39"/>
        <v>70473902024779</v>
      </c>
      <c r="H1635" s="12" t="s">
        <v>710</v>
      </c>
      <c r="I1635" s="12">
        <v>902024779</v>
      </c>
      <c r="J1635" s="12" t="s">
        <v>4810</v>
      </c>
      <c r="K1635" s="12" t="s">
        <v>133</v>
      </c>
      <c r="L1635" s="12">
        <v>3045969044</v>
      </c>
      <c r="M1635" s="12" t="s">
        <v>8407</v>
      </c>
      <c r="N1635" s="12" t="s">
        <v>127</v>
      </c>
      <c r="O1635" s="12" t="s">
        <v>2822</v>
      </c>
      <c r="P1635" s="88" t="s">
        <v>48</v>
      </c>
      <c r="Q1635" s="13">
        <v>46129</v>
      </c>
      <c r="R1635" s="12">
        <v>97</v>
      </c>
      <c r="S1635" s="12" t="s">
        <v>319</v>
      </c>
      <c r="V1635" s="13">
        <v>45741</v>
      </c>
      <c r="W1635" s="12" t="s">
        <v>1071</v>
      </c>
      <c r="X1635" s="12" t="s">
        <v>74</v>
      </c>
      <c r="Z1635" s="12" t="s">
        <v>2881</v>
      </c>
      <c r="AA1635" s="12" t="s">
        <v>51</v>
      </c>
      <c r="AB1635" s="12" t="s">
        <v>51</v>
      </c>
      <c r="AU1635" s="12" t="s">
        <v>53</v>
      </c>
      <c r="AX1635" s="12" t="s">
        <v>51</v>
      </c>
      <c r="AZ1635" s="12" t="s">
        <v>51</v>
      </c>
    </row>
    <row r="1636" spans="1:52" s="12" customFormat="1" ht="14.4" hidden="1" x14ac:dyDescent="0.3">
      <c r="A1636" s="12" t="s">
        <v>39</v>
      </c>
      <c r="B1636" s="12" t="s">
        <v>4724</v>
      </c>
      <c r="C1636" s="12">
        <v>70</v>
      </c>
      <c r="D1636" s="12">
        <v>473</v>
      </c>
      <c r="E1636" s="12" t="s">
        <v>9288</v>
      </c>
      <c r="F1636" s="275" t="s">
        <v>4812</v>
      </c>
      <c r="G1636" s="12" t="str">
        <f t="shared" si="39"/>
        <v>70473800231332</v>
      </c>
      <c r="H1636" s="12" t="s">
        <v>9289</v>
      </c>
      <c r="I1636" s="12">
        <v>800231332</v>
      </c>
      <c r="J1636" s="12" t="s">
        <v>9290</v>
      </c>
      <c r="K1636" s="12" t="s">
        <v>4092</v>
      </c>
      <c r="L1636" s="12">
        <v>3007526026</v>
      </c>
      <c r="M1636" s="17" t="s">
        <v>9291</v>
      </c>
      <c r="N1636" s="12" t="s">
        <v>127</v>
      </c>
      <c r="O1636" s="12" t="s">
        <v>2822</v>
      </c>
      <c r="P1636" s="88" t="s">
        <v>48</v>
      </c>
      <c r="Q1636" s="13">
        <v>46140</v>
      </c>
      <c r="R1636" s="12">
        <v>91</v>
      </c>
      <c r="S1636" s="12" t="s">
        <v>210</v>
      </c>
      <c r="T1636" s="12" t="s">
        <v>8810</v>
      </c>
      <c r="U1636" s="12" t="s">
        <v>60</v>
      </c>
      <c r="V1636" s="13">
        <v>45757</v>
      </c>
      <c r="W1636" s="16">
        <v>0.82</v>
      </c>
      <c r="X1636" s="12" t="s">
        <v>49</v>
      </c>
      <c r="Y1636" s="12" t="s">
        <v>8810</v>
      </c>
      <c r="Z1636" s="12" t="s">
        <v>50</v>
      </c>
      <c r="AA1636" s="12" t="s">
        <v>51</v>
      </c>
      <c r="AB1636" s="12" t="s">
        <v>51</v>
      </c>
      <c r="AU1636" s="12" t="s">
        <v>53</v>
      </c>
      <c r="AX1636" s="12" t="s">
        <v>51</v>
      </c>
      <c r="AZ1636" s="12" t="s">
        <v>51</v>
      </c>
    </row>
    <row r="1637" spans="1:52" s="12" customFormat="1" ht="14.4" hidden="1" x14ac:dyDescent="0.3">
      <c r="A1637" s="12" t="s">
        <v>39</v>
      </c>
      <c r="B1637" s="12" t="s">
        <v>4724</v>
      </c>
      <c r="C1637" s="12">
        <v>70</v>
      </c>
      <c r="D1637" s="12">
        <v>473</v>
      </c>
      <c r="E1637" s="12" t="s">
        <v>4811</v>
      </c>
      <c r="F1637" s="275" t="s">
        <v>4813</v>
      </c>
      <c r="G1637" s="12" t="str">
        <f t="shared" si="39"/>
        <v>7047380023133213</v>
      </c>
      <c r="H1637" s="12" t="s">
        <v>4814</v>
      </c>
      <c r="I1637" s="12">
        <v>80023133213</v>
      </c>
      <c r="J1637" s="12" t="s">
        <v>4815</v>
      </c>
      <c r="K1637" s="12" t="s">
        <v>4092</v>
      </c>
      <c r="L1637" s="12">
        <v>3215041145</v>
      </c>
      <c r="M1637" s="17" t="s">
        <v>4816</v>
      </c>
      <c r="N1637" s="12" t="s">
        <v>127</v>
      </c>
      <c r="O1637" s="12" t="s">
        <v>2822</v>
      </c>
      <c r="P1637" s="88" t="s">
        <v>48</v>
      </c>
      <c r="Q1637" s="13">
        <v>45757</v>
      </c>
      <c r="R1637" s="16">
        <v>0.92</v>
      </c>
      <c r="S1637" s="12" t="s">
        <v>210</v>
      </c>
      <c r="T1637" s="12" t="s">
        <v>8810</v>
      </c>
      <c r="U1637" s="12" t="s">
        <v>60</v>
      </c>
      <c r="Y1637" s="12" t="s">
        <v>8810</v>
      </c>
      <c r="AA1637" s="12" t="s">
        <v>51</v>
      </c>
      <c r="AB1637" s="12" t="s">
        <v>51</v>
      </c>
      <c r="AU1637" s="12" t="s">
        <v>53</v>
      </c>
      <c r="AX1637" s="12" t="s">
        <v>51</v>
      </c>
      <c r="AZ1637" s="12" t="s">
        <v>51</v>
      </c>
    </row>
    <row r="1638" spans="1:52" s="12" customFormat="1" ht="14.4" hidden="1" x14ac:dyDescent="0.3">
      <c r="A1638" s="12" t="s">
        <v>39</v>
      </c>
      <c r="B1638" s="12" t="s">
        <v>4724</v>
      </c>
      <c r="C1638" s="12">
        <v>70</v>
      </c>
      <c r="D1638" s="12">
        <v>473</v>
      </c>
      <c r="E1638" s="12" t="s">
        <v>4811</v>
      </c>
      <c r="F1638" s="275" t="s">
        <v>4817</v>
      </c>
      <c r="G1638" s="12" t="str">
        <f t="shared" si="39"/>
        <v>7047380023133213</v>
      </c>
      <c r="H1638" s="12" t="s">
        <v>4814</v>
      </c>
      <c r="I1638" s="12">
        <v>80023133213</v>
      </c>
      <c r="J1638" s="12" t="s">
        <v>4818</v>
      </c>
      <c r="K1638" s="12" t="s">
        <v>4092</v>
      </c>
      <c r="L1638" s="12">
        <v>3024471471</v>
      </c>
      <c r="M1638" s="17" t="s">
        <v>4819</v>
      </c>
      <c r="N1638" s="12" t="s">
        <v>127</v>
      </c>
      <c r="O1638" s="12" t="s">
        <v>2822</v>
      </c>
      <c r="P1638" s="88" t="s">
        <v>48</v>
      </c>
      <c r="Q1638" s="13">
        <v>45771</v>
      </c>
      <c r="R1638" s="16">
        <v>0.93</v>
      </c>
      <c r="S1638" s="12" t="s">
        <v>319</v>
      </c>
      <c r="T1638" s="12" t="s">
        <v>8810</v>
      </c>
      <c r="U1638" s="12" t="s">
        <v>60</v>
      </c>
      <c r="Y1638" s="12" t="s">
        <v>8810</v>
      </c>
      <c r="AA1638" s="12" t="s">
        <v>51</v>
      </c>
      <c r="AB1638" s="12" t="s">
        <v>51</v>
      </c>
      <c r="AU1638" s="12" t="s">
        <v>53</v>
      </c>
      <c r="AX1638" s="12" t="s">
        <v>51</v>
      </c>
      <c r="AZ1638" s="12" t="s">
        <v>51</v>
      </c>
    </row>
    <row r="1639" spans="1:52" s="12" customFormat="1" ht="14.4" hidden="1" x14ac:dyDescent="0.3">
      <c r="A1639" s="12" t="s">
        <v>39</v>
      </c>
      <c r="B1639" s="12" t="s">
        <v>4724</v>
      </c>
      <c r="C1639" s="12">
        <v>70</v>
      </c>
      <c r="D1639" s="12">
        <v>473</v>
      </c>
      <c r="E1639" s="12" t="s">
        <v>4811</v>
      </c>
      <c r="F1639" s="12" t="s">
        <v>4820</v>
      </c>
      <c r="G1639" s="12" t="str">
        <f t="shared" si="39"/>
        <v>7047380023133213</v>
      </c>
      <c r="H1639" s="12" t="s">
        <v>4814</v>
      </c>
      <c r="I1639" s="12">
        <v>80023133213</v>
      </c>
      <c r="J1639" s="12" t="s">
        <v>4821</v>
      </c>
      <c r="K1639" s="12" t="s">
        <v>4092</v>
      </c>
      <c r="L1639" s="12">
        <v>3150635464</v>
      </c>
      <c r="M1639" s="17" t="s">
        <v>4822</v>
      </c>
      <c r="N1639" s="12" t="s">
        <v>127</v>
      </c>
      <c r="O1639" s="12" t="s">
        <v>2822</v>
      </c>
      <c r="P1639" s="88" t="s">
        <v>48</v>
      </c>
      <c r="Q1639" s="13">
        <v>45793</v>
      </c>
      <c r="R1639" s="16">
        <v>0.87</v>
      </c>
      <c r="S1639" s="12" t="s">
        <v>74</v>
      </c>
      <c r="U1639" s="12" t="s">
        <v>50</v>
      </c>
      <c r="AA1639" s="12" t="s">
        <v>51</v>
      </c>
      <c r="AB1639" s="12" t="s">
        <v>51</v>
      </c>
      <c r="AU1639" s="12" t="s">
        <v>53</v>
      </c>
      <c r="AX1639" s="12" t="s">
        <v>51</v>
      </c>
      <c r="AZ1639" s="12" t="s">
        <v>51</v>
      </c>
    </row>
    <row r="1640" spans="1:52" s="12" customFormat="1" ht="14.4" hidden="1" x14ac:dyDescent="0.3">
      <c r="A1640" s="12" t="s">
        <v>39</v>
      </c>
      <c r="B1640" s="12" t="s">
        <v>4724</v>
      </c>
      <c r="C1640" s="12">
        <v>70</v>
      </c>
      <c r="D1640" s="12">
        <v>473</v>
      </c>
      <c r="E1640" s="12" t="s">
        <v>4811</v>
      </c>
      <c r="F1640" s="12" t="s">
        <v>4823</v>
      </c>
      <c r="G1640" s="12" t="str">
        <f t="shared" si="39"/>
        <v>7047380023133213</v>
      </c>
      <c r="H1640" s="12" t="s">
        <v>4814</v>
      </c>
      <c r="I1640" s="12">
        <v>80023133213</v>
      </c>
      <c r="J1640" s="12" t="s">
        <v>4824</v>
      </c>
      <c r="K1640" s="12" t="s">
        <v>4092</v>
      </c>
      <c r="L1640" s="12">
        <v>3017486866</v>
      </c>
      <c r="M1640" s="17" t="s">
        <v>4825</v>
      </c>
      <c r="N1640" s="12" t="s">
        <v>127</v>
      </c>
      <c r="O1640" s="12" t="s">
        <v>2822</v>
      </c>
      <c r="P1640" s="88" t="s">
        <v>48</v>
      </c>
      <c r="Q1640" s="13">
        <v>45793</v>
      </c>
      <c r="R1640" s="16">
        <v>0.93</v>
      </c>
      <c r="S1640" s="12" t="s">
        <v>210</v>
      </c>
      <c r="U1640" s="12" t="s">
        <v>60</v>
      </c>
      <c r="AA1640" s="12" t="s">
        <v>51</v>
      </c>
      <c r="AB1640" s="12" t="s">
        <v>51</v>
      </c>
      <c r="AU1640" s="12" t="s">
        <v>53</v>
      </c>
      <c r="AX1640" s="12" t="s">
        <v>51</v>
      </c>
      <c r="AZ1640" s="12" t="s">
        <v>51</v>
      </c>
    </row>
    <row r="1641" spans="1:52" s="12" customFormat="1" ht="14.4" hidden="1" x14ac:dyDescent="0.3">
      <c r="A1641" s="12" t="s">
        <v>39</v>
      </c>
      <c r="B1641" s="12" t="s">
        <v>4724</v>
      </c>
      <c r="C1641" s="12">
        <v>70</v>
      </c>
      <c r="D1641" s="12">
        <v>473</v>
      </c>
      <c r="E1641" s="12" t="s">
        <v>4811</v>
      </c>
      <c r="F1641" s="12" t="s">
        <v>4826</v>
      </c>
      <c r="G1641" s="12" t="str">
        <f t="shared" si="39"/>
        <v>7047380023133213</v>
      </c>
      <c r="H1641" s="12" t="s">
        <v>4814</v>
      </c>
      <c r="I1641" s="12">
        <v>80023133213</v>
      </c>
      <c r="J1641" s="12" t="s">
        <v>4827</v>
      </c>
      <c r="K1641" s="12" t="s">
        <v>4092</v>
      </c>
      <c r="L1641" s="12">
        <v>3127325517</v>
      </c>
      <c r="M1641" s="12" t="s">
        <v>45</v>
      </c>
      <c r="N1641" s="12" t="s">
        <v>127</v>
      </c>
      <c r="O1641" s="12" t="s">
        <v>2822</v>
      </c>
      <c r="P1641" s="88" t="s">
        <v>48</v>
      </c>
      <c r="Q1641" s="13">
        <v>45818</v>
      </c>
      <c r="R1641" s="16">
        <v>0.87</v>
      </c>
      <c r="S1641" s="12" t="s">
        <v>49</v>
      </c>
      <c r="U1641" s="12" t="s">
        <v>60</v>
      </c>
      <c r="V1641" s="13">
        <v>45488</v>
      </c>
      <c r="W1641" s="12" t="s">
        <v>146</v>
      </c>
      <c r="X1641" s="12" t="s">
        <v>4828</v>
      </c>
      <c r="AA1641" s="12" t="s">
        <v>51</v>
      </c>
      <c r="AB1641" s="12" t="s">
        <v>51</v>
      </c>
      <c r="AU1641" s="12" t="s">
        <v>53</v>
      </c>
      <c r="AX1641" s="12" t="s">
        <v>51</v>
      </c>
      <c r="AZ1641" s="12" t="s">
        <v>51</v>
      </c>
    </row>
    <row r="1642" spans="1:52" s="12" customFormat="1" ht="14.4" hidden="1" x14ac:dyDescent="0.3">
      <c r="A1642" s="12" t="s">
        <v>39</v>
      </c>
      <c r="B1642" s="12" t="s">
        <v>4724</v>
      </c>
      <c r="C1642" s="12">
        <v>70</v>
      </c>
      <c r="D1642" s="12">
        <v>473</v>
      </c>
      <c r="E1642" s="12" t="s">
        <v>4811</v>
      </c>
      <c r="F1642" s="275" t="s">
        <v>4829</v>
      </c>
      <c r="G1642" s="12" t="str">
        <f t="shared" si="39"/>
        <v>704738002313323</v>
      </c>
      <c r="H1642" s="12" t="s">
        <v>4814</v>
      </c>
      <c r="I1642" s="12">
        <v>8002313323</v>
      </c>
      <c r="J1642" s="12" t="s">
        <v>4830</v>
      </c>
      <c r="K1642" s="12" t="s">
        <v>4092</v>
      </c>
      <c r="L1642" s="12">
        <v>3016846195</v>
      </c>
      <c r="M1642" s="17" t="s">
        <v>9294</v>
      </c>
      <c r="N1642" s="12" t="s">
        <v>127</v>
      </c>
      <c r="O1642" s="12" t="s">
        <v>2822</v>
      </c>
      <c r="P1642" s="88" t="s">
        <v>48</v>
      </c>
      <c r="Q1642" s="13" t="s">
        <v>9295</v>
      </c>
      <c r="R1642" s="12" t="s">
        <v>8270</v>
      </c>
      <c r="S1642" s="12" t="s">
        <v>49</v>
      </c>
      <c r="U1642" s="12" t="s">
        <v>60</v>
      </c>
      <c r="V1642" s="13">
        <v>45821</v>
      </c>
      <c r="W1642" s="16">
        <v>0.94</v>
      </c>
      <c r="X1642" s="12" t="s">
        <v>319</v>
      </c>
      <c r="Z1642" s="12" t="s">
        <v>50</v>
      </c>
      <c r="AA1642" s="12" t="s">
        <v>51</v>
      </c>
      <c r="AB1642" s="12" t="s">
        <v>51</v>
      </c>
      <c r="AC1642" s="13">
        <v>45602</v>
      </c>
      <c r="AD1642" s="16">
        <v>0.93</v>
      </c>
      <c r="AE1642" s="12" t="s">
        <v>319</v>
      </c>
      <c r="AF1642" s="12" t="s">
        <v>60</v>
      </c>
      <c r="AU1642" s="12" t="s">
        <v>53</v>
      </c>
      <c r="AX1642" s="12" t="s">
        <v>51</v>
      </c>
      <c r="AZ1642" s="12" t="s">
        <v>51</v>
      </c>
    </row>
    <row r="1643" spans="1:52" s="12" customFormat="1" ht="14.4" hidden="1" x14ac:dyDescent="0.3">
      <c r="A1643" s="12" t="s">
        <v>39</v>
      </c>
      <c r="B1643" s="12" t="s">
        <v>4724</v>
      </c>
      <c r="C1643" s="12">
        <v>70</v>
      </c>
      <c r="D1643" s="12">
        <v>473</v>
      </c>
      <c r="E1643" s="12" t="s">
        <v>4811</v>
      </c>
      <c r="F1643" s="12" t="s">
        <v>4831</v>
      </c>
      <c r="G1643" s="12" t="str">
        <f t="shared" si="39"/>
        <v>7047380023133213</v>
      </c>
      <c r="H1643" s="12" t="s">
        <v>4814</v>
      </c>
      <c r="I1643" s="12">
        <v>80023133213</v>
      </c>
      <c r="J1643" s="12" t="s">
        <v>4832</v>
      </c>
      <c r="K1643" s="12" t="s">
        <v>4092</v>
      </c>
      <c r="L1643" s="12">
        <v>3016806788</v>
      </c>
      <c r="M1643" s="12" t="s">
        <v>45</v>
      </c>
      <c r="N1643" s="12" t="s">
        <v>127</v>
      </c>
      <c r="O1643" s="12" t="s">
        <v>2822</v>
      </c>
      <c r="P1643" s="88" t="s">
        <v>48</v>
      </c>
      <c r="Q1643" s="13">
        <v>45846</v>
      </c>
      <c r="R1643" s="12" t="s">
        <v>1071</v>
      </c>
      <c r="S1643" s="12" t="s">
        <v>49</v>
      </c>
      <c r="U1643" s="12" t="s">
        <v>60</v>
      </c>
      <c r="V1643" s="13">
        <v>45489</v>
      </c>
      <c r="W1643" s="12" t="s">
        <v>4833</v>
      </c>
      <c r="X1643" s="12" t="s">
        <v>74</v>
      </c>
      <c r="AA1643" s="12" t="s">
        <v>51</v>
      </c>
      <c r="AB1643" s="12" t="s">
        <v>51</v>
      </c>
      <c r="AU1643" s="12" t="s">
        <v>53</v>
      </c>
      <c r="AX1643" s="12" t="s">
        <v>51</v>
      </c>
      <c r="AZ1643" s="12" t="s">
        <v>51</v>
      </c>
    </row>
    <row r="1644" spans="1:52" s="12" customFormat="1" ht="14.4" hidden="1" x14ac:dyDescent="0.3">
      <c r="A1644" s="12" t="s">
        <v>39</v>
      </c>
      <c r="B1644" s="12" t="s">
        <v>4724</v>
      </c>
      <c r="C1644" s="12">
        <v>70</v>
      </c>
      <c r="D1644" s="12">
        <v>473</v>
      </c>
      <c r="F1644" s="12" t="s">
        <v>4834</v>
      </c>
      <c r="G1644" s="12" t="str">
        <f t="shared" si="39"/>
        <v>704731100626861</v>
      </c>
      <c r="H1644" s="12" t="s">
        <v>4835</v>
      </c>
      <c r="I1644" s="12">
        <v>1100626861</v>
      </c>
      <c r="J1644" s="12" t="s">
        <v>4836</v>
      </c>
      <c r="K1644" s="12" t="s">
        <v>4092</v>
      </c>
      <c r="L1644" s="12">
        <v>3014394057</v>
      </c>
      <c r="M1644" s="12" t="s">
        <v>45</v>
      </c>
      <c r="N1644" s="12" t="s">
        <v>432</v>
      </c>
      <c r="O1644" s="12" t="s">
        <v>432</v>
      </c>
      <c r="P1644" s="88" t="s">
        <v>261</v>
      </c>
      <c r="Q1644" s="13">
        <v>45833</v>
      </c>
      <c r="R1644" s="16">
        <v>0.92</v>
      </c>
      <c r="S1644" s="12" t="s">
        <v>210</v>
      </c>
      <c r="U1644" s="12" t="s">
        <v>50</v>
      </c>
      <c r="AA1644" s="12" t="s">
        <v>51</v>
      </c>
      <c r="AB1644" s="12" t="s">
        <v>51</v>
      </c>
      <c r="AU1644" s="12" t="s">
        <v>53</v>
      </c>
      <c r="AX1644" s="12" t="s">
        <v>51</v>
      </c>
      <c r="AZ1644" s="12" t="s">
        <v>51</v>
      </c>
    </row>
    <row r="1645" spans="1:52" s="12" customFormat="1" ht="14.4" hidden="1" x14ac:dyDescent="0.3">
      <c r="A1645" s="12" t="s">
        <v>39</v>
      </c>
      <c r="B1645" s="12" t="s">
        <v>4724</v>
      </c>
      <c r="C1645" s="12">
        <v>70</v>
      </c>
      <c r="D1645" s="12">
        <v>473</v>
      </c>
      <c r="E1645" s="12" t="s">
        <v>4811</v>
      </c>
      <c r="F1645" s="12" t="s">
        <v>4837</v>
      </c>
      <c r="G1645" s="12" t="str">
        <f t="shared" si="39"/>
        <v>7047380023133213</v>
      </c>
      <c r="H1645" s="12" t="s">
        <v>4838</v>
      </c>
      <c r="I1645" s="12">
        <v>80023133213</v>
      </c>
      <c r="J1645" s="12" t="s">
        <v>4839</v>
      </c>
      <c r="K1645" s="12" t="s">
        <v>4092</v>
      </c>
      <c r="L1645" s="12">
        <v>3015365338</v>
      </c>
      <c r="M1645" s="17" t="s">
        <v>4840</v>
      </c>
      <c r="N1645" s="12" t="s">
        <v>127</v>
      </c>
      <c r="O1645" s="12" t="s">
        <v>2822</v>
      </c>
      <c r="P1645" s="88" t="s">
        <v>48</v>
      </c>
      <c r="Q1645" s="13">
        <v>45867</v>
      </c>
      <c r="R1645" s="12" t="s">
        <v>4841</v>
      </c>
      <c r="S1645" s="12" t="s">
        <v>210</v>
      </c>
      <c r="U1645" s="12" t="s">
        <v>50</v>
      </c>
      <c r="AA1645" s="12" t="s">
        <v>51</v>
      </c>
      <c r="AB1645" s="12" t="s">
        <v>51</v>
      </c>
      <c r="AU1645" s="12" t="s">
        <v>53</v>
      </c>
      <c r="AX1645" s="12" t="s">
        <v>51</v>
      </c>
      <c r="AZ1645" s="12" t="s">
        <v>51</v>
      </c>
    </row>
    <row r="1646" spans="1:52" s="12" customFormat="1" ht="14.4" hidden="1" x14ac:dyDescent="0.3">
      <c r="A1646" s="12" t="s">
        <v>505</v>
      </c>
      <c r="B1646" s="12" t="s">
        <v>4886</v>
      </c>
      <c r="C1646" s="12">
        <v>70</v>
      </c>
      <c r="D1646" s="12">
        <v>670</v>
      </c>
      <c r="E1646" s="12" t="s">
        <v>7858</v>
      </c>
      <c r="F1646" s="12" t="s">
        <v>7859</v>
      </c>
      <c r="G1646" s="12" t="str">
        <f t="shared" si="39"/>
        <v>706709018471120</v>
      </c>
      <c r="H1646" s="12" t="s">
        <v>7860</v>
      </c>
      <c r="I1646" s="12">
        <v>9018471120</v>
      </c>
      <c r="J1646" s="12" t="s">
        <v>7861</v>
      </c>
      <c r="K1646" s="12" t="s">
        <v>230</v>
      </c>
      <c r="L1646" s="12">
        <v>3004675409</v>
      </c>
      <c r="M1646" s="17" t="s">
        <v>7862</v>
      </c>
      <c r="N1646" s="12" t="s">
        <v>2906</v>
      </c>
      <c r="O1646" s="12" t="s">
        <v>7863</v>
      </c>
      <c r="P1646" s="88" t="s">
        <v>261</v>
      </c>
      <c r="Q1646" s="13">
        <v>45734</v>
      </c>
      <c r="R1646" s="16">
        <v>0.98</v>
      </c>
      <c r="S1646" s="12" t="s">
        <v>210</v>
      </c>
      <c r="U1646" s="12" t="s">
        <v>4747</v>
      </c>
      <c r="V1646" s="13"/>
      <c r="W1646" s="59"/>
      <c r="AC1646" s="13"/>
      <c r="AD1646" s="16"/>
      <c r="AI1646" s="13"/>
      <c r="AU1646" s="369" t="s">
        <v>1208</v>
      </c>
    </row>
    <row r="1647" spans="1:52" s="12" customFormat="1" ht="14.4" hidden="1" x14ac:dyDescent="0.3">
      <c r="A1647" s="12" t="s">
        <v>505</v>
      </c>
      <c r="B1647" s="12" t="s">
        <v>4886</v>
      </c>
      <c r="C1647" s="12">
        <v>70</v>
      </c>
      <c r="D1647" s="12">
        <v>670</v>
      </c>
      <c r="F1647" s="275" t="s">
        <v>9350</v>
      </c>
      <c r="G1647" s="12" t="str">
        <f t="shared" si="39"/>
        <v>706706317407</v>
      </c>
      <c r="H1647" s="12" t="s">
        <v>9351</v>
      </c>
      <c r="I1647" s="12">
        <v>6317407</v>
      </c>
      <c r="J1647" s="12" t="s">
        <v>9352</v>
      </c>
      <c r="K1647" s="12" t="s">
        <v>44</v>
      </c>
      <c r="L1647" s="12">
        <v>3232916082</v>
      </c>
      <c r="M1647" s="17" t="s">
        <v>9353</v>
      </c>
      <c r="N1647" s="12" t="s">
        <v>9354</v>
      </c>
      <c r="O1647" s="12" t="s">
        <v>2797</v>
      </c>
      <c r="P1647" s="88" t="s">
        <v>80</v>
      </c>
      <c r="Q1647" s="13">
        <v>46219</v>
      </c>
      <c r="R1647" s="12">
        <v>95</v>
      </c>
      <c r="S1647" s="12" t="s">
        <v>210</v>
      </c>
      <c r="U1647" s="12" t="s">
        <v>50</v>
      </c>
      <c r="V1647" s="13"/>
      <c r="W1647" s="59"/>
      <c r="AC1647" s="13"/>
      <c r="AD1647" s="16"/>
      <c r="AI1647" s="13"/>
      <c r="AU1647" s="369" t="s">
        <v>53</v>
      </c>
    </row>
    <row r="1648" spans="1:52" s="12" customFormat="1" ht="14.4" hidden="1" x14ac:dyDescent="0.3">
      <c r="A1648" s="12" t="s">
        <v>505</v>
      </c>
      <c r="B1648" s="12" t="s">
        <v>4886</v>
      </c>
      <c r="C1648" s="12">
        <v>70</v>
      </c>
      <c r="D1648" s="12">
        <v>670</v>
      </c>
      <c r="E1648" s="12" t="s">
        <v>7853</v>
      </c>
      <c r="F1648" s="12" t="s">
        <v>7854</v>
      </c>
      <c r="G1648" s="12" t="str">
        <f t="shared" si="39"/>
        <v>706709001844773</v>
      </c>
      <c r="H1648" s="12" t="s">
        <v>7855</v>
      </c>
      <c r="I1648" s="12">
        <v>9001844773</v>
      </c>
      <c r="J1648" s="12" t="s">
        <v>7856</v>
      </c>
      <c r="K1648" s="12" t="s">
        <v>230</v>
      </c>
      <c r="L1648" s="12">
        <v>3207325151</v>
      </c>
      <c r="M1648" s="17" t="s">
        <v>7857</v>
      </c>
      <c r="N1648" s="12" t="s">
        <v>2906</v>
      </c>
      <c r="O1648" s="12" t="s">
        <v>7863</v>
      </c>
      <c r="P1648" s="88" t="s">
        <v>261</v>
      </c>
      <c r="Q1648" s="13">
        <v>45734</v>
      </c>
      <c r="R1648" s="16">
        <v>0.98</v>
      </c>
      <c r="S1648" s="12" t="s">
        <v>210</v>
      </c>
      <c r="U1648" s="12" t="s">
        <v>2456</v>
      </c>
      <c r="V1648" s="13"/>
      <c r="W1648" s="59"/>
      <c r="AC1648" s="13"/>
      <c r="AD1648" s="16"/>
      <c r="AI1648" s="13"/>
      <c r="AU1648" s="369" t="s">
        <v>53</v>
      </c>
    </row>
    <row r="1649" spans="1:47" s="12" customFormat="1" ht="28.8" x14ac:dyDescent="0.3">
      <c r="A1649" s="12" t="s">
        <v>505</v>
      </c>
      <c r="B1649" s="12" t="s">
        <v>4886</v>
      </c>
      <c r="C1649" s="12">
        <v>70</v>
      </c>
      <c r="D1649" s="12">
        <v>670</v>
      </c>
      <c r="E1649" s="14"/>
      <c r="F1649" s="14" t="s">
        <v>4845</v>
      </c>
      <c r="G1649" s="12" t="str">
        <f t="shared" si="39"/>
        <v>7067043451466-1</v>
      </c>
      <c r="H1649" s="14" t="s">
        <v>4846</v>
      </c>
      <c r="I1649" s="19" t="s">
        <v>4847</v>
      </c>
      <c r="J1649" s="14" t="s">
        <v>4848</v>
      </c>
      <c r="K1649" s="12" t="s">
        <v>230</v>
      </c>
      <c r="L1649" s="12">
        <v>3114013748</v>
      </c>
      <c r="M1649" s="50" t="s">
        <v>4849</v>
      </c>
      <c r="N1649" s="12" t="s">
        <v>46</v>
      </c>
      <c r="O1649" s="12" t="s">
        <v>47</v>
      </c>
      <c r="P1649" s="176" t="s">
        <v>48</v>
      </c>
      <c r="Q1649" s="20">
        <v>45728</v>
      </c>
      <c r="R1649" s="16">
        <v>0.9</v>
      </c>
      <c r="S1649" s="14" t="s">
        <v>210</v>
      </c>
      <c r="T1649" s="14"/>
      <c r="U1649" s="14"/>
      <c r="V1649" s="20">
        <v>45490</v>
      </c>
      <c r="W1649" s="10">
        <v>0.82499999999999996</v>
      </c>
      <c r="X1649" s="14" t="s">
        <v>49</v>
      </c>
      <c r="Y1649" s="14"/>
      <c r="Z1649" s="14"/>
      <c r="AA1649" s="14"/>
      <c r="AC1649" s="14"/>
      <c r="AD1649" s="14"/>
      <c r="AE1649" s="14"/>
      <c r="AF1649" s="13"/>
      <c r="AH1649" s="14"/>
      <c r="AI1649" s="14"/>
      <c r="AJ1649" s="14"/>
      <c r="AK1649" s="20"/>
      <c r="AM1649" s="14"/>
      <c r="AN1649" s="14"/>
      <c r="AO1649" s="14"/>
      <c r="AU1649" s="370" t="s">
        <v>53</v>
      </c>
    </row>
    <row r="1650" spans="1:47" s="12" customFormat="1" ht="14.4" x14ac:dyDescent="0.3">
      <c r="A1650" s="12" t="s">
        <v>505</v>
      </c>
      <c r="B1650" s="12" t="s">
        <v>4886</v>
      </c>
      <c r="C1650" s="12">
        <v>70</v>
      </c>
      <c r="D1650" s="12">
        <v>670</v>
      </c>
      <c r="E1650" s="14"/>
      <c r="F1650" s="14" t="s">
        <v>4850</v>
      </c>
      <c r="G1650" s="12" t="str">
        <f t="shared" si="39"/>
        <v>7067064550084-0</v>
      </c>
      <c r="H1650" s="14" t="s">
        <v>4851</v>
      </c>
      <c r="I1650" s="19" t="s">
        <v>4852</v>
      </c>
      <c r="J1650" s="14" t="s">
        <v>4853</v>
      </c>
      <c r="K1650" s="12" t="s">
        <v>230</v>
      </c>
      <c r="L1650" s="12">
        <v>3108982403</v>
      </c>
      <c r="M1650" s="53" t="s">
        <v>4854</v>
      </c>
      <c r="N1650" s="12" t="s">
        <v>46</v>
      </c>
      <c r="O1650" s="12" t="s">
        <v>47</v>
      </c>
      <c r="P1650" s="176" t="s">
        <v>48</v>
      </c>
      <c r="Q1650" s="20">
        <v>45727</v>
      </c>
      <c r="R1650" s="18">
        <v>0.71499999999999997</v>
      </c>
      <c r="S1650" s="14" t="s">
        <v>49</v>
      </c>
      <c r="T1650" s="14"/>
      <c r="U1650" s="14"/>
      <c r="V1650" s="13">
        <v>45482</v>
      </c>
      <c r="W1650" s="16">
        <v>0.67</v>
      </c>
      <c r="X1650" s="14" t="s">
        <v>49</v>
      </c>
      <c r="Y1650" s="14"/>
      <c r="Z1650" s="14"/>
      <c r="AA1650" s="14"/>
      <c r="AB1650" s="16"/>
      <c r="AC1650" s="14"/>
      <c r="AD1650" s="14"/>
      <c r="AE1650" s="14"/>
      <c r="AF1650" s="13"/>
      <c r="AG1650" s="18"/>
      <c r="AH1650" s="14"/>
      <c r="AI1650" s="14"/>
      <c r="AJ1650" s="14"/>
      <c r="AK1650" s="20"/>
      <c r="AL1650" s="16"/>
      <c r="AM1650" s="14"/>
      <c r="AN1650" s="14"/>
      <c r="AO1650" s="14"/>
      <c r="AU1650" s="370" t="s">
        <v>53</v>
      </c>
    </row>
    <row r="1651" spans="1:47" s="12" customFormat="1" ht="14.4" x14ac:dyDescent="0.3">
      <c r="A1651" s="12" t="s">
        <v>505</v>
      </c>
      <c r="B1651" s="12" t="s">
        <v>4886</v>
      </c>
      <c r="C1651" s="12">
        <v>70</v>
      </c>
      <c r="D1651" s="12">
        <v>670</v>
      </c>
      <c r="E1651" s="14"/>
      <c r="F1651" s="14" t="s">
        <v>4855</v>
      </c>
      <c r="G1651" s="12" t="str">
        <f t="shared" si="39"/>
        <v>706701100683444</v>
      </c>
      <c r="H1651" s="14" t="s">
        <v>4856</v>
      </c>
      <c r="I1651" s="19">
        <v>1100683444</v>
      </c>
      <c r="J1651" s="14" t="s">
        <v>4857</v>
      </c>
      <c r="K1651" s="12" t="s">
        <v>230</v>
      </c>
      <c r="L1651" s="12">
        <v>3007769548</v>
      </c>
      <c r="M1651" s="54" t="s">
        <v>4858</v>
      </c>
      <c r="N1651" s="12" t="s">
        <v>46</v>
      </c>
      <c r="O1651" s="12" t="s">
        <v>47</v>
      </c>
      <c r="P1651" s="176" t="s">
        <v>48</v>
      </c>
      <c r="Q1651" s="20">
        <v>45727</v>
      </c>
      <c r="R1651" s="16">
        <v>0.56999999999999995</v>
      </c>
      <c r="S1651" s="14" t="s">
        <v>4426</v>
      </c>
      <c r="T1651" s="14"/>
      <c r="U1651" s="14"/>
      <c r="V1651" s="13">
        <v>45463</v>
      </c>
      <c r="W1651" s="55">
        <v>0.73499999999999999</v>
      </c>
      <c r="X1651" s="14" t="s">
        <v>49</v>
      </c>
      <c r="Y1651" s="14"/>
      <c r="Z1651" s="14"/>
      <c r="AA1651" s="20"/>
      <c r="AB1651" s="18"/>
      <c r="AC1651" s="14"/>
      <c r="AD1651" s="14"/>
      <c r="AE1651" s="14"/>
      <c r="AF1651" s="13"/>
      <c r="AH1651" s="14"/>
      <c r="AI1651" s="14"/>
      <c r="AJ1651" s="14"/>
      <c r="AK1651" s="20"/>
      <c r="AM1651" s="14"/>
      <c r="AN1651" s="14"/>
      <c r="AO1651" s="14"/>
      <c r="AU1651" s="370" t="s">
        <v>53</v>
      </c>
    </row>
    <row r="1652" spans="1:47" s="12" customFormat="1" ht="14.4" x14ac:dyDescent="0.3">
      <c r="A1652" s="12" t="s">
        <v>505</v>
      </c>
      <c r="B1652" s="12" t="s">
        <v>4886</v>
      </c>
      <c r="C1652" s="12">
        <v>70</v>
      </c>
      <c r="D1652" s="12">
        <v>670</v>
      </c>
      <c r="E1652" s="14"/>
      <c r="F1652" s="14" t="s">
        <v>4859</v>
      </c>
      <c r="G1652" s="12" t="str">
        <f t="shared" si="39"/>
        <v>706701102873538-7</v>
      </c>
      <c r="H1652" s="14" t="s">
        <v>4860</v>
      </c>
      <c r="I1652" s="19" t="s">
        <v>4861</v>
      </c>
      <c r="J1652" s="14" t="s">
        <v>4862</v>
      </c>
      <c r="K1652" s="12" t="s">
        <v>230</v>
      </c>
      <c r="L1652" s="12">
        <v>3007511029</v>
      </c>
      <c r="M1652" s="60" t="s">
        <v>4863</v>
      </c>
      <c r="N1652" s="12" t="s">
        <v>46</v>
      </c>
      <c r="O1652" s="12" t="s">
        <v>47</v>
      </c>
      <c r="P1652" s="176" t="s">
        <v>48</v>
      </c>
      <c r="Q1652" s="20" t="s">
        <v>4864</v>
      </c>
      <c r="R1652" s="18">
        <v>0.82499999999999996</v>
      </c>
      <c r="S1652" s="14" t="s">
        <v>49</v>
      </c>
      <c r="T1652" s="14" t="s">
        <v>4865</v>
      </c>
      <c r="U1652" s="14" t="s">
        <v>60</v>
      </c>
      <c r="V1652" s="13">
        <v>45847</v>
      </c>
      <c r="W1652" s="55">
        <v>0.91</v>
      </c>
      <c r="X1652" s="14" t="s">
        <v>210</v>
      </c>
      <c r="Y1652" s="14"/>
      <c r="Z1652" s="14" t="s">
        <v>60</v>
      </c>
      <c r="AA1652" s="20"/>
      <c r="AB1652" s="18"/>
      <c r="AC1652" s="14"/>
      <c r="AD1652" s="14"/>
      <c r="AE1652" s="14"/>
      <c r="AF1652" s="13"/>
      <c r="AH1652" s="14"/>
      <c r="AI1652" s="14"/>
      <c r="AJ1652" s="14"/>
      <c r="AK1652" s="20"/>
      <c r="AM1652" s="14"/>
      <c r="AN1652" s="14"/>
      <c r="AO1652" s="14"/>
      <c r="AU1652" s="370" t="s">
        <v>53</v>
      </c>
    </row>
    <row r="1653" spans="1:47" s="12" customFormat="1" ht="14.4" x14ac:dyDescent="0.3">
      <c r="A1653" s="12" t="s">
        <v>505</v>
      </c>
      <c r="B1653" s="12" t="s">
        <v>4886</v>
      </c>
      <c r="C1653" s="12">
        <v>70</v>
      </c>
      <c r="D1653" s="12">
        <v>670</v>
      </c>
      <c r="E1653" s="14"/>
      <c r="F1653" s="276" t="s">
        <v>4866</v>
      </c>
      <c r="G1653" s="12" t="str">
        <f t="shared" si="39"/>
        <v>706703356288</v>
      </c>
      <c r="H1653" s="14" t="s">
        <v>9346</v>
      </c>
      <c r="I1653" s="19">
        <v>3356288</v>
      </c>
      <c r="J1653" s="14" t="s">
        <v>4867</v>
      </c>
      <c r="K1653" s="12" t="s">
        <v>133</v>
      </c>
      <c r="L1653" s="12">
        <v>3004828236</v>
      </c>
      <c r="M1653" s="60" t="s">
        <v>9347</v>
      </c>
      <c r="N1653" s="12" t="s">
        <v>46</v>
      </c>
      <c r="O1653" s="12" t="s">
        <v>47</v>
      </c>
      <c r="P1653" s="176" t="s">
        <v>48</v>
      </c>
      <c r="Q1653" s="13">
        <v>46217</v>
      </c>
      <c r="R1653" s="12">
        <v>95</v>
      </c>
      <c r="S1653" s="12" t="s">
        <v>210</v>
      </c>
      <c r="U1653" s="12" t="s">
        <v>60</v>
      </c>
      <c r="V1653" s="20">
        <v>45880</v>
      </c>
      <c r="W1653" s="18">
        <v>0.92500000000000004</v>
      </c>
      <c r="X1653" s="14" t="s">
        <v>319</v>
      </c>
      <c r="Y1653" s="14" t="s">
        <v>4865</v>
      </c>
      <c r="Z1653" s="14" t="s">
        <v>60</v>
      </c>
      <c r="AA1653" s="20"/>
      <c r="AB1653" s="18"/>
      <c r="AC1653" s="13">
        <v>45544</v>
      </c>
      <c r="AD1653" s="55">
        <v>0.93</v>
      </c>
      <c r="AE1653" s="14" t="s">
        <v>319</v>
      </c>
      <c r="AF1653" s="13" t="s">
        <v>60</v>
      </c>
      <c r="AH1653" s="14"/>
      <c r="AI1653" s="14"/>
      <c r="AJ1653" s="14"/>
      <c r="AK1653" s="20"/>
      <c r="AM1653" s="14"/>
      <c r="AN1653" s="14"/>
      <c r="AO1653" s="14"/>
      <c r="AU1653" s="370" t="s">
        <v>53</v>
      </c>
    </row>
    <row r="1654" spans="1:47" s="12" customFormat="1" ht="14.4" hidden="1" x14ac:dyDescent="0.3">
      <c r="A1654" s="12" t="s">
        <v>505</v>
      </c>
      <c r="B1654" s="12" t="s">
        <v>4886</v>
      </c>
      <c r="C1654" s="12">
        <v>70</v>
      </c>
      <c r="D1654" s="12">
        <v>670</v>
      </c>
      <c r="E1654" s="14"/>
      <c r="F1654" s="14" t="s">
        <v>4868</v>
      </c>
      <c r="G1654" s="12" t="str">
        <f t="shared" si="39"/>
        <v>70670800245745-8</v>
      </c>
      <c r="H1654" s="14" t="s">
        <v>4869</v>
      </c>
      <c r="I1654" s="19" t="s">
        <v>4870</v>
      </c>
      <c r="J1654" s="14" t="s">
        <v>4871</v>
      </c>
      <c r="K1654" s="12" t="s">
        <v>133</v>
      </c>
      <c r="L1654" s="12">
        <v>3017052714</v>
      </c>
      <c r="M1654" s="56" t="s">
        <v>4872</v>
      </c>
      <c r="N1654" s="12" t="s">
        <v>127</v>
      </c>
      <c r="O1654" s="12" t="s">
        <v>2822</v>
      </c>
      <c r="P1654" s="88" t="s">
        <v>48</v>
      </c>
      <c r="Q1654" s="20">
        <v>45747</v>
      </c>
      <c r="R1654" s="16">
        <v>0.68</v>
      </c>
      <c r="S1654" s="14" t="s">
        <v>49</v>
      </c>
      <c r="T1654" s="14"/>
      <c r="U1654" s="14"/>
      <c r="V1654" s="13">
        <v>45621</v>
      </c>
      <c r="W1654" s="57">
        <v>0.76500000000000001</v>
      </c>
      <c r="X1654" s="14" t="s">
        <v>49</v>
      </c>
      <c r="Y1654" s="14"/>
      <c r="Z1654" s="14"/>
      <c r="AA1654" s="14"/>
      <c r="AC1654" s="14"/>
      <c r="AD1654" s="14"/>
      <c r="AE1654" s="14"/>
      <c r="AF1654" s="13"/>
      <c r="AH1654" s="14"/>
      <c r="AI1654" s="14"/>
      <c r="AJ1654" s="14"/>
      <c r="AK1654" s="20"/>
      <c r="AM1654" s="14"/>
      <c r="AN1654" s="14"/>
      <c r="AO1654" s="14"/>
      <c r="AU1654" s="370" t="s">
        <v>53</v>
      </c>
    </row>
    <row r="1655" spans="1:47" s="12" customFormat="1" ht="18" hidden="1" customHeight="1" x14ac:dyDescent="0.3">
      <c r="A1655" s="12" t="s">
        <v>505</v>
      </c>
      <c r="B1655" s="12" t="s">
        <v>4886</v>
      </c>
      <c r="C1655" s="12">
        <v>70</v>
      </c>
      <c r="D1655" s="12">
        <v>670</v>
      </c>
      <c r="E1655" s="14" t="s">
        <v>4873</v>
      </c>
      <c r="F1655" s="14" t="s">
        <v>4044</v>
      </c>
      <c r="G1655" s="12" t="str">
        <f t="shared" si="39"/>
        <v>70670900490498-1</v>
      </c>
      <c r="H1655" s="14" t="s">
        <v>4874</v>
      </c>
      <c r="I1655" s="19" t="s">
        <v>4875</v>
      </c>
      <c r="J1655" s="14" t="s">
        <v>4876</v>
      </c>
      <c r="K1655" s="12" t="s">
        <v>133</v>
      </c>
      <c r="L1655" s="12">
        <v>3008483121</v>
      </c>
      <c r="M1655" s="12" t="s">
        <v>193</v>
      </c>
      <c r="N1655" s="12" t="s">
        <v>127</v>
      </c>
      <c r="O1655" s="12" t="s">
        <v>2822</v>
      </c>
      <c r="P1655" s="88" t="s">
        <v>48</v>
      </c>
      <c r="Q1655" s="13">
        <v>45768</v>
      </c>
      <c r="R1655" s="16">
        <v>0.81</v>
      </c>
      <c r="S1655" s="14" t="s">
        <v>49</v>
      </c>
      <c r="T1655" s="14"/>
      <c r="U1655" s="14"/>
      <c r="V1655" s="13">
        <v>45418</v>
      </c>
      <c r="W1655" s="10">
        <v>0.79</v>
      </c>
      <c r="X1655" s="14" t="s">
        <v>49</v>
      </c>
      <c r="Y1655" s="14"/>
      <c r="Z1655" s="14"/>
      <c r="AA1655" s="20"/>
      <c r="AB1655" s="16"/>
      <c r="AC1655" s="14"/>
      <c r="AD1655" s="14"/>
      <c r="AE1655" s="14"/>
      <c r="AF1655" s="13"/>
      <c r="AG1655" s="16"/>
      <c r="AH1655" s="14"/>
      <c r="AI1655" s="14"/>
      <c r="AJ1655" s="14"/>
      <c r="AK1655" s="20"/>
      <c r="AM1655" s="14"/>
      <c r="AN1655" s="14"/>
      <c r="AO1655" s="14"/>
      <c r="AU1655" s="52" t="s">
        <v>53</v>
      </c>
    </row>
    <row r="1656" spans="1:47" s="12" customFormat="1" ht="18" hidden="1" customHeight="1" x14ac:dyDescent="0.3">
      <c r="A1656" s="12" t="s">
        <v>505</v>
      </c>
      <c r="B1656" s="12" t="s">
        <v>4886</v>
      </c>
      <c r="C1656" s="12">
        <v>70</v>
      </c>
      <c r="D1656" s="12">
        <v>670</v>
      </c>
      <c r="E1656" s="14" t="s">
        <v>4873</v>
      </c>
      <c r="F1656" s="14" t="s">
        <v>4877</v>
      </c>
      <c r="G1656" s="12" t="str">
        <f t="shared" si="39"/>
        <v>70670900490498-1</v>
      </c>
      <c r="H1656" s="14" t="s">
        <v>4874</v>
      </c>
      <c r="I1656" s="19" t="s">
        <v>4875</v>
      </c>
      <c r="J1656" s="14" t="s">
        <v>4878</v>
      </c>
      <c r="K1656" s="12" t="s">
        <v>133</v>
      </c>
      <c r="L1656" s="12" t="s">
        <v>45</v>
      </c>
      <c r="M1656" s="54" t="s">
        <v>193</v>
      </c>
      <c r="N1656" s="12" t="s">
        <v>127</v>
      </c>
      <c r="O1656" s="12" t="s">
        <v>2822</v>
      </c>
      <c r="P1656" s="88" t="s">
        <v>48</v>
      </c>
      <c r="Q1656" s="20">
        <v>45742</v>
      </c>
      <c r="R1656" s="16">
        <v>0.85</v>
      </c>
      <c r="S1656" s="14" t="s">
        <v>49</v>
      </c>
      <c r="T1656" s="14"/>
      <c r="U1656" s="14"/>
      <c r="V1656" s="20">
        <v>45414</v>
      </c>
      <c r="W1656" s="10">
        <v>0.80500000000000005</v>
      </c>
      <c r="X1656" s="14" t="s">
        <v>49</v>
      </c>
      <c r="Y1656" s="14"/>
      <c r="Z1656" s="14"/>
      <c r="AA1656" s="14"/>
      <c r="AC1656" s="14"/>
      <c r="AD1656" s="14"/>
      <c r="AE1656" s="14"/>
      <c r="AF1656" s="13"/>
      <c r="AH1656" s="14"/>
      <c r="AI1656" s="14"/>
      <c r="AJ1656" s="14"/>
      <c r="AK1656" s="20"/>
      <c r="AM1656" s="14"/>
      <c r="AN1656" s="14"/>
      <c r="AO1656" s="14"/>
      <c r="AU1656" s="52" t="s">
        <v>53</v>
      </c>
    </row>
    <row r="1657" spans="1:47" s="12" customFormat="1" ht="18" hidden="1" customHeight="1" x14ac:dyDescent="0.3">
      <c r="A1657" s="12" t="s">
        <v>505</v>
      </c>
      <c r="B1657" s="12" t="s">
        <v>4886</v>
      </c>
      <c r="C1657" s="12">
        <v>70</v>
      </c>
      <c r="D1657" s="12">
        <v>670</v>
      </c>
      <c r="E1657" s="14" t="s">
        <v>4873</v>
      </c>
      <c r="F1657" s="14" t="s">
        <v>4879</v>
      </c>
      <c r="G1657" s="12" t="str">
        <f t="shared" si="39"/>
        <v>70670900490498-1</v>
      </c>
      <c r="H1657" s="14" t="s">
        <v>4880</v>
      </c>
      <c r="I1657" s="19" t="s">
        <v>4875</v>
      </c>
      <c r="J1657" s="14" t="s">
        <v>4881</v>
      </c>
      <c r="K1657" s="12" t="s">
        <v>230</v>
      </c>
      <c r="L1657" s="12">
        <v>3007254356</v>
      </c>
      <c r="M1657" s="61" t="s">
        <v>4882</v>
      </c>
      <c r="N1657" s="12" t="s">
        <v>127</v>
      </c>
      <c r="O1657" s="12" t="s">
        <v>2822</v>
      </c>
      <c r="P1657" s="88" t="s">
        <v>48</v>
      </c>
      <c r="Q1657" s="20">
        <v>45729</v>
      </c>
      <c r="R1657" s="16">
        <v>0.73499999999999999</v>
      </c>
      <c r="S1657" s="14" t="s">
        <v>49</v>
      </c>
      <c r="T1657" s="14"/>
      <c r="U1657" s="14"/>
      <c r="V1657" s="20" t="s">
        <v>4883</v>
      </c>
      <c r="W1657" s="11">
        <v>0.7</v>
      </c>
      <c r="X1657" s="14" t="s">
        <v>49</v>
      </c>
      <c r="Y1657" s="14"/>
      <c r="Z1657" s="14"/>
      <c r="AA1657" s="14"/>
      <c r="AC1657" s="14"/>
      <c r="AD1657" s="14"/>
      <c r="AE1657" s="14"/>
      <c r="AF1657" s="13"/>
      <c r="AH1657" s="14"/>
      <c r="AI1657" s="14"/>
      <c r="AJ1657" s="14"/>
      <c r="AK1657" s="20"/>
      <c r="AM1657" s="14"/>
      <c r="AN1657" s="14"/>
      <c r="AO1657" s="14"/>
      <c r="AU1657" s="52" t="s">
        <v>53</v>
      </c>
    </row>
    <row r="1658" spans="1:47" s="12" customFormat="1" ht="18" hidden="1" customHeight="1" x14ac:dyDescent="0.3">
      <c r="A1658" s="12" t="s">
        <v>505</v>
      </c>
      <c r="B1658" s="12" t="s">
        <v>4886</v>
      </c>
      <c r="C1658" s="12">
        <v>70</v>
      </c>
      <c r="D1658" s="12">
        <v>670</v>
      </c>
      <c r="E1658" s="14" t="s">
        <v>4873</v>
      </c>
      <c r="F1658" s="14" t="s">
        <v>4884</v>
      </c>
      <c r="G1658" s="12" t="str">
        <f t="shared" si="39"/>
        <v>70670900490498-1</v>
      </c>
      <c r="H1658" s="14" t="s">
        <v>4874</v>
      </c>
      <c r="I1658" s="19" t="s">
        <v>4875</v>
      </c>
      <c r="J1658" s="14" t="s">
        <v>4885</v>
      </c>
      <c r="K1658" s="12" t="s">
        <v>133</v>
      </c>
      <c r="L1658" s="12">
        <v>3105260865</v>
      </c>
      <c r="M1658" s="54" t="s">
        <v>45</v>
      </c>
      <c r="N1658" s="12" t="s">
        <v>127</v>
      </c>
      <c r="O1658" s="12" t="s">
        <v>2822</v>
      </c>
      <c r="P1658" s="88" t="s">
        <v>48</v>
      </c>
      <c r="Q1658" s="20">
        <v>45743</v>
      </c>
      <c r="R1658" s="16">
        <v>0.69</v>
      </c>
      <c r="S1658" s="14" t="s">
        <v>49</v>
      </c>
      <c r="T1658" s="14"/>
      <c r="U1658" s="14"/>
      <c r="V1658" s="20">
        <v>45419</v>
      </c>
      <c r="W1658" s="11">
        <v>0.71</v>
      </c>
      <c r="X1658" s="14" t="s">
        <v>49</v>
      </c>
      <c r="Y1658" s="14"/>
      <c r="Z1658" s="14"/>
      <c r="AA1658" s="14"/>
      <c r="AC1658" s="14"/>
      <c r="AD1658" s="14"/>
      <c r="AE1658" s="14"/>
      <c r="AF1658" s="13"/>
      <c r="AH1658" s="14"/>
      <c r="AI1658" s="14"/>
      <c r="AJ1658" s="14"/>
      <c r="AK1658" s="20"/>
      <c r="AM1658" s="14"/>
      <c r="AN1658" s="14"/>
      <c r="AO1658" s="14"/>
      <c r="AU1658" s="52" t="s">
        <v>53</v>
      </c>
    </row>
    <row r="1659" spans="1:47" s="12" customFormat="1" ht="18" hidden="1" customHeight="1" x14ac:dyDescent="0.3">
      <c r="A1659" s="12" t="s">
        <v>505</v>
      </c>
      <c r="B1659" s="12" t="s">
        <v>8023</v>
      </c>
      <c r="C1659" s="12">
        <v>70</v>
      </c>
      <c r="D1659" s="12">
        <v>508</v>
      </c>
      <c r="E1659" s="14" t="s">
        <v>8337</v>
      </c>
      <c r="F1659" s="276" t="s">
        <v>8441</v>
      </c>
      <c r="G1659" s="12" t="str">
        <f t="shared" si="39"/>
        <v>705089020247794</v>
      </c>
      <c r="H1659" s="14" t="s">
        <v>6993</v>
      </c>
      <c r="I1659" s="19">
        <v>9020247794</v>
      </c>
      <c r="J1659" s="14" t="s">
        <v>8442</v>
      </c>
      <c r="K1659" s="12" t="s">
        <v>133</v>
      </c>
      <c r="L1659" s="12">
        <v>3103155698</v>
      </c>
      <c r="M1659" s="54" t="s">
        <v>8335</v>
      </c>
      <c r="N1659" s="12" t="s">
        <v>127</v>
      </c>
      <c r="O1659" s="12" t="s">
        <v>2822</v>
      </c>
      <c r="P1659" s="205" t="s">
        <v>48</v>
      </c>
      <c r="Q1659" s="20">
        <v>46078</v>
      </c>
      <c r="R1659" s="12">
        <v>79</v>
      </c>
      <c r="S1659" s="14" t="s">
        <v>49</v>
      </c>
      <c r="T1659" s="14"/>
      <c r="U1659" s="14" t="s">
        <v>60</v>
      </c>
      <c r="V1659" s="20"/>
      <c r="W1659" s="11"/>
      <c r="X1659" s="14"/>
      <c r="Y1659" s="14"/>
      <c r="Z1659" s="14"/>
      <c r="AA1659" s="14"/>
      <c r="AC1659" s="14"/>
      <c r="AD1659" s="14"/>
      <c r="AE1659" s="14"/>
      <c r="AF1659" s="13"/>
      <c r="AH1659" s="14"/>
      <c r="AI1659" s="14"/>
      <c r="AJ1659" s="14"/>
      <c r="AK1659" s="20"/>
      <c r="AM1659" s="14"/>
      <c r="AN1659" s="14"/>
      <c r="AO1659" s="14"/>
      <c r="AU1659" s="52" t="s">
        <v>53</v>
      </c>
    </row>
    <row r="1660" spans="1:47" s="12" customFormat="1" ht="18" hidden="1" customHeight="1" x14ac:dyDescent="0.3">
      <c r="A1660" s="12" t="s">
        <v>505</v>
      </c>
      <c r="B1660" s="12" t="s">
        <v>8023</v>
      </c>
      <c r="C1660" s="12">
        <v>70</v>
      </c>
      <c r="D1660" s="12">
        <v>508</v>
      </c>
      <c r="E1660" s="14" t="s">
        <v>8337</v>
      </c>
      <c r="F1660" s="276" t="s">
        <v>8443</v>
      </c>
      <c r="G1660" s="12" t="str">
        <f t="shared" ref="G1660:G1741" si="40">C1660&amp;D1660&amp;I1660</f>
        <v>705089020247794</v>
      </c>
      <c r="H1660" s="14" t="s">
        <v>6993</v>
      </c>
      <c r="I1660" s="19">
        <v>9020247794</v>
      </c>
      <c r="J1660" s="14" t="s">
        <v>8444</v>
      </c>
      <c r="K1660" s="12" t="s">
        <v>133</v>
      </c>
      <c r="L1660" s="12">
        <v>3103155698</v>
      </c>
      <c r="M1660" s="54" t="s">
        <v>8335</v>
      </c>
      <c r="N1660" s="12" t="s">
        <v>127</v>
      </c>
      <c r="O1660" s="12" t="s">
        <v>2822</v>
      </c>
      <c r="P1660" s="205" t="s">
        <v>48</v>
      </c>
      <c r="Q1660" s="20">
        <v>46076</v>
      </c>
      <c r="R1660" s="12">
        <v>79</v>
      </c>
      <c r="S1660" s="14" t="s">
        <v>74</v>
      </c>
      <c r="T1660" s="14"/>
      <c r="U1660" s="14" t="s">
        <v>60</v>
      </c>
      <c r="V1660" s="20"/>
      <c r="W1660" s="11"/>
      <c r="X1660" s="14"/>
      <c r="Y1660" s="14"/>
      <c r="Z1660" s="14"/>
      <c r="AA1660" s="14"/>
      <c r="AC1660" s="14"/>
      <c r="AD1660" s="14"/>
      <c r="AE1660" s="14"/>
      <c r="AF1660" s="13"/>
      <c r="AH1660" s="14"/>
      <c r="AI1660" s="14"/>
      <c r="AJ1660" s="14"/>
      <c r="AK1660" s="20"/>
      <c r="AM1660" s="14"/>
      <c r="AN1660" s="14"/>
      <c r="AO1660" s="14"/>
      <c r="AU1660" s="52" t="s">
        <v>53</v>
      </c>
    </row>
    <row r="1661" spans="1:47" s="12" customFormat="1" ht="18" hidden="1" customHeight="1" x14ac:dyDescent="0.3">
      <c r="A1661" s="12" t="s">
        <v>505</v>
      </c>
      <c r="B1661" s="12" t="s">
        <v>8023</v>
      </c>
      <c r="C1661" s="12">
        <v>70</v>
      </c>
      <c r="D1661" s="12">
        <v>508</v>
      </c>
      <c r="E1661" s="14" t="s">
        <v>8337</v>
      </c>
      <c r="F1661" s="276" t="s">
        <v>8590</v>
      </c>
      <c r="G1661" s="12" t="str">
        <f t="shared" si="40"/>
        <v>705089020247794</v>
      </c>
      <c r="H1661" s="14" t="s">
        <v>6993</v>
      </c>
      <c r="I1661" s="19">
        <v>9020247794</v>
      </c>
      <c r="J1661" s="14" t="s">
        <v>8591</v>
      </c>
      <c r="K1661" s="12" t="s">
        <v>133</v>
      </c>
      <c r="L1661" s="12">
        <v>3103155698</v>
      </c>
      <c r="M1661" s="54" t="s">
        <v>8407</v>
      </c>
      <c r="N1661" s="12" t="s">
        <v>127</v>
      </c>
      <c r="O1661" s="12" t="s">
        <v>2822</v>
      </c>
      <c r="P1661" s="205" t="s">
        <v>48</v>
      </c>
      <c r="Q1661" s="20">
        <v>46105</v>
      </c>
      <c r="R1661" s="12" t="s">
        <v>8558</v>
      </c>
      <c r="S1661" s="14" t="s">
        <v>74</v>
      </c>
      <c r="T1661" s="14" t="s">
        <v>8592</v>
      </c>
      <c r="U1661" s="14" t="s">
        <v>60</v>
      </c>
      <c r="V1661" s="20"/>
      <c r="W1661" s="11"/>
      <c r="X1661" s="14"/>
      <c r="Y1661" s="14"/>
      <c r="Z1661" s="14"/>
      <c r="AA1661" s="14"/>
      <c r="AC1661" s="14"/>
      <c r="AD1661" s="14"/>
      <c r="AE1661" s="14"/>
      <c r="AF1661" s="13"/>
      <c r="AH1661" s="14"/>
      <c r="AI1661" s="14"/>
      <c r="AJ1661" s="14"/>
      <c r="AK1661" s="20"/>
      <c r="AM1661" s="14"/>
      <c r="AN1661" s="14"/>
      <c r="AO1661" s="14"/>
      <c r="AU1661" s="52" t="s">
        <v>53</v>
      </c>
    </row>
    <row r="1662" spans="1:47" s="12" customFormat="1" ht="18" hidden="1" customHeight="1" x14ac:dyDescent="0.3">
      <c r="A1662" s="12" t="s">
        <v>505</v>
      </c>
      <c r="B1662" s="12" t="s">
        <v>8023</v>
      </c>
      <c r="C1662" s="12">
        <v>70</v>
      </c>
      <c r="D1662" s="12">
        <v>508</v>
      </c>
      <c r="E1662" s="14" t="s">
        <v>8337</v>
      </c>
      <c r="F1662" s="276" t="s">
        <v>8593</v>
      </c>
      <c r="G1662" s="12" t="str">
        <f t="shared" si="40"/>
        <v>705089020247794</v>
      </c>
      <c r="H1662" s="14" t="s">
        <v>6993</v>
      </c>
      <c r="I1662" s="19">
        <v>9020247794</v>
      </c>
      <c r="J1662" s="14" t="s">
        <v>8594</v>
      </c>
      <c r="K1662" s="12" t="s">
        <v>133</v>
      </c>
      <c r="L1662" s="12">
        <v>3103155698</v>
      </c>
      <c r="M1662" s="54" t="s">
        <v>8407</v>
      </c>
      <c r="N1662" s="12" t="s">
        <v>127</v>
      </c>
      <c r="O1662" s="12" t="s">
        <v>2822</v>
      </c>
      <c r="P1662" s="205" t="s">
        <v>48</v>
      </c>
      <c r="Q1662" s="20">
        <v>46105</v>
      </c>
      <c r="R1662" s="12" t="s">
        <v>8595</v>
      </c>
      <c r="S1662" s="14" t="s">
        <v>74</v>
      </c>
      <c r="T1662" s="14" t="s">
        <v>8592</v>
      </c>
      <c r="U1662" s="14" t="s">
        <v>60</v>
      </c>
      <c r="V1662" s="20"/>
      <c r="W1662" s="11"/>
      <c r="X1662" s="14"/>
      <c r="Y1662" s="14"/>
      <c r="Z1662" s="14"/>
      <c r="AA1662" s="14"/>
      <c r="AC1662" s="14"/>
      <c r="AD1662" s="14"/>
      <c r="AE1662" s="14"/>
      <c r="AF1662" s="13"/>
      <c r="AH1662" s="14"/>
      <c r="AI1662" s="14"/>
      <c r="AJ1662" s="14"/>
      <c r="AK1662" s="20"/>
      <c r="AM1662" s="14"/>
      <c r="AN1662" s="14"/>
      <c r="AO1662" s="14"/>
      <c r="AU1662" s="52" t="s">
        <v>53</v>
      </c>
    </row>
    <row r="1663" spans="1:47" s="12" customFormat="1" ht="18" hidden="1" customHeight="1" x14ac:dyDescent="0.3">
      <c r="A1663" s="12" t="s">
        <v>505</v>
      </c>
      <c r="B1663" s="12" t="s">
        <v>8023</v>
      </c>
      <c r="C1663" s="12">
        <v>70</v>
      </c>
      <c r="D1663" s="12">
        <v>508</v>
      </c>
      <c r="E1663" s="14" t="s">
        <v>8337</v>
      </c>
      <c r="F1663" s="276" t="s">
        <v>8811</v>
      </c>
      <c r="G1663" s="12" t="str">
        <f t="shared" si="40"/>
        <v>705089020247794</v>
      </c>
      <c r="H1663" s="14" t="s">
        <v>6993</v>
      </c>
      <c r="I1663" s="19">
        <v>9020247794</v>
      </c>
      <c r="J1663" s="14" t="s">
        <v>8812</v>
      </c>
      <c r="K1663" s="12" t="s">
        <v>133</v>
      </c>
      <c r="L1663" s="12">
        <v>3103155698</v>
      </c>
      <c r="M1663" s="54" t="s">
        <v>8407</v>
      </c>
      <c r="N1663" s="12" t="s">
        <v>127</v>
      </c>
      <c r="O1663" s="12" t="s">
        <v>2822</v>
      </c>
      <c r="P1663" s="205" t="s">
        <v>48</v>
      </c>
      <c r="Q1663" s="20">
        <v>46140</v>
      </c>
      <c r="R1663" s="16">
        <v>0.81</v>
      </c>
      <c r="S1663" s="14" t="s">
        <v>49</v>
      </c>
      <c r="T1663" s="14" t="s">
        <v>8592</v>
      </c>
      <c r="U1663" s="14" t="s">
        <v>60</v>
      </c>
      <c r="V1663" s="20"/>
      <c r="W1663" s="11"/>
      <c r="X1663" s="14"/>
      <c r="Y1663" s="14"/>
      <c r="Z1663" s="14"/>
      <c r="AA1663" s="14"/>
      <c r="AC1663" s="14"/>
      <c r="AD1663" s="14"/>
      <c r="AE1663" s="14"/>
      <c r="AF1663" s="13"/>
      <c r="AH1663" s="14"/>
      <c r="AI1663" s="14"/>
      <c r="AJ1663" s="14"/>
      <c r="AK1663" s="20"/>
      <c r="AM1663" s="14"/>
      <c r="AN1663" s="14"/>
      <c r="AO1663" s="14"/>
      <c r="AU1663" s="52" t="s">
        <v>53</v>
      </c>
    </row>
    <row r="1664" spans="1:47" s="12" customFormat="1" ht="18" hidden="1" customHeight="1" x14ac:dyDescent="0.3">
      <c r="A1664" s="12" t="s">
        <v>505</v>
      </c>
      <c r="B1664" s="12" t="s">
        <v>8023</v>
      </c>
      <c r="C1664" s="12">
        <v>70</v>
      </c>
      <c r="D1664" s="12">
        <v>508</v>
      </c>
      <c r="E1664" s="14"/>
      <c r="F1664" s="14" t="s">
        <v>8024</v>
      </c>
      <c r="G1664" s="12" t="str">
        <f t="shared" si="40"/>
        <v>7050864891376</v>
      </c>
      <c r="H1664" s="14" t="s">
        <v>8054</v>
      </c>
      <c r="I1664" s="19">
        <v>64891376</v>
      </c>
      <c r="J1664" s="14" t="s">
        <v>8079</v>
      </c>
      <c r="K1664" s="12" t="s">
        <v>230</v>
      </c>
      <c r="M1664" s="54"/>
      <c r="N1664" s="12" t="s">
        <v>259</v>
      </c>
      <c r="O1664" s="12" t="s">
        <v>275</v>
      </c>
      <c r="P1664" s="88" t="s">
        <v>261</v>
      </c>
      <c r="Q1664" s="20">
        <v>45477</v>
      </c>
      <c r="R1664" s="16">
        <v>0.95</v>
      </c>
      <c r="S1664" s="14" t="s">
        <v>210</v>
      </c>
      <c r="T1664" s="14"/>
      <c r="U1664" s="14"/>
      <c r="V1664" s="20"/>
      <c r="W1664" s="11"/>
      <c r="X1664" s="14"/>
      <c r="Y1664" s="14"/>
      <c r="Z1664" s="14"/>
      <c r="AA1664" s="14"/>
      <c r="AC1664" s="14"/>
      <c r="AD1664" s="14"/>
      <c r="AE1664" s="14"/>
      <c r="AF1664" s="13"/>
      <c r="AH1664" s="14"/>
      <c r="AI1664" s="14"/>
      <c r="AJ1664" s="14"/>
      <c r="AK1664" s="20"/>
      <c r="AM1664" s="14"/>
      <c r="AN1664" s="14"/>
      <c r="AO1664" s="14"/>
      <c r="AU1664" s="52" t="s">
        <v>53</v>
      </c>
    </row>
    <row r="1665" spans="1:52" s="12" customFormat="1" ht="18" hidden="1" customHeight="1" x14ac:dyDescent="0.3">
      <c r="A1665" s="12" t="s">
        <v>505</v>
      </c>
      <c r="B1665" s="12" t="s">
        <v>8023</v>
      </c>
      <c r="C1665" s="12">
        <v>70</v>
      </c>
      <c r="D1665" s="12">
        <v>508</v>
      </c>
      <c r="E1665" s="14"/>
      <c r="F1665" s="14" t="s">
        <v>8025</v>
      </c>
      <c r="G1665" s="12" t="str">
        <f t="shared" si="40"/>
        <v>7050870697301</v>
      </c>
      <c r="H1665" s="14" t="s">
        <v>8055</v>
      </c>
      <c r="I1665" s="19">
        <v>70697301</v>
      </c>
      <c r="J1665" s="14" t="s">
        <v>8080</v>
      </c>
      <c r="K1665" s="12" t="s">
        <v>230</v>
      </c>
      <c r="L1665" s="12">
        <v>3205472451</v>
      </c>
      <c r="M1665" s="54"/>
      <c r="N1665" s="12" t="s">
        <v>780</v>
      </c>
      <c r="O1665" s="12" t="s">
        <v>275</v>
      </c>
      <c r="P1665" s="88" t="s">
        <v>261</v>
      </c>
      <c r="Q1665" s="20">
        <v>45569</v>
      </c>
      <c r="R1665" s="16">
        <v>0.98750000000000004</v>
      </c>
      <c r="S1665" s="14" t="s">
        <v>210</v>
      </c>
      <c r="T1665" s="14"/>
      <c r="U1665" s="14"/>
      <c r="V1665" s="20"/>
      <c r="W1665" s="11"/>
      <c r="X1665" s="14"/>
      <c r="Y1665" s="14"/>
      <c r="Z1665" s="14"/>
      <c r="AA1665" s="14"/>
      <c r="AC1665" s="14"/>
      <c r="AD1665" s="14"/>
      <c r="AE1665" s="14"/>
      <c r="AF1665" s="13"/>
      <c r="AH1665" s="14"/>
      <c r="AI1665" s="14"/>
      <c r="AJ1665" s="14"/>
      <c r="AK1665" s="20"/>
      <c r="AM1665" s="14"/>
      <c r="AN1665" s="14"/>
      <c r="AO1665" s="14"/>
      <c r="AU1665" s="52" t="s">
        <v>53</v>
      </c>
    </row>
    <row r="1666" spans="1:52" s="12" customFormat="1" ht="18" hidden="1" customHeight="1" x14ac:dyDescent="0.3">
      <c r="A1666" s="12" t="s">
        <v>505</v>
      </c>
      <c r="B1666" s="12" t="s">
        <v>8023</v>
      </c>
      <c r="C1666" s="12">
        <v>70</v>
      </c>
      <c r="D1666" s="12">
        <v>508</v>
      </c>
      <c r="E1666" s="14"/>
      <c r="F1666" s="14" t="s">
        <v>6942</v>
      </c>
      <c r="G1666" s="12" t="str">
        <f t="shared" si="40"/>
        <v>7050818876726</v>
      </c>
      <c r="H1666" s="14" t="s">
        <v>8056</v>
      </c>
      <c r="I1666" s="19">
        <v>18876726</v>
      </c>
      <c r="J1666" s="14" t="s">
        <v>8081</v>
      </c>
      <c r="K1666" s="12" t="s">
        <v>230</v>
      </c>
      <c r="L1666" s="12">
        <v>3042088844</v>
      </c>
      <c r="M1666" s="54"/>
      <c r="N1666" s="12" t="s">
        <v>780</v>
      </c>
      <c r="O1666" s="12" t="s">
        <v>260</v>
      </c>
      <c r="P1666" s="88" t="s">
        <v>261</v>
      </c>
      <c r="Q1666" s="20">
        <v>45567</v>
      </c>
      <c r="R1666" s="16">
        <v>0.86750000000000005</v>
      </c>
      <c r="S1666" s="14" t="s">
        <v>49</v>
      </c>
      <c r="T1666" s="14"/>
      <c r="U1666" s="14"/>
      <c r="V1666" s="20"/>
      <c r="W1666" s="11"/>
      <c r="X1666" s="14"/>
      <c r="Y1666" s="14"/>
      <c r="Z1666" s="14"/>
      <c r="AA1666" s="14"/>
      <c r="AC1666" s="14"/>
      <c r="AD1666" s="14"/>
      <c r="AE1666" s="14"/>
      <c r="AF1666" s="13"/>
      <c r="AH1666" s="14"/>
      <c r="AI1666" s="14"/>
      <c r="AJ1666" s="14"/>
      <c r="AK1666" s="20"/>
      <c r="AM1666" s="14"/>
      <c r="AN1666" s="14"/>
      <c r="AO1666" s="14"/>
      <c r="AU1666" s="52" t="s">
        <v>53</v>
      </c>
    </row>
    <row r="1667" spans="1:52" s="12" customFormat="1" ht="18" hidden="1" customHeight="1" x14ac:dyDescent="0.3">
      <c r="A1667" s="12" t="s">
        <v>505</v>
      </c>
      <c r="B1667" s="12" t="s">
        <v>8023</v>
      </c>
      <c r="C1667" s="12">
        <v>70</v>
      </c>
      <c r="D1667" s="12">
        <v>508</v>
      </c>
      <c r="E1667" s="14"/>
      <c r="F1667" s="14" t="s">
        <v>8026</v>
      </c>
      <c r="G1667" s="12" t="str">
        <f t="shared" si="40"/>
        <v>705083830360</v>
      </c>
      <c r="H1667" s="14" t="s">
        <v>8057</v>
      </c>
      <c r="I1667" s="19">
        <v>3830360</v>
      </c>
      <c r="J1667" s="14" t="s">
        <v>8082</v>
      </c>
      <c r="K1667" s="12" t="s">
        <v>230</v>
      </c>
      <c r="M1667" s="54"/>
      <c r="N1667" s="12" t="s">
        <v>8021</v>
      </c>
      <c r="O1667" s="12" t="s">
        <v>2797</v>
      </c>
      <c r="P1667" s="88" t="s">
        <v>80</v>
      </c>
      <c r="Q1667" s="20">
        <v>45504</v>
      </c>
      <c r="R1667" s="16" t="s">
        <v>146</v>
      </c>
      <c r="S1667" s="14" t="s">
        <v>49</v>
      </c>
      <c r="T1667" s="14"/>
      <c r="U1667" s="14"/>
      <c r="V1667" s="20"/>
      <c r="W1667" s="11"/>
      <c r="X1667" s="14"/>
      <c r="Y1667" s="14"/>
      <c r="Z1667" s="14"/>
      <c r="AA1667" s="14"/>
      <c r="AC1667" s="14"/>
      <c r="AD1667" s="14"/>
      <c r="AE1667" s="14"/>
      <c r="AF1667" s="13"/>
      <c r="AH1667" s="14"/>
      <c r="AI1667" s="14"/>
      <c r="AJ1667" s="14"/>
      <c r="AK1667" s="20"/>
      <c r="AM1667" s="14"/>
      <c r="AN1667" s="14"/>
      <c r="AO1667" s="14"/>
      <c r="AU1667" s="52" t="s">
        <v>53</v>
      </c>
    </row>
    <row r="1668" spans="1:52" s="12" customFormat="1" ht="18" hidden="1" customHeight="1" x14ac:dyDescent="0.3">
      <c r="A1668" s="12" t="s">
        <v>505</v>
      </c>
      <c r="B1668" s="12" t="s">
        <v>8023</v>
      </c>
      <c r="C1668" s="12">
        <v>70</v>
      </c>
      <c r="D1668" s="12">
        <v>508</v>
      </c>
      <c r="E1668" s="14"/>
      <c r="F1668" s="14" t="s">
        <v>8027</v>
      </c>
      <c r="G1668" s="12" t="str">
        <f t="shared" si="40"/>
        <v>7050822897276-5</v>
      </c>
      <c r="H1668" s="14" t="s">
        <v>8058</v>
      </c>
      <c r="I1668" s="19" t="s">
        <v>8083</v>
      </c>
      <c r="J1668" s="14" t="s">
        <v>8084</v>
      </c>
      <c r="K1668" s="12" t="s">
        <v>230</v>
      </c>
      <c r="M1668" s="54"/>
      <c r="N1668" s="12" t="s">
        <v>780</v>
      </c>
      <c r="O1668" s="12" t="s">
        <v>260</v>
      </c>
      <c r="P1668" s="88" t="s">
        <v>261</v>
      </c>
      <c r="Q1668" s="20">
        <v>45516</v>
      </c>
      <c r="R1668" s="16" t="s">
        <v>8122</v>
      </c>
      <c r="S1668" s="14" t="s">
        <v>49</v>
      </c>
      <c r="T1668" s="14"/>
      <c r="U1668" s="14"/>
      <c r="V1668" s="20"/>
      <c r="W1668" s="11"/>
      <c r="X1668" s="14"/>
      <c r="Y1668" s="14"/>
      <c r="Z1668" s="14"/>
      <c r="AA1668" s="14"/>
      <c r="AC1668" s="14"/>
      <c r="AD1668" s="14"/>
      <c r="AE1668" s="14"/>
      <c r="AF1668" s="13"/>
      <c r="AH1668" s="14"/>
      <c r="AI1668" s="14"/>
      <c r="AJ1668" s="14"/>
      <c r="AK1668" s="20"/>
      <c r="AM1668" s="14"/>
      <c r="AN1668" s="14"/>
      <c r="AO1668" s="14"/>
      <c r="AU1668" s="52" t="s">
        <v>53</v>
      </c>
    </row>
    <row r="1669" spans="1:52" s="12" customFormat="1" ht="18" hidden="1" customHeight="1" x14ac:dyDescent="0.3">
      <c r="A1669" s="12" t="s">
        <v>505</v>
      </c>
      <c r="B1669" s="12" t="s">
        <v>8023</v>
      </c>
      <c r="C1669" s="12">
        <v>70</v>
      </c>
      <c r="D1669" s="12">
        <v>508</v>
      </c>
      <c r="E1669" s="14" t="s">
        <v>8813</v>
      </c>
      <c r="F1669" s="276" t="s">
        <v>6139</v>
      </c>
      <c r="G1669" s="12" t="str">
        <f t="shared" si="40"/>
        <v>705089018916318</v>
      </c>
      <c r="H1669" s="14" t="s">
        <v>8814</v>
      </c>
      <c r="I1669" s="19">
        <v>9018916318</v>
      </c>
      <c r="J1669" s="14" t="s">
        <v>8085</v>
      </c>
      <c r="K1669" s="12" t="s">
        <v>230</v>
      </c>
      <c r="L1669" s="12">
        <v>3206115162</v>
      </c>
      <c r="M1669" s="54" t="s">
        <v>8815</v>
      </c>
      <c r="N1669" s="12" t="s">
        <v>127</v>
      </c>
      <c r="O1669" s="12" t="s">
        <v>2822</v>
      </c>
      <c r="P1669" s="88" t="s">
        <v>48</v>
      </c>
      <c r="Q1669" s="13">
        <v>46141</v>
      </c>
      <c r="R1669" s="12" t="s">
        <v>4658</v>
      </c>
      <c r="S1669" s="12" t="s">
        <v>49</v>
      </c>
      <c r="T1669" s="14" t="s">
        <v>8592</v>
      </c>
      <c r="U1669" s="14" t="s">
        <v>60</v>
      </c>
      <c r="V1669" s="20">
        <v>45481</v>
      </c>
      <c r="W1669" s="16">
        <v>0.97</v>
      </c>
      <c r="X1669" s="14" t="s">
        <v>210</v>
      </c>
      <c r="Y1669" s="14"/>
      <c r="Z1669" s="14"/>
      <c r="AA1669" s="14"/>
      <c r="AC1669" s="14"/>
      <c r="AD1669" s="14"/>
      <c r="AE1669" s="14"/>
      <c r="AF1669" s="13"/>
      <c r="AH1669" s="14"/>
      <c r="AI1669" s="14"/>
      <c r="AJ1669" s="14"/>
      <c r="AK1669" s="20"/>
      <c r="AM1669" s="14"/>
      <c r="AN1669" s="14"/>
      <c r="AO1669" s="14"/>
      <c r="AU1669" s="52" t="s">
        <v>53</v>
      </c>
    </row>
    <row r="1670" spans="1:52" s="12" customFormat="1" ht="26.25" hidden="1" customHeight="1" x14ac:dyDescent="0.3">
      <c r="A1670" s="12" t="s">
        <v>505</v>
      </c>
      <c r="B1670" s="12" t="s">
        <v>8023</v>
      </c>
      <c r="C1670" s="12">
        <v>70</v>
      </c>
      <c r="D1670" s="12">
        <v>508</v>
      </c>
      <c r="E1670" s="14" t="s">
        <v>8996</v>
      </c>
      <c r="F1670" s="276" t="s">
        <v>8997</v>
      </c>
      <c r="G1670" s="12" t="str">
        <f t="shared" si="40"/>
        <v>7050889018916318</v>
      </c>
      <c r="H1670" s="14" t="s">
        <v>8998</v>
      </c>
      <c r="I1670" s="19">
        <v>89018916318</v>
      </c>
      <c r="J1670" s="14" t="s">
        <v>8086</v>
      </c>
      <c r="K1670" s="12" t="s">
        <v>230</v>
      </c>
      <c r="L1670" s="12">
        <v>3128062125</v>
      </c>
      <c r="M1670" s="54" t="s">
        <v>8999</v>
      </c>
      <c r="N1670" s="12" t="s">
        <v>127</v>
      </c>
      <c r="O1670" s="12" t="s">
        <v>2822</v>
      </c>
      <c r="P1670" s="88" t="s">
        <v>48</v>
      </c>
      <c r="Q1670" s="13">
        <v>46156</v>
      </c>
      <c r="R1670" s="12" t="s">
        <v>8542</v>
      </c>
      <c r="S1670" s="12" t="s">
        <v>319</v>
      </c>
      <c r="T1670" s="14" t="s">
        <v>8592</v>
      </c>
      <c r="U1670" s="14" t="s">
        <v>60</v>
      </c>
      <c r="V1670" s="20">
        <v>45481</v>
      </c>
      <c r="W1670" s="16">
        <v>0.97</v>
      </c>
      <c r="X1670" s="14" t="s">
        <v>210</v>
      </c>
      <c r="Y1670" s="14"/>
      <c r="Z1670" s="14" t="s">
        <v>60</v>
      </c>
      <c r="AA1670" s="14"/>
      <c r="AC1670" s="14"/>
      <c r="AD1670" s="14"/>
      <c r="AE1670" s="14"/>
      <c r="AF1670" s="13"/>
      <c r="AH1670" s="14"/>
      <c r="AI1670" s="14"/>
      <c r="AJ1670" s="14"/>
      <c r="AK1670" s="20"/>
      <c r="AM1670" s="14"/>
      <c r="AN1670" s="14"/>
      <c r="AO1670" s="14"/>
      <c r="AU1670" s="52" t="s">
        <v>53</v>
      </c>
    </row>
    <row r="1671" spans="1:52" s="12" customFormat="1" ht="18.75" hidden="1" customHeight="1" x14ac:dyDescent="0.3">
      <c r="A1671" s="12" t="s">
        <v>505</v>
      </c>
      <c r="B1671" s="12" t="s">
        <v>8023</v>
      </c>
      <c r="C1671" s="12">
        <v>70</v>
      </c>
      <c r="D1671" s="12">
        <v>508</v>
      </c>
      <c r="E1671" s="14" t="s">
        <v>8996</v>
      </c>
      <c r="F1671" s="276" t="s">
        <v>9323</v>
      </c>
      <c r="G1671" s="12" t="str">
        <f t="shared" si="40"/>
        <v>705089018916318</v>
      </c>
      <c r="H1671" s="14" t="s">
        <v>8998</v>
      </c>
      <c r="I1671" s="19">
        <v>9018916318</v>
      </c>
      <c r="J1671" s="14" t="s">
        <v>8087</v>
      </c>
      <c r="K1671" s="12" t="s">
        <v>230</v>
      </c>
      <c r="L1671" s="12">
        <v>3016006998</v>
      </c>
      <c r="M1671" s="54" t="s">
        <v>9324</v>
      </c>
      <c r="N1671" s="12" t="s">
        <v>127</v>
      </c>
      <c r="O1671" s="12" t="s">
        <v>2822</v>
      </c>
      <c r="P1671" s="88" t="s">
        <v>48</v>
      </c>
      <c r="Q1671" s="13">
        <v>46191</v>
      </c>
      <c r="R1671" s="12">
        <v>93</v>
      </c>
      <c r="S1671" s="12" t="s">
        <v>210</v>
      </c>
      <c r="T1671" s="12" t="s">
        <v>8592</v>
      </c>
      <c r="U1671" s="12" t="s">
        <v>60</v>
      </c>
      <c r="V1671" s="20">
        <v>45462</v>
      </c>
      <c r="W1671" s="16" t="s">
        <v>1085</v>
      </c>
      <c r="X1671" s="14" t="s">
        <v>210</v>
      </c>
      <c r="Y1671" s="14"/>
      <c r="Z1671" s="14"/>
      <c r="AA1671" s="14"/>
      <c r="AC1671" s="14"/>
      <c r="AD1671" s="14"/>
      <c r="AE1671" s="14"/>
      <c r="AF1671" s="13"/>
      <c r="AH1671" s="14"/>
      <c r="AI1671" s="14"/>
      <c r="AJ1671" s="14"/>
      <c r="AK1671" s="20"/>
      <c r="AM1671" s="14"/>
      <c r="AN1671" s="14"/>
      <c r="AO1671" s="14"/>
      <c r="AU1671" s="52" t="s">
        <v>53</v>
      </c>
    </row>
    <row r="1672" spans="1:52" s="12" customFormat="1" ht="18.75" hidden="1" customHeight="1" x14ac:dyDescent="0.3">
      <c r="A1672" s="12" t="s">
        <v>505</v>
      </c>
      <c r="B1672" s="12" t="s">
        <v>8023</v>
      </c>
      <c r="C1672" s="12">
        <v>70</v>
      </c>
      <c r="D1672" s="12">
        <v>508</v>
      </c>
      <c r="E1672" s="14" t="s">
        <v>8996</v>
      </c>
      <c r="F1672" s="276" t="s">
        <v>9321</v>
      </c>
      <c r="G1672" s="12" t="str">
        <f t="shared" si="40"/>
        <v>705089018916318</v>
      </c>
      <c r="H1672" s="14" t="s">
        <v>8998</v>
      </c>
      <c r="I1672" s="19">
        <v>9018916318</v>
      </c>
      <c r="J1672" s="14" t="s">
        <v>8088</v>
      </c>
      <c r="K1672" s="12" t="s">
        <v>230</v>
      </c>
      <c r="L1672" s="12">
        <v>3112670277</v>
      </c>
      <c r="M1672" s="54" t="s">
        <v>9322</v>
      </c>
      <c r="N1672" s="12" t="s">
        <v>127</v>
      </c>
      <c r="O1672" s="12" t="s">
        <v>2822</v>
      </c>
      <c r="P1672" s="88" t="s">
        <v>48</v>
      </c>
      <c r="Q1672" s="13">
        <v>46191</v>
      </c>
      <c r="R1672" s="12">
        <v>93</v>
      </c>
      <c r="S1672" s="12" t="s">
        <v>210</v>
      </c>
      <c r="T1672" s="14" t="s">
        <v>8592</v>
      </c>
      <c r="U1672" s="14" t="s">
        <v>60</v>
      </c>
      <c r="V1672" s="20">
        <v>45511</v>
      </c>
      <c r="W1672" s="16">
        <v>0.98</v>
      </c>
      <c r="X1672" s="14" t="s">
        <v>210</v>
      </c>
      <c r="Y1672" s="14"/>
      <c r="Z1672" s="14" t="s">
        <v>60</v>
      </c>
      <c r="AA1672" s="14"/>
      <c r="AC1672" s="14"/>
      <c r="AD1672" s="14"/>
      <c r="AE1672" s="14"/>
      <c r="AF1672" s="13"/>
      <c r="AH1672" s="14"/>
      <c r="AI1672" s="14"/>
      <c r="AJ1672" s="14"/>
      <c r="AK1672" s="20"/>
      <c r="AM1672" s="14"/>
      <c r="AN1672" s="14"/>
      <c r="AO1672" s="14"/>
      <c r="AU1672" s="52" t="s">
        <v>53</v>
      </c>
    </row>
    <row r="1673" spans="1:52" s="12" customFormat="1" ht="18.75" hidden="1" customHeight="1" x14ac:dyDescent="0.3">
      <c r="A1673" s="12" t="s">
        <v>505</v>
      </c>
      <c r="B1673" s="12" t="s">
        <v>8023</v>
      </c>
      <c r="C1673" s="12">
        <v>70</v>
      </c>
      <c r="D1673" s="12">
        <v>508</v>
      </c>
      <c r="E1673" s="14" t="s">
        <v>8996</v>
      </c>
      <c r="F1673" s="276" t="s">
        <v>9327</v>
      </c>
      <c r="G1673" s="12" t="str">
        <f t="shared" si="40"/>
        <v>705089018916318</v>
      </c>
      <c r="H1673" s="14" t="s">
        <v>8998</v>
      </c>
      <c r="I1673" s="19">
        <v>9018916318</v>
      </c>
      <c r="J1673" s="14" t="s">
        <v>8089</v>
      </c>
      <c r="K1673" s="12" t="s">
        <v>230</v>
      </c>
      <c r="L1673" s="12">
        <v>3008002206</v>
      </c>
      <c r="M1673" s="54" t="s">
        <v>9328</v>
      </c>
      <c r="N1673" s="12" t="s">
        <v>127</v>
      </c>
      <c r="O1673" s="12" t="s">
        <v>2822</v>
      </c>
      <c r="P1673" s="88" t="s">
        <v>48</v>
      </c>
      <c r="Q1673" s="13">
        <v>46220</v>
      </c>
      <c r="R1673" s="12">
        <v>93</v>
      </c>
      <c r="S1673" s="12" t="s">
        <v>210</v>
      </c>
      <c r="T1673" s="14" t="s">
        <v>8592</v>
      </c>
      <c r="U1673" s="14" t="s">
        <v>60</v>
      </c>
      <c r="V1673" s="20">
        <v>45462</v>
      </c>
      <c r="W1673" s="16" t="s">
        <v>8120</v>
      </c>
      <c r="X1673" s="14" t="s">
        <v>210</v>
      </c>
      <c r="Y1673" s="14"/>
      <c r="Z1673" s="14" t="s">
        <v>60</v>
      </c>
      <c r="AA1673" s="14"/>
      <c r="AC1673" s="14"/>
      <c r="AD1673" s="14"/>
      <c r="AE1673" s="14"/>
      <c r="AF1673" s="13"/>
      <c r="AH1673" s="14"/>
      <c r="AI1673" s="14"/>
      <c r="AJ1673" s="14"/>
      <c r="AK1673" s="20"/>
      <c r="AM1673" s="14"/>
      <c r="AN1673" s="14"/>
      <c r="AO1673" s="14"/>
      <c r="AU1673" s="52" t="s">
        <v>53</v>
      </c>
    </row>
    <row r="1674" spans="1:52" s="12" customFormat="1" ht="18.75" hidden="1" customHeight="1" x14ac:dyDescent="0.3">
      <c r="A1674" s="12" t="s">
        <v>505</v>
      </c>
      <c r="B1674" s="12" t="s">
        <v>8023</v>
      </c>
      <c r="C1674" s="12">
        <v>70</v>
      </c>
      <c r="D1674" s="12">
        <v>508</v>
      </c>
      <c r="E1674" s="14" t="s">
        <v>7625</v>
      </c>
      <c r="F1674" s="14" t="s">
        <v>5623</v>
      </c>
      <c r="G1674" s="12" t="str">
        <f t="shared" si="40"/>
        <v>70508900276962</v>
      </c>
      <c r="H1674" s="14" t="s">
        <v>1309</v>
      </c>
      <c r="I1674" s="19">
        <v>900276962</v>
      </c>
      <c r="J1674" s="14" t="s">
        <v>8124</v>
      </c>
      <c r="K1674" s="12" t="s">
        <v>230</v>
      </c>
      <c r="L1674" s="12">
        <v>4489140</v>
      </c>
      <c r="M1674" s="253" t="s">
        <v>4945</v>
      </c>
      <c r="N1674" s="12" t="s">
        <v>259</v>
      </c>
      <c r="O1674" s="12" t="s">
        <v>260</v>
      </c>
      <c r="P1674" s="88" t="s">
        <v>261</v>
      </c>
      <c r="Q1674" s="20">
        <v>45854</v>
      </c>
      <c r="R1674" s="16">
        <v>0.96</v>
      </c>
      <c r="S1674" s="14" t="s">
        <v>210</v>
      </c>
      <c r="T1674" s="14"/>
      <c r="U1674" s="14" t="s">
        <v>60</v>
      </c>
      <c r="V1674" s="20">
        <v>45259</v>
      </c>
      <c r="W1674" s="14">
        <v>95.25</v>
      </c>
      <c r="X1674" s="14" t="s">
        <v>210</v>
      </c>
      <c r="Y1674" s="14"/>
      <c r="Z1674" s="14"/>
      <c r="AA1674" s="14"/>
      <c r="AC1674" s="20">
        <v>44888</v>
      </c>
      <c r="AD1674" s="14" t="s">
        <v>8125</v>
      </c>
      <c r="AE1674" s="14" t="s">
        <v>210</v>
      </c>
      <c r="AF1674" s="13" t="s">
        <v>60</v>
      </c>
      <c r="AH1674" s="14"/>
      <c r="AI1674" s="20">
        <v>44546</v>
      </c>
      <c r="AJ1674" s="14" t="s">
        <v>2106</v>
      </c>
      <c r="AK1674" s="20" t="s">
        <v>319</v>
      </c>
      <c r="AM1674" s="14"/>
      <c r="AN1674" s="14"/>
      <c r="AO1674" s="14"/>
      <c r="AU1674" s="52" t="s">
        <v>53</v>
      </c>
    </row>
    <row r="1675" spans="1:52" s="12" customFormat="1" ht="18.75" hidden="1" customHeight="1" x14ac:dyDescent="0.3">
      <c r="A1675" s="12" t="s">
        <v>505</v>
      </c>
      <c r="B1675" s="12" t="s">
        <v>8023</v>
      </c>
      <c r="C1675" s="12">
        <v>70</v>
      </c>
      <c r="D1675" s="12">
        <v>508</v>
      </c>
      <c r="E1675" s="14" t="s">
        <v>2434</v>
      </c>
      <c r="F1675" s="14" t="s">
        <v>8126</v>
      </c>
      <c r="G1675" s="12" t="str">
        <f t="shared" si="40"/>
        <v>705089004805691</v>
      </c>
      <c r="H1675" s="14" t="s">
        <v>1429</v>
      </c>
      <c r="I1675" s="19">
        <v>9004805691</v>
      </c>
      <c r="J1675" s="14" t="s">
        <v>8127</v>
      </c>
      <c r="K1675" s="12" t="s">
        <v>230</v>
      </c>
      <c r="L1675" s="12">
        <v>3022031970</v>
      </c>
      <c r="M1675" s="253" t="s">
        <v>8128</v>
      </c>
      <c r="N1675" s="12" t="s">
        <v>1757</v>
      </c>
      <c r="O1675" s="12" t="s">
        <v>1758</v>
      </c>
      <c r="P1675" s="88" t="s">
        <v>48</v>
      </c>
      <c r="Q1675" s="20">
        <v>45428</v>
      </c>
      <c r="R1675" s="16" t="s">
        <v>1906</v>
      </c>
      <c r="S1675" s="14" t="s">
        <v>49</v>
      </c>
      <c r="T1675" s="14"/>
      <c r="U1675" s="14" t="s">
        <v>60</v>
      </c>
      <c r="V1675" s="20">
        <v>45085</v>
      </c>
      <c r="W1675" s="11" t="s">
        <v>1969</v>
      </c>
      <c r="X1675" s="14" t="s">
        <v>74</v>
      </c>
      <c r="Y1675" s="14"/>
      <c r="Z1675" s="14"/>
      <c r="AA1675" s="14"/>
      <c r="AC1675" s="20">
        <v>44888</v>
      </c>
      <c r="AD1675" s="14" t="s">
        <v>176</v>
      </c>
      <c r="AE1675" s="14" t="s">
        <v>49</v>
      </c>
      <c r="AF1675" s="13" t="s">
        <v>60</v>
      </c>
      <c r="AH1675" s="14"/>
      <c r="AI1675" s="14"/>
      <c r="AJ1675" s="14"/>
      <c r="AK1675" s="20"/>
      <c r="AM1675" s="14"/>
      <c r="AN1675" s="14"/>
      <c r="AO1675" s="14"/>
      <c r="AU1675" s="52" t="s">
        <v>53</v>
      </c>
      <c r="AX1675" s="12" t="s">
        <v>1920</v>
      </c>
      <c r="AZ1675" s="12" t="s">
        <v>8129</v>
      </c>
    </row>
    <row r="1676" spans="1:52" s="12" customFormat="1" ht="18.75" hidden="1" customHeight="1" x14ac:dyDescent="0.3">
      <c r="A1676" s="12" t="s">
        <v>505</v>
      </c>
      <c r="B1676" s="12" t="s">
        <v>8023</v>
      </c>
      <c r="C1676" s="12">
        <v>70</v>
      </c>
      <c r="D1676" s="12">
        <v>508</v>
      </c>
      <c r="E1676" s="14"/>
      <c r="F1676" s="14" t="s">
        <v>8028</v>
      </c>
      <c r="G1676" s="12" t="str">
        <f t="shared" si="40"/>
        <v>7050818878762</v>
      </c>
      <c r="H1676" s="14" t="s">
        <v>8059</v>
      </c>
      <c r="I1676" s="19">
        <v>18878762</v>
      </c>
      <c r="J1676" s="14" t="s">
        <v>8090</v>
      </c>
      <c r="K1676" s="12" t="s">
        <v>230</v>
      </c>
      <c r="L1676" s="12">
        <v>3134815168</v>
      </c>
      <c r="M1676" s="54"/>
      <c r="N1676" s="12" t="s">
        <v>780</v>
      </c>
      <c r="O1676" s="12" t="s">
        <v>260</v>
      </c>
      <c r="P1676" s="88" t="s">
        <v>261</v>
      </c>
      <c r="Q1676" s="20">
        <v>45517</v>
      </c>
      <c r="R1676" s="16" t="s">
        <v>7597</v>
      </c>
      <c r="S1676" s="14" t="s">
        <v>210</v>
      </c>
      <c r="T1676" s="14"/>
      <c r="U1676" s="14"/>
      <c r="V1676" s="20"/>
      <c r="W1676" s="11"/>
      <c r="X1676" s="14"/>
      <c r="Y1676" s="14"/>
      <c r="Z1676" s="14"/>
      <c r="AA1676" s="14"/>
      <c r="AC1676" s="14"/>
      <c r="AD1676" s="14"/>
      <c r="AE1676" s="14"/>
      <c r="AF1676" s="13"/>
      <c r="AH1676" s="14"/>
      <c r="AI1676" s="14"/>
      <c r="AJ1676" s="14"/>
      <c r="AK1676" s="20"/>
      <c r="AM1676" s="14"/>
      <c r="AN1676" s="14"/>
      <c r="AO1676" s="14"/>
      <c r="AU1676" s="52" t="s">
        <v>53</v>
      </c>
    </row>
    <row r="1677" spans="1:52" s="12" customFormat="1" ht="18.75" hidden="1" customHeight="1" x14ac:dyDescent="0.3">
      <c r="A1677" s="12" t="s">
        <v>505</v>
      </c>
      <c r="B1677" s="12" t="s">
        <v>8023</v>
      </c>
      <c r="C1677" s="12">
        <v>70</v>
      </c>
      <c r="D1677" s="12">
        <v>508</v>
      </c>
      <c r="E1677" s="14" t="s">
        <v>8996</v>
      </c>
      <c r="F1677" s="276" t="s">
        <v>9325</v>
      </c>
      <c r="G1677" s="12" t="str">
        <f t="shared" si="40"/>
        <v>705089018916318</v>
      </c>
      <c r="H1677" s="14" t="s">
        <v>8998</v>
      </c>
      <c r="I1677" s="14">
        <v>9018916318</v>
      </c>
      <c r="J1677" s="14" t="s">
        <v>9326</v>
      </c>
      <c r="K1677" s="12" t="s">
        <v>230</v>
      </c>
      <c r="L1677" s="12">
        <v>3114263091</v>
      </c>
      <c r="M1677" s="54" t="s">
        <v>8115</v>
      </c>
      <c r="N1677" s="12" t="s">
        <v>127</v>
      </c>
      <c r="O1677" s="12" t="s">
        <v>2822</v>
      </c>
      <c r="P1677" s="88" t="s">
        <v>48</v>
      </c>
      <c r="Q1677" s="13">
        <v>46224</v>
      </c>
      <c r="R1677" s="12">
        <v>93</v>
      </c>
      <c r="S1677" s="12" t="s">
        <v>210</v>
      </c>
      <c r="T1677" s="14" t="s">
        <v>8592</v>
      </c>
      <c r="U1677" s="14" t="s">
        <v>60</v>
      </c>
      <c r="V1677" s="20">
        <v>45427</v>
      </c>
      <c r="W1677" s="16">
        <v>0.98</v>
      </c>
      <c r="X1677" s="14" t="s">
        <v>210</v>
      </c>
      <c r="Z1677" s="14" t="s">
        <v>60</v>
      </c>
      <c r="AA1677" s="14"/>
      <c r="AC1677" s="14"/>
      <c r="AD1677" s="14"/>
      <c r="AE1677" s="14"/>
      <c r="AF1677" s="13"/>
      <c r="AH1677" s="14"/>
      <c r="AI1677" s="14"/>
      <c r="AJ1677" s="14"/>
      <c r="AK1677" s="20"/>
      <c r="AM1677" s="14"/>
      <c r="AN1677" s="14"/>
      <c r="AO1677" s="14"/>
      <c r="AU1677" s="52" t="s">
        <v>53</v>
      </c>
    </row>
    <row r="1678" spans="1:52" s="12" customFormat="1" ht="18.75" hidden="1" customHeight="1" x14ac:dyDescent="0.3">
      <c r="A1678" s="12" t="s">
        <v>505</v>
      </c>
      <c r="B1678" s="12" t="s">
        <v>8023</v>
      </c>
      <c r="C1678" s="12">
        <v>70</v>
      </c>
      <c r="D1678" s="12">
        <v>508</v>
      </c>
      <c r="E1678" s="14" t="s">
        <v>9329</v>
      </c>
      <c r="F1678" s="276" t="s">
        <v>9330</v>
      </c>
      <c r="G1678" s="12" t="str">
        <f t="shared" si="40"/>
        <v>705088002421141</v>
      </c>
      <c r="H1678" s="14" t="s">
        <v>9331</v>
      </c>
      <c r="I1678" s="19">
        <v>8002421141</v>
      </c>
      <c r="J1678" s="14" t="s">
        <v>8091</v>
      </c>
      <c r="K1678" s="12" t="s">
        <v>230</v>
      </c>
      <c r="L1678" s="12">
        <v>3043584424</v>
      </c>
      <c r="M1678" s="54" t="s">
        <v>9332</v>
      </c>
      <c r="N1678" s="12" t="s">
        <v>127</v>
      </c>
      <c r="O1678" s="12" t="s">
        <v>2822</v>
      </c>
      <c r="P1678" s="88" t="s">
        <v>48</v>
      </c>
      <c r="Q1678" s="20">
        <v>46224</v>
      </c>
      <c r="R1678" s="12">
        <v>93</v>
      </c>
      <c r="S1678" s="14" t="s">
        <v>319</v>
      </c>
      <c r="T1678" s="14" t="s">
        <v>8592</v>
      </c>
      <c r="U1678" s="14" t="s">
        <v>50</v>
      </c>
      <c r="V1678" s="20">
        <v>45427</v>
      </c>
      <c r="W1678" s="11">
        <v>0.97</v>
      </c>
      <c r="X1678" s="14" t="s">
        <v>210</v>
      </c>
      <c r="Z1678" s="14" t="s">
        <v>60</v>
      </c>
      <c r="AA1678" s="14"/>
      <c r="AC1678" s="14"/>
      <c r="AD1678" s="14"/>
      <c r="AE1678" s="14"/>
      <c r="AF1678" s="13"/>
      <c r="AH1678" s="14"/>
      <c r="AI1678" s="14"/>
      <c r="AJ1678" s="14"/>
      <c r="AK1678" s="20"/>
      <c r="AM1678" s="14"/>
      <c r="AN1678" s="14"/>
      <c r="AO1678" s="14"/>
      <c r="AU1678" s="52" t="s">
        <v>53</v>
      </c>
    </row>
    <row r="1679" spans="1:52" s="12" customFormat="1" ht="18.75" hidden="1" customHeight="1" x14ac:dyDescent="0.3">
      <c r="A1679" s="12" t="s">
        <v>505</v>
      </c>
      <c r="B1679" s="12" t="s">
        <v>8023</v>
      </c>
      <c r="C1679" s="12">
        <v>70</v>
      </c>
      <c r="D1679" s="12">
        <v>508</v>
      </c>
      <c r="E1679" s="14" t="s">
        <v>8496</v>
      </c>
      <c r="F1679" s="276" t="s">
        <v>8029</v>
      </c>
      <c r="G1679" s="12" t="str">
        <f t="shared" si="40"/>
        <v>705088922003672</v>
      </c>
      <c r="H1679" s="14" t="s">
        <v>8497</v>
      </c>
      <c r="I1679" s="19">
        <v>8922003672</v>
      </c>
      <c r="J1679" s="14" t="s">
        <v>8092</v>
      </c>
      <c r="K1679" s="12" t="s">
        <v>230</v>
      </c>
      <c r="L1679" s="12">
        <v>3203642306</v>
      </c>
      <c r="M1679" s="253" t="s">
        <v>8499</v>
      </c>
      <c r="N1679" s="12" t="s">
        <v>127</v>
      </c>
      <c r="O1679" s="12" t="s">
        <v>2822</v>
      </c>
      <c r="P1679" s="88" t="s">
        <v>48</v>
      </c>
      <c r="Q1679" s="13">
        <v>46127</v>
      </c>
      <c r="R1679" s="16">
        <v>0.92</v>
      </c>
      <c r="S1679" s="14" t="s">
        <v>210</v>
      </c>
      <c r="T1679" s="14"/>
      <c r="U1679" s="14" t="s">
        <v>2456</v>
      </c>
      <c r="V1679" s="13">
        <v>45806</v>
      </c>
      <c r="W1679" s="16">
        <v>0.88</v>
      </c>
      <c r="X1679" s="12" t="s">
        <v>49</v>
      </c>
      <c r="Y1679" s="14"/>
      <c r="Z1679" s="14" t="s">
        <v>60</v>
      </c>
      <c r="AA1679" s="14"/>
      <c r="AC1679" s="20">
        <v>45428</v>
      </c>
      <c r="AD1679" s="16">
        <v>0.91</v>
      </c>
      <c r="AE1679" s="14" t="s">
        <v>210</v>
      </c>
      <c r="AF1679" s="13" t="s">
        <v>60</v>
      </c>
      <c r="AH1679" s="14"/>
      <c r="AI1679" s="14"/>
      <c r="AJ1679" s="14"/>
      <c r="AK1679" s="20"/>
      <c r="AM1679" s="14"/>
      <c r="AN1679" s="14"/>
      <c r="AO1679" s="14"/>
      <c r="AU1679" s="52" t="s">
        <v>53</v>
      </c>
    </row>
    <row r="1680" spans="1:52" s="12" customFormat="1" ht="18.75" hidden="1" customHeight="1" x14ac:dyDescent="0.3">
      <c r="A1680" s="12" t="s">
        <v>505</v>
      </c>
      <c r="B1680" s="12" t="s">
        <v>8023</v>
      </c>
      <c r="C1680" s="12">
        <v>70</v>
      </c>
      <c r="D1680" s="12">
        <v>508</v>
      </c>
      <c r="E1680" s="14" t="s">
        <v>8496</v>
      </c>
      <c r="F1680" s="276" t="s">
        <v>8030</v>
      </c>
      <c r="G1680" s="12" t="str">
        <f t="shared" si="40"/>
        <v>705088922003672</v>
      </c>
      <c r="H1680" s="14" t="s">
        <v>8497</v>
      </c>
      <c r="I1680" s="19">
        <v>8922003672</v>
      </c>
      <c r="J1680" s="14" t="s">
        <v>8093</v>
      </c>
      <c r="K1680" s="12" t="s">
        <v>230</v>
      </c>
      <c r="L1680" s="12">
        <v>3504231800</v>
      </c>
      <c r="M1680" s="253" t="s">
        <v>8499</v>
      </c>
      <c r="N1680" s="12" t="s">
        <v>127</v>
      </c>
      <c r="O1680" s="12" t="s">
        <v>2822</v>
      </c>
      <c r="P1680" s="88" t="s">
        <v>48</v>
      </c>
      <c r="Q1680" s="13">
        <v>46127</v>
      </c>
      <c r="R1680" s="59">
        <v>0.82499999999999996</v>
      </c>
      <c r="S1680" s="12" t="s">
        <v>49</v>
      </c>
      <c r="T1680" s="14"/>
      <c r="U1680" s="14" t="s">
        <v>2456</v>
      </c>
      <c r="V1680" s="20">
        <v>45806</v>
      </c>
      <c r="W1680" s="16">
        <v>0.8</v>
      </c>
      <c r="X1680" s="14" t="s">
        <v>49</v>
      </c>
      <c r="Y1680" s="14"/>
      <c r="Z1680" s="14" t="s">
        <v>60</v>
      </c>
      <c r="AA1680" s="14"/>
      <c r="AC1680" s="20">
        <v>45428</v>
      </c>
      <c r="AD1680" s="16" t="s">
        <v>146</v>
      </c>
      <c r="AE1680" s="14" t="s">
        <v>49</v>
      </c>
      <c r="AF1680" s="13" t="s">
        <v>60</v>
      </c>
      <c r="AH1680" s="14"/>
      <c r="AI1680" s="14"/>
      <c r="AJ1680" s="14"/>
      <c r="AK1680" s="20"/>
      <c r="AM1680" s="14"/>
      <c r="AN1680" s="14"/>
      <c r="AO1680" s="14"/>
      <c r="AU1680" s="52" t="s">
        <v>53</v>
      </c>
    </row>
    <row r="1681" spans="1:47" s="12" customFormat="1" ht="18.75" hidden="1" customHeight="1" x14ac:dyDescent="0.3">
      <c r="A1681" s="12" t="s">
        <v>505</v>
      </c>
      <c r="B1681" s="12" t="s">
        <v>8023</v>
      </c>
      <c r="C1681" s="12">
        <v>70</v>
      </c>
      <c r="D1681" s="12">
        <v>508</v>
      </c>
      <c r="E1681" s="14"/>
      <c r="F1681" s="14" t="s">
        <v>8031</v>
      </c>
      <c r="G1681" s="12" t="str">
        <f t="shared" si="40"/>
        <v>7050818878447</v>
      </c>
      <c r="H1681" s="14" t="s">
        <v>8060</v>
      </c>
      <c r="I1681" s="19">
        <v>18878447</v>
      </c>
      <c r="J1681" s="14" t="s">
        <v>8094</v>
      </c>
      <c r="K1681" s="12" t="s">
        <v>230</v>
      </c>
      <c r="L1681" s="12">
        <v>3216730152</v>
      </c>
      <c r="M1681" s="54" t="s">
        <v>8116</v>
      </c>
      <c r="N1681" s="12" t="s">
        <v>432</v>
      </c>
      <c r="O1681" s="12" t="s">
        <v>432</v>
      </c>
      <c r="P1681" s="88" t="s">
        <v>261</v>
      </c>
      <c r="Q1681" s="20">
        <v>45421</v>
      </c>
      <c r="R1681" s="16" t="s">
        <v>146</v>
      </c>
      <c r="S1681" s="14" t="s">
        <v>49</v>
      </c>
      <c r="T1681" s="14"/>
      <c r="U1681" s="14"/>
      <c r="V1681" s="20"/>
      <c r="W1681" s="11"/>
      <c r="X1681" s="14"/>
      <c r="Y1681" s="14"/>
      <c r="Z1681" s="14"/>
      <c r="AA1681" s="14"/>
      <c r="AC1681" s="14"/>
      <c r="AD1681" s="14"/>
      <c r="AE1681" s="14"/>
      <c r="AF1681" s="13"/>
      <c r="AH1681" s="14"/>
      <c r="AI1681" s="14"/>
      <c r="AJ1681" s="14"/>
      <c r="AK1681" s="20"/>
      <c r="AM1681" s="14"/>
      <c r="AN1681" s="14"/>
      <c r="AO1681" s="14"/>
      <c r="AU1681" s="52" t="s">
        <v>53</v>
      </c>
    </row>
    <row r="1682" spans="1:47" s="12" customFormat="1" ht="18.75" hidden="1" customHeight="1" x14ac:dyDescent="0.3">
      <c r="A1682" s="12" t="s">
        <v>505</v>
      </c>
      <c r="B1682" s="12" t="s">
        <v>8023</v>
      </c>
      <c r="C1682" s="12">
        <v>70</v>
      </c>
      <c r="D1682" s="12">
        <v>508</v>
      </c>
      <c r="E1682" s="14"/>
      <c r="F1682" s="14" t="s">
        <v>8032</v>
      </c>
      <c r="G1682" s="12" t="str">
        <f t="shared" si="40"/>
        <v>7050818882149</v>
      </c>
      <c r="H1682" s="14" t="s">
        <v>8061</v>
      </c>
      <c r="I1682" s="19">
        <v>18882149</v>
      </c>
      <c r="J1682" s="14" t="s">
        <v>8095</v>
      </c>
      <c r="K1682" s="12" t="s">
        <v>230</v>
      </c>
      <c r="L1682" s="12">
        <v>3012926968</v>
      </c>
      <c r="M1682" s="54"/>
      <c r="N1682" s="12" t="s">
        <v>432</v>
      </c>
      <c r="O1682" s="12" t="s">
        <v>432</v>
      </c>
      <c r="P1682" s="88" t="s">
        <v>261</v>
      </c>
      <c r="Q1682" s="20">
        <v>45594</v>
      </c>
      <c r="R1682" s="16">
        <v>0.89</v>
      </c>
      <c r="S1682" s="14" t="s">
        <v>49</v>
      </c>
      <c r="T1682" s="14"/>
      <c r="U1682" s="14"/>
      <c r="V1682" s="20"/>
      <c r="W1682" s="11"/>
      <c r="X1682" s="14"/>
      <c r="Y1682" s="14"/>
      <c r="Z1682" s="14"/>
      <c r="AA1682" s="14"/>
      <c r="AC1682" s="14"/>
      <c r="AD1682" s="14"/>
      <c r="AE1682" s="14"/>
      <c r="AF1682" s="13"/>
      <c r="AH1682" s="14"/>
      <c r="AI1682" s="14"/>
      <c r="AJ1682" s="14"/>
      <c r="AK1682" s="20"/>
      <c r="AM1682" s="14"/>
      <c r="AN1682" s="14"/>
      <c r="AO1682" s="14"/>
      <c r="AU1682" s="52" t="s">
        <v>53</v>
      </c>
    </row>
    <row r="1683" spans="1:47" s="12" customFormat="1" ht="18.75" hidden="1" customHeight="1" x14ac:dyDescent="0.3">
      <c r="A1683" s="12" t="s">
        <v>505</v>
      </c>
      <c r="B1683" s="12" t="s">
        <v>8023</v>
      </c>
      <c r="C1683" s="12">
        <v>70</v>
      </c>
      <c r="D1683" s="12">
        <v>508</v>
      </c>
      <c r="E1683" s="14"/>
      <c r="F1683" s="14" t="s">
        <v>8033</v>
      </c>
      <c r="G1683" s="12" t="str">
        <f t="shared" si="40"/>
        <v>705081101813803</v>
      </c>
      <c r="H1683" s="14" t="s">
        <v>8062</v>
      </c>
      <c r="I1683" s="19">
        <v>1101813803</v>
      </c>
      <c r="J1683" s="14" t="s">
        <v>8096</v>
      </c>
      <c r="K1683" s="12" t="s">
        <v>230</v>
      </c>
      <c r="L1683" s="12">
        <v>3002154806</v>
      </c>
      <c r="M1683" s="54"/>
      <c r="N1683" s="12" t="s">
        <v>432</v>
      </c>
      <c r="O1683" s="12" t="s">
        <v>432</v>
      </c>
      <c r="P1683" s="88" t="s">
        <v>261</v>
      </c>
      <c r="Q1683" s="20">
        <v>45594</v>
      </c>
      <c r="R1683" s="16">
        <v>0.87</v>
      </c>
      <c r="S1683" s="14" t="s">
        <v>49</v>
      </c>
      <c r="T1683" s="14"/>
      <c r="U1683" s="14"/>
      <c r="V1683" s="20"/>
      <c r="W1683" s="11"/>
      <c r="X1683" s="14"/>
      <c r="Y1683" s="14"/>
      <c r="Z1683" s="14"/>
      <c r="AA1683" s="14"/>
      <c r="AC1683" s="14"/>
      <c r="AD1683" s="14"/>
      <c r="AE1683" s="14"/>
      <c r="AF1683" s="13"/>
      <c r="AH1683" s="14"/>
      <c r="AI1683" s="14"/>
      <c r="AJ1683" s="14"/>
      <c r="AK1683" s="20"/>
      <c r="AM1683" s="14"/>
      <c r="AN1683" s="14"/>
      <c r="AO1683" s="14"/>
      <c r="AU1683" s="52" t="s">
        <v>53</v>
      </c>
    </row>
    <row r="1684" spans="1:47" s="12" customFormat="1" ht="18.75" hidden="1" customHeight="1" x14ac:dyDescent="0.3">
      <c r="A1684" s="12" t="s">
        <v>505</v>
      </c>
      <c r="B1684" s="12" t="s">
        <v>8023</v>
      </c>
      <c r="C1684" s="12">
        <v>70</v>
      </c>
      <c r="D1684" s="12">
        <v>508</v>
      </c>
      <c r="E1684" s="14"/>
      <c r="F1684" s="14" t="s">
        <v>8034</v>
      </c>
      <c r="G1684" s="12" t="str">
        <f t="shared" si="40"/>
        <v>705087585799</v>
      </c>
      <c r="H1684" s="14" t="s">
        <v>8063</v>
      </c>
      <c r="I1684" s="19">
        <v>7585799</v>
      </c>
      <c r="J1684" s="14" t="s">
        <v>8097</v>
      </c>
      <c r="K1684" s="12" t="s">
        <v>230</v>
      </c>
      <c r="L1684" s="12">
        <v>30446849276</v>
      </c>
      <c r="M1684" s="54"/>
      <c r="N1684" s="12" t="s">
        <v>432</v>
      </c>
      <c r="O1684" s="12" t="s">
        <v>432</v>
      </c>
      <c r="P1684" s="88" t="s">
        <v>261</v>
      </c>
      <c r="Q1684" s="20">
        <v>45583</v>
      </c>
      <c r="R1684" s="16">
        <v>0.89</v>
      </c>
      <c r="S1684" s="14" t="s">
        <v>49</v>
      </c>
      <c r="T1684" s="14"/>
      <c r="U1684" s="14"/>
      <c r="V1684" s="20"/>
      <c r="W1684" s="11"/>
      <c r="X1684" s="14"/>
      <c r="Y1684" s="14"/>
      <c r="Z1684" s="14"/>
      <c r="AA1684" s="14"/>
      <c r="AC1684" s="14"/>
      <c r="AD1684" s="14"/>
      <c r="AE1684" s="14"/>
      <c r="AF1684" s="13"/>
      <c r="AH1684" s="14"/>
      <c r="AI1684" s="14"/>
      <c r="AJ1684" s="14"/>
      <c r="AK1684" s="20"/>
      <c r="AM1684" s="14"/>
      <c r="AN1684" s="14"/>
      <c r="AO1684" s="14"/>
      <c r="AU1684" s="52" t="s">
        <v>53</v>
      </c>
    </row>
    <row r="1685" spans="1:47" s="12" customFormat="1" ht="18.75" hidden="1" customHeight="1" x14ac:dyDescent="0.3">
      <c r="A1685" s="12" t="s">
        <v>505</v>
      </c>
      <c r="B1685" s="12" t="s">
        <v>8023</v>
      </c>
      <c r="C1685" s="12">
        <v>70</v>
      </c>
      <c r="D1685" s="12">
        <v>508</v>
      </c>
      <c r="E1685" s="14"/>
      <c r="F1685" s="14" t="s">
        <v>8035</v>
      </c>
      <c r="G1685" s="12" t="str">
        <f t="shared" si="40"/>
        <v>7050818880922</v>
      </c>
      <c r="H1685" s="14" t="s">
        <v>8064</v>
      </c>
      <c r="I1685" s="19">
        <v>18880922</v>
      </c>
      <c r="J1685" s="14" t="s">
        <v>8098</v>
      </c>
      <c r="K1685" s="12" t="s">
        <v>230</v>
      </c>
      <c r="L1685" s="12">
        <v>3114109529</v>
      </c>
      <c r="M1685" s="54"/>
      <c r="N1685" s="12" t="s">
        <v>780</v>
      </c>
      <c r="O1685" s="12" t="s">
        <v>260</v>
      </c>
      <c r="P1685" s="88" t="s">
        <v>261</v>
      </c>
      <c r="Q1685" s="20">
        <v>45595</v>
      </c>
      <c r="R1685" s="16">
        <v>0.89</v>
      </c>
      <c r="S1685" s="14" t="s">
        <v>49</v>
      </c>
      <c r="T1685" s="14"/>
      <c r="U1685" s="14"/>
      <c r="V1685" s="20"/>
      <c r="W1685" s="11"/>
      <c r="X1685" s="14"/>
      <c r="Y1685" s="14"/>
      <c r="Z1685" s="14"/>
      <c r="AA1685" s="14"/>
      <c r="AC1685" s="14"/>
      <c r="AD1685" s="14"/>
      <c r="AE1685" s="14"/>
      <c r="AF1685" s="13"/>
      <c r="AH1685" s="14"/>
      <c r="AI1685" s="14"/>
      <c r="AJ1685" s="14"/>
      <c r="AK1685" s="20"/>
      <c r="AM1685" s="14"/>
      <c r="AN1685" s="14"/>
      <c r="AO1685" s="14"/>
      <c r="AU1685" s="52" t="s">
        <v>53</v>
      </c>
    </row>
    <row r="1686" spans="1:47" s="12" customFormat="1" ht="18.75" hidden="1" customHeight="1" x14ac:dyDescent="0.3">
      <c r="A1686" s="12" t="s">
        <v>505</v>
      </c>
      <c r="B1686" s="12" t="s">
        <v>8023</v>
      </c>
      <c r="C1686" s="12">
        <v>70</v>
      </c>
      <c r="D1686" s="12">
        <v>508</v>
      </c>
      <c r="E1686" s="14"/>
      <c r="F1686" s="14" t="s">
        <v>8036</v>
      </c>
      <c r="G1686" s="12" t="str">
        <f t="shared" si="40"/>
        <v>705089106515</v>
      </c>
      <c r="H1686" s="14" t="s">
        <v>8065</v>
      </c>
      <c r="I1686" s="19">
        <v>9106515</v>
      </c>
      <c r="J1686" s="14" t="s">
        <v>8099</v>
      </c>
      <c r="K1686" s="12" t="s">
        <v>230</v>
      </c>
      <c r="M1686" s="54"/>
      <c r="N1686" s="12" t="s">
        <v>780</v>
      </c>
      <c r="O1686" s="12" t="s">
        <v>260</v>
      </c>
      <c r="P1686" s="88" t="s">
        <v>261</v>
      </c>
      <c r="Q1686" s="20">
        <v>45512</v>
      </c>
      <c r="R1686" s="16" t="s">
        <v>5058</v>
      </c>
      <c r="S1686" s="14" t="s">
        <v>210</v>
      </c>
      <c r="T1686" s="14"/>
      <c r="U1686" s="14"/>
      <c r="V1686" s="20"/>
      <c r="W1686" s="11"/>
      <c r="X1686" s="14"/>
      <c r="Y1686" s="14"/>
      <c r="Z1686" s="14"/>
      <c r="AA1686" s="14"/>
      <c r="AC1686" s="14"/>
      <c r="AD1686" s="14"/>
      <c r="AE1686" s="14"/>
      <c r="AF1686" s="13"/>
      <c r="AH1686" s="14"/>
      <c r="AI1686" s="14"/>
      <c r="AJ1686" s="14"/>
      <c r="AK1686" s="20"/>
      <c r="AM1686" s="14"/>
      <c r="AN1686" s="14"/>
      <c r="AO1686" s="14"/>
      <c r="AU1686" s="52" t="s">
        <v>53</v>
      </c>
    </row>
    <row r="1687" spans="1:47" s="12" customFormat="1" ht="18.75" hidden="1" customHeight="1" x14ac:dyDescent="0.3">
      <c r="A1687" s="12" t="s">
        <v>505</v>
      </c>
      <c r="B1687" s="12" t="s">
        <v>8023</v>
      </c>
      <c r="C1687" s="12">
        <v>70</v>
      </c>
      <c r="D1687" s="12">
        <v>508</v>
      </c>
      <c r="E1687" s="14"/>
      <c r="F1687" s="14" t="s">
        <v>8037</v>
      </c>
      <c r="G1687" s="12" t="str">
        <f t="shared" si="40"/>
        <v>70508332771971</v>
      </c>
      <c r="H1687" s="14" t="s">
        <v>8066</v>
      </c>
      <c r="I1687" s="19">
        <v>332771971</v>
      </c>
      <c r="J1687" s="14" t="s">
        <v>8100</v>
      </c>
      <c r="K1687" s="12" t="s">
        <v>230</v>
      </c>
      <c r="L1687" s="12">
        <v>3003538949</v>
      </c>
      <c r="M1687" s="54"/>
      <c r="N1687" s="12" t="s">
        <v>432</v>
      </c>
      <c r="O1687" s="12" t="s">
        <v>432</v>
      </c>
      <c r="P1687" s="88" t="s">
        <v>261</v>
      </c>
      <c r="Q1687" s="20">
        <v>45594</v>
      </c>
      <c r="R1687" s="16">
        <v>0.89</v>
      </c>
      <c r="S1687" s="14" t="s">
        <v>49</v>
      </c>
      <c r="T1687" s="14"/>
      <c r="U1687" s="14"/>
      <c r="V1687" s="20"/>
      <c r="W1687" s="11"/>
      <c r="X1687" s="14"/>
      <c r="Y1687" s="14"/>
      <c r="Z1687" s="14"/>
      <c r="AA1687" s="14"/>
      <c r="AC1687" s="14"/>
      <c r="AD1687" s="14"/>
      <c r="AE1687" s="14"/>
      <c r="AF1687" s="13"/>
      <c r="AH1687" s="14"/>
      <c r="AI1687" s="14"/>
      <c r="AJ1687" s="14"/>
      <c r="AK1687" s="20"/>
      <c r="AM1687" s="14"/>
      <c r="AN1687" s="14"/>
      <c r="AO1687" s="14"/>
      <c r="AU1687" s="52" t="s">
        <v>53</v>
      </c>
    </row>
    <row r="1688" spans="1:47" s="12" customFormat="1" ht="18.75" hidden="1" customHeight="1" x14ac:dyDescent="0.3">
      <c r="A1688" s="12" t="s">
        <v>505</v>
      </c>
      <c r="B1688" s="12" t="s">
        <v>8023</v>
      </c>
      <c r="C1688" s="12">
        <v>70</v>
      </c>
      <c r="D1688" s="12">
        <v>508</v>
      </c>
      <c r="E1688" s="14"/>
      <c r="F1688" s="14" t="s">
        <v>8038</v>
      </c>
      <c r="G1688" s="12" t="str">
        <f t="shared" si="40"/>
        <v>705081045022048-2</v>
      </c>
      <c r="H1688" s="14" t="s">
        <v>8067</v>
      </c>
      <c r="I1688" s="19" t="s">
        <v>8101</v>
      </c>
      <c r="J1688" s="14" t="s">
        <v>8102</v>
      </c>
      <c r="K1688" s="12" t="s">
        <v>230</v>
      </c>
      <c r="L1688" s="12">
        <v>3114104464</v>
      </c>
      <c r="M1688" s="54"/>
      <c r="N1688" s="12" t="s">
        <v>780</v>
      </c>
      <c r="O1688" s="12" t="s">
        <v>275</v>
      </c>
      <c r="P1688" s="88" t="s">
        <v>80</v>
      </c>
      <c r="Q1688" s="20">
        <v>45534</v>
      </c>
      <c r="R1688" s="16" t="s">
        <v>8123</v>
      </c>
      <c r="S1688" s="14" t="s">
        <v>210</v>
      </c>
      <c r="T1688" s="14"/>
      <c r="U1688" s="14"/>
      <c r="V1688" s="20"/>
      <c r="W1688" s="11"/>
      <c r="X1688" s="14"/>
      <c r="Y1688" s="14"/>
      <c r="Z1688" s="14"/>
      <c r="AA1688" s="14"/>
      <c r="AC1688" s="14"/>
      <c r="AD1688" s="14"/>
      <c r="AE1688" s="14"/>
      <c r="AF1688" s="13"/>
      <c r="AH1688" s="14"/>
      <c r="AI1688" s="14"/>
      <c r="AJ1688" s="14"/>
      <c r="AK1688" s="20"/>
      <c r="AM1688" s="14"/>
      <c r="AN1688" s="14"/>
      <c r="AO1688" s="14"/>
      <c r="AU1688" s="52" t="s">
        <v>53</v>
      </c>
    </row>
    <row r="1689" spans="1:47" s="12" customFormat="1" ht="18.75" hidden="1" customHeight="1" x14ac:dyDescent="0.3">
      <c r="A1689" s="12" t="s">
        <v>505</v>
      </c>
      <c r="B1689" s="12" t="s">
        <v>8023</v>
      </c>
      <c r="C1689" s="12">
        <v>70</v>
      </c>
      <c r="D1689" s="12">
        <v>508</v>
      </c>
      <c r="E1689" s="14"/>
      <c r="F1689" s="14" t="s">
        <v>8039</v>
      </c>
      <c r="G1689" s="12" t="str">
        <f t="shared" si="40"/>
        <v>705089004805691</v>
      </c>
      <c r="H1689" s="14" t="s">
        <v>7986</v>
      </c>
      <c r="I1689" s="19">
        <v>9004805691</v>
      </c>
      <c r="J1689" s="14" t="s">
        <v>8103</v>
      </c>
      <c r="K1689" s="12" t="s">
        <v>230</v>
      </c>
      <c r="M1689" s="54"/>
      <c r="N1689" s="12" t="s">
        <v>1757</v>
      </c>
      <c r="O1689" s="12" t="s">
        <v>1758</v>
      </c>
      <c r="P1689" s="88" t="s">
        <v>48</v>
      </c>
      <c r="Q1689" s="20">
        <v>45428</v>
      </c>
      <c r="R1689" s="16" t="s">
        <v>1906</v>
      </c>
      <c r="S1689" s="14" t="s">
        <v>49</v>
      </c>
      <c r="T1689" s="14"/>
      <c r="U1689" s="14"/>
      <c r="V1689" s="20"/>
      <c r="W1689" s="11"/>
      <c r="X1689" s="14"/>
      <c r="Y1689" s="14"/>
      <c r="Z1689" s="14"/>
      <c r="AA1689" s="14"/>
      <c r="AC1689" s="14"/>
      <c r="AD1689" s="14"/>
      <c r="AE1689" s="14"/>
      <c r="AF1689" s="13"/>
      <c r="AH1689" s="14"/>
      <c r="AI1689" s="14"/>
      <c r="AJ1689" s="14"/>
      <c r="AK1689" s="20"/>
      <c r="AM1689" s="14"/>
      <c r="AN1689" s="14"/>
      <c r="AO1689" s="14"/>
      <c r="AU1689" s="52" t="s">
        <v>53</v>
      </c>
    </row>
    <row r="1690" spans="1:47" s="12" customFormat="1" ht="18.75" customHeight="1" x14ac:dyDescent="0.3">
      <c r="A1690" s="12" t="s">
        <v>505</v>
      </c>
      <c r="B1690" s="12" t="s">
        <v>8023</v>
      </c>
      <c r="C1690" s="12">
        <v>70</v>
      </c>
      <c r="D1690" s="12">
        <v>508</v>
      </c>
      <c r="E1690" s="14"/>
      <c r="F1690" s="276" t="s">
        <v>8040</v>
      </c>
      <c r="G1690" s="12" t="str">
        <f t="shared" si="40"/>
        <v>7050892519982</v>
      </c>
      <c r="H1690" s="14" t="s">
        <v>8068</v>
      </c>
      <c r="I1690" s="19">
        <v>92519982</v>
      </c>
      <c r="J1690" s="14" t="s">
        <v>8104</v>
      </c>
      <c r="K1690" s="12" t="s">
        <v>230</v>
      </c>
      <c r="L1690" s="12">
        <v>3106485473</v>
      </c>
      <c r="M1690" s="54" t="s">
        <v>8117</v>
      </c>
      <c r="N1690" s="12" t="s">
        <v>8021</v>
      </c>
      <c r="O1690" s="12" t="s">
        <v>47</v>
      </c>
      <c r="P1690" s="88" t="s">
        <v>48</v>
      </c>
      <c r="Q1690" s="20">
        <v>45421</v>
      </c>
      <c r="R1690" s="16" t="s">
        <v>4998</v>
      </c>
      <c r="S1690" s="14" t="s">
        <v>319</v>
      </c>
      <c r="T1690" s="14"/>
      <c r="U1690" s="14"/>
      <c r="V1690" s="20"/>
      <c r="W1690" s="11"/>
      <c r="X1690" s="14"/>
      <c r="Y1690" s="14"/>
      <c r="Z1690" s="14"/>
      <c r="AA1690" s="14"/>
      <c r="AC1690" s="14"/>
      <c r="AD1690" s="14"/>
      <c r="AE1690" s="14"/>
      <c r="AF1690" s="13"/>
      <c r="AH1690" s="14"/>
      <c r="AI1690" s="14"/>
      <c r="AJ1690" s="14"/>
      <c r="AK1690" s="20"/>
      <c r="AM1690" s="14"/>
      <c r="AN1690" s="14"/>
      <c r="AO1690" s="14"/>
      <c r="AU1690" s="52" t="s">
        <v>53</v>
      </c>
    </row>
    <row r="1691" spans="1:47" s="12" customFormat="1" ht="18.75" hidden="1" customHeight="1" x14ac:dyDescent="0.3">
      <c r="A1691" s="12" t="s">
        <v>505</v>
      </c>
      <c r="B1691" s="12" t="s">
        <v>8023</v>
      </c>
      <c r="C1691" s="12">
        <v>70</v>
      </c>
      <c r="D1691" s="12">
        <v>508</v>
      </c>
      <c r="E1691" s="14"/>
      <c r="F1691" s="14" t="s">
        <v>8041</v>
      </c>
      <c r="G1691" s="12" t="str">
        <f t="shared" si="40"/>
        <v>7050864893005</v>
      </c>
      <c r="H1691" s="14" t="s">
        <v>8069</v>
      </c>
      <c r="I1691" s="19">
        <v>64893005</v>
      </c>
      <c r="J1691" s="14" t="s">
        <v>8105</v>
      </c>
      <c r="K1691" s="12" t="s">
        <v>230</v>
      </c>
      <c r="L1691" s="12">
        <v>3205677697</v>
      </c>
      <c r="M1691" s="54"/>
      <c r="N1691" s="12" t="s">
        <v>780</v>
      </c>
      <c r="O1691" s="12" t="s">
        <v>260</v>
      </c>
      <c r="P1691" s="88" t="s">
        <v>261</v>
      </c>
      <c r="Q1691" s="20">
        <v>45567</v>
      </c>
      <c r="R1691" s="16">
        <v>0.87</v>
      </c>
      <c r="S1691" s="14" t="s">
        <v>49</v>
      </c>
      <c r="T1691" s="14"/>
      <c r="U1691" s="14"/>
      <c r="V1691" s="20"/>
      <c r="W1691" s="11"/>
      <c r="X1691" s="14"/>
      <c r="Y1691" s="14"/>
      <c r="Z1691" s="14"/>
      <c r="AA1691" s="14"/>
      <c r="AC1691" s="14"/>
      <c r="AD1691" s="14"/>
      <c r="AE1691" s="14"/>
      <c r="AF1691" s="13"/>
      <c r="AH1691" s="14"/>
      <c r="AI1691" s="14"/>
      <c r="AJ1691" s="14"/>
      <c r="AK1691" s="20"/>
      <c r="AM1691" s="14"/>
      <c r="AN1691" s="14"/>
      <c r="AO1691" s="14"/>
      <c r="AU1691" s="52" t="s">
        <v>53</v>
      </c>
    </row>
    <row r="1692" spans="1:47" s="12" customFormat="1" ht="18.75" hidden="1" customHeight="1" x14ac:dyDescent="0.3">
      <c r="A1692" s="12" t="s">
        <v>505</v>
      </c>
      <c r="B1692" s="12" t="s">
        <v>8023</v>
      </c>
      <c r="C1692" s="12">
        <v>70</v>
      </c>
      <c r="D1692" s="12">
        <v>508</v>
      </c>
      <c r="E1692" s="14"/>
      <c r="F1692" s="14" t="s">
        <v>8042</v>
      </c>
      <c r="G1692" s="12" t="str">
        <f t="shared" si="40"/>
        <v>7050864892260</v>
      </c>
      <c r="H1692" s="14" t="s">
        <v>8070</v>
      </c>
      <c r="I1692" s="19">
        <v>64892260</v>
      </c>
      <c r="J1692" s="14" t="s">
        <v>8106</v>
      </c>
      <c r="K1692" s="12" t="s">
        <v>230</v>
      </c>
      <c r="L1692" s="12">
        <v>3203736079</v>
      </c>
      <c r="M1692" s="54" t="s">
        <v>8118</v>
      </c>
      <c r="N1692" s="12" t="s">
        <v>8021</v>
      </c>
      <c r="O1692" s="12" t="s">
        <v>1773</v>
      </c>
      <c r="P1692" s="88" t="s">
        <v>48</v>
      </c>
      <c r="Q1692" s="20">
        <v>45427</v>
      </c>
      <c r="R1692" s="16" t="s">
        <v>6091</v>
      </c>
      <c r="S1692" s="14" t="s">
        <v>210</v>
      </c>
      <c r="T1692" s="14"/>
      <c r="U1692" s="14"/>
      <c r="V1692" s="20"/>
      <c r="W1692" s="11"/>
      <c r="X1692" s="14"/>
      <c r="Y1692" s="14"/>
      <c r="Z1692" s="14"/>
      <c r="AA1692" s="14"/>
      <c r="AC1692" s="14"/>
      <c r="AD1692" s="14"/>
      <c r="AE1692" s="14"/>
      <c r="AF1692" s="13"/>
      <c r="AH1692" s="14"/>
      <c r="AI1692" s="14"/>
      <c r="AJ1692" s="14"/>
      <c r="AK1692" s="20"/>
      <c r="AM1692" s="14"/>
      <c r="AN1692" s="14"/>
      <c r="AO1692" s="14"/>
      <c r="AU1692" s="52" t="s">
        <v>53</v>
      </c>
    </row>
    <row r="1693" spans="1:47" s="12" customFormat="1" ht="18.75" hidden="1" customHeight="1" x14ac:dyDescent="0.3">
      <c r="A1693" s="12" t="s">
        <v>505</v>
      </c>
      <c r="B1693" s="12" t="s">
        <v>8023</v>
      </c>
      <c r="C1693" s="12">
        <v>70</v>
      </c>
      <c r="D1693" s="12">
        <v>508</v>
      </c>
      <c r="E1693" s="14"/>
      <c r="F1693" s="14" t="s">
        <v>8043</v>
      </c>
      <c r="G1693" s="12" t="str">
        <f t="shared" si="40"/>
        <v>7050818880472</v>
      </c>
      <c r="H1693" s="14" t="s">
        <v>8071</v>
      </c>
      <c r="I1693" s="19">
        <v>18880472</v>
      </c>
      <c r="J1693" s="14" t="s">
        <v>8107</v>
      </c>
      <c r="K1693" s="12" t="s">
        <v>230</v>
      </c>
      <c r="L1693" s="12">
        <v>3106120766</v>
      </c>
      <c r="M1693" s="54"/>
      <c r="N1693" s="12" t="s">
        <v>432</v>
      </c>
      <c r="O1693" s="12" t="s">
        <v>432</v>
      </c>
      <c r="P1693" s="88" t="s">
        <v>261</v>
      </c>
      <c r="Q1693" s="20">
        <v>45595</v>
      </c>
      <c r="R1693" s="16">
        <v>0.89</v>
      </c>
      <c r="S1693" s="14" t="s">
        <v>49</v>
      </c>
      <c r="T1693" s="14"/>
      <c r="U1693" s="14"/>
      <c r="V1693" s="20"/>
      <c r="W1693" s="11"/>
      <c r="X1693" s="14"/>
      <c r="Y1693" s="14"/>
      <c r="Z1693" s="14"/>
      <c r="AA1693" s="14"/>
      <c r="AC1693" s="14"/>
      <c r="AD1693" s="14"/>
      <c r="AE1693" s="14"/>
      <c r="AF1693" s="13"/>
      <c r="AH1693" s="14"/>
      <c r="AI1693" s="14"/>
      <c r="AJ1693" s="14"/>
      <c r="AK1693" s="20"/>
      <c r="AM1693" s="14"/>
      <c r="AN1693" s="14"/>
      <c r="AO1693" s="14"/>
      <c r="AU1693" s="52" t="s">
        <v>53</v>
      </c>
    </row>
    <row r="1694" spans="1:47" s="12" customFormat="1" ht="18.75" hidden="1" customHeight="1" x14ac:dyDescent="0.3">
      <c r="A1694" s="12" t="s">
        <v>505</v>
      </c>
      <c r="B1694" s="12" t="s">
        <v>8023</v>
      </c>
      <c r="C1694" s="12">
        <v>70</v>
      </c>
      <c r="D1694" s="12">
        <v>508</v>
      </c>
      <c r="E1694" s="14" t="s">
        <v>8496</v>
      </c>
      <c r="F1694" s="276" t="s">
        <v>8044</v>
      </c>
      <c r="G1694" s="12" t="str">
        <f t="shared" si="40"/>
        <v>705088922003672</v>
      </c>
      <c r="H1694" s="14" t="s">
        <v>8497</v>
      </c>
      <c r="I1694" s="19">
        <v>8922003672</v>
      </c>
      <c r="J1694" s="14" t="s">
        <v>8498</v>
      </c>
      <c r="K1694" s="12" t="s">
        <v>133</v>
      </c>
      <c r="L1694" s="12">
        <v>3137003889</v>
      </c>
      <c r="M1694" s="253" t="s">
        <v>8499</v>
      </c>
      <c r="N1694" s="12" t="s">
        <v>127</v>
      </c>
      <c r="O1694" s="12" t="s">
        <v>2822</v>
      </c>
      <c r="P1694" s="88" t="s">
        <v>48</v>
      </c>
      <c r="Q1694" s="13">
        <v>46093</v>
      </c>
      <c r="R1694" s="16">
        <v>0.88</v>
      </c>
      <c r="S1694" s="12" t="s">
        <v>49</v>
      </c>
      <c r="T1694" s="12" t="s">
        <v>8500</v>
      </c>
      <c r="U1694" s="12" t="s">
        <v>4747</v>
      </c>
      <c r="V1694" s="13">
        <v>45909</v>
      </c>
      <c r="W1694" s="16">
        <v>0.92</v>
      </c>
      <c r="X1694" s="12" t="s">
        <v>210</v>
      </c>
      <c r="Y1694" s="14"/>
      <c r="Z1694" s="14" t="s">
        <v>50</v>
      </c>
      <c r="AA1694" s="14"/>
      <c r="AC1694" s="20">
        <v>45516</v>
      </c>
      <c r="AD1694" s="16" t="s">
        <v>1937</v>
      </c>
      <c r="AE1694" s="14" t="s">
        <v>49</v>
      </c>
      <c r="AF1694" s="13" t="s">
        <v>50</v>
      </c>
      <c r="AH1694" s="14"/>
      <c r="AI1694" s="14"/>
      <c r="AJ1694" s="14"/>
      <c r="AK1694" s="20"/>
      <c r="AM1694" s="14"/>
      <c r="AN1694" s="14"/>
      <c r="AO1694" s="14"/>
      <c r="AU1694" s="52" t="s">
        <v>53</v>
      </c>
    </row>
    <row r="1695" spans="1:47" s="12" customFormat="1" ht="18.75" hidden="1" customHeight="1" x14ac:dyDescent="0.3">
      <c r="A1695" s="12" t="s">
        <v>505</v>
      </c>
      <c r="B1695" s="12" t="s">
        <v>8023</v>
      </c>
      <c r="C1695" s="12">
        <v>70</v>
      </c>
      <c r="D1695" s="12">
        <v>508</v>
      </c>
      <c r="E1695" s="14" t="s">
        <v>8496</v>
      </c>
      <c r="F1695" s="276" t="s">
        <v>8045</v>
      </c>
      <c r="G1695" s="12" t="str">
        <f t="shared" si="40"/>
        <v>705088922003672</v>
      </c>
      <c r="H1695" s="14" t="s">
        <v>8497</v>
      </c>
      <c r="I1695" s="19">
        <v>8922003672</v>
      </c>
      <c r="J1695" s="14" t="s">
        <v>8501</v>
      </c>
      <c r="K1695" s="12" t="s">
        <v>133</v>
      </c>
      <c r="L1695" s="12">
        <v>3137003889</v>
      </c>
      <c r="M1695" s="253" t="s">
        <v>8499</v>
      </c>
      <c r="N1695" s="12" t="s">
        <v>127</v>
      </c>
      <c r="O1695" s="12" t="s">
        <v>2822</v>
      </c>
      <c r="P1695" s="88" t="s">
        <v>48</v>
      </c>
      <c r="Q1695" s="13">
        <v>46093</v>
      </c>
      <c r="R1695" s="16">
        <v>0.86</v>
      </c>
      <c r="S1695" s="12" t="s">
        <v>49</v>
      </c>
      <c r="T1695" s="12" t="s">
        <v>8500</v>
      </c>
      <c r="U1695" s="12" t="s">
        <v>4747</v>
      </c>
      <c r="V1695" s="13">
        <v>45909</v>
      </c>
      <c r="W1695" s="16">
        <v>0.9</v>
      </c>
      <c r="X1695" s="12" t="s">
        <v>210</v>
      </c>
      <c r="Y1695" s="14"/>
      <c r="Z1695" s="14" t="s">
        <v>50</v>
      </c>
      <c r="AA1695" s="14"/>
      <c r="AC1695" s="20">
        <v>45516</v>
      </c>
      <c r="AD1695" s="16">
        <v>0.88</v>
      </c>
      <c r="AE1695" s="14" t="s">
        <v>49</v>
      </c>
      <c r="AF1695" s="13"/>
      <c r="AH1695" s="14"/>
      <c r="AI1695" s="14"/>
      <c r="AJ1695" s="14"/>
      <c r="AK1695" s="20"/>
      <c r="AM1695" s="14"/>
      <c r="AN1695" s="14"/>
      <c r="AO1695" s="14"/>
      <c r="AU1695" s="52" t="s">
        <v>53</v>
      </c>
    </row>
    <row r="1696" spans="1:47" s="12" customFormat="1" ht="18" customHeight="1" x14ac:dyDescent="0.3">
      <c r="A1696" s="12" t="s">
        <v>505</v>
      </c>
      <c r="B1696" s="12" t="s">
        <v>8023</v>
      </c>
      <c r="C1696" s="12">
        <v>70</v>
      </c>
      <c r="D1696" s="12">
        <v>508</v>
      </c>
      <c r="E1696" s="14"/>
      <c r="F1696" s="276" t="s">
        <v>8046</v>
      </c>
      <c r="G1696" s="12" t="str">
        <f t="shared" si="40"/>
        <v>705081101815378</v>
      </c>
      <c r="H1696" s="14" t="s">
        <v>9713</v>
      </c>
      <c r="I1696" s="14">
        <v>1101815378</v>
      </c>
      <c r="J1696" s="14" t="s">
        <v>9714</v>
      </c>
      <c r="K1696" s="12" t="s">
        <v>44</v>
      </c>
      <c r="L1696" s="12">
        <v>3245138797</v>
      </c>
      <c r="M1696" s="54" t="s">
        <v>9715</v>
      </c>
      <c r="N1696" s="12" t="s">
        <v>8021</v>
      </c>
      <c r="O1696" s="12" t="s">
        <v>47</v>
      </c>
      <c r="P1696" s="88" t="s">
        <v>48</v>
      </c>
      <c r="Q1696" s="13">
        <v>45952</v>
      </c>
      <c r="R1696" s="16">
        <v>0.84</v>
      </c>
      <c r="S1696" s="12" t="s">
        <v>49</v>
      </c>
      <c r="T1696" s="14"/>
      <c r="U1696" s="14" t="s">
        <v>60</v>
      </c>
      <c r="V1696" s="20">
        <v>45460</v>
      </c>
      <c r="W1696" s="16" t="s">
        <v>5043</v>
      </c>
      <c r="X1696" s="14" t="s">
        <v>210</v>
      </c>
      <c r="Y1696" s="14"/>
      <c r="Z1696" s="14" t="s">
        <v>50</v>
      </c>
      <c r="AA1696" s="14"/>
      <c r="AC1696" s="14"/>
      <c r="AD1696" s="14"/>
      <c r="AE1696" s="14"/>
      <c r="AF1696" s="13"/>
      <c r="AH1696" s="14"/>
      <c r="AI1696" s="14"/>
      <c r="AJ1696" s="14"/>
      <c r="AK1696" s="20"/>
      <c r="AM1696" s="14"/>
      <c r="AN1696" s="14"/>
      <c r="AO1696" s="14"/>
      <c r="AU1696" s="52" t="s">
        <v>53</v>
      </c>
    </row>
    <row r="1697" spans="1:47" s="12" customFormat="1" ht="18" hidden="1" customHeight="1" x14ac:dyDescent="0.3">
      <c r="A1697" s="12" t="s">
        <v>505</v>
      </c>
      <c r="B1697" s="12" t="s">
        <v>8023</v>
      </c>
      <c r="C1697" s="12">
        <v>70</v>
      </c>
      <c r="D1697" s="12">
        <v>508</v>
      </c>
      <c r="E1697" s="14"/>
      <c r="F1697" s="14" t="s">
        <v>5232</v>
      </c>
      <c r="G1697" s="12" t="str">
        <f t="shared" si="40"/>
        <v>705081101817799</v>
      </c>
      <c r="H1697" s="14" t="s">
        <v>8072</v>
      </c>
      <c r="I1697" s="19">
        <v>1101817799</v>
      </c>
      <c r="J1697" s="14" t="s">
        <v>8108</v>
      </c>
      <c r="K1697" s="12" t="s">
        <v>230</v>
      </c>
      <c r="M1697" s="54"/>
      <c r="N1697" s="12" t="s">
        <v>780</v>
      </c>
      <c r="O1697" s="12" t="s">
        <v>8119</v>
      </c>
      <c r="P1697" s="88" t="s">
        <v>48</v>
      </c>
      <c r="Q1697" s="20">
        <v>45534</v>
      </c>
      <c r="R1697" s="16">
        <v>0.86750000000000005</v>
      </c>
      <c r="S1697" s="14" t="s">
        <v>49</v>
      </c>
      <c r="T1697" s="14"/>
      <c r="U1697" s="14"/>
      <c r="V1697" s="20"/>
      <c r="W1697" s="11"/>
      <c r="X1697" s="14"/>
      <c r="Y1697" s="14"/>
      <c r="Z1697" s="14"/>
      <c r="AA1697" s="14"/>
      <c r="AC1697" s="14"/>
      <c r="AD1697" s="14"/>
      <c r="AE1697" s="14"/>
      <c r="AF1697" s="13"/>
      <c r="AH1697" s="14"/>
      <c r="AI1697" s="14"/>
      <c r="AJ1697" s="14"/>
      <c r="AK1697" s="20"/>
      <c r="AM1697" s="14"/>
      <c r="AN1697" s="14"/>
      <c r="AO1697" s="14"/>
      <c r="AU1697" s="52" t="s">
        <v>53</v>
      </c>
    </row>
    <row r="1698" spans="1:47" s="12" customFormat="1" ht="18" hidden="1" customHeight="1" x14ac:dyDescent="0.3">
      <c r="A1698" s="12" t="s">
        <v>505</v>
      </c>
      <c r="B1698" s="12" t="s">
        <v>8023</v>
      </c>
      <c r="C1698" s="12">
        <v>70</v>
      </c>
      <c r="D1698" s="12">
        <v>508</v>
      </c>
      <c r="E1698" s="14"/>
      <c r="F1698" s="14" t="s">
        <v>8047</v>
      </c>
      <c r="G1698" s="12" t="str">
        <f t="shared" si="40"/>
        <v>7050822904842</v>
      </c>
      <c r="H1698" s="14" t="s">
        <v>8073</v>
      </c>
      <c r="I1698" s="19">
        <v>22904842</v>
      </c>
      <c r="J1698" s="14" t="s">
        <v>8109</v>
      </c>
      <c r="K1698" s="12" t="s">
        <v>230</v>
      </c>
      <c r="L1698" s="12">
        <v>3107528431</v>
      </c>
      <c r="M1698" s="54"/>
      <c r="N1698" s="12" t="s">
        <v>432</v>
      </c>
      <c r="O1698" s="12" t="s">
        <v>432</v>
      </c>
      <c r="P1698" s="88" t="s">
        <v>261</v>
      </c>
      <c r="Q1698" s="20">
        <v>45594</v>
      </c>
      <c r="R1698" s="16">
        <v>0.86</v>
      </c>
      <c r="S1698" s="14" t="s">
        <v>49</v>
      </c>
      <c r="T1698" s="14"/>
      <c r="U1698" s="14"/>
      <c r="V1698" s="20"/>
      <c r="W1698" s="11"/>
      <c r="X1698" s="14"/>
      <c r="Y1698" s="14"/>
      <c r="Z1698" s="14"/>
      <c r="AA1698" s="14"/>
      <c r="AC1698" s="14"/>
      <c r="AD1698" s="14"/>
      <c r="AE1698" s="14"/>
      <c r="AF1698" s="13"/>
      <c r="AH1698" s="14"/>
      <c r="AI1698" s="14"/>
      <c r="AJ1698" s="14"/>
      <c r="AK1698" s="20"/>
      <c r="AM1698" s="14"/>
      <c r="AN1698" s="14"/>
      <c r="AO1698" s="14"/>
      <c r="AU1698" s="52" t="s">
        <v>53</v>
      </c>
    </row>
    <row r="1699" spans="1:47" s="12" customFormat="1" ht="18" customHeight="1" x14ac:dyDescent="0.3">
      <c r="A1699" s="12" t="s">
        <v>505</v>
      </c>
      <c r="B1699" s="12" t="s">
        <v>8023</v>
      </c>
      <c r="C1699" s="12">
        <v>70</v>
      </c>
      <c r="D1699" s="12">
        <v>508</v>
      </c>
      <c r="E1699" s="14"/>
      <c r="F1699" s="276" t="s">
        <v>8048</v>
      </c>
      <c r="G1699" s="12" t="str">
        <f t="shared" si="40"/>
        <v>7050898636742</v>
      </c>
      <c r="H1699" s="14" t="s">
        <v>8993</v>
      </c>
      <c r="I1699" s="14">
        <v>98636742</v>
      </c>
      <c r="J1699" s="14" t="s">
        <v>8994</v>
      </c>
      <c r="K1699" s="12" t="s">
        <v>230</v>
      </c>
      <c r="L1699" s="12">
        <v>3205212185</v>
      </c>
      <c r="M1699" s="54" t="s">
        <v>8995</v>
      </c>
      <c r="N1699" s="12" t="s">
        <v>8021</v>
      </c>
      <c r="O1699" s="12" t="s">
        <v>47</v>
      </c>
      <c r="P1699" s="88" t="s">
        <v>48</v>
      </c>
      <c r="Q1699" s="13">
        <v>46163</v>
      </c>
      <c r="R1699" s="12">
        <v>87</v>
      </c>
      <c r="S1699" s="12" t="s">
        <v>49</v>
      </c>
      <c r="T1699" s="14" t="s">
        <v>8592</v>
      </c>
      <c r="U1699" s="14" t="s">
        <v>60</v>
      </c>
      <c r="V1699" s="20">
        <v>45462</v>
      </c>
      <c r="W1699" s="16" t="s">
        <v>1969</v>
      </c>
      <c r="X1699" s="14" t="s">
        <v>49</v>
      </c>
      <c r="Y1699" s="14"/>
      <c r="Z1699" s="14" t="s">
        <v>60</v>
      </c>
      <c r="AA1699" s="14"/>
      <c r="AC1699" s="14"/>
      <c r="AD1699" s="14"/>
      <c r="AE1699" s="14"/>
      <c r="AF1699" s="13"/>
      <c r="AH1699" s="14"/>
      <c r="AI1699" s="14"/>
      <c r="AJ1699" s="14"/>
      <c r="AK1699" s="20"/>
      <c r="AM1699" s="14"/>
      <c r="AN1699" s="14"/>
      <c r="AO1699" s="14"/>
      <c r="AU1699" s="52" t="s">
        <v>53</v>
      </c>
    </row>
    <row r="1700" spans="1:47" s="12" customFormat="1" ht="18" customHeight="1" x14ac:dyDescent="0.3">
      <c r="A1700" s="12" t="s">
        <v>505</v>
      </c>
      <c r="B1700" s="12" t="s">
        <v>8023</v>
      </c>
      <c r="C1700" s="12">
        <v>70</v>
      </c>
      <c r="D1700" s="12">
        <v>508</v>
      </c>
      <c r="E1700" s="14"/>
      <c r="F1700" s="276" t="s">
        <v>8049</v>
      </c>
      <c r="G1700" s="12" t="str">
        <f t="shared" si="40"/>
        <v>7050833217343</v>
      </c>
      <c r="H1700" s="14" t="s">
        <v>8074</v>
      </c>
      <c r="I1700" s="19">
        <v>33217343</v>
      </c>
      <c r="J1700" s="14" t="s">
        <v>8991</v>
      </c>
      <c r="K1700" s="12" t="s">
        <v>230</v>
      </c>
      <c r="L1700" s="12">
        <v>3208275917</v>
      </c>
      <c r="M1700" s="54" t="s">
        <v>8992</v>
      </c>
      <c r="N1700" s="12" t="s">
        <v>8021</v>
      </c>
      <c r="O1700" s="12" t="s">
        <v>47</v>
      </c>
      <c r="P1700" s="88" t="s">
        <v>48</v>
      </c>
      <c r="Q1700" s="13">
        <v>46194</v>
      </c>
      <c r="R1700" s="12" t="s">
        <v>8558</v>
      </c>
      <c r="S1700" s="12" t="s">
        <v>49</v>
      </c>
      <c r="T1700" s="14" t="s">
        <v>8592</v>
      </c>
      <c r="U1700" s="14" t="s">
        <v>60</v>
      </c>
      <c r="V1700" s="20">
        <v>45421</v>
      </c>
      <c r="W1700" s="16">
        <v>0.85</v>
      </c>
      <c r="X1700" s="14" t="s">
        <v>49</v>
      </c>
      <c r="Y1700" s="14"/>
      <c r="Z1700" s="14" t="s">
        <v>60</v>
      </c>
      <c r="AA1700" s="14"/>
      <c r="AC1700" s="14"/>
      <c r="AD1700" s="14"/>
      <c r="AE1700" s="14"/>
      <c r="AF1700" s="13"/>
      <c r="AH1700" s="14"/>
      <c r="AI1700" s="14"/>
      <c r="AJ1700" s="14"/>
      <c r="AK1700" s="20"/>
      <c r="AM1700" s="14"/>
      <c r="AN1700" s="14"/>
      <c r="AO1700" s="14"/>
      <c r="AU1700" s="52" t="s">
        <v>53</v>
      </c>
    </row>
    <row r="1701" spans="1:47" s="12" customFormat="1" ht="18" customHeight="1" x14ac:dyDescent="0.3">
      <c r="A1701" s="12" t="s">
        <v>505</v>
      </c>
      <c r="B1701" s="12" t="s">
        <v>8023</v>
      </c>
      <c r="C1701" s="12">
        <v>70</v>
      </c>
      <c r="D1701" s="12">
        <v>508</v>
      </c>
      <c r="E1701" s="14"/>
      <c r="F1701" s="276" t="s">
        <v>9716</v>
      </c>
      <c r="G1701" s="12" t="str">
        <f t="shared" si="40"/>
        <v>7050818881924</v>
      </c>
      <c r="H1701" s="14" t="s">
        <v>9717</v>
      </c>
      <c r="I1701" s="14">
        <v>18881924</v>
      </c>
      <c r="J1701" s="14" t="s">
        <v>9718</v>
      </c>
      <c r="K1701" s="12" t="s">
        <v>44</v>
      </c>
      <c r="L1701" s="12">
        <v>3113164768</v>
      </c>
      <c r="M1701" s="54" t="s">
        <v>9719</v>
      </c>
      <c r="N1701" s="12" t="s">
        <v>8021</v>
      </c>
      <c r="O1701" s="12" t="s">
        <v>47</v>
      </c>
      <c r="P1701" s="88" t="s">
        <v>48</v>
      </c>
      <c r="Q1701" s="13">
        <v>45952</v>
      </c>
      <c r="R1701" s="16">
        <v>0.85</v>
      </c>
      <c r="S1701" s="12" t="s">
        <v>49</v>
      </c>
      <c r="T1701" s="14"/>
      <c r="U1701" s="14" t="s">
        <v>60</v>
      </c>
      <c r="V1701" s="20"/>
      <c r="W1701" s="16"/>
      <c r="X1701" s="14"/>
      <c r="Y1701" s="14"/>
      <c r="Z1701" s="14"/>
      <c r="AA1701" s="14"/>
      <c r="AC1701" s="14"/>
      <c r="AD1701" s="14"/>
      <c r="AE1701" s="14"/>
      <c r="AF1701" s="13"/>
      <c r="AH1701" s="14"/>
      <c r="AI1701" s="14"/>
      <c r="AJ1701" s="14"/>
      <c r="AK1701" s="20"/>
      <c r="AM1701" s="14"/>
      <c r="AN1701" s="14"/>
      <c r="AO1701" s="14"/>
      <c r="AU1701" s="52" t="s">
        <v>1208</v>
      </c>
    </row>
    <row r="1702" spans="1:47" s="12" customFormat="1" ht="18" customHeight="1" x14ac:dyDescent="0.3">
      <c r="A1702" s="12" t="s">
        <v>505</v>
      </c>
      <c r="B1702" s="12" t="s">
        <v>8023</v>
      </c>
      <c r="C1702" s="12">
        <v>70</v>
      </c>
      <c r="D1702" s="12">
        <v>508</v>
      </c>
      <c r="E1702" s="14"/>
      <c r="F1702" s="276" t="s">
        <v>9723</v>
      </c>
      <c r="G1702" s="12" t="str">
        <f t="shared" si="40"/>
        <v>7050833217343</v>
      </c>
      <c r="H1702" s="14" t="s">
        <v>9720</v>
      </c>
      <c r="I1702" s="14">
        <v>33217343</v>
      </c>
      <c r="J1702" s="14" t="s">
        <v>9721</v>
      </c>
      <c r="K1702" s="12" t="s">
        <v>44</v>
      </c>
      <c r="L1702" s="12">
        <v>3108246431</v>
      </c>
      <c r="M1702" s="54" t="s">
        <v>9722</v>
      </c>
      <c r="N1702" s="12" t="s">
        <v>8021</v>
      </c>
      <c r="O1702" s="12" t="s">
        <v>47</v>
      </c>
      <c r="P1702" s="88" t="s">
        <v>48</v>
      </c>
      <c r="Q1702" s="13">
        <v>45988</v>
      </c>
      <c r="R1702" s="16">
        <v>0.65</v>
      </c>
      <c r="S1702" s="12" t="s">
        <v>49</v>
      </c>
      <c r="T1702" s="14"/>
      <c r="U1702" s="14" t="s">
        <v>60</v>
      </c>
      <c r="V1702" s="20"/>
      <c r="W1702" s="16"/>
      <c r="X1702" s="14"/>
      <c r="Y1702" s="14"/>
      <c r="Z1702" s="14"/>
      <c r="AA1702" s="14"/>
      <c r="AC1702" s="14"/>
      <c r="AD1702" s="14"/>
      <c r="AE1702" s="14"/>
      <c r="AF1702" s="13"/>
      <c r="AH1702" s="14"/>
      <c r="AI1702" s="14"/>
      <c r="AJ1702" s="14"/>
      <c r="AK1702" s="20"/>
      <c r="AM1702" s="14"/>
      <c r="AN1702" s="14"/>
      <c r="AO1702" s="14"/>
      <c r="AU1702" s="52" t="s">
        <v>53</v>
      </c>
    </row>
    <row r="1703" spans="1:47" s="12" customFormat="1" ht="18" customHeight="1" x14ac:dyDescent="0.3">
      <c r="A1703" s="12" t="s">
        <v>505</v>
      </c>
      <c r="B1703" s="12" t="s">
        <v>8023</v>
      </c>
      <c r="C1703" s="12">
        <v>70</v>
      </c>
      <c r="D1703" s="12">
        <v>508</v>
      </c>
      <c r="E1703" s="14"/>
      <c r="F1703" s="276" t="s">
        <v>9724</v>
      </c>
      <c r="G1703" s="12" t="str">
        <f t="shared" si="40"/>
        <v>7050864893407</v>
      </c>
      <c r="H1703" s="14" t="s">
        <v>9725</v>
      </c>
      <c r="I1703" s="14">
        <v>64893407</v>
      </c>
      <c r="J1703" s="14" t="s">
        <v>9726</v>
      </c>
      <c r="K1703" s="12" t="s">
        <v>44</v>
      </c>
      <c r="L1703" s="12">
        <v>3006182437</v>
      </c>
      <c r="M1703" s="54" t="s">
        <v>9727</v>
      </c>
      <c r="N1703" s="12" t="s">
        <v>8021</v>
      </c>
      <c r="O1703" s="12" t="s">
        <v>47</v>
      </c>
      <c r="P1703" s="88" t="s">
        <v>48</v>
      </c>
      <c r="Q1703" s="13">
        <v>45974</v>
      </c>
      <c r="R1703" s="16">
        <v>0.81</v>
      </c>
      <c r="S1703" s="12" t="s">
        <v>49</v>
      </c>
      <c r="T1703" s="14"/>
      <c r="U1703" s="14" t="s">
        <v>60</v>
      </c>
      <c r="V1703" s="20"/>
      <c r="W1703" s="16"/>
      <c r="X1703" s="14"/>
      <c r="Y1703" s="14"/>
      <c r="Z1703" s="14"/>
      <c r="AA1703" s="14"/>
      <c r="AC1703" s="14"/>
      <c r="AD1703" s="14"/>
      <c r="AE1703" s="14"/>
      <c r="AF1703" s="13"/>
      <c r="AH1703" s="14"/>
      <c r="AI1703" s="14"/>
      <c r="AJ1703" s="14"/>
      <c r="AK1703" s="20"/>
      <c r="AM1703" s="14"/>
      <c r="AN1703" s="14"/>
      <c r="AO1703" s="14"/>
      <c r="AU1703" s="52" t="s">
        <v>53</v>
      </c>
    </row>
    <row r="1704" spans="1:47" s="12" customFormat="1" ht="18" customHeight="1" x14ac:dyDescent="0.3">
      <c r="A1704" s="12" t="s">
        <v>505</v>
      </c>
      <c r="B1704" s="12" t="s">
        <v>8023</v>
      </c>
      <c r="C1704" s="12">
        <v>70</v>
      </c>
      <c r="D1704" s="12">
        <v>508</v>
      </c>
      <c r="E1704" s="14"/>
      <c r="F1704" s="276" t="s">
        <v>9317</v>
      </c>
      <c r="G1704" s="12" t="str">
        <f t="shared" si="40"/>
        <v>70508188783578</v>
      </c>
      <c r="H1704" s="14" t="s">
        <v>9318</v>
      </c>
      <c r="I1704" s="14">
        <v>188783578</v>
      </c>
      <c r="J1704" s="14" t="s">
        <v>9319</v>
      </c>
      <c r="K1704" s="12" t="s">
        <v>230</v>
      </c>
      <c r="L1704" s="12">
        <v>3116475117</v>
      </c>
      <c r="M1704" s="54" t="s">
        <v>9320</v>
      </c>
      <c r="N1704" s="12" t="s">
        <v>8021</v>
      </c>
      <c r="O1704" s="12" t="s">
        <v>47</v>
      </c>
      <c r="P1704" s="88" t="s">
        <v>48</v>
      </c>
      <c r="Q1704" s="13">
        <v>46197</v>
      </c>
      <c r="R1704" s="12" t="s">
        <v>4833</v>
      </c>
      <c r="S1704" s="12" t="s">
        <v>49</v>
      </c>
      <c r="T1704" s="14" t="s">
        <v>8592</v>
      </c>
      <c r="U1704" s="14" t="s">
        <v>60</v>
      </c>
      <c r="V1704" s="20"/>
      <c r="W1704" s="16"/>
      <c r="X1704" s="14"/>
      <c r="Y1704" s="14"/>
      <c r="Z1704" s="14"/>
      <c r="AA1704" s="14"/>
      <c r="AC1704" s="14"/>
      <c r="AD1704" s="14"/>
      <c r="AE1704" s="14"/>
      <c r="AF1704" s="13"/>
      <c r="AH1704" s="14"/>
      <c r="AI1704" s="14"/>
      <c r="AJ1704" s="14"/>
      <c r="AK1704" s="20"/>
      <c r="AM1704" s="14"/>
      <c r="AN1704" s="14"/>
      <c r="AO1704" s="14"/>
      <c r="AU1704" s="52" t="s">
        <v>53</v>
      </c>
    </row>
    <row r="1705" spans="1:47" s="12" customFormat="1" ht="18" hidden="1" customHeight="1" x14ac:dyDescent="0.3">
      <c r="A1705" s="12" t="s">
        <v>505</v>
      </c>
      <c r="B1705" s="12" t="s">
        <v>8023</v>
      </c>
      <c r="C1705" s="12">
        <v>70</v>
      </c>
      <c r="D1705" s="12">
        <v>508</v>
      </c>
      <c r="E1705" s="14"/>
      <c r="F1705" s="14" t="s">
        <v>8050</v>
      </c>
      <c r="G1705" s="12" t="str">
        <f t="shared" si="40"/>
        <v>7050883020570</v>
      </c>
      <c r="H1705" s="14" t="s">
        <v>8075</v>
      </c>
      <c r="I1705" s="19">
        <v>83020570</v>
      </c>
      <c r="J1705" s="14" t="s">
        <v>8110</v>
      </c>
      <c r="K1705" s="12" t="s">
        <v>230</v>
      </c>
      <c r="L1705" s="12">
        <v>3205313621</v>
      </c>
      <c r="M1705" s="54"/>
      <c r="N1705" s="12" t="s">
        <v>432</v>
      </c>
      <c r="O1705" s="12" t="s">
        <v>432</v>
      </c>
      <c r="P1705" s="88" t="s">
        <v>261</v>
      </c>
      <c r="Q1705" s="20">
        <v>45547</v>
      </c>
      <c r="R1705" s="16" t="s">
        <v>8121</v>
      </c>
      <c r="S1705" s="14" t="s">
        <v>49</v>
      </c>
      <c r="T1705" s="14"/>
      <c r="U1705" s="14"/>
      <c r="V1705" s="20"/>
      <c r="W1705" s="11"/>
      <c r="X1705" s="14"/>
      <c r="Y1705" s="14"/>
      <c r="Z1705" s="14"/>
      <c r="AA1705" s="14"/>
      <c r="AC1705" s="14"/>
      <c r="AD1705" s="14"/>
      <c r="AE1705" s="14"/>
      <c r="AF1705" s="13"/>
      <c r="AH1705" s="14"/>
      <c r="AI1705" s="14"/>
      <c r="AJ1705" s="14"/>
      <c r="AK1705" s="20"/>
      <c r="AM1705" s="14"/>
      <c r="AN1705" s="14"/>
      <c r="AO1705" s="14"/>
      <c r="AU1705" s="52" t="s">
        <v>53</v>
      </c>
    </row>
    <row r="1706" spans="1:47" s="12" customFormat="1" ht="18" hidden="1" customHeight="1" x14ac:dyDescent="0.3">
      <c r="A1706" s="12" t="s">
        <v>505</v>
      </c>
      <c r="B1706" s="12" t="s">
        <v>8023</v>
      </c>
      <c r="C1706" s="12">
        <v>70</v>
      </c>
      <c r="D1706" s="12">
        <v>508</v>
      </c>
      <c r="E1706" s="14"/>
      <c r="F1706" s="14" t="s">
        <v>8051</v>
      </c>
      <c r="G1706" s="12" t="str">
        <f t="shared" si="40"/>
        <v>7050880877822</v>
      </c>
      <c r="H1706" s="14" t="s">
        <v>8076</v>
      </c>
      <c r="I1706" s="19">
        <v>80877822</v>
      </c>
      <c r="J1706" s="14" t="s">
        <v>8111</v>
      </c>
      <c r="K1706" s="12" t="s">
        <v>230</v>
      </c>
      <c r="M1706" s="54"/>
      <c r="N1706" s="12" t="s">
        <v>780</v>
      </c>
      <c r="O1706" s="12" t="s">
        <v>260</v>
      </c>
      <c r="P1706" s="88" t="s">
        <v>80</v>
      </c>
      <c r="Q1706" s="20">
        <v>45559</v>
      </c>
      <c r="R1706" s="16">
        <v>0.86750000000000005</v>
      </c>
      <c r="S1706" s="14" t="s">
        <v>49</v>
      </c>
      <c r="T1706" s="14"/>
      <c r="U1706" s="14"/>
      <c r="V1706" s="20"/>
      <c r="W1706" s="11"/>
      <c r="X1706" s="14"/>
      <c r="Y1706" s="14"/>
      <c r="Z1706" s="14"/>
      <c r="AA1706" s="14"/>
      <c r="AC1706" s="14"/>
      <c r="AD1706" s="14"/>
      <c r="AE1706" s="14"/>
      <c r="AF1706" s="13"/>
      <c r="AH1706" s="14"/>
      <c r="AI1706" s="14"/>
      <c r="AJ1706" s="14"/>
      <c r="AK1706" s="20"/>
      <c r="AM1706" s="14"/>
      <c r="AN1706" s="14"/>
      <c r="AO1706" s="14"/>
      <c r="AU1706" s="52" t="s">
        <v>53</v>
      </c>
    </row>
    <row r="1707" spans="1:47" s="12" customFormat="1" ht="18" hidden="1" customHeight="1" x14ac:dyDescent="0.3">
      <c r="A1707" s="12" t="s">
        <v>505</v>
      </c>
      <c r="B1707" s="12" t="s">
        <v>8023</v>
      </c>
      <c r="C1707" s="12">
        <v>70</v>
      </c>
      <c r="D1707" s="12">
        <v>508</v>
      </c>
      <c r="E1707" s="14"/>
      <c r="F1707" s="14" t="s">
        <v>8052</v>
      </c>
      <c r="G1707" s="12" t="str">
        <f t="shared" si="40"/>
        <v>705081101814261</v>
      </c>
      <c r="H1707" s="14" t="s">
        <v>8077</v>
      </c>
      <c r="I1707" s="19">
        <v>1101814261</v>
      </c>
      <c r="J1707" s="14" t="s">
        <v>8112</v>
      </c>
      <c r="K1707" s="12" t="s">
        <v>230</v>
      </c>
      <c r="M1707" s="54"/>
      <c r="N1707" s="12" t="s">
        <v>432</v>
      </c>
      <c r="O1707" s="12" t="s">
        <v>432</v>
      </c>
      <c r="P1707" s="88" t="s">
        <v>261</v>
      </c>
      <c r="Q1707" s="20">
        <v>45558</v>
      </c>
      <c r="R1707" s="16">
        <v>0.94</v>
      </c>
      <c r="S1707" s="14" t="s">
        <v>210</v>
      </c>
      <c r="T1707" s="14"/>
      <c r="U1707" s="14"/>
      <c r="V1707" s="20"/>
      <c r="W1707" s="11"/>
      <c r="X1707" s="14"/>
      <c r="Y1707" s="14"/>
      <c r="Z1707" s="14"/>
      <c r="AA1707" s="14"/>
      <c r="AC1707" s="14"/>
      <c r="AD1707" s="14"/>
      <c r="AE1707" s="14"/>
      <c r="AF1707" s="13"/>
      <c r="AH1707" s="14"/>
      <c r="AI1707" s="14"/>
      <c r="AJ1707" s="14"/>
      <c r="AK1707" s="20"/>
      <c r="AM1707" s="14"/>
      <c r="AN1707" s="14"/>
      <c r="AO1707" s="14"/>
      <c r="AU1707" s="52" t="s">
        <v>53</v>
      </c>
    </row>
    <row r="1708" spans="1:47" s="12" customFormat="1" ht="18" hidden="1" customHeight="1" x14ac:dyDescent="0.3">
      <c r="A1708" s="12" t="s">
        <v>505</v>
      </c>
      <c r="B1708" s="12" t="s">
        <v>8023</v>
      </c>
      <c r="C1708" s="12">
        <v>70</v>
      </c>
      <c r="D1708" s="12">
        <v>508</v>
      </c>
      <c r="E1708" s="14"/>
      <c r="F1708" s="276" t="s">
        <v>9313</v>
      </c>
      <c r="G1708" s="12" t="str">
        <f t="shared" si="40"/>
        <v>7050818880987</v>
      </c>
      <c r="H1708" s="14" t="s">
        <v>9314</v>
      </c>
      <c r="I1708" s="14">
        <v>18880987</v>
      </c>
      <c r="J1708" s="14" t="s">
        <v>9315</v>
      </c>
      <c r="K1708" s="12" t="s">
        <v>230</v>
      </c>
      <c r="L1708" s="12">
        <v>3043973417</v>
      </c>
      <c r="M1708" s="54" t="s">
        <v>9316</v>
      </c>
      <c r="N1708" s="12" t="s">
        <v>2901</v>
      </c>
      <c r="O1708" s="12" t="s">
        <v>4949</v>
      </c>
      <c r="P1708" s="88" t="s">
        <v>80</v>
      </c>
      <c r="Q1708" s="20">
        <v>46084</v>
      </c>
      <c r="R1708" s="12">
        <v>100</v>
      </c>
      <c r="S1708" s="14" t="s">
        <v>210</v>
      </c>
      <c r="T1708" s="14" t="s">
        <v>8592</v>
      </c>
      <c r="U1708" s="14" t="s">
        <v>4747</v>
      </c>
      <c r="V1708" s="20"/>
      <c r="W1708" s="11"/>
      <c r="X1708" s="14"/>
      <c r="Y1708" s="14"/>
      <c r="Z1708" s="14"/>
      <c r="AA1708" s="14"/>
      <c r="AC1708" s="14"/>
      <c r="AD1708" s="14"/>
      <c r="AE1708" s="14"/>
      <c r="AF1708" s="13"/>
      <c r="AH1708" s="14"/>
      <c r="AI1708" s="14"/>
      <c r="AJ1708" s="14"/>
      <c r="AK1708" s="20"/>
      <c r="AM1708" s="14"/>
      <c r="AN1708" s="14"/>
      <c r="AO1708" s="14"/>
      <c r="AU1708" s="52" t="s">
        <v>53</v>
      </c>
    </row>
    <row r="1709" spans="1:47" s="12" customFormat="1" ht="18" hidden="1" customHeight="1" x14ac:dyDescent="0.3">
      <c r="A1709" s="12" t="s">
        <v>505</v>
      </c>
      <c r="B1709" s="12" t="s">
        <v>8023</v>
      </c>
      <c r="C1709" s="12">
        <v>70</v>
      </c>
      <c r="D1709" s="12">
        <v>508</v>
      </c>
      <c r="E1709" s="14"/>
      <c r="F1709" s="14" t="s">
        <v>8053</v>
      </c>
      <c r="G1709" s="12" t="str">
        <f t="shared" si="40"/>
        <v>7050864895291-1</v>
      </c>
      <c r="H1709" s="14" t="s">
        <v>8078</v>
      </c>
      <c r="I1709" s="19" t="s">
        <v>8113</v>
      </c>
      <c r="J1709" s="14" t="s">
        <v>8114</v>
      </c>
      <c r="K1709" s="12" t="s">
        <v>230</v>
      </c>
      <c r="M1709" s="54"/>
      <c r="N1709" s="12" t="s">
        <v>432</v>
      </c>
      <c r="O1709" s="12" t="s">
        <v>432</v>
      </c>
      <c r="P1709" s="88" t="s">
        <v>261</v>
      </c>
      <c r="Q1709" s="20">
        <v>45583</v>
      </c>
      <c r="R1709" s="16">
        <v>0.87</v>
      </c>
      <c r="S1709" s="14" t="s">
        <v>49</v>
      </c>
      <c r="T1709" s="14"/>
      <c r="U1709" s="14"/>
      <c r="V1709" s="20"/>
      <c r="W1709" s="11"/>
      <c r="X1709" s="14"/>
      <c r="Y1709" s="14"/>
      <c r="Z1709" s="14"/>
      <c r="AA1709" s="14"/>
      <c r="AC1709" s="14"/>
      <c r="AD1709" s="14"/>
      <c r="AE1709" s="14"/>
      <c r="AF1709" s="13"/>
      <c r="AH1709" s="14"/>
      <c r="AI1709" s="14"/>
      <c r="AJ1709" s="14"/>
      <c r="AK1709" s="20"/>
      <c r="AM1709" s="14"/>
      <c r="AN1709" s="14"/>
      <c r="AO1709" s="14"/>
      <c r="AU1709" s="52" t="s">
        <v>53</v>
      </c>
    </row>
    <row r="1710" spans="1:47" s="12" customFormat="1" ht="18" hidden="1" customHeight="1" x14ac:dyDescent="0.3">
      <c r="A1710" s="12" t="s">
        <v>505</v>
      </c>
      <c r="B1710" s="12" t="s">
        <v>4886</v>
      </c>
      <c r="C1710" s="12">
        <v>70</v>
      </c>
      <c r="D1710" s="12">
        <v>670</v>
      </c>
      <c r="E1710" s="14" t="s">
        <v>4887</v>
      </c>
      <c r="F1710" s="14" t="s">
        <v>4888</v>
      </c>
      <c r="G1710" s="12" t="str">
        <f t="shared" si="40"/>
        <v>70670800245705-8</v>
      </c>
      <c r="H1710" s="14" t="s">
        <v>4889</v>
      </c>
      <c r="I1710" s="19" t="s">
        <v>4890</v>
      </c>
      <c r="J1710" s="14" t="s">
        <v>4891</v>
      </c>
      <c r="K1710" s="12" t="s">
        <v>230</v>
      </c>
      <c r="L1710" s="12">
        <v>3106573229</v>
      </c>
      <c r="M1710" s="60" t="s">
        <v>4892</v>
      </c>
      <c r="N1710" s="12" t="s">
        <v>127</v>
      </c>
      <c r="O1710" s="12" t="s">
        <v>2822</v>
      </c>
      <c r="P1710" s="88" t="s">
        <v>48</v>
      </c>
      <c r="Q1710" s="20" t="s">
        <v>4893</v>
      </c>
      <c r="R1710" s="16">
        <v>0.95</v>
      </c>
      <c r="S1710" s="14" t="s">
        <v>4894</v>
      </c>
      <c r="T1710" s="14" t="s">
        <v>4865</v>
      </c>
      <c r="U1710" s="14" t="s">
        <v>60</v>
      </c>
      <c r="V1710" s="20"/>
      <c r="W1710" s="11"/>
      <c r="X1710" s="14"/>
      <c r="Y1710" s="14"/>
      <c r="Z1710" s="14"/>
      <c r="AA1710" s="14"/>
      <c r="AC1710" s="14"/>
      <c r="AD1710" s="14"/>
      <c r="AE1710" s="14"/>
      <c r="AF1710" s="13"/>
      <c r="AH1710" s="14"/>
      <c r="AI1710" s="14"/>
      <c r="AJ1710" s="14"/>
      <c r="AK1710" s="20"/>
      <c r="AM1710" s="14"/>
      <c r="AN1710" s="14"/>
      <c r="AO1710" s="14"/>
      <c r="AU1710" s="52" t="s">
        <v>164</v>
      </c>
    </row>
    <row r="1711" spans="1:47" s="12" customFormat="1" ht="28.5" hidden="1" customHeight="1" x14ac:dyDescent="0.3">
      <c r="A1711" s="12" t="s">
        <v>505</v>
      </c>
      <c r="B1711" s="12" t="s">
        <v>4886</v>
      </c>
      <c r="C1711" s="12">
        <v>70</v>
      </c>
      <c r="D1711" s="12">
        <v>670</v>
      </c>
      <c r="E1711" s="14" t="s">
        <v>4895</v>
      </c>
      <c r="F1711" s="276" t="s">
        <v>4896</v>
      </c>
      <c r="G1711" s="12" t="str">
        <f t="shared" si="40"/>
        <v>706709020211365</v>
      </c>
      <c r="H1711" s="346" t="s">
        <v>9001</v>
      </c>
      <c r="I1711" s="19">
        <v>9020211365</v>
      </c>
      <c r="J1711" s="14" t="s">
        <v>9005</v>
      </c>
      <c r="K1711" s="12" t="s">
        <v>133</v>
      </c>
      <c r="L1711" s="12">
        <v>3182212575</v>
      </c>
      <c r="M1711" s="54" t="s">
        <v>8413</v>
      </c>
      <c r="N1711" s="12" t="s">
        <v>127</v>
      </c>
      <c r="O1711" s="12" t="s">
        <v>2822</v>
      </c>
      <c r="P1711" s="88" t="s">
        <v>48</v>
      </c>
      <c r="Q1711" s="13">
        <v>46149</v>
      </c>
      <c r="R1711" s="12">
        <v>83</v>
      </c>
      <c r="S1711" s="12" t="s">
        <v>49</v>
      </c>
      <c r="T1711" s="14"/>
      <c r="U1711" s="14" t="s">
        <v>60</v>
      </c>
      <c r="V1711" s="20">
        <v>45877</v>
      </c>
      <c r="W1711" s="218">
        <v>0.89500000000000002</v>
      </c>
      <c r="X1711" s="14" t="s">
        <v>49</v>
      </c>
      <c r="Y1711" s="14"/>
      <c r="Z1711" s="14" t="s">
        <v>60</v>
      </c>
      <c r="AA1711" s="14"/>
      <c r="AC1711" s="14"/>
      <c r="AD1711" s="14"/>
      <c r="AE1711" s="14"/>
      <c r="AF1711" s="13"/>
      <c r="AH1711" s="14"/>
      <c r="AI1711" s="14"/>
      <c r="AJ1711" s="14"/>
      <c r="AK1711" s="20"/>
      <c r="AM1711" s="14"/>
      <c r="AN1711" s="14"/>
      <c r="AO1711" s="14"/>
      <c r="AU1711" s="52" t="s">
        <v>53</v>
      </c>
    </row>
    <row r="1712" spans="1:47" s="12" customFormat="1" ht="18" hidden="1" customHeight="1" x14ac:dyDescent="0.3">
      <c r="A1712" s="12" t="s">
        <v>505</v>
      </c>
      <c r="B1712" s="12" t="s">
        <v>4886</v>
      </c>
      <c r="C1712" s="12">
        <v>70</v>
      </c>
      <c r="D1712" s="12">
        <v>670</v>
      </c>
      <c r="E1712" s="14" t="s">
        <v>8596</v>
      </c>
      <c r="F1712" s="276" t="s">
        <v>4900</v>
      </c>
      <c r="G1712" s="12" t="str">
        <f t="shared" si="40"/>
        <v>706709020211365</v>
      </c>
      <c r="H1712" s="14" t="s">
        <v>8830</v>
      </c>
      <c r="I1712" s="19">
        <v>9020211365</v>
      </c>
      <c r="J1712" s="14" t="s">
        <v>8838</v>
      </c>
      <c r="K1712" s="12" t="s">
        <v>133</v>
      </c>
      <c r="L1712" s="12">
        <v>3182212575</v>
      </c>
      <c r="M1712" s="54" t="s">
        <v>8413</v>
      </c>
      <c r="N1712" s="12" t="s">
        <v>127</v>
      </c>
      <c r="O1712" s="12" t="s">
        <v>2822</v>
      </c>
      <c r="P1712" s="88" t="s">
        <v>48</v>
      </c>
      <c r="Q1712" s="13">
        <v>46128</v>
      </c>
      <c r="R1712" s="16">
        <v>0.84</v>
      </c>
      <c r="S1712" s="14" t="s">
        <v>49</v>
      </c>
      <c r="T1712" s="14" t="s">
        <v>8840</v>
      </c>
      <c r="U1712" s="14" t="s">
        <v>60</v>
      </c>
      <c r="V1712" s="20">
        <v>45832</v>
      </c>
      <c r="W1712" s="218">
        <v>0.89500000000000002</v>
      </c>
      <c r="X1712" s="14" t="s">
        <v>49</v>
      </c>
      <c r="Y1712" s="14"/>
      <c r="Z1712" s="14" t="s">
        <v>8839</v>
      </c>
      <c r="AA1712" s="20"/>
      <c r="AB1712" s="18"/>
      <c r="AC1712" s="20">
        <v>45420</v>
      </c>
      <c r="AD1712" s="55">
        <v>0.93500000000000005</v>
      </c>
      <c r="AE1712" s="14" t="s">
        <v>210</v>
      </c>
      <c r="AF1712" s="13" t="s">
        <v>60</v>
      </c>
      <c r="AH1712" s="14"/>
      <c r="AI1712" s="14"/>
      <c r="AJ1712" s="14"/>
      <c r="AK1712" s="20"/>
      <c r="AM1712" s="14"/>
      <c r="AN1712" s="14"/>
      <c r="AO1712" s="14"/>
      <c r="AU1712" s="52" t="s">
        <v>53</v>
      </c>
    </row>
    <row r="1713" spans="1:47" s="12" customFormat="1" ht="18" hidden="1" customHeight="1" x14ac:dyDescent="0.3">
      <c r="A1713" s="12" t="s">
        <v>505</v>
      </c>
      <c r="B1713" s="12" t="s">
        <v>4886</v>
      </c>
      <c r="C1713" s="12">
        <v>70</v>
      </c>
      <c r="D1713" s="12">
        <v>670</v>
      </c>
      <c r="E1713" s="14" t="s">
        <v>4895</v>
      </c>
      <c r="F1713" s="14" t="s">
        <v>4901</v>
      </c>
      <c r="G1713" s="12" t="str">
        <f t="shared" si="40"/>
        <v>70670901926953-1</v>
      </c>
      <c r="H1713" s="14" t="s">
        <v>4880</v>
      </c>
      <c r="I1713" s="14" t="s">
        <v>4898</v>
      </c>
      <c r="J1713" s="14" t="s">
        <v>4902</v>
      </c>
      <c r="K1713" s="12" t="s">
        <v>133</v>
      </c>
      <c r="L1713" s="12">
        <v>3182212565</v>
      </c>
      <c r="M1713" s="54" t="s">
        <v>4899</v>
      </c>
      <c r="N1713" s="12" t="s">
        <v>127</v>
      </c>
      <c r="O1713" s="12" t="s">
        <v>2822</v>
      </c>
      <c r="P1713" s="88" t="s">
        <v>48</v>
      </c>
      <c r="Q1713" s="20">
        <v>45845</v>
      </c>
      <c r="R1713" s="16">
        <v>0.85499999999999998</v>
      </c>
      <c r="S1713" s="14" t="s">
        <v>49</v>
      </c>
      <c r="T1713" s="14"/>
      <c r="U1713" s="14"/>
      <c r="V1713" s="20"/>
      <c r="W1713" s="11"/>
      <c r="X1713" s="14"/>
      <c r="Y1713" s="14"/>
      <c r="Z1713" s="14"/>
      <c r="AA1713" s="14"/>
      <c r="AC1713" s="14"/>
      <c r="AD1713" s="14"/>
      <c r="AE1713" s="14"/>
      <c r="AF1713" s="13"/>
      <c r="AH1713" s="14"/>
      <c r="AI1713" s="14"/>
      <c r="AJ1713" s="14"/>
      <c r="AK1713" s="20"/>
      <c r="AM1713" s="14"/>
      <c r="AN1713" s="14"/>
      <c r="AO1713" s="14"/>
      <c r="AU1713" s="52" t="s">
        <v>53</v>
      </c>
    </row>
    <row r="1714" spans="1:47" s="12" customFormat="1" ht="18" hidden="1" customHeight="1" x14ac:dyDescent="0.3">
      <c r="A1714" s="12" t="s">
        <v>505</v>
      </c>
      <c r="B1714" s="12" t="s">
        <v>4886</v>
      </c>
      <c r="C1714" s="12">
        <v>70</v>
      </c>
      <c r="D1714" s="12">
        <v>670</v>
      </c>
      <c r="E1714" s="14" t="s">
        <v>4873</v>
      </c>
      <c r="F1714" s="14" t="s">
        <v>1133</v>
      </c>
      <c r="G1714" s="12" t="str">
        <f t="shared" si="40"/>
        <v>70670900490498-1</v>
      </c>
      <c r="H1714" s="14" t="s">
        <v>4874</v>
      </c>
      <c r="I1714" s="19" t="s">
        <v>4875</v>
      </c>
      <c r="J1714" s="14" t="s">
        <v>4903</v>
      </c>
      <c r="K1714" s="12" t="s">
        <v>133</v>
      </c>
      <c r="L1714" s="12">
        <v>3137562387</v>
      </c>
      <c r="M1714" s="53" t="s">
        <v>4904</v>
      </c>
      <c r="N1714" s="12" t="s">
        <v>127</v>
      </c>
      <c r="O1714" s="12" t="s">
        <v>2822</v>
      </c>
      <c r="P1714" s="88" t="s">
        <v>48</v>
      </c>
      <c r="Q1714" s="20">
        <v>45754</v>
      </c>
      <c r="R1714" s="16">
        <v>0.87</v>
      </c>
      <c r="S1714" s="14" t="s">
        <v>49</v>
      </c>
      <c r="T1714" s="14"/>
      <c r="U1714" s="14"/>
      <c r="V1714" s="13">
        <v>45766</v>
      </c>
      <c r="W1714" s="10">
        <v>0.84</v>
      </c>
      <c r="X1714" s="14" t="s">
        <v>49</v>
      </c>
      <c r="Y1714" s="14"/>
      <c r="Z1714" s="14"/>
      <c r="AA1714" s="20"/>
      <c r="AB1714" s="16"/>
      <c r="AC1714" s="14"/>
      <c r="AD1714" s="14"/>
      <c r="AE1714" s="14"/>
      <c r="AF1714" s="13"/>
      <c r="AH1714" s="14"/>
      <c r="AI1714" s="14"/>
      <c r="AJ1714" s="14"/>
      <c r="AK1714" s="20"/>
      <c r="AM1714" s="14"/>
      <c r="AN1714" s="14"/>
      <c r="AO1714" s="14"/>
      <c r="AU1714" s="52" t="s">
        <v>53</v>
      </c>
    </row>
    <row r="1715" spans="1:47" s="12" customFormat="1" ht="18" hidden="1" customHeight="1" x14ac:dyDescent="0.3">
      <c r="A1715" s="12" t="s">
        <v>505</v>
      </c>
      <c r="B1715" s="12" t="s">
        <v>4886</v>
      </c>
      <c r="C1715" s="12">
        <v>70</v>
      </c>
      <c r="D1715" s="12">
        <v>670</v>
      </c>
      <c r="E1715" s="14" t="s">
        <v>4905</v>
      </c>
      <c r="F1715" s="14" t="s">
        <v>4906</v>
      </c>
      <c r="G1715" s="12" t="str">
        <f t="shared" si="40"/>
        <v>70670823001322-7</v>
      </c>
      <c r="H1715" s="14" t="s">
        <v>4907</v>
      </c>
      <c r="I1715" s="19" t="s">
        <v>4908</v>
      </c>
      <c r="J1715" s="14" t="s">
        <v>4909</v>
      </c>
      <c r="K1715" s="12" t="s">
        <v>133</v>
      </c>
      <c r="L1715" s="12">
        <v>3207470196</v>
      </c>
      <c r="M1715" s="58" t="s">
        <v>4910</v>
      </c>
      <c r="N1715" s="12" t="s">
        <v>127</v>
      </c>
      <c r="O1715" s="12" t="s">
        <v>2822</v>
      </c>
      <c r="P1715" s="88" t="s">
        <v>48</v>
      </c>
      <c r="Q1715" s="20">
        <v>45771</v>
      </c>
      <c r="R1715" s="21">
        <v>0.87</v>
      </c>
      <c r="S1715" s="14" t="s">
        <v>49</v>
      </c>
      <c r="T1715" s="14"/>
      <c r="U1715" s="14"/>
      <c r="V1715" s="20">
        <v>45504</v>
      </c>
      <c r="W1715" s="11">
        <v>0.8</v>
      </c>
      <c r="X1715" s="14" t="s">
        <v>49</v>
      </c>
      <c r="Y1715" s="14"/>
      <c r="Z1715" s="14"/>
      <c r="AA1715" s="20"/>
      <c r="AB1715" s="16"/>
      <c r="AC1715" s="14"/>
      <c r="AD1715" s="14"/>
      <c r="AE1715" s="14"/>
      <c r="AF1715" s="13"/>
      <c r="AH1715" s="14"/>
      <c r="AI1715" s="14"/>
      <c r="AJ1715" s="14"/>
      <c r="AK1715" s="20"/>
      <c r="AM1715" s="14"/>
      <c r="AN1715" s="14"/>
      <c r="AO1715" s="14"/>
      <c r="AU1715" s="52" t="s">
        <v>53</v>
      </c>
    </row>
    <row r="1716" spans="1:47" s="12" customFormat="1" ht="27.75" hidden="1" customHeight="1" x14ac:dyDescent="0.3">
      <c r="A1716" s="12" t="s">
        <v>505</v>
      </c>
      <c r="B1716" s="12" t="s">
        <v>4886</v>
      </c>
      <c r="C1716" s="12">
        <v>70</v>
      </c>
      <c r="D1716" s="12">
        <v>670</v>
      </c>
      <c r="E1716" s="14" t="s">
        <v>4905</v>
      </c>
      <c r="F1716" s="14" t="s">
        <v>4911</v>
      </c>
      <c r="G1716" s="12" t="str">
        <f t="shared" si="40"/>
        <v>70670823001322-7</v>
      </c>
      <c r="H1716" s="14" t="s">
        <v>4912</v>
      </c>
      <c r="I1716" s="19" t="s">
        <v>4908</v>
      </c>
      <c r="J1716" s="14" t="s">
        <v>4913</v>
      </c>
      <c r="K1716" s="12" t="s">
        <v>230</v>
      </c>
      <c r="L1716" s="12">
        <v>3136008656</v>
      </c>
      <c r="M1716" s="14" t="s">
        <v>45</v>
      </c>
      <c r="N1716" s="12" t="s">
        <v>127</v>
      </c>
      <c r="O1716" s="12" t="s">
        <v>2822</v>
      </c>
      <c r="P1716" s="88" t="s">
        <v>48</v>
      </c>
      <c r="Q1716" s="20">
        <v>45726</v>
      </c>
      <c r="R1716" s="59">
        <v>0.79500000000000004</v>
      </c>
      <c r="S1716" s="14" t="s">
        <v>49</v>
      </c>
      <c r="T1716" s="14"/>
      <c r="U1716" s="14"/>
      <c r="V1716" s="13"/>
      <c r="W1716" s="10"/>
      <c r="X1716" s="14"/>
      <c r="Y1716" s="14"/>
      <c r="Z1716" s="14"/>
      <c r="AA1716" s="20"/>
      <c r="AB1716" s="18"/>
      <c r="AC1716" s="14"/>
      <c r="AD1716" s="14"/>
      <c r="AE1716" s="14"/>
      <c r="AF1716" s="13"/>
      <c r="AH1716" s="14"/>
      <c r="AI1716" s="14"/>
      <c r="AJ1716" s="14"/>
      <c r="AK1716" s="20"/>
      <c r="AM1716" s="14"/>
      <c r="AN1716" s="14"/>
      <c r="AO1716" s="14"/>
      <c r="AU1716" s="52" t="s">
        <v>53</v>
      </c>
    </row>
    <row r="1717" spans="1:47" s="12" customFormat="1" ht="18" hidden="1" customHeight="1" x14ac:dyDescent="0.3">
      <c r="A1717" s="12" t="s">
        <v>505</v>
      </c>
      <c r="B1717" s="12" t="s">
        <v>4886</v>
      </c>
      <c r="C1717" s="12">
        <v>70</v>
      </c>
      <c r="D1717" s="12">
        <v>670</v>
      </c>
      <c r="E1717" s="14" t="s">
        <v>4914</v>
      </c>
      <c r="F1717" s="14" t="s">
        <v>4915</v>
      </c>
      <c r="G1717" s="12" t="str">
        <f t="shared" si="40"/>
        <v>70670901676342-3</v>
      </c>
      <c r="H1717" s="14" t="s">
        <v>4916</v>
      </c>
      <c r="I1717" s="19" t="s">
        <v>4917</v>
      </c>
      <c r="J1717" s="14" t="s">
        <v>4918</v>
      </c>
      <c r="K1717" s="12" t="s">
        <v>230</v>
      </c>
      <c r="L1717" s="12">
        <v>3005999219</v>
      </c>
      <c r="M1717" s="60" t="s">
        <v>4919</v>
      </c>
      <c r="N1717" s="12" t="s">
        <v>127</v>
      </c>
      <c r="O1717" s="12" t="s">
        <v>2822</v>
      </c>
      <c r="P1717" s="88" t="s">
        <v>48</v>
      </c>
      <c r="Q1717" s="20">
        <v>45820</v>
      </c>
      <c r="R1717" s="218">
        <v>0.90500000000000003</v>
      </c>
      <c r="S1717" s="14" t="s">
        <v>210</v>
      </c>
      <c r="T1717" s="14"/>
      <c r="U1717" s="14"/>
      <c r="V1717" s="20"/>
      <c r="W1717" s="11"/>
      <c r="X1717" s="14"/>
      <c r="Y1717" s="14"/>
      <c r="Z1717" s="14"/>
      <c r="AA1717" s="20"/>
      <c r="AB1717" s="18"/>
      <c r="AC1717" s="14"/>
      <c r="AD1717" s="14"/>
      <c r="AE1717" s="14"/>
      <c r="AF1717" s="13"/>
      <c r="AH1717" s="14"/>
      <c r="AI1717" s="14"/>
      <c r="AJ1717" s="14"/>
      <c r="AK1717" s="20"/>
      <c r="AM1717" s="14"/>
      <c r="AN1717" s="14"/>
      <c r="AO1717" s="14"/>
      <c r="AU1717" s="52" t="s">
        <v>53</v>
      </c>
    </row>
    <row r="1718" spans="1:47" s="12" customFormat="1" ht="18" hidden="1" customHeight="1" x14ac:dyDescent="0.3">
      <c r="A1718" s="12" t="s">
        <v>505</v>
      </c>
      <c r="B1718" s="12" t="s">
        <v>4886</v>
      </c>
      <c r="C1718" s="12">
        <v>70</v>
      </c>
      <c r="D1718" s="12">
        <v>670</v>
      </c>
      <c r="E1718" s="14" t="s">
        <v>4905</v>
      </c>
      <c r="F1718" s="14" t="s">
        <v>4920</v>
      </c>
      <c r="G1718" s="12" t="str">
        <f t="shared" si="40"/>
        <v>70670900490498-1</v>
      </c>
      <c r="H1718" s="14" t="s">
        <v>4921</v>
      </c>
      <c r="I1718" s="19" t="s">
        <v>4875</v>
      </c>
      <c r="J1718" s="14" t="s">
        <v>4922</v>
      </c>
      <c r="K1718" s="12" t="s">
        <v>133</v>
      </c>
      <c r="L1718" s="12">
        <v>3126889288</v>
      </c>
      <c r="M1718" s="53" t="s">
        <v>4923</v>
      </c>
      <c r="N1718" s="12" t="s">
        <v>127</v>
      </c>
      <c r="O1718" s="12" t="s">
        <v>2822</v>
      </c>
      <c r="P1718" s="88" t="s">
        <v>48</v>
      </c>
      <c r="Q1718" s="20">
        <v>45873</v>
      </c>
      <c r="R1718" s="59">
        <v>0.81499999999999995</v>
      </c>
      <c r="S1718" s="14" t="s">
        <v>49</v>
      </c>
      <c r="T1718" s="14"/>
      <c r="U1718" s="14"/>
      <c r="V1718" s="13">
        <v>45412</v>
      </c>
      <c r="W1718" s="10">
        <v>0.77</v>
      </c>
      <c r="X1718" s="14" t="s">
        <v>49</v>
      </c>
      <c r="Y1718" s="14"/>
      <c r="Z1718" s="14"/>
      <c r="AA1718" s="20"/>
      <c r="AB1718" s="16"/>
      <c r="AC1718" s="14"/>
      <c r="AD1718" s="14"/>
      <c r="AE1718" s="14"/>
      <c r="AF1718" s="13"/>
      <c r="AH1718" s="14"/>
      <c r="AI1718" s="14"/>
      <c r="AJ1718" s="14"/>
      <c r="AK1718" s="20"/>
      <c r="AM1718" s="14"/>
      <c r="AN1718" s="14"/>
      <c r="AO1718" s="14"/>
      <c r="AU1718" s="52" t="s">
        <v>53</v>
      </c>
    </row>
    <row r="1719" spans="1:47" s="12" customFormat="1" ht="18" hidden="1" customHeight="1" x14ac:dyDescent="0.3">
      <c r="A1719" s="12" t="s">
        <v>505</v>
      </c>
      <c r="B1719" s="12" t="s">
        <v>4886</v>
      </c>
      <c r="C1719" s="12">
        <v>70</v>
      </c>
      <c r="D1719" s="12">
        <v>670</v>
      </c>
      <c r="E1719" s="14" t="s">
        <v>4873</v>
      </c>
      <c r="F1719" s="14" t="s">
        <v>4924</v>
      </c>
      <c r="G1719" s="12" t="str">
        <f t="shared" si="40"/>
        <v>70670900490498-1</v>
      </c>
      <c r="H1719" s="14" t="s">
        <v>4880</v>
      </c>
      <c r="I1719" s="19" t="s">
        <v>4875</v>
      </c>
      <c r="J1719" s="14" t="s">
        <v>4925</v>
      </c>
      <c r="K1719" s="12" t="s">
        <v>133</v>
      </c>
      <c r="L1719" s="12">
        <v>3146386287</v>
      </c>
      <c r="M1719" s="12" t="s">
        <v>45</v>
      </c>
      <c r="N1719" s="12" t="s">
        <v>127</v>
      </c>
      <c r="O1719" s="12" t="s">
        <v>2822</v>
      </c>
      <c r="P1719" s="88" t="s">
        <v>48</v>
      </c>
      <c r="Q1719" s="20">
        <v>45751</v>
      </c>
      <c r="R1719" s="59">
        <v>0.76500000000000001</v>
      </c>
      <c r="S1719" s="14" t="s">
        <v>49</v>
      </c>
      <c r="T1719" s="14"/>
      <c r="U1719" s="14"/>
      <c r="V1719" s="20">
        <v>45411</v>
      </c>
      <c r="W1719" s="11">
        <v>0.75</v>
      </c>
      <c r="X1719" s="14" t="s">
        <v>49</v>
      </c>
      <c r="Y1719" s="14"/>
      <c r="Z1719" s="14"/>
      <c r="AA1719" s="14"/>
      <c r="AC1719" s="14"/>
      <c r="AD1719" s="14"/>
      <c r="AE1719" s="14"/>
      <c r="AF1719" s="13"/>
      <c r="AH1719" s="14"/>
      <c r="AI1719" s="14"/>
      <c r="AJ1719" s="14"/>
      <c r="AK1719" s="20"/>
      <c r="AM1719" s="14"/>
      <c r="AN1719" s="14"/>
      <c r="AO1719" s="14"/>
      <c r="AU1719" s="52" t="s">
        <v>53</v>
      </c>
    </row>
    <row r="1720" spans="1:47" s="12" customFormat="1" ht="30.75" hidden="1" customHeight="1" x14ac:dyDescent="0.3">
      <c r="A1720" s="12" t="s">
        <v>505</v>
      </c>
      <c r="B1720" s="12" t="s">
        <v>4886</v>
      </c>
      <c r="C1720" s="12">
        <v>70</v>
      </c>
      <c r="D1720" s="12">
        <v>670</v>
      </c>
      <c r="E1720" s="14" t="s">
        <v>8596</v>
      </c>
      <c r="F1720" s="276" t="s">
        <v>4926</v>
      </c>
      <c r="G1720" s="12" t="str">
        <f t="shared" si="40"/>
        <v>70670902021136</v>
      </c>
      <c r="H1720" s="14" t="s">
        <v>8602</v>
      </c>
      <c r="I1720" s="14">
        <v>902021136</v>
      </c>
      <c r="J1720" s="14" t="s">
        <v>4927</v>
      </c>
      <c r="K1720" s="14" t="s">
        <v>230</v>
      </c>
      <c r="L1720" s="14">
        <v>3126874974</v>
      </c>
      <c r="M1720" s="54" t="s">
        <v>8413</v>
      </c>
      <c r="N1720" s="12" t="s">
        <v>127</v>
      </c>
      <c r="O1720" s="12" t="s">
        <v>2822</v>
      </c>
      <c r="P1720" s="88" t="s">
        <v>48</v>
      </c>
      <c r="Q1720" s="13">
        <v>46086</v>
      </c>
      <c r="R1720" s="12">
        <v>90</v>
      </c>
      <c r="S1720" s="12" t="s">
        <v>210</v>
      </c>
      <c r="T1720" s="14"/>
      <c r="U1720" s="14" t="s">
        <v>50</v>
      </c>
      <c r="V1720" s="20">
        <v>45790</v>
      </c>
      <c r="W1720" s="251">
        <v>0.89500000000000002</v>
      </c>
      <c r="X1720" s="14" t="s">
        <v>49</v>
      </c>
      <c r="Y1720" s="14"/>
      <c r="Z1720" s="14" t="s">
        <v>2881</v>
      </c>
      <c r="AA1720" s="14"/>
      <c r="AC1720" s="13">
        <v>45597</v>
      </c>
      <c r="AD1720" s="10">
        <v>0.82</v>
      </c>
      <c r="AE1720" s="14" t="s">
        <v>49</v>
      </c>
      <c r="AF1720" s="13" t="s">
        <v>60</v>
      </c>
      <c r="AH1720" s="14"/>
      <c r="AI1720" s="14"/>
      <c r="AJ1720" s="14"/>
      <c r="AK1720" s="20"/>
      <c r="AM1720" s="14"/>
      <c r="AN1720" s="14"/>
      <c r="AO1720" s="14"/>
      <c r="AU1720" s="52" t="s">
        <v>53</v>
      </c>
    </row>
    <row r="1721" spans="1:47" s="12" customFormat="1" ht="27.75" hidden="1" customHeight="1" x14ac:dyDescent="0.3">
      <c r="A1721" s="12" t="s">
        <v>505</v>
      </c>
      <c r="B1721" s="12" t="s">
        <v>4886</v>
      </c>
      <c r="C1721" s="12">
        <v>70</v>
      </c>
      <c r="D1721" s="12">
        <v>670</v>
      </c>
      <c r="E1721" s="14" t="s">
        <v>8596</v>
      </c>
      <c r="F1721" s="276" t="s">
        <v>4929</v>
      </c>
      <c r="G1721" s="12" t="str">
        <f t="shared" si="40"/>
        <v>70670902021136</v>
      </c>
      <c r="H1721" s="14" t="s">
        <v>8830</v>
      </c>
      <c r="I1721" s="14">
        <v>902021136</v>
      </c>
      <c r="J1721" s="14" t="s">
        <v>8835</v>
      </c>
      <c r="K1721" s="14" t="s">
        <v>133</v>
      </c>
      <c r="L1721" s="14">
        <v>3126874974</v>
      </c>
      <c r="M1721" s="50" t="s">
        <v>8413</v>
      </c>
      <c r="N1721" s="12" t="s">
        <v>127</v>
      </c>
      <c r="O1721" s="12" t="s">
        <v>2822</v>
      </c>
      <c r="P1721" s="88" t="s">
        <v>48</v>
      </c>
      <c r="Q1721" s="13">
        <v>46132</v>
      </c>
      <c r="R1721" s="12" t="s">
        <v>2783</v>
      </c>
      <c r="S1721" s="12" t="s">
        <v>49</v>
      </c>
      <c r="T1721" s="14"/>
      <c r="U1721" s="14"/>
      <c r="V1721" s="20">
        <v>45832</v>
      </c>
      <c r="W1721" s="59">
        <v>0.83499999999999996</v>
      </c>
      <c r="X1721" s="14" t="s">
        <v>49</v>
      </c>
      <c r="Y1721" s="14"/>
      <c r="Z1721" s="14"/>
      <c r="AA1721" s="14"/>
      <c r="AC1721" s="14"/>
      <c r="AD1721" s="14"/>
      <c r="AE1721" s="14"/>
      <c r="AF1721" s="13"/>
      <c r="AH1721" s="14"/>
      <c r="AI1721" s="14"/>
      <c r="AJ1721" s="14"/>
      <c r="AK1721" s="20"/>
      <c r="AM1721" s="14"/>
      <c r="AN1721" s="14"/>
      <c r="AO1721" s="14"/>
      <c r="AU1721" s="52" t="s">
        <v>53</v>
      </c>
    </row>
    <row r="1722" spans="1:47" s="12" customFormat="1" ht="18" hidden="1" customHeight="1" x14ac:dyDescent="0.3">
      <c r="A1722" s="12" t="s">
        <v>505</v>
      </c>
      <c r="B1722" s="12" t="s">
        <v>4886</v>
      </c>
      <c r="C1722" s="12">
        <v>70</v>
      </c>
      <c r="D1722" s="12">
        <v>670</v>
      </c>
      <c r="E1722" s="14" t="s">
        <v>8596</v>
      </c>
      <c r="F1722" s="276" t="s">
        <v>4930</v>
      </c>
      <c r="G1722" s="12" t="str">
        <f t="shared" si="40"/>
        <v>70670902021136</v>
      </c>
      <c r="H1722" s="14" t="s">
        <v>8602</v>
      </c>
      <c r="I1722" s="14">
        <v>902021136</v>
      </c>
      <c r="J1722" s="14" t="s">
        <v>4931</v>
      </c>
      <c r="K1722" s="14" t="s">
        <v>133</v>
      </c>
      <c r="L1722" s="14">
        <v>3126874974</v>
      </c>
      <c r="M1722" s="50" t="s">
        <v>8413</v>
      </c>
      <c r="N1722" s="12" t="s">
        <v>127</v>
      </c>
      <c r="O1722" s="12" t="s">
        <v>2822</v>
      </c>
      <c r="P1722" s="88" t="s">
        <v>48</v>
      </c>
      <c r="Q1722" s="13">
        <v>46098</v>
      </c>
      <c r="R1722" s="12" t="s">
        <v>8405</v>
      </c>
      <c r="S1722" s="12" t="s">
        <v>49</v>
      </c>
      <c r="T1722" s="14"/>
      <c r="U1722" s="14" t="s">
        <v>50</v>
      </c>
      <c r="V1722" s="20">
        <v>45825</v>
      </c>
      <c r="W1722" s="59">
        <v>0.86499999999999999</v>
      </c>
      <c r="X1722" s="14" t="s">
        <v>49</v>
      </c>
      <c r="Y1722" s="14"/>
      <c r="Z1722" s="14" t="s">
        <v>2881</v>
      </c>
      <c r="AA1722" s="14"/>
      <c r="AC1722" s="14"/>
      <c r="AD1722" s="14"/>
      <c r="AE1722" s="14"/>
      <c r="AF1722" s="13"/>
      <c r="AH1722" s="14"/>
      <c r="AI1722" s="14"/>
      <c r="AJ1722" s="14"/>
      <c r="AK1722" s="20"/>
      <c r="AM1722" s="14"/>
      <c r="AN1722" s="14"/>
      <c r="AO1722" s="14"/>
      <c r="AU1722" s="52" t="s">
        <v>53</v>
      </c>
    </row>
    <row r="1723" spans="1:47" s="12" customFormat="1" ht="28.5" hidden="1" customHeight="1" x14ac:dyDescent="0.3">
      <c r="A1723" s="12" t="s">
        <v>505</v>
      </c>
      <c r="B1723" s="12" t="s">
        <v>4886</v>
      </c>
      <c r="C1723" s="12">
        <v>70</v>
      </c>
      <c r="D1723" s="12">
        <v>670</v>
      </c>
      <c r="E1723" s="14" t="s">
        <v>8596</v>
      </c>
      <c r="F1723" s="276" t="s">
        <v>4932</v>
      </c>
      <c r="G1723" s="12" t="str">
        <f t="shared" si="40"/>
        <v>70670902021136</v>
      </c>
      <c r="H1723" s="14" t="s">
        <v>8601</v>
      </c>
      <c r="I1723" s="14">
        <v>902021136</v>
      </c>
      <c r="J1723" s="14" t="s">
        <v>4933</v>
      </c>
      <c r="K1723" s="14" t="s">
        <v>133</v>
      </c>
      <c r="L1723" s="14">
        <v>3182212565</v>
      </c>
      <c r="M1723" s="54" t="s">
        <v>8599</v>
      </c>
      <c r="N1723" s="12" t="s">
        <v>127</v>
      </c>
      <c r="O1723" s="12" t="s">
        <v>2822</v>
      </c>
      <c r="P1723" s="88" t="s">
        <v>48</v>
      </c>
      <c r="Q1723" s="13">
        <v>46073</v>
      </c>
      <c r="R1723" s="12" t="s">
        <v>8405</v>
      </c>
      <c r="S1723" s="12" t="s">
        <v>74</v>
      </c>
      <c r="T1723" s="14"/>
      <c r="U1723" s="14" t="s">
        <v>50</v>
      </c>
      <c r="V1723" s="20">
        <v>45800</v>
      </c>
      <c r="W1723" s="23">
        <v>0.86</v>
      </c>
      <c r="X1723" s="14" t="s">
        <v>49</v>
      </c>
      <c r="Y1723" s="14"/>
      <c r="Z1723" s="14" t="s">
        <v>2881</v>
      </c>
      <c r="AA1723" s="14"/>
      <c r="AC1723" s="13">
        <v>45610</v>
      </c>
      <c r="AD1723" s="11">
        <v>0.89</v>
      </c>
      <c r="AE1723" s="14" t="s">
        <v>49</v>
      </c>
      <c r="AF1723" s="13"/>
      <c r="AH1723" s="14"/>
      <c r="AI1723" s="14"/>
      <c r="AJ1723" s="14"/>
      <c r="AK1723" s="20"/>
      <c r="AM1723" s="14"/>
      <c r="AN1723" s="14"/>
      <c r="AO1723" s="14"/>
      <c r="AU1723" s="52" t="s">
        <v>53</v>
      </c>
    </row>
    <row r="1724" spans="1:47" s="12" customFormat="1" ht="36" hidden="1" customHeight="1" x14ac:dyDescent="0.3">
      <c r="A1724" s="12" t="s">
        <v>505</v>
      </c>
      <c r="B1724" s="12" t="s">
        <v>4886</v>
      </c>
      <c r="C1724" s="12">
        <v>70</v>
      </c>
      <c r="D1724" s="12">
        <v>670</v>
      </c>
      <c r="E1724" s="14" t="s">
        <v>8596</v>
      </c>
      <c r="F1724" s="276" t="s">
        <v>4934</v>
      </c>
      <c r="G1724" s="12" t="str">
        <f t="shared" si="40"/>
        <v>70670902021136</v>
      </c>
      <c r="H1724" s="14" t="s">
        <v>8601</v>
      </c>
      <c r="I1724" s="14">
        <v>902021136</v>
      </c>
      <c r="J1724" s="14" t="s">
        <v>4935</v>
      </c>
      <c r="K1724" s="14" t="s">
        <v>133</v>
      </c>
      <c r="L1724" s="14">
        <v>3126874974</v>
      </c>
      <c r="M1724" s="50" t="s">
        <v>8413</v>
      </c>
      <c r="N1724" s="12" t="s">
        <v>127</v>
      </c>
      <c r="O1724" s="12" t="s">
        <v>2822</v>
      </c>
      <c r="P1724" s="88" t="s">
        <v>48</v>
      </c>
      <c r="Q1724" s="13">
        <v>46104</v>
      </c>
      <c r="R1724" s="12">
        <v>92</v>
      </c>
      <c r="S1724" s="12" t="s">
        <v>210</v>
      </c>
      <c r="T1724" s="14"/>
      <c r="U1724" s="14" t="s">
        <v>50</v>
      </c>
      <c r="V1724" s="20">
        <v>45819</v>
      </c>
      <c r="W1724" s="59">
        <v>0.88500000000000001</v>
      </c>
      <c r="X1724" s="14" t="s">
        <v>49</v>
      </c>
      <c r="Y1724" s="14"/>
      <c r="Z1724" s="14" t="s">
        <v>2881</v>
      </c>
      <c r="AA1724" s="14"/>
      <c r="AC1724" s="14"/>
      <c r="AD1724" s="14"/>
      <c r="AE1724" s="14"/>
      <c r="AF1724" s="13"/>
      <c r="AH1724" s="14"/>
      <c r="AI1724" s="14"/>
      <c r="AJ1724" s="14"/>
      <c r="AK1724" s="20"/>
      <c r="AM1724" s="14"/>
      <c r="AN1724" s="14"/>
      <c r="AO1724" s="14"/>
      <c r="AU1724" s="52" t="s">
        <v>53</v>
      </c>
    </row>
    <row r="1725" spans="1:47" s="12" customFormat="1" ht="27" hidden="1" customHeight="1" x14ac:dyDescent="0.3">
      <c r="A1725" s="12" t="s">
        <v>505</v>
      </c>
      <c r="B1725" s="12" t="s">
        <v>4886</v>
      </c>
      <c r="C1725" s="12">
        <v>70</v>
      </c>
      <c r="D1725" s="12">
        <v>670</v>
      </c>
      <c r="E1725" s="14" t="s">
        <v>9008</v>
      </c>
      <c r="F1725" s="276" t="s">
        <v>4936</v>
      </c>
      <c r="G1725" s="12" t="str">
        <f t="shared" si="40"/>
        <v>70670902021136</v>
      </c>
      <c r="H1725" s="14" t="s">
        <v>9001</v>
      </c>
      <c r="I1725" s="14">
        <v>902021136</v>
      </c>
      <c r="J1725" s="14" t="s">
        <v>9010</v>
      </c>
      <c r="K1725" s="14" t="s">
        <v>133</v>
      </c>
      <c r="L1725" s="14">
        <v>3146760569</v>
      </c>
      <c r="M1725" s="54" t="s">
        <v>8413</v>
      </c>
      <c r="N1725" s="12" t="s">
        <v>127</v>
      </c>
      <c r="O1725" s="12" t="s">
        <v>2822</v>
      </c>
      <c r="P1725" s="88" t="s">
        <v>48</v>
      </c>
      <c r="Q1725" s="13">
        <v>46146</v>
      </c>
      <c r="R1725" s="12" t="s">
        <v>7753</v>
      </c>
      <c r="S1725" s="12" t="s">
        <v>49</v>
      </c>
      <c r="T1725" s="14"/>
      <c r="U1725" s="14" t="s">
        <v>50</v>
      </c>
      <c r="V1725" s="20">
        <v>45818</v>
      </c>
      <c r="W1725" s="252">
        <v>0.89500000000000002</v>
      </c>
      <c r="X1725" s="14" t="s">
        <v>49</v>
      </c>
      <c r="Y1725" s="14"/>
      <c r="Z1725" s="14" t="s">
        <v>60</v>
      </c>
      <c r="AA1725" s="14"/>
      <c r="AC1725" s="13">
        <v>45610</v>
      </c>
      <c r="AD1725" s="57">
        <v>0.95</v>
      </c>
      <c r="AE1725" s="14" t="s">
        <v>210</v>
      </c>
      <c r="AF1725" s="13" t="s">
        <v>60</v>
      </c>
      <c r="AH1725" s="14"/>
      <c r="AI1725" s="14"/>
      <c r="AJ1725" s="14"/>
      <c r="AK1725" s="20"/>
      <c r="AM1725" s="14"/>
      <c r="AN1725" s="14"/>
      <c r="AO1725" s="14"/>
      <c r="AU1725" s="52" t="s">
        <v>53</v>
      </c>
    </row>
    <row r="1726" spans="1:47" s="12" customFormat="1" ht="30.75" hidden="1" customHeight="1" x14ac:dyDescent="0.3">
      <c r="A1726" s="12" t="s">
        <v>505</v>
      </c>
      <c r="B1726" s="12" t="s">
        <v>4886</v>
      </c>
      <c r="C1726" s="12">
        <v>70</v>
      </c>
      <c r="D1726" s="12">
        <v>670</v>
      </c>
      <c r="E1726" s="14" t="s">
        <v>8596</v>
      </c>
      <c r="F1726" s="276" t="s">
        <v>8600</v>
      </c>
      <c r="G1726" s="12" t="str">
        <f t="shared" si="40"/>
        <v>70670902021136</v>
      </c>
      <c r="H1726" s="14" t="s">
        <v>8597</v>
      </c>
      <c r="I1726" s="14">
        <v>902021136</v>
      </c>
      <c r="J1726" s="14" t="s">
        <v>4937</v>
      </c>
      <c r="K1726" s="14" t="s">
        <v>133</v>
      </c>
      <c r="L1726" s="14">
        <v>3182212565</v>
      </c>
      <c r="M1726" s="54" t="s">
        <v>8599</v>
      </c>
      <c r="N1726" s="12" t="s">
        <v>127</v>
      </c>
      <c r="O1726" s="12" t="s">
        <v>2822</v>
      </c>
      <c r="P1726" s="88" t="s">
        <v>48</v>
      </c>
      <c r="Q1726" s="13">
        <v>46073</v>
      </c>
      <c r="R1726" s="12" t="s">
        <v>8405</v>
      </c>
      <c r="S1726" s="12" t="s">
        <v>49</v>
      </c>
      <c r="U1726" s="12" t="s">
        <v>50</v>
      </c>
      <c r="V1726" s="20">
        <v>45785</v>
      </c>
      <c r="W1726" s="62">
        <v>0.9</v>
      </c>
      <c r="X1726" s="14" t="s">
        <v>319</v>
      </c>
      <c r="Y1726" s="14"/>
      <c r="Z1726" s="14" t="s">
        <v>8317</v>
      </c>
      <c r="AA1726" s="14"/>
      <c r="AC1726" s="14"/>
      <c r="AD1726" s="14"/>
      <c r="AE1726" s="14"/>
      <c r="AF1726" s="13"/>
      <c r="AH1726" s="14"/>
      <c r="AI1726" s="14"/>
      <c r="AJ1726" s="14"/>
      <c r="AK1726" s="20"/>
      <c r="AM1726" s="14"/>
      <c r="AN1726" s="14"/>
      <c r="AO1726" s="14"/>
      <c r="AU1726" s="52" t="s">
        <v>53</v>
      </c>
    </row>
    <row r="1727" spans="1:47" s="12" customFormat="1" ht="29.25" hidden="1" customHeight="1" x14ac:dyDescent="0.3">
      <c r="A1727" s="12" t="s">
        <v>505</v>
      </c>
      <c r="B1727" s="12" t="s">
        <v>4886</v>
      </c>
      <c r="C1727" s="12">
        <v>70</v>
      </c>
      <c r="D1727" s="12">
        <v>670</v>
      </c>
      <c r="E1727" s="366" t="s">
        <v>9008</v>
      </c>
      <c r="F1727" s="276" t="s">
        <v>4938</v>
      </c>
      <c r="G1727" s="12" t="str">
        <f t="shared" si="40"/>
        <v>70670902021136</v>
      </c>
      <c r="H1727" s="14" t="s">
        <v>9001</v>
      </c>
      <c r="I1727" s="14">
        <v>902021136</v>
      </c>
      <c r="J1727" s="14" t="s">
        <v>9009</v>
      </c>
      <c r="K1727" s="14" t="s">
        <v>133</v>
      </c>
      <c r="L1727" s="14">
        <v>32375142230</v>
      </c>
      <c r="M1727" s="54" t="s">
        <v>8413</v>
      </c>
      <c r="N1727" s="12" t="s">
        <v>127</v>
      </c>
      <c r="O1727" s="12" t="s">
        <v>2822</v>
      </c>
      <c r="P1727" s="88" t="s">
        <v>48</v>
      </c>
      <c r="Q1727" s="13">
        <v>46153</v>
      </c>
      <c r="R1727" s="12">
        <v>76</v>
      </c>
      <c r="S1727" s="12" t="s">
        <v>49</v>
      </c>
      <c r="T1727" s="14"/>
      <c r="U1727" s="14"/>
      <c r="V1727" s="20">
        <v>45849</v>
      </c>
      <c r="W1727" s="21">
        <v>0.86</v>
      </c>
      <c r="X1727" s="14" t="s">
        <v>49</v>
      </c>
      <c r="Y1727" s="14"/>
      <c r="Z1727" s="14" t="s">
        <v>8317</v>
      </c>
      <c r="AA1727" s="14"/>
      <c r="AC1727" s="14"/>
      <c r="AD1727" s="14"/>
      <c r="AE1727" s="14"/>
      <c r="AF1727" s="13"/>
      <c r="AH1727" s="14"/>
      <c r="AI1727" s="14"/>
      <c r="AJ1727" s="14"/>
      <c r="AK1727" s="20"/>
      <c r="AM1727" s="14"/>
      <c r="AN1727" s="14"/>
      <c r="AO1727" s="14"/>
      <c r="AU1727" s="52" t="s">
        <v>53</v>
      </c>
    </row>
    <row r="1728" spans="1:47" s="12" customFormat="1" ht="28.5" hidden="1" customHeight="1" x14ac:dyDescent="0.3">
      <c r="A1728" s="12" t="s">
        <v>505</v>
      </c>
      <c r="B1728" s="12" t="s">
        <v>4886</v>
      </c>
      <c r="C1728" s="12">
        <v>70</v>
      </c>
      <c r="D1728" s="12">
        <v>670</v>
      </c>
      <c r="E1728" s="14" t="s">
        <v>4895</v>
      </c>
      <c r="F1728" s="14" t="s">
        <v>4939</v>
      </c>
      <c r="G1728" s="12" t="str">
        <f t="shared" si="40"/>
        <v>70670901926953-1</v>
      </c>
      <c r="H1728" s="14" t="s">
        <v>4880</v>
      </c>
      <c r="I1728" s="14" t="s">
        <v>4898</v>
      </c>
      <c r="J1728" s="14" t="s">
        <v>4937</v>
      </c>
      <c r="K1728" s="14" t="s">
        <v>133</v>
      </c>
      <c r="L1728" s="14">
        <v>3127690021</v>
      </c>
      <c r="M1728" s="54" t="s">
        <v>4899</v>
      </c>
      <c r="N1728" s="12" t="s">
        <v>127</v>
      </c>
      <c r="O1728" s="12" t="s">
        <v>2822</v>
      </c>
      <c r="P1728" s="88" t="s">
        <v>48</v>
      </c>
      <c r="Q1728" s="20">
        <v>45861</v>
      </c>
      <c r="R1728" s="21">
        <v>0.84</v>
      </c>
      <c r="S1728" s="14" t="s">
        <v>49</v>
      </c>
      <c r="T1728" s="14"/>
      <c r="U1728" s="14"/>
      <c r="V1728" s="13"/>
      <c r="W1728" s="63"/>
      <c r="X1728" s="14"/>
      <c r="Y1728" s="14"/>
      <c r="Z1728" s="14"/>
      <c r="AA1728" s="14"/>
      <c r="AC1728" s="14"/>
      <c r="AD1728" s="14"/>
      <c r="AE1728" s="14"/>
      <c r="AF1728" s="13"/>
      <c r="AH1728" s="14"/>
      <c r="AI1728" s="14"/>
      <c r="AJ1728" s="14"/>
      <c r="AK1728" s="20"/>
      <c r="AM1728" s="14"/>
      <c r="AN1728" s="14"/>
      <c r="AO1728" s="14"/>
      <c r="AU1728" s="52" t="s">
        <v>53</v>
      </c>
    </row>
    <row r="1729" spans="1:52" s="12" customFormat="1" ht="27.75" hidden="1" customHeight="1" x14ac:dyDescent="0.3">
      <c r="A1729" s="12" t="s">
        <v>505</v>
      </c>
      <c r="B1729" s="12" t="s">
        <v>4886</v>
      </c>
      <c r="C1729" s="12">
        <v>70</v>
      </c>
      <c r="D1729" s="12">
        <v>670</v>
      </c>
      <c r="E1729" s="14" t="s">
        <v>4895</v>
      </c>
      <c r="F1729" s="276" t="s">
        <v>4940</v>
      </c>
      <c r="G1729" s="12" t="str">
        <f t="shared" si="40"/>
        <v>70670902021136</v>
      </c>
      <c r="H1729" s="14" t="s">
        <v>9335</v>
      </c>
      <c r="I1729" s="14">
        <v>902021136</v>
      </c>
      <c r="J1729" s="14" t="s">
        <v>4937</v>
      </c>
      <c r="K1729" s="14" t="s">
        <v>133</v>
      </c>
      <c r="L1729" s="14">
        <v>3182212565</v>
      </c>
      <c r="M1729" s="54" t="s">
        <v>9336</v>
      </c>
      <c r="N1729" s="12" t="s">
        <v>127</v>
      </c>
      <c r="O1729" s="12" t="s">
        <v>2822</v>
      </c>
      <c r="P1729" s="88" t="s">
        <v>48</v>
      </c>
      <c r="Q1729" s="20">
        <v>46177</v>
      </c>
      <c r="R1729" s="14" t="s">
        <v>2768</v>
      </c>
      <c r="S1729" s="14" t="s">
        <v>49</v>
      </c>
      <c r="T1729" s="14"/>
      <c r="U1729" s="14" t="s">
        <v>60</v>
      </c>
      <c r="V1729" s="13">
        <v>45866</v>
      </c>
      <c r="W1729" s="368">
        <v>0.89500000000000002</v>
      </c>
      <c r="X1729" s="14" t="s">
        <v>49</v>
      </c>
      <c r="Y1729" s="14"/>
      <c r="Z1729" s="14" t="s">
        <v>60</v>
      </c>
      <c r="AA1729" s="14"/>
      <c r="AC1729" s="14"/>
      <c r="AD1729" s="14"/>
      <c r="AE1729" s="14"/>
      <c r="AF1729" s="13"/>
      <c r="AH1729" s="14"/>
      <c r="AI1729" s="14"/>
      <c r="AJ1729" s="14"/>
      <c r="AK1729" s="20"/>
      <c r="AM1729" s="14"/>
      <c r="AN1729" s="14"/>
      <c r="AO1729" s="14"/>
      <c r="AU1729" s="52" t="s">
        <v>53</v>
      </c>
    </row>
    <row r="1730" spans="1:52" s="12" customFormat="1" ht="18" hidden="1" customHeight="1" x14ac:dyDescent="0.3">
      <c r="A1730" s="12" t="s">
        <v>505</v>
      </c>
      <c r="B1730" s="12" t="s">
        <v>4886</v>
      </c>
      <c r="C1730" s="12">
        <v>70</v>
      </c>
      <c r="D1730" s="12">
        <v>670</v>
      </c>
      <c r="E1730" s="14" t="s">
        <v>4895</v>
      </c>
      <c r="F1730" s="276" t="s">
        <v>4941</v>
      </c>
      <c r="G1730" s="12" t="str">
        <f t="shared" si="40"/>
        <v>70670901926953-1</v>
      </c>
      <c r="H1730" s="14" t="s">
        <v>4897</v>
      </c>
      <c r="I1730" s="14" t="s">
        <v>4898</v>
      </c>
      <c r="J1730" s="14" t="s">
        <v>4942</v>
      </c>
      <c r="K1730" s="14" t="s">
        <v>133</v>
      </c>
      <c r="L1730" s="14">
        <v>3206312342</v>
      </c>
      <c r="M1730" s="64" t="s">
        <v>4899</v>
      </c>
      <c r="N1730" s="12" t="s">
        <v>127</v>
      </c>
      <c r="O1730" s="12" t="s">
        <v>2822</v>
      </c>
      <c r="P1730" s="88" t="s">
        <v>48</v>
      </c>
      <c r="Q1730" s="20">
        <v>45874</v>
      </c>
      <c r="R1730" s="218">
        <v>0.94499999999999995</v>
      </c>
      <c r="S1730" s="14" t="s">
        <v>319</v>
      </c>
      <c r="T1730" s="14"/>
      <c r="U1730" s="14"/>
      <c r="V1730" s="13"/>
      <c r="W1730" s="9"/>
      <c r="X1730" s="14"/>
      <c r="Y1730" s="14"/>
      <c r="Z1730" s="14"/>
      <c r="AA1730" s="14"/>
      <c r="AC1730" s="14"/>
      <c r="AD1730" s="14"/>
      <c r="AE1730" s="14"/>
      <c r="AF1730" s="13"/>
      <c r="AH1730" s="14"/>
      <c r="AI1730" s="14"/>
      <c r="AJ1730" s="14"/>
      <c r="AK1730" s="20"/>
      <c r="AM1730" s="14"/>
      <c r="AN1730" s="14"/>
      <c r="AO1730" s="14"/>
      <c r="AU1730" s="52" t="s">
        <v>53</v>
      </c>
    </row>
    <row r="1731" spans="1:52" s="12" customFormat="1" ht="27" hidden="1" customHeight="1" x14ac:dyDescent="0.3">
      <c r="A1731" s="12" t="s">
        <v>505</v>
      </c>
      <c r="B1731" s="12" t="s">
        <v>4886</v>
      </c>
      <c r="C1731" s="12">
        <v>70</v>
      </c>
      <c r="D1731" s="12">
        <v>670</v>
      </c>
      <c r="E1731" s="14" t="s">
        <v>8596</v>
      </c>
      <c r="F1731" s="276" t="s">
        <v>8825</v>
      </c>
      <c r="G1731" s="12" t="str">
        <f t="shared" si="40"/>
        <v>70670902021136</v>
      </c>
      <c r="H1731" s="307" t="s">
        <v>8830</v>
      </c>
      <c r="I1731" s="14">
        <v>902021136</v>
      </c>
      <c r="J1731" s="14" t="s">
        <v>8826</v>
      </c>
      <c r="K1731" s="14" t="s">
        <v>133</v>
      </c>
      <c r="L1731" s="14">
        <v>3113023983</v>
      </c>
      <c r="M1731" s="64" t="s">
        <v>8413</v>
      </c>
      <c r="N1731" s="12" t="s">
        <v>127</v>
      </c>
      <c r="O1731" s="12" t="s">
        <v>2822</v>
      </c>
      <c r="P1731" s="88" t="s">
        <v>48</v>
      </c>
      <c r="Q1731" s="20">
        <v>46101</v>
      </c>
      <c r="R1731" s="14" t="s">
        <v>7753</v>
      </c>
      <c r="S1731" s="14" t="s">
        <v>49</v>
      </c>
      <c r="T1731" s="14"/>
      <c r="U1731" s="14" t="s">
        <v>60</v>
      </c>
      <c r="V1731" s="13"/>
      <c r="W1731" s="9"/>
      <c r="X1731" s="14"/>
      <c r="Y1731" s="14"/>
      <c r="Z1731" s="14"/>
      <c r="AA1731" s="14"/>
      <c r="AC1731" s="14"/>
      <c r="AD1731" s="14"/>
      <c r="AE1731" s="14"/>
      <c r="AF1731" s="13"/>
      <c r="AH1731" s="14"/>
      <c r="AI1731" s="14"/>
      <c r="AJ1731" s="14"/>
      <c r="AK1731" s="20"/>
      <c r="AM1731" s="14"/>
      <c r="AN1731" s="14"/>
      <c r="AO1731" s="14"/>
      <c r="AU1731" s="52" t="s">
        <v>53</v>
      </c>
    </row>
    <row r="1732" spans="1:52" s="12" customFormat="1" ht="27" hidden="1" customHeight="1" x14ac:dyDescent="0.3">
      <c r="A1732" s="12" t="s">
        <v>505</v>
      </c>
      <c r="B1732" s="12" t="s">
        <v>4886</v>
      </c>
      <c r="C1732" s="12">
        <v>70</v>
      </c>
      <c r="D1732" s="12">
        <v>670</v>
      </c>
      <c r="E1732" s="14" t="s">
        <v>8337</v>
      </c>
      <c r="F1732" s="276" t="s">
        <v>8827</v>
      </c>
      <c r="G1732" s="12" t="str">
        <f t="shared" si="40"/>
        <v>70670902024779</v>
      </c>
      <c r="H1732" s="14" t="s">
        <v>8828</v>
      </c>
      <c r="I1732" s="14">
        <v>902024779</v>
      </c>
      <c r="J1732" s="14" t="s">
        <v>8829</v>
      </c>
      <c r="K1732" s="14" t="s">
        <v>133</v>
      </c>
      <c r="L1732" s="14">
        <v>3126241144</v>
      </c>
      <c r="M1732" s="64" t="s">
        <v>8335</v>
      </c>
      <c r="N1732" s="12" t="s">
        <v>127</v>
      </c>
      <c r="O1732" s="12" t="s">
        <v>2822</v>
      </c>
      <c r="P1732" s="88" t="s">
        <v>48</v>
      </c>
      <c r="Q1732" s="20">
        <v>46090</v>
      </c>
      <c r="R1732" s="218">
        <v>0.84499999999999997</v>
      </c>
      <c r="S1732" s="14" t="s">
        <v>49</v>
      </c>
      <c r="T1732" s="14" t="s">
        <v>4865</v>
      </c>
      <c r="U1732" s="14" t="s">
        <v>60</v>
      </c>
      <c r="V1732" s="13">
        <v>45741</v>
      </c>
      <c r="W1732" s="11">
        <v>0.88</v>
      </c>
      <c r="X1732" s="14" t="s">
        <v>49</v>
      </c>
      <c r="Y1732" s="14"/>
      <c r="Z1732" s="14"/>
      <c r="AA1732" s="14"/>
      <c r="AC1732" s="14"/>
      <c r="AD1732" s="14"/>
      <c r="AE1732" s="14"/>
      <c r="AF1732" s="13"/>
      <c r="AH1732" s="14"/>
      <c r="AI1732" s="14"/>
      <c r="AJ1732" s="14"/>
      <c r="AK1732" s="20"/>
      <c r="AM1732" s="14"/>
      <c r="AN1732" s="14"/>
      <c r="AO1732" s="14"/>
      <c r="AU1732" s="52" t="s">
        <v>53</v>
      </c>
    </row>
    <row r="1733" spans="1:52" s="12" customFormat="1" ht="27" hidden="1" customHeight="1" x14ac:dyDescent="0.3">
      <c r="A1733" s="12" t="s">
        <v>505</v>
      </c>
      <c r="B1733" s="12" t="s">
        <v>4886</v>
      </c>
      <c r="C1733" s="12">
        <v>70</v>
      </c>
      <c r="D1733" s="12">
        <v>670</v>
      </c>
      <c r="E1733" s="14" t="s">
        <v>8596</v>
      </c>
      <c r="F1733" s="276" t="s">
        <v>8833</v>
      </c>
      <c r="G1733" s="12" t="str">
        <f t="shared" si="40"/>
        <v>70670902021136</v>
      </c>
      <c r="H1733" s="14" t="s">
        <v>8830</v>
      </c>
      <c r="I1733" s="14">
        <v>902021136</v>
      </c>
      <c r="J1733" s="14" t="s">
        <v>8834</v>
      </c>
      <c r="K1733" s="14" t="s">
        <v>133</v>
      </c>
      <c r="L1733" s="14">
        <v>3126874974</v>
      </c>
      <c r="M1733" s="64" t="s">
        <v>8413</v>
      </c>
      <c r="N1733" s="12" t="s">
        <v>127</v>
      </c>
      <c r="O1733" s="12" t="s">
        <v>2822</v>
      </c>
      <c r="P1733" s="88" t="s">
        <v>48</v>
      </c>
      <c r="Q1733" s="20">
        <v>46125</v>
      </c>
      <c r="R1733" s="14" t="s">
        <v>4833</v>
      </c>
      <c r="S1733" s="14" t="s">
        <v>49</v>
      </c>
      <c r="T1733" s="14"/>
      <c r="U1733" s="14" t="s">
        <v>60</v>
      </c>
      <c r="V1733" s="13"/>
      <c r="W1733" s="11"/>
      <c r="X1733" s="14"/>
      <c r="Y1733" s="14"/>
      <c r="Z1733" s="14"/>
      <c r="AA1733" s="14"/>
      <c r="AC1733" s="14"/>
      <c r="AD1733" s="14"/>
      <c r="AE1733" s="14"/>
      <c r="AF1733" s="13"/>
      <c r="AH1733" s="14"/>
      <c r="AI1733" s="14"/>
      <c r="AJ1733" s="14"/>
      <c r="AK1733" s="20"/>
      <c r="AM1733" s="14"/>
      <c r="AN1733" s="14"/>
      <c r="AO1733" s="14"/>
      <c r="AU1733" s="52" t="s">
        <v>53</v>
      </c>
    </row>
    <row r="1734" spans="1:52" s="12" customFormat="1" ht="46.5" hidden="1" customHeight="1" x14ac:dyDescent="0.3">
      <c r="A1734" s="12" t="s">
        <v>505</v>
      </c>
      <c r="B1734" s="12" t="s">
        <v>4886</v>
      </c>
      <c r="C1734" s="12">
        <v>70</v>
      </c>
      <c r="D1734" s="12">
        <v>670</v>
      </c>
      <c r="E1734" s="14" t="s">
        <v>8596</v>
      </c>
      <c r="F1734" s="276" t="s">
        <v>8836</v>
      </c>
      <c r="G1734" s="12" t="str">
        <f t="shared" si="40"/>
        <v>70670902021136</v>
      </c>
      <c r="H1734" s="14" t="s">
        <v>8830</v>
      </c>
      <c r="I1734" s="14">
        <v>902021136</v>
      </c>
      <c r="J1734" s="14" t="s">
        <v>8837</v>
      </c>
      <c r="K1734" s="14" t="s">
        <v>133</v>
      </c>
      <c r="L1734" s="14">
        <v>3182212566</v>
      </c>
      <c r="M1734" s="64" t="s">
        <v>8413</v>
      </c>
      <c r="N1734" s="12" t="s">
        <v>127</v>
      </c>
      <c r="O1734" s="12" t="s">
        <v>2822</v>
      </c>
      <c r="P1734" s="88" t="s">
        <v>48</v>
      </c>
      <c r="Q1734" s="20">
        <v>46132</v>
      </c>
      <c r="R1734" s="14">
        <v>84</v>
      </c>
      <c r="S1734" s="14" t="s">
        <v>49</v>
      </c>
      <c r="T1734" s="14"/>
      <c r="U1734" s="14"/>
      <c r="V1734" s="13"/>
      <c r="W1734" s="11"/>
      <c r="X1734" s="14"/>
      <c r="Y1734" s="14"/>
      <c r="Z1734" s="14"/>
      <c r="AA1734" s="14"/>
      <c r="AC1734" s="14"/>
      <c r="AD1734" s="14"/>
      <c r="AE1734" s="14"/>
      <c r="AF1734" s="13"/>
      <c r="AH1734" s="14"/>
      <c r="AI1734" s="14"/>
      <c r="AJ1734" s="14"/>
      <c r="AK1734" s="20"/>
      <c r="AM1734" s="14"/>
      <c r="AN1734" s="14"/>
      <c r="AO1734" s="14"/>
      <c r="AU1734" s="52" t="s">
        <v>53</v>
      </c>
    </row>
    <row r="1735" spans="1:52" s="12" customFormat="1" ht="27" hidden="1" customHeight="1" x14ac:dyDescent="0.3">
      <c r="A1735" s="12" t="s">
        <v>505</v>
      </c>
      <c r="B1735" s="12" t="s">
        <v>4886</v>
      </c>
      <c r="C1735" s="12">
        <v>70</v>
      </c>
      <c r="D1735" s="12">
        <v>670</v>
      </c>
      <c r="E1735" s="14" t="s">
        <v>8596</v>
      </c>
      <c r="F1735" s="276" t="s">
        <v>8841</v>
      </c>
      <c r="G1735" s="12" t="str">
        <f t="shared" si="40"/>
        <v>70670902021136</v>
      </c>
      <c r="H1735" s="14" t="s">
        <v>8830</v>
      </c>
      <c r="I1735" s="14">
        <v>902021136</v>
      </c>
      <c r="J1735" s="14" t="s">
        <v>8842</v>
      </c>
      <c r="K1735" s="14" t="s">
        <v>133</v>
      </c>
      <c r="L1735" s="14">
        <v>3182212565</v>
      </c>
      <c r="M1735" s="64" t="s">
        <v>8413</v>
      </c>
      <c r="N1735" s="12" t="s">
        <v>127</v>
      </c>
      <c r="O1735" s="12" t="s">
        <v>2822</v>
      </c>
      <c r="P1735" s="88" t="s">
        <v>48</v>
      </c>
      <c r="Q1735" s="20">
        <v>46136</v>
      </c>
      <c r="R1735" s="21">
        <v>0.84</v>
      </c>
      <c r="S1735" s="14" t="s">
        <v>49</v>
      </c>
      <c r="T1735" s="14"/>
      <c r="U1735" s="14" t="s">
        <v>60</v>
      </c>
      <c r="V1735" s="13">
        <v>45877</v>
      </c>
      <c r="W1735" s="11" t="s">
        <v>2148</v>
      </c>
      <c r="X1735" s="14" t="s">
        <v>49</v>
      </c>
      <c r="Y1735" s="14"/>
      <c r="Z1735" s="14" t="s">
        <v>2881</v>
      </c>
      <c r="AA1735" s="14"/>
      <c r="AC1735" s="14"/>
      <c r="AD1735" s="14"/>
      <c r="AE1735" s="14"/>
      <c r="AF1735" s="13"/>
      <c r="AH1735" s="14"/>
      <c r="AI1735" s="14"/>
      <c r="AJ1735" s="14"/>
      <c r="AK1735" s="20"/>
      <c r="AM1735" s="14"/>
      <c r="AN1735" s="14"/>
      <c r="AO1735" s="14"/>
      <c r="AU1735" s="52" t="s">
        <v>53</v>
      </c>
    </row>
    <row r="1736" spans="1:52" s="12" customFormat="1" ht="27" hidden="1" customHeight="1" x14ac:dyDescent="0.3">
      <c r="A1736" s="12" t="s">
        <v>505</v>
      </c>
      <c r="B1736" s="12" t="s">
        <v>4886</v>
      </c>
      <c r="C1736" s="12">
        <v>70</v>
      </c>
      <c r="D1736" s="12">
        <v>670</v>
      </c>
      <c r="E1736" s="14" t="s">
        <v>8596</v>
      </c>
      <c r="F1736" s="276" t="s">
        <v>9333</v>
      </c>
      <c r="G1736" s="12" t="str">
        <f t="shared" si="40"/>
        <v>70670902021136</v>
      </c>
      <c r="H1736" s="14" t="s">
        <v>8830</v>
      </c>
      <c r="I1736" s="14">
        <v>902021136</v>
      </c>
      <c r="J1736" s="14" t="s">
        <v>9334</v>
      </c>
      <c r="K1736" s="14" t="s">
        <v>133</v>
      </c>
      <c r="L1736" s="14">
        <v>3116758370</v>
      </c>
      <c r="M1736" s="64" t="s">
        <v>8413</v>
      </c>
      <c r="N1736" s="12" t="s">
        <v>127</v>
      </c>
      <c r="O1736" s="12" t="s">
        <v>2822</v>
      </c>
      <c r="P1736" s="88" t="s">
        <v>48</v>
      </c>
      <c r="Q1736" s="20">
        <v>46161</v>
      </c>
      <c r="R1736" s="14" t="s">
        <v>7753</v>
      </c>
      <c r="S1736" s="14" t="s">
        <v>49</v>
      </c>
      <c r="T1736" s="14"/>
      <c r="U1736" s="14" t="s">
        <v>60</v>
      </c>
      <c r="V1736" s="13"/>
      <c r="W1736" s="11"/>
      <c r="X1736" s="14"/>
      <c r="Y1736" s="14"/>
      <c r="Z1736" s="14"/>
      <c r="AA1736" s="14"/>
      <c r="AC1736" s="14"/>
      <c r="AD1736" s="14"/>
      <c r="AE1736" s="14"/>
      <c r="AF1736" s="13"/>
      <c r="AH1736" s="14"/>
      <c r="AI1736" s="14"/>
      <c r="AJ1736" s="14"/>
      <c r="AK1736" s="20"/>
      <c r="AM1736" s="14"/>
      <c r="AN1736" s="14"/>
      <c r="AO1736" s="14"/>
      <c r="AU1736" s="52" t="s">
        <v>53</v>
      </c>
    </row>
    <row r="1737" spans="1:52" s="12" customFormat="1" ht="27" hidden="1" customHeight="1" x14ac:dyDescent="0.3">
      <c r="A1737" s="12" t="s">
        <v>505</v>
      </c>
      <c r="B1737" s="12" t="s">
        <v>4886</v>
      </c>
      <c r="C1737" s="12">
        <v>70</v>
      </c>
      <c r="D1737" s="12">
        <v>670</v>
      </c>
      <c r="E1737" s="14" t="s">
        <v>8596</v>
      </c>
      <c r="F1737" s="276" t="s">
        <v>9337</v>
      </c>
      <c r="G1737" s="12" t="str">
        <f t="shared" si="40"/>
        <v>70670902021136</v>
      </c>
      <c r="H1737" s="14" t="s">
        <v>8830</v>
      </c>
      <c r="I1737" s="14">
        <v>902021136</v>
      </c>
      <c r="J1737" s="14" t="s">
        <v>9338</v>
      </c>
      <c r="K1737" s="14" t="s">
        <v>133</v>
      </c>
      <c r="L1737" s="14">
        <v>3182212565</v>
      </c>
      <c r="M1737" s="64" t="s">
        <v>8413</v>
      </c>
      <c r="N1737" s="12" t="s">
        <v>127</v>
      </c>
      <c r="O1737" s="12" t="s">
        <v>2822</v>
      </c>
      <c r="P1737" s="88" t="s">
        <v>48</v>
      </c>
      <c r="Q1737" s="20">
        <v>46170</v>
      </c>
      <c r="R1737" s="14" t="s">
        <v>8270</v>
      </c>
      <c r="S1737" s="14" t="s">
        <v>49</v>
      </c>
      <c r="T1737" s="14"/>
      <c r="U1737" s="14" t="s">
        <v>60</v>
      </c>
      <c r="V1737" s="13"/>
      <c r="W1737" s="11"/>
      <c r="X1737" s="14"/>
      <c r="Y1737" s="14"/>
      <c r="Z1737" s="14"/>
      <c r="AA1737" s="14"/>
      <c r="AC1737" s="14"/>
      <c r="AD1737" s="14"/>
      <c r="AE1737" s="14"/>
      <c r="AF1737" s="13"/>
      <c r="AH1737" s="14"/>
      <c r="AI1737" s="14"/>
      <c r="AJ1737" s="14"/>
      <c r="AK1737" s="20"/>
      <c r="AM1737" s="14"/>
      <c r="AN1737" s="14"/>
      <c r="AO1737" s="14"/>
      <c r="AU1737" s="52" t="s">
        <v>53</v>
      </c>
    </row>
    <row r="1738" spans="1:52" s="12" customFormat="1" ht="27" hidden="1" customHeight="1" x14ac:dyDescent="0.3">
      <c r="A1738" s="12" t="s">
        <v>505</v>
      </c>
      <c r="B1738" s="12" t="s">
        <v>4886</v>
      </c>
      <c r="C1738" s="12">
        <v>70</v>
      </c>
      <c r="D1738" s="12">
        <v>670</v>
      </c>
      <c r="E1738" s="14" t="s">
        <v>8596</v>
      </c>
      <c r="F1738" s="276" t="s">
        <v>9343</v>
      </c>
      <c r="G1738" s="12" t="str">
        <f t="shared" si="40"/>
        <v>70670902021136</v>
      </c>
      <c r="H1738" s="14" t="s">
        <v>8830</v>
      </c>
      <c r="I1738" s="14">
        <v>902021136</v>
      </c>
      <c r="J1738" s="14" t="s">
        <v>9344</v>
      </c>
      <c r="K1738" s="14" t="s">
        <v>133</v>
      </c>
      <c r="L1738" s="14">
        <v>3216516407</v>
      </c>
      <c r="M1738" s="64" t="s">
        <v>8413</v>
      </c>
      <c r="N1738" s="12" t="s">
        <v>127</v>
      </c>
      <c r="O1738" s="12" t="s">
        <v>2822</v>
      </c>
      <c r="P1738" s="88" t="s">
        <v>48</v>
      </c>
      <c r="Q1738" s="20">
        <v>46182</v>
      </c>
      <c r="R1738" s="14">
        <v>90</v>
      </c>
      <c r="S1738" s="14" t="s">
        <v>49</v>
      </c>
      <c r="T1738" s="14"/>
      <c r="U1738" s="14" t="s">
        <v>60</v>
      </c>
      <c r="V1738" s="13"/>
      <c r="W1738" s="11"/>
      <c r="X1738" s="14"/>
      <c r="Y1738" s="14"/>
      <c r="Z1738" s="14"/>
      <c r="AA1738" s="14"/>
      <c r="AC1738" s="14"/>
      <c r="AD1738" s="14"/>
      <c r="AE1738" s="14"/>
      <c r="AF1738" s="13"/>
      <c r="AH1738" s="14"/>
      <c r="AI1738" s="14"/>
      <c r="AJ1738" s="14"/>
      <c r="AK1738" s="20"/>
      <c r="AM1738" s="14"/>
      <c r="AN1738" s="14"/>
      <c r="AO1738" s="14"/>
      <c r="AU1738" s="52" t="s">
        <v>53</v>
      </c>
    </row>
    <row r="1739" spans="1:52" s="12" customFormat="1" ht="27" hidden="1" customHeight="1" x14ac:dyDescent="0.3">
      <c r="A1739" s="12" t="s">
        <v>505</v>
      </c>
      <c r="B1739" s="12" t="s">
        <v>4886</v>
      </c>
      <c r="C1739" s="12">
        <v>70</v>
      </c>
      <c r="D1739" s="12">
        <v>670</v>
      </c>
      <c r="E1739" s="14" t="s">
        <v>8596</v>
      </c>
      <c r="F1739" s="276" t="s">
        <v>9345</v>
      </c>
      <c r="G1739" s="12" t="str">
        <f t="shared" si="40"/>
        <v>70670902021136</v>
      </c>
      <c r="H1739" s="14" t="s">
        <v>8830</v>
      </c>
      <c r="I1739" s="14">
        <v>902021136</v>
      </c>
      <c r="J1739" s="14" t="s">
        <v>6998</v>
      </c>
      <c r="K1739" s="14" t="s">
        <v>133</v>
      </c>
      <c r="L1739" s="14">
        <v>3023970283</v>
      </c>
      <c r="M1739" s="64" t="s">
        <v>8413</v>
      </c>
      <c r="N1739" s="12" t="s">
        <v>127</v>
      </c>
      <c r="O1739" s="12" t="s">
        <v>2822</v>
      </c>
      <c r="P1739" s="88" t="s">
        <v>48</v>
      </c>
      <c r="Q1739" s="20">
        <v>46184</v>
      </c>
      <c r="R1739" s="14">
        <v>89</v>
      </c>
      <c r="S1739" s="14" t="s">
        <v>49</v>
      </c>
      <c r="T1739" s="14"/>
      <c r="U1739" s="14" t="s">
        <v>60</v>
      </c>
      <c r="V1739" s="13"/>
      <c r="W1739" s="11"/>
      <c r="X1739" s="14"/>
      <c r="Y1739" s="14"/>
      <c r="Z1739" s="14"/>
      <c r="AA1739" s="14"/>
      <c r="AC1739" s="14"/>
      <c r="AD1739" s="14"/>
      <c r="AE1739" s="14"/>
      <c r="AF1739" s="13"/>
      <c r="AH1739" s="14"/>
      <c r="AI1739" s="14"/>
      <c r="AJ1739" s="14"/>
      <c r="AK1739" s="20"/>
      <c r="AM1739" s="14"/>
      <c r="AN1739" s="14"/>
      <c r="AO1739" s="14"/>
      <c r="AU1739" s="52" t="s">
        <v>53</v>
      </c>
    </row>
    <row r="1740" spans="1:52" s="12" customFormat="1" ht="27" hidden="1" customHeight="1" x14ac:dyDescent="0.3">
      <c r="A1740" s="12" t="s">
        <v>505</v>
      </c>
      <c r="B1740" s="12" t="s">
        <v>4886</v>
      </c>
      <c r="C1740" s="12">
        <v>70</v>
      </c>
      <c r="D1740" s="12">
        <v>670</v>
      </c>
      <c r="E1740" s="14" t="s">
        <v>8596</v>
      </c>
      <c r="F1740" s="276" t="s">
        <v>9348</v>
      </c>
      <c r="G1740" s="12" t="str">
        <f t="shared" si="40"/>
        <v>70670902021136</v>
      </c>
      <c r="H1740" s="14" t="s">
        <v>8830</v>
      </c>
      <c r="I1740" s="14">
        <v>902021136</v>
      </c>
      <c r="J1740" s="14" t="s">
        <v>9349</v>
      </c>
      <c r="K1740" s="14" t="s">
        <v>133</v>
      </c>
      <c r="L1740" s="14">
        <v>3182212565</v>
      </c>
      <c r="M1740" s="64" t="s">
        <v>8413</v>
      </c>
      <c r="N1740" s="12" t="s">
        <v>127</v>
      </c>
      <c r="O1740" s="12" t="s">
        <v>2822</v>
      </c>
      <c r="P1740" s="88" t="s">
        <v>48</v>
      </c>
      <c r="Q1740" s="20">
        <v>46210</v>
      </c>
      <c r="R1740" s="14">
        <v>85</v>
      </c>
      <c r="S1740" s="14" t="s">
        <v>49</v>
      </c>
      <c r="T1740" s="14"/>
      <c r="U1740" s="14" t="s">
        <v>60</v>
      </c>
      <c r="V1740" s="13"/>
      <c r="W1740" s="11"/>
      <c r="X1740" s="14"/>
      <c r="Y1740" s="14"/>
      <c r="Z1740" s="14"/>
      <c r="AA1740" s="14"/>
      <c r="AC1740" s="14"/>
      <c r="AD1740" s="14"/>
      <c r="AE1740" s="14"/>
      <c r="AF1740" s="13"/>
      <c r="AH1740" s="14"/>
      <c r="AI1740" s="14"/>
      <c r="AJ1740" s="14"/>
      <c r="AK1740" s="20"/>
      <c r="AM1740" s="14"/>
      <c r="AN1740" s="14"/>
      <c r="AO1740" s="14"/>
      <c r="AU1740" s="52" t="s">
        <v>53</v>
      </c>
    </row>
    <row r="1741" spans="1:52" s="12" customFormat="1" ht="27" hidden="1" customHeight="1" x14ac:dyDescent="0.3">
      <c r="A1741" s="12" t="s">
        <v>505</v>
      </c>
      <c r="B1741" s="12" t="s">
        <v>4886</v>
      </c>
      <c r="C1741" s="12">
        <v>70</v>
      </c>
      <c r="D1741" s="12">
        <v>670</v>
      </c>
      <c r="E1741" s="14" t="s">
        <v>8596</v>
      </c>
      <c r="F1741" s="276" t="s">
        <v>9355</v>
      </c>
      <c r="G1741" s="12" t="str">
        <f t="shared" si="40"/>
        <v>70670902021136</v>
      </c>
      <c r="H1741" s="14" t="s">
        <v>8830</v>
      </c>
      <c r="I1741" s="14">
        <v>902021136</v>
      </c>
      <c r="J1741" s="14" t="s">
        <v>9356</v>
      </c>
      <c r="K1741" s="14" t="s">
        <v>133</v>
      </c>
      <c r="L1741" s="14">
        <v>3126874974</v>
      </c>
      <c r="M1741" s="64" t="s">
        <v>9357</v>
      </c>
      <c r="N1741" s="12" t="s">
        <v>127</v>
      </c>
      <c r="O1741" s="12" t="s">
        <v>2822</v>
      </c>
      <c r="P1741" s="88" t="s">
        <v>48</v>
      </c>
      <c r="Q1741" s="20">
        <v>46220</v>
      </c>
      <c r="R1741" s="14">
        <v>90</v>
      </c>
      <c r="S1741" s="14" t="s">
        <v>210</v>
      </c>
      <c r="T1741" s="14"/>
      <c r="U1741" s="14" t="s">
        <v>60</v>
      </c>
      <c r="V1741" s="13"/>
      <c r="W1741" s="11"/>
      <c r="X1741" s="14"/>
      <c r="Y1741" s="14"/>
      <c r="Z1741" s="14"/>
      <c r="AA1741" s="14"/>
      <c r="AC1741" s="14"/>
      <c r="AD1741" s="14"/>
      <c r="AE1741" s="14"/>
      <c r="AF1741" s="13"/>
      <c r="AH1741" s="14"/>
      <c r="AI1741" s="14"/>
      <c r="AJ1741" s="14"/>
      <c r="AK1741" s="20"/>
      <c r="AM1741" s="14"/>
      <c r="AN1741" s="14"/>
      <c r="AO1741" s="14"/>
      <c r="AU1741" s="52" t="s">
        <v>53</v>
      </c>
    </row>
    <row r="1742" spans="1:52" s="12" customFormat="1" ht="18" hidden="1" customHeight="1" x14ac:dyDescent="0.3">
      <c r="A1742" s="12" t="s">
        <v>505</v>
      </c>
      <c r="B1742" s="12" t="s">
        <v>4886</v>
      </c>
      <c r="C1742" s="12">
        <v>70</v>
      </c>
      <c r="D1742" s="12">
        <v>670</v>
      </c>
      <c r="E1742" s="14" t="s">
        <v>2434</v>
      </c>
      <c r="F1742" s="276" t="s">
        <v>7882</v>
      </c>
      <c r="G1742" s="12" t="str">
        <f t="shared" ref="G1742:G1816" si="41">C1742&amp;D1742&amp;I1742</f>
        <v>706709004805691</v>
      </c>
      <c r="H1742" s="14" t="s">
        <v>2038</v>
      </c>
      <c r="I1742" s="14">
        <v>9004805691</v>
      </c>
      <c r="J1742" s="14" t="s">
        <v>7883</v>
      </c>
      <c r="K1742" s="14" t="s">
        <v>230</v>
      </c>
      <c r="L1742" s="14">
        <v>3013967715</v>
      </c>
      <c r="M1742" s="211" t="s">
        <v>5605</v>
      </c>
      <c r="N1742" s="12" t="s">
        <v>1757</v>
      </c>
      <c r="O1742" s="12" t="s">
        <v>1758</v>
      </c>
      <c r="P1742" s="88" t="s">
        <v>48</v>
      </c>
      <c r="Q1742" s="13">
        <v>46108</v>
      </c>
      <c r="R1742" s="12" t="s">
        <v>8542</v>
      </c>
      <c r="S1742" s="12" t="s">
        <v>210</v>
      </c>
      <c r="T1742" s="14"/>
      <c r="U1742" s="14" t="s">
        <v>2456</v>
      </c>
      <c r="V1742" s="13">
        <v>46105</v>
      </c>
      <c r="W1742" s="12" t="s">
        <v>7842</v>
      </c>
      <c r="X1742" s="12" t="s">
        <v>4426</v>
      </c>
      <c r="Y1742" s="14" t="s">
        <v>8831</v>
      </c>
      <c r="Z1742" s="14" t="s">
        <v>8832</v>
      </c>
      <c r="AA1742" s="14" t="s">
        <v>1920</v>
      </c>
      <c r="AB1742" s="12" t="s">
        <v>51</v>
      </c>
      <c r="AC1742" s="20">
        <v>45859</v>
      </c>
      <c r="AD1742" s="22" t="s">
        <v>6091</v>
      </c>
      <c r="AE1742" s="14" t="s">
        <v>210</v>
      </c>
      <c r="AF1742" s="13" t="s">
        <v>60</v>
      </c>
      <c r="AG1742" s="12" t="s">
        <v>51</v>
      </c>
      <c r="AH1742" s="14" t="s">
        <v>51</v>
      </c>
      <c r="AI1742" s="13">
        <v>45461</v>
      </c>
      <c r="AJ1742" s="11">
        <v>0.92</v>
      </c>
      <c r="AK1742" s="14" t="s">
        <v>210</v>
      </c>
      <c r="AL1742" s="12" t="s">
        <v>60</v>
      </c>
      <c r="AM1742" s="14"/>
      <c r="AN1742" s="14"/>
      <c r="AO1742" s="14"/>
      <c r="AU1742" s="52" t="s">
        <v>53</v>
      </c>
      <c r="AX1742" s="12" t="s">
        <v>1920</v>
      </c>
      <c r="AY1742" s="12" t="s">
        <v>5539</v>
      </c>
      <c r="AZ1742" s="12" t="s">
        <v>4668</v>
      </c>
    </row>
    <row r="1743" spans="1:52" s="12" customFormat="1" ht="18" hidden="1" customHeight="1" x14ac:dyDescent="0.3">
      <c r="A1743" s="12" t="s">
        <v>505</v>
      </c>
      <c r="B1743" s="12" t="s">
        <v>4886</v>
      </c>
      <c r="C1743" s="12">
        <v>70</v>
      </c>
      <c r="D1743" s="12">
        <v>670</v>
      </c>
      <c r="E1743" s="14" t="s">
        <v>2448</v>
      </c>
      <c r="F1743" s="14" t="s">
        <v>4842</v>
      </c>
      <c r="G1743" s="12" t="str">
        <f t="shared" si="41"/>
        <v>70670890107487</v>
      </c>
      <c r="H1743" s="14" t="s">
        <v>2035</v>
      </c>
      <c r="I1743" s="14">
        <v>890107487</v>
      </c>
      <c r="J1743" s="14" t="s">
        <v>7887</v>
      </c>
      <c r="K1743" s="14" t="s">
        <v>230</v>
      </c>
      <c r="L1743" s="14">
        <v>3182742244</v>
      </c>
      <c r="M1743" s="211" t="s">
        <v>4843</v>
      </c>
      <c r="N1743" s="12" t="s">
        <v>1757</v>
      </c>
      <c r="O1743" s="12" t="s">
        <v>1758</v>
      </c>
      <c r="P1743" s="88" t="s">
        <v>48</v>
      </c>
      <c r="Q1743" s="13">
        <v>46007</v>
      </c>
      <c r="R1743" s="16">
        <v>0.87</v>
      </c>
      <c r="S1743" s="12" t="s">
        <v>49</v>
      </c>
      <c r="T1743" s="14"/>
      <c r="U1743" s="14" t="s">
        <v>50</v>
      </c>
      <c r="V1743" s="20">
        <v>45576</v>
      </c>
      <c r="W1743" s="21">
        <v>0.95</v>
      </c>
      <c r="X1743" s="14" t="s">
        <v>210</v>
      </c>
      <c r="Y1743" s="14"/>
      <c r="Z1743" s="14" t="s">
        <v>60</v>
      </c>
      <c r="AA1743" s="14"/>
      <c r="AC1743" s="13">
        <v>45260</v>
      </c>
      <c r="AD1743" s="11" t="s">
        <v>1969</v>
      </c>
      <c r="AE1743" s="14" t="s">
        <v>210</v>
      </c>
      <c r="AF1743" s="13" t="s">
        <v>60</v>
      </c>
      <c r="AG1743" s="12" t="s">
        <v>51</v>
      </c>
      <c r="AH1743" s="14" t="s">
        <v>51</v>
      </c>
      <c r="AI1743" s="20">
        <v>44869</v>
      </c>
      <c r="AJ1743" s="21">
        <v>0.99</v>
      </c>
      <c r="AK1743" s="14" t="s">
        <v>210</v>
      </c>
      <c r="AM1743" s="14"/>
      <c r="AN1743" s="14"/>
      <c r="AO1743" s="14"/>
      <c r="AU1743" s="52" t="s">
        <v>53</v>
      </c>
      <c r="AX1743" s="12" t="s">
        <v>1920</v>
      </c>
      <c r="AY1743" s="12" t="s">
        <v>7890</v>
      </c>
      <c r="AZ1743" s="12" t="s">
        <v>7889</v>
      </c>
    </row>
    <row r="1744" spans="1:52" s="12" customFormat="1" ht="18" hidden="1" customHeight="1" x14ac:dyDescent="0.3">
      <c r="A1744" s="12" t="s">
        <v>505</v>
      </c>
      <c r="B1744" s="12" t="s">
        <v>4886</v>
      </c>
      <c r="C1744" s="12">
        <v>70</v>
      </c>
      <c r="D1744" s="12">
        <v>670</v>
      </c>
      <c r="E1744" s="14" t="s">
        <v>2448</v>
      </c>
      <c r="F1744" s="14" t="s">
        <v>7888</v>
      </c>
      <c r="G1744" s="12" t="str">
        <f t="shared" si="41"/>
        <v>70670890107487</v>
      </c>
      <c r="H1744" s="14" t="s">
        <v>2035</v>
      </c>
      <c r="I1744" s="14">
        <v>890107487</v>
      </c>
      <c r="J1744" s="14" t="s">
        <v>7887</v>
      </c>
      <c r="K1744" s="14" t="s">
        <v>230</v>
      </c>
      <c r="L1744" s="14">
        <v>3182742244</v>
      </c>
      <c r="M1744" s="211" t="s">
        <v>4843</v>
      </c>
      <c r="N1744" s="12" t="s">
        <v>7648</v>
      </c>
      <c r="O1744" s="12" t="s">
        <v>7653</v>
      </c>
      <c r="P1744" s="88" t="s">
        <v>48</v>
      </c>
      <c r="Q1744" s="13">
        <v>46007</v>
      </c>
      <c r="R1744" s="16">
        <v>0.89</v>
      </c>
      <c r="S1744" s="12" t="s">
        <v>49</v>
      </c>
      <c r="T1744" s="14"/>
      <c r="U1744" s="14" t="s">
        <v>60</v>
      </c>
      <c r="V1744" s="20">
        <v>45576</v>
      </c>
      <c r="W1744" s="21">
        <v>0.93</v>
      </c>
      <c r="X1744" s="14" t="s">
        <v>210</v>
      </c>
      <c r="Y1744" s="14"/>
      <c r="Z1744" s="14" t="s">
        <v>60</v>
      </c>
      <c r="AA1744" s="14"/>
      <c r="AC1744" s="13">
        <v>45266</v>
      </c>
      <c r="AD1744" s="11">
        <v>0.99</v>
      </c>
      <c r="AE1744" s="14" t="s">
        <v>210</v>
      </c>
      <c r="AF1744" s="13" t="s">
        <v>60</v>
      </c>
      <c r="AG1744" s="12" t="s">
        <v>51</v>
      </c>
      <c r="AH1744" s="14" t="s">
        <v>51</v>
      </c>
      <c r="AI1744" s="20">
        <v>45254</v>
      </c>
      <c r="AJ1744" s="21">
        <v>0.69</v>
      </c>
      <c r="AK1744" s="14" t="s">
        <v>49</v>
      </c>
      <c r="AM1744" s="14"/>
      <c r="AN1744" s="14"/>
      <c r="AO1744" s="14"/>
      <c r="AU1744" s="52" t="s">
        <v>53</v>
      </c>
      <c r="AX1744" s="12" t="s">
        <v>1920</v>
      </c>
      <c r="AY1744" s="12" t="s">
        <v>7890</v>
      </c>
      <c r="AZ1744" s="12" t="s">
        <v>7891</v>
      </c>
    </row>
    <row r="1745" spans="1:47" s="12" customFormat="1" ht="18" hidden="1" customHeight="1" x14ac:dyDescent="0.3">
      <c r="A1745" s="12" t="s">
        <v>505</v>
      </c>
      <c r="B1745" s="12" t="s">
        <v>4886</v>
      </c>
      <c r="C1745" s="12">
        <v>70</v>
      </c>
      <c r="D1745" s="12">
        <v>670</v>
      </c>
      <c r="E1745" s="14" t="s">
        <v>4943</v>
      </c>
      <c r="F1745" s="14" t="s">
        <v>4943</v>
      </c>
      <c r="G1745" s="12" t="str">
        <f t="shared" si="41"/>
        <v>70670900276962</v>
      </c>
      <c r="H1745" s="14" t="s">
        <v>364</v>
      </c>
      <c r="I1745" s="24">
        <v>900276962</v>
      </c>
      <c r="J1745" s="14" t="s">
        <v>4944</v>
      </c>
      <c r="K1745" s="14" t="s">
        <v>230</v>
      </c>
      <c r="L1745" s="12">
        <v>3212442374</v>
      </c>
      <c r="M1745" s="54" t="s">
        <v>4945</v>
      </c>
      <c r="N1745" s="12" t="s">
        <v>259</v>
      </c>
      <c r="O1745" s="12" t="s">
        <v>260</v>
      </c>
      <c r="P1745" s="176" t="s">
        <v>261</v>
      </c>
      <c r="Q1745" s="13">
        <v>45840</v>
      </c>
      <c r="R1745" s="18">
        <v>0.87749999999999995</v>
      </c>
      <c r="S1745" s="14" t="s">
        <v>49</v>
      </c>
      <c r="T1745" s="14"/>
      <c r="U1745" s="14" t="s">
        <v>60</v>
      </c>
      <c r="V1745" s="20">
        <v>45467</v>
      </c>
      <c r="W1745" s="21">
        <v>0.92</v>
      </c>
      <c r="X1745" s="14" t="s">
        <v>210</v>
      </c>
      <c r="Y1745" s="14"/>
      <c r="Z1745" s="14"/>
      <c r="AA1745" s="20"/>
      <c r="AB1745" s="18"/>
      <c r="AC1745" s="14"/>
      <c r="AD1745" s="14"/>
      <c r="AE1745" s="14"/>
      <c r="AF1745" s="13"/>
      <c r="AG1745" s="16"/>
      <c r="AH1745" s="14"/>
      <c r="AI1745" s="14"/>
      <c r="AJ1745" s="14"/>
      <c r="AK1745" s="20"/>
      <c r="AL1745" s="18"/>
      <c r="AM1745" s="14"/>
      <c r="AN1745" s="14"/>
      <c r="AO1745" s="14"/>
      <c r="AU1745" s="52" t="s">
        <v>53</v>
      </c>
    </row>
    <row r="1746" spans="1:47" s="12" customFormat="1" ht="18" hidden="1" customHeight="1" x14ac:dyDescent="0.3">
      <c r="A1746" s="12" t="s">
        <v>505</v>
      </c>
      <c r="B1746" s="12" t="s">
        <v>4886</v>
      </c>
      <c r="C1746" s="12">
        <v>70</v>
      </c>
      <c r="D1746" s="12">
        <v>670</v>
      </c>
      <c r="E1746" s="14" t="s">
        <v>4873</v>
      </c>
      <c r="F1746" s="14" t="s">
        <v>4946</v>
      </c>
      <c r="G1746" s="12" t="str">
        <f t="shared" si="41"/>
        <v>70670900490498-1</v>
      </c>
      <c r="H1746" s="14" t="s">
        <v>4897</v>
      </c>
      <c r="I1746" s="12" t="s">
        <v>4875</v>
      </c>
      <c r="J1746" s="14" t="s">
        <v>4947</v>
      </c>
      <c r="K1746" s="14" t="s">
        <v>133</v>
      </c>
      <c r="L1746" s="12">
        <v>3226660127</v>
      </c>
      <c r="M1746" s="65" t="s">
        <v>4948</v>
      </c>
      <c r="N1746" s="14" t="s">
        <v>2901</v>
      </c>
      <c r="O1746" s="88" t="s">
        <v>4949</v>
      </c>
      <c r="P1746" s="176" t="s">
        <v>261</v>
      </c>
      <c r="Q1746" s="20">
        <v>45775</v>
      </c>
      <c r="R1746" s="16">
        <v>0.84499999999999997</v>
      </c>
      <c r="S1746" s="14" t="s">
        <v>49</v>
      </c>
      <c r="T1746" s="14"/>
      <c r="U1746" s="14"/>
      <c r="V1746" s="13">
        <v>45418</v>
      </c>
      <c r="W1746" s="57">
        <v>0.8</v>
      </c>
      <c r="X1746" s="14" t="s">
        <v>49</v>
      </c>
      <c r="Y1746" s="14"/>
      <c r="Z1746" s="14"/>
      <c r="AA1746" s="14"/>
      <c r="AC1746" s="14"/>
      <c r="AD1746" s="14"/>
      <c r="AE1746" s="14"/>
      <c r="AF1746" s="13"/>
      <c r="AH1746" s="14"/>
      <c r="AI1746" s="14"/>
      <c r="AJ1746" s="14"/>
      <c r="AK1746" s="20"/>
      <c r="AM1746" s="14"/>
      <c r="AN1746" s="14"/>
      <c r="AO1746" s="14"/>
      <c r="AU1746" s="52" t="s">
        <v>53</v>
      </c>
    </row>
    <row r="1747" spans="1:47" s="12" customFormat="1" ht="18" hidden="1" customHeight="1" x14ac:dyDescent="0.3">
      <c r="A1747" s="12" t="s">
        <v>505</v>
      </c>
      <c r="B1747" s="12" t="s">
        <v>4886</v>
      </c>
      <c r="C1747" s="12">
        <v>70</v>
      </c>
      <c r="D1747" s="12">
        <v>670</v>
      </c>
      <c r="E1747" s="14" t="s">
        <v>4950</v>
      </c>
      <c r="F1747" s="14" t="s">
        <v>4951</v>
      </c>
      <c r="G1747" s="12" t="str">
        <f t="shared" si="41"/>
        <v>70670900310570-1</v>
      </c>
      <c r="H1747" s="14" t="s">
        <v>4952</v>
      </c>
      <c r="I1747" s="12" t="s">
        <v>4953</v>
      </c>
      <c r="J1747" s="14" t="s">
        <v>4954</v>
      </c>
      <c r="K1747" s="14" t="s">
        <v>133</v>
      </c>
      <c r="L1747" s="12">
        <v>3007625457</v>
      </c>
      <c r="M1747" s="65" t="s">
        <v>4955</v>
      </c>
      <c r="N1747" s="14" t="s">
        <v>2901</v>
      </c>
      <c r="O1747" s="88" t="s">
        <v>4949</v>
      </c>
      <c r="P1747" s="176" t="s">
        <v>261</v>
      </c>
      <c r="Q1747" s="20">
        <v>45776</v>
      </c>
      <c r="R1747" s="21">
        <v>0.97</v>
      </c>
      <c r="S1747" s="14" t="s">
        <v>319</v>
      </c>
      <c r="T1747" s="14"/>
      <c r="U1747" s="14"/>
      <c r="V1747" s="13"/>
      <c r="W1747" s="57"/>
      <c r="X1747" s="14"/>
      <c r="Y1747" s="14"/>
      <c r="Z1747" s="14"/>
      <c r="AA1747" s="14"/>
      <c r="AC1747" s="14"/>
      <c r="AD1747" s="14"/>
      <c r="AE1747" s="14"/>
      <c r="AF1747" s="13"/>
      <c r="AH1747" s="14"/>
      <c r="AI1747" s="14"/>
      <c r="AJ1747" s="14"/>
      <c r="AK1747" s="20"/>
      <c r="AM1747" s="14"/>
      <c r="AN1747" s="14"/>
      <c r="AO1747" s="14"/>
      <c r="AU1747" s="52" t="s">
        <v>53</v>
      </c>
    </row>
    <row r="1748" spans="1:47" s="12" customFormat="1" ht="18" hidden="1" customHeight="1" x14ac:dyDescent="0.3">
      <c r="A1748" s="12" t="s">
        <v>505</v>
      </c>
      <c r="B1748" s="12" t="s">
        <v>4886</v>
      </c>
      <c r="C1748" s="12">
        <v>70</v>
      </c>
      <c r="D1748" s="12">
        <v>670</v>
      </c>
      <c r="E1748" s="14" t="s">
        <v>7923</v>
      </c>
      <c r="F1748" s="14" t="s">
        <v>7924</v>
      </c>
      <c r="G1748" s="12" t="str">
        <f t="shared" si="41"/>
        <v>706708305071039</v>
      </c>
      <c r="H1748" s="14" t="s">
        <v>7925</v>
      </c>
      <c r="I1748" s="12">
        <v>8305071039</v>
      </c>
      <c r="J1748" s="14" t="s">
        <v>7926</v>
      </c>
      <c r="K1748" s="14" t="s">
        <v>230</v>
      </c>
      <c r="L1748" s="12">
        <v>3128038861</v>
      </c>
      <c r="M1748" s="104" t="s">
        <v>7927</v>
      </c>
      <c r="N1748" s="14" t="s">
        <v>2901</v>
      </c>
      <c r="O1748" s="88" t="s">
        <v>4949</v>
      </c>
      <c r="P1748" s="176" t="s">
        <v>261</v>
      </c>
      <c r="Q1748" s="20">
        <v>45975</v>
      </c>
      <c r="R1748" s="21" t="s">
        <v>4998</v>
      </c>
      <c r="S1748" s="14" t="s">
        <v>210</v>
      </c>
      <c r="T1748" s="14"/>
      <c r="U1748" s="14"/>
      <c r="V1748" s="13"/>
      <c r="W1748" s="57"/>
      <c r="X1748" s="14"/>
      <c r="Y1748" s="14"/>
      <c r="Z1748" s="14"/>
      <c r="AA1748" s="14"/>
      <c r="AC1748" s="14"/>
      <c r="AD1748" s="14"/>
      <c r="AE1748" s="14"/>
      <c r="AF1748" s="13"/>
      <c r="AH1748" s="14"/>
      <c r="AI1748" s="14"/>
      <c r="AJ1748" s="14"/>
      <c r="AK1748" s="20"/>
      <c r="AM1748" s="14"/>
      <c r="AN1748" s="14"/>
      <c r="AO1748" s="14"/>
      <c r="AU1748" s="52" t="s">
        <v>53</v>
      </c>
    </row>
    <row r="1749" spans="1:47" s="12" customFormat="1" ht="18" hidden="1" customHeight="1" x14ac:dyDescent="0.3">
      <c r="A1749" s="12" t="s">
        <v>505</v>
      </c>
      <c r="B1749" s="12" t="s">
        <v>4886</v>
      </c>
      <c r="C1749" s="12">
        <v>70</v>
      </c>
      <c r="D1749" s="12">
        <v>670</v>
      </c>
      <c r="E1749" s="14" t="s">
        <v>4956</v>
      </c>
      <c r="F1749" s="14" t="s">
        <v>4957</v>
      </c>
      <c r="G1749" s="12" t="str">
        <f t="shared" si="41"/>
        <v>70670901831948-8</v>
      </c>
      <c r="H1749" s="14" t="s">
        <v>4958</v>
      </c>
      <c r="I1749" s="12" t="s">
        <v>4959</v>
      </c>
      <c r="J1749" s="14" t="s">
        <v>4960</v>
      </c>
      <c r="K1749" s="14" t="s">
        <v>230</v>
      </c>
      <c r="L1749" s="12">
        <v>3244683290</v>
      </c>
      <c r="M1749" s="65" t="s">
        <v>4961</v>
      </c>
      <c r="N1749" s="14" t="s">
        <v>2901</v>
      </c>
      <c r="O1749" s="88" t="s">
        <v>4949</v>
      </c>
      <c r="P1749" s="176" t="s">
        <v>261</v>
      </c>
      <c r="Q1749" s="13">
        <v>45779</v>
      </c>
      <c r="R1749" s="16">
        <v>0.96</v>
      </c>
      <c r="S1749" s="12" t="s">
        <v>319</v>
      </c>
      <c r="T1749" s="14"/>
      <c r="U1749" s="14"/>
      <c r="V1749" s="13"/>
      <c r="W1749" s="63"/>
      <c r="X1749" s="14"/>
      <c r="Y1749" s="14"/>
      <c r="Z1749" s="14"/>
      <c r="AA1749" s="14"/>
      <c r="AC1749" s="14"/>
      <c r="AD1749" s="14"/>
      <c r="AE1749" s="14"/>
      <c r="AF1749" s="13"/>
      <c r="AH1749" s="14"/>
      <c r="AI1749" s="14"/>
      <c r="AJ1749" s="14"/>
      <c r="AK1749" s="20"/>
      <c r="AM1749" s="14"/>
      <c r="AN1749" s="14"/>
      <c r="AO1749" s="14"/>
      <c r="AU1749" s="52" t="s">
        <v>53</v>
      </c>
    </row>
    <row r="1750" spans="1:47" s="12" customFormat="1" ht="18" hidden="1" customHeight="1" x14ac:dyDescent="0.3">
      <c r="A1750" s="12" t="s">
        <v>505</v>
      </c>
      <c r="B1750" s="12" t="s">
        <v>4886</v>
      </c>
      <c r="C1750" s="12">
        <v>70</v>
      </c>
      <c r="D1750" s="12">
        <v>670</v>
      </c>
      <c r="E1750" s="14"/>
      <c r="F1750" s="14" t="s">
        <v>4962</v>
      </c>
      <c r="G1750" s="12" t="str">
        <f t="shared" si="41"/>
        <v>706701100684439-8</v>
      </c>
      <c r="H1750" s="14" t="s">
        <v>4963</v>
      </c>
      <c r="I1750" s="12" t="s">
        <v>4964</v>
      </c>
      <c r="J1750" s="14" t="s">
        <v>4965</v>
      </c>
      <c r="K1750" s="14" t="s">
        <v>230</v>
      </c>
      <c r="L1750" s="12">
        <v>3145945509</v>
      </c>
      <c r="M1750" s="58" t="s">
        <v>4966</v>
      </c>
      <c r="N1750" s="12" t="s">
        <v>432</v>
      </c>
      <c r="O1750" s="12" t="s">
        <v>432</v>
      </c>
      <c r="P1750" s="176" t="s">
        <v>261</v>
      </c>
      <c r="Q1750" s="20">
        <v>45712</v>
      </c>
      <c r="R1750" s="16">
        <v>0.86</v>
      </c>
      <c r="S1750" s="14" t="s">
        <v>49</v>
      </c>
      <c r="T1750" s="14"/>
      <c r="U1750" s="14"/>
      <c r="V1750" s="13"/>
      <c r="W1750" s="14"/>
      <c r="X1750" s="14"/>
      <c r="Y1750" s="14"/>
      <c r="Z1750" s="14"/>
      <c r="AA1750" s="14"/>
      <c r="AC1750" s="14"/>
      <c r="AD1750" s="14"/>
      <c r="AE1750" s="14"/>
      <c r="AF1750" s="20"/>
      <c r="AH1750" s="14"/>
      <c r="AI1750" s="14"/>
      <c r="AJ1750" s="14"/>
      <c r="AK1750" s="20"/>
      <c r="AM1750" s="14"/>
      <c r="AN1750" s="14"/>
      <c r="AO1750" s="14"/>
      <c r="AU1750" s="52" t="s">
        <v>53</v>
      </c>
    </row>
    <row r="1751" spans="1:47" s="12" customFormat="1" ht="18" hidden="1" customHeight="1" x14ac:dyDescent="0.3">
      <c r="A1751" s="12" t="s">
        <v>505</v>
      </c>
      <c r="B1751" s="12" t="s">
        <v>4886</v>
      </c>
      <c r="C1751" s="12">
        <v>70</v>
      </c>
      <c r="D1751" s="12">
        <v>670</v>
      </c>
      <c r="E1751" s="14"/>
      <c r="F1751" s="14" t="s">
        <v>4967</v>
      </c>
      <c r="G1751" s="12" t="str">
        <f t="shared" si="41"/>
        <v>706701100688179-6</v>
      </c>
      <c r="H1751" s="14" t="s">
        <v>4968</v>
      </c>
      <c r="I1751" s="12" t="s">
        <v>4969</v>
      </c>
      <c r="J1751" s="14" t="s">
        <v>4970</v>
      </c>
      <c r="K1751" s="14" t="s">
        <v>133</v>
      </c>
      <c r="L1751" s="58">
        <v>3007148301</v>
      </c>
      <c r="M1751" s="99" t="s">
        <v>4971</v>
      </c>
      <c r="N1751" s="12" t="s">
        <v>432</v>
      </c>
      <c r="O1751" s="12" t="s">
        <v>432</v>
      </c>
      <c r="P1751" s="176" t="s">
        <v>261</v>
      </c>
      <c r="Q1751" s="20" t="s">
        <v>4972</v>
      </c>
      <c r="R1751" s="59">
        <v>0.81499999999999995</v>
      </c>
      <c r="S1751" s="14" t="s">
        <v>49</v>
      </c>
      <c r="T1751" s="14" t="s">
        <v>4865</v>
      </c>
      <c r="U1751" s="14" t="s">
        <v>60</v>
      </c>
      <c r="V1751" s="13"/>
      <c r="W1751" s="14"/>
      <c r="X1751" s="14"/>
      <c r="Y1751" s="14"/>
      <c r="Z1751" s="14"/>
      <c r="AA1751" s="14"/>
      <c r="AC1751" s="14"/>
      <c r="AD1751" s="14"/>
      <c r="AE1751" s="14"/>
      <c r="AF1751" s="20"/>
      <c r="AH1751" s="14"/>
      <c r="AI1751" s="14"/>
      <c r="AJ1751" s="14"/>
      <c r="AK1751" s="20"/>
      <c r="AM1751" s="14"/>
      <c r="AN1751" s="14"/>
      <c r="AO1751" s="14"/>
      <c r="AU1751" s="52" t="s">
        <v>53</v>
      </c>
    </row>
    <row r="1752" spans="1:47" s="12" customFormat="1" ht="25.5" hidden="1" customHeight="1" x14ac:dyDescent="0.3">
      <c r="A1752" s="12" t="s">
        <v>505</v>
      </c>
      <c r="B1752" s="12" t="s">
        <v>4886</v>
      </c>
      <c r="C1752" s="12">
        <v>70</v>
      </c>
      <c r="D1752" s="12">
        <v>670</v>
      </c>
      <c r="E1752" s="14"/>
      <c r="F1752" s="14" t="s">
        <v>4973</v>
      </c>
      <c r="G1752" s="12" t="str">
        <f t="shared" si="41"/>
        <v>706701100688295-2</v>
      </c>
      <c r="H1752" s="14" t="s">
        <v>4974</v>
      </c>
      <c r="I1752" s="12" t="s">
        <v>4975</v>
      </c>
      <c r="J1752" s="14" t="s">
        <v>4976</v>
      </c>
      <c r="K1752" s="14" t="s">
        <v>230</v>
      </c>
      <c r="L1752" s="58">
        <v>3012489179</v>
      </c>
      <c r="M1752" s="99" t="s">
        <v>4977</v>
      </c>
      <c r="N1752" s="12" t="s">
        <v>432</v>
      </c>
      <c r="O1752" s="12" t="s">
        <v>432</v>
      </c>
      <c r="P1752" s="176" t="s">
        <v>261</v>
      </c>
      <c r="Q1752" s="20">
        <v>45698</v>
      </c>
      <c r="R1752" s="16">
        <v>0.92</v>
      </c>
      <c r="S1752" s="14" t="s">
        <v>319</v>
      </c>
      <c r="T1752" s="14" t="s">
        <v>4865</v>
      </c>
      <c r="U1752" s="14" t="s">
        <v>60</v>
      </c>
      <c r="V1752" s="13">
        <v>45146</v>
      </c>
      <c r="W1752" s="22">
        <v>0.81499999999999995</v>
      </c>
      <c r="X1752" s="14" t="s">
        <v>49</v>
      </c>
      <c r="Y1752" s="14"/>
      <c r="Z1752" s="14" t="s">
        <v>60</v>
      </c>
      <c r="AA1752" s="14"/>
      <c r="AC1752" s="14"/>
      <c r="AD1752" s="14"/>
      <c r="AE1752" s="14"/>
      <c r="AF1752" s="20"/>
      <c r="AH1752" s="14"/>
      <c r="AI1752" s="14"/>
      <c r="AJ1752" s="14"/>
      <c r="AK1752" s="20"/>
      <c r="AM1752" s="14"/>
      <c r="AN1752" s="14"/>
      <c r="AO1752" s="14"/>
      <c r="AU1752" s="52" t="s">
        <v>53</v>
      </c>
    </row>
    <row r="1753" spans="1:47" s="12" customFormat="1" ht="25.5" hidden="1" customHeight="1" x14ac:dyDescent="0.3">
      <c r="A1753" s="12" t="s">
        <v>505</v>
      </c>
      <c r="B1753" s="12" t="s">
        <v>4886</v>
      </c>
      <c r="C1753" s="12">
        <v>70</v>
      </c>
      <c r="D1753" s="12">
        <v>670</v>
      </c>
      <c r="E1753" s="14"/>
      <c r="F1753" s="276" t="s">
        <v>8603</v>
      </c>
      <c r="G1753" s="12" t="str">
        <f t="shared" si="41"/>
        <v>706701100687103</v>
      </c>
      <c r="H1753" s="14" t="s">
        <v>8604</v>
      </c>
      <c r="I1753" s="12">
        <v>1100687103</v>
      </c>
      <c r="J1753" s="14" t="s">
        <v>8605</v>
      </c>
      <c r="K1753" s="14" t="s">
        <v>44</v>
      </c>
      <c r="L1753" s="58">
        <v>3104922357</v>
      </c>
      <c r="M1753" s="99" t="s">
        <v>8606</v>
      </c>
      <c r="N1753" s="12" t="s">
        <v>432</v>
      </c>
      <c r="O1753" s="12" t="s">
        <v>432</v>
      </c>
      <c r="P1753" s="176" t="s">
        <v>261</v>
      </c>
      <c r="Q1753" s="20">
        <v>46093</v>
      </c>
      <c r="R1753" s="12">
        <v>85</v>
      </c>
      <c r="S1753" s="14" t="s">
        <v>49</v>
      </c>
      <c r="T1753" s="14"/>
      <c r="U1753" s="14" t="s">
        <v>2456</v>
      </c>
      <c r="V1753" s="13"/>
      <c r="W1753" s="22"/>
      <c r="X1753" s="14"/>
      <c r="Y1753" s="14"/>
      <c r="Z1753" s="14"/>
      <c r="AA1753" s="14"/>
      <c r="AC1753" s="14"/>
      <c r="AD1753" s="14"/>
      <c r="AE1753" s="14"/>
      <c r="AF1753" s="20"/>
      <c r="AH1753" s="14"/>
      <c r="AI1753" s="14"/>
      <c r="AJ1753" s="14"/>
      <c r="AK1753" s="20"/>
      <c r="AM1753" s="14"/>
      <c r="AN1753" s="14"/>
      <c r="AO1753" s="14"/>
      <c r="AU1753" s="52" t="s">
        <v>53</v>
      </c>
    </row>
    <row r="1754" spans="1:47" s="12" customFormat="1" ht="26.25" hidden="1" customHeight="1" x14ac:dyDescent="0.3">
      <c r="A1754" s="12" t="s">
        <v>505</v>
      </c>
      <c r="B1754" s="12" t="s">
        <v>4886</v>
      </c>
      <c r="C1754" s="12">
        <v>70</v>
      </c>
      <c r="D1754" s="12">
        <v>670</v>
      </c>
      <c r="E1754" s="14" t="s">
        <v>4978</v>
      </c>
      <c r="F1754" s="14" t="s">
        <v>4979</v>
      </c>
      <c r="G1754" s="12" t="str">
        <f t="shared" si="41"/>
        <v>70670800245705-8</v>
      </c>
      <c r="H1754" s="14"/>
      <c r="I1754" s="12" t="s">
        <v>4890</v>
      </c>
      <c r="J1754" s="14" t="s">
        <v>4980</v>
      </c>
      <c r="K1754" s="14" t="s">
        <v>133</v>
      </c>
      <c r="L1754" s="12">
        <v>3113571836</v>
      </c>
      <c r="M1754" s="58" t="s">
        <v>4872</v>
      </c>
      <c r="N1754" s="12" t="s">
        <v>127</v>
      </c>
      <c r="O1754" s="12" t="s">
        <v>2822</v>
      </c>
      <c r="P1754" s="88" t="s">
        <v>48</v>
      </c>
      <c r="Q1754" s="20">
        <v>45744</v>
      </c>
      <c r="R1754" s="16">
        <v>0.83</v>
      </c>
      <c r="S1754" s="14" t="s">
        <v>49</v>
      </c>
      <c r="T1754" s="14" t="s">
        <v>4865</v>
      </c>
      <c r="U1754" s="14"/>
      <c r="V1754" s="13"/>
      <c r="W1754" s="14"/>
      <c r="X1754" s="14"/>
      <c r="Y1754" s="14"/>
      <c r="Z1754" s="14"/>
      <c r="AA1754" s="14"/>
      <c r="AC1754" s="14"/>
      <c r="AD1754" s="14"/>
      <c r="AE1754" s="14"/>
      <c r="AF1754" s="20"/>
      <c r="AH1754" s="14"/>
      <c r="AI1754" s="14"/>
      <c r="AJ1754" s="14"/>
      <c r="AK1754" s="20"/>
      <c r="AM1754" s="14"/>
      <c r="AN1754" s="14"/>
      <c r="AO1754" s="14"/>
      <c r="AU1754" s="52" t="s">
        <v>53</v>
      </c>
    </row>
    <row r="1755" spans="1:47" s="12" customFormat="1" ht="26.25" customHeight="1" x14ac:dyDescent="0.3">
      <c r="A1755" s="12" t="s">
        <v>505</v>
      </c>
      <c r="B1755" s="12" t="s">
        <v>4886</v>
      </c>
      <c r="C1755" s="12">
        <v>70</v>
      </c>
      <c r="D1755" s="12">
        <v>670</v>
      </c>
      <c r="E1755" s="14"/>
      <c r="F1755" s="276" t="s">
        <v>4981</v>
      </c>
      <c r="G1755" s="12" t="str">
        <f t="shared" si="41"/>
        <v>7067070508303-3</v>
      </c>
      <c r="H1755" s="14" t="s">
        <v>4982</v>
      </c>
      <c r="I1755" s="12" t="s">
        <v>4983</v>
      </c>
      <c r="J1755" s="14" t="s">
        <v>4984</v>
      </c>
      <c r="K1755" s="14" t="s">
        <v>133</v>
      </c>
      <c r="L1755" s="12">
        <v>3174344388</v>
      </c>
      <c r="M1755" s="58" t="s">
        <v>4985</v>
      </c>
      <c r="N1755" s="12" t="s">
        <v>46</v>
      </c>
      <c r="O1755" s="12" t="s">
        <v>47</v>
      </c>
      <c r="P1755" s="176" t="s">
        <v>48</v>
      </c>
      <c r="Q1755" s="20">
        <v>45733</v>
      </c>
      <c r="R1755" s="59">
        <v>0.76500000000000001</v>
      </c>
      <c r="S1755" s="14" t="s">
        <v>49</v>
      </c>
      <c r="T1755" s="14" t="s">
        <v>4865</v>
      </c>
      <c r="U1755" s="14"/>
      <c r="V1755" s="13">
        <v>45461</v>
      </c>
      <c r="W1755" s="21">
        <v>0.77</v>
      </c>
      <c r="X1755" s="14" t="s">
        <v>49</v>
      </c>
      <c r="Y1755" s="14"/>
      <c r="Z1755" s="14"/>
      <c r="AA1755" s="14"/>
      <c r="AC1755" s="14"/>
      <c r="AD1755" s="14"/>
      <c r="AE1755" s="14"/>
      <c r="AF1755" s="20"/>
      <c r="AH1755" s="14"/>
      <c r="AI1755" s="14"/>
      <c r="AJ1755" s="14"/>
      <c r="AK1755" s="20"/>
      <c r="AM1755" s="14"/>
      <c r="AN1755" s="14"/>
      <c r="AO1755" s="14"/>
      <c r="AU1755" s="52" t="s">
        <v>53</v>
      </c>
    </row>
    <row r="1756" spans="1:47" s="12" customFormat="1" ht="26.25" hidden="1" customHeight="1" x14ac:dyDescent="0.3">
      <c r="A1756" s="12" t="s">
        <v>505</v>
      </c>
      <c r="B1756" s="12" t="s">
        <v>4886</v>
      </c>
      <c r="C1756" s="12">
        <v>70</v>
      </c>
      <c r="D1756" s="12">
        <v>670</v>
      </c>
      <c r="E1756" s="14"/>
      <c r="F1756" s="276" t="s">
        <v>8816</v>
      </c>
      <c r="G1756" s="12" t="str">
        <f t="shared" si="41"/>
        <v>7067023048604</v>
      </c>
      <c r="H1756" s="14" t="s">
        <v>8817</v>
      </c>
      <c r="I1756" s="12">
        <v>23048604</v>
      </c>
      <c r="J1756" s="14" t="s">
        <v>8818</v>
      </c>
      <c r="K1756" s="14" t="s">
        <v>44</v>
      </c>
      <c r="L1756" s="12">
        <v>3145472497</v>
      </c>
      <c r="M1756" s="58" t="s">
        <v>8819</v>
      </c>
      <c r="N1756" s="12" t="s">
        <v>432</v>
      </c>
      <c r="O1756" s="12" t="s">
        <v>432</v>
      </c>
      <c r="P1756" s="176" t="s">
        <v>261</v>
      </c>
      <c r="Q1756" s="20">
        <v>46094</v>
      </c>
      <c r="R1756" s="12">
        <v>88</v>
      </c>
      <c r="S1756" s="14" t="s">
        <v>49</v>
      </c>
      <c r="T1756" s="14" t="s">
        <v>4865</v>
      </c>
      <c r="U1756" s="14" t="s">
        <v>8820</v>
      </c>
      <c r="V1756" s="13"/>
      <c r="W1756" s="21"/>
      <c r="X1756" s="14"/>
      <c r="Y1756" s="14"/>
      <c r="Z1756" s="14"/>
      <c r="AA1756" s="14"/>
      <c r="AC1756" s="14"/>
      <c r="AD1756" s="14"/>
      <c r="AE1756" s="14"/>
      <c r="AF1756" s="20"/>
      <c r="AH1756" s="14"/>
      <c r="AI1756" s="14"/>
      <c r="AJ1756" s="14"/>
      <c r="AK1756" s="20"/>
      <c r="AM1756" s="14"/>
      <c r="AN1756" s="14"/>
      <c r="AO1756" s="14"/>
      <c r="AU1756" s="52" t="s">
        <v>53</v>
      </c>
    </row>
    <row r="1757" spans="1:47" s="12" customFormat="1" ht="26.25" hidden="1" customHeight="1" x14ac:dyDescent="0.3">
      <c r="A1757" s="12" t="s">
        <v>505</v>
      </c>
      <c r="B1757" s="12" t="s">
        <v>4886</v>
      </c>
      <c r="C1757" s="12">
        <v>70</v>
      </c>
      <c r="D1757" s="12">
        <v>670</v>
      </c>
      <c r="E1757" s="14"/>
      <c r="F1757" s="276" t="s">
        <v>9339</v>
      </c>
      <c r="G1757" s="12" t="str">
        <f t="shared" si="41"/>
        <v>706701002035014</v>
      </c>
      <c r="H1757" s="14" t="s">
        <v>9340</v>
      </c>
      <c r="I1757" s="12">
        <v>1002035014</v>
      </c>
      <c r="J1757" s="14" t="s">
        <v>9341</v>
      </c>
      <c r="K1757" s="14" t="s">
        <v>44</v>
      </c>
      <c r="L1757" s="12">
        <v>3012550013</v>
      </c>
      <c r="M1757" s="58" t="s">
        <v>9342</v>
      </c>
      <c r="N1757" s="12" t="s">
        <v>432</v>
      </c>
      <c r="O1757" s="12" t="s">
        <v>432</v>
      </c>
      <c r="P1757" s="176" t="s">
        <v>261</v>
      </c>
      <c r="Q1757" s="20">
        <v>46177</v>
      </c>
      <c r="R1757" s="12">
        <v>82</v>
      </c>
      <c r="S1757" s="14" t="s">
        <v>49</v>
      </c>
      <c r="T1757" s="14"/>
      <c r="U1757" s="14" t="s">
        <v>2456</v>
      </c>
      <c r="V1757" s="13"/>
      <c r="W1757" s="21"/>
      <c r="X1757" s="14"/>
      <c r="Y1757" s="14"/>
      <c r="Z1757" s="14"/>
      <c r="AA1757" s="14"/>
      <c r="AC1757" s="14"/>
      <c r="AD1757" s="14"/>
      <c r="AE1757" s="14"/>
      <c r="AF1757" s="20"/>
      <c r="AH1757" s="14"/>
      <c r="AI1757" s="14"/>
      <c r="AJ1757" s="14"/>
      <c r="AK1757" s="20"/>
      <c r="AM1757" s="14"/>
      <c r="AN1757" s="14"/>
      <c r="AO1757" s="14"/>
      <c r="AU1757" s="52" t="s">
        <v>53</v>
      </c>
    </row>
    <row r="1758" spans="1:47" s="12" customFormat="1" ht="26.25" hidden="1" customHeight="1" x14ac:dyDescent="0.3">
      <c r="A1758" s="12" t="s">
        <v>505</v>
      </c>
      <c r="B1758" s="12" t="s">
        <v>4886</v>
      </c>
      <c r="C1758" s="12">
        <v>70</v>
      </c>
      <c r="D1758" s="12">
        <v>670</v>
      </c>
      <c r="E1758" s="14"/>
      <c r="F1758" s="276" t="s">
        <v>8821</v>
      </c>
      <c r="G1758" s="12" t="str">
        <f t="shared" si="41"/>
        <v>706701102804631</v>
      </c>
      <c r="H1758" s="14" t="s">
        <v>8822</v>
      </c>
      <c r="I1758" s="12">
        <v>1102804631</v>
      </c>
      <c r="J1758" s="14" t="s">
        <v>8823</v>
      </c>
      <c r="K1758" s="14" t="s">
        <v>44</v>
      </c>
      <c r="L1758" s="12">
        <v>3003383451</v>
      </c>
      <c r="M1758" s="58" t="s">
        <v>8824</v>
      </c>
      <c r="N1758" s="12" t="s">
        <v>432</v>
      </c>
      <c r="O1758" s="12" t="s">
        <v>432</v>
      </c>
      <c r="P1758" s="176" t="s">
        <v>261</v>
      </c>
      <c r="Q1758" s="20">
        <v>46093</v>
      </c>
      <c r="R1758" s="12" t="s">
        <v>8538</v>
      </c>
      <c r="S1758" s="14" t="s">
        <v>49</v>
      </c>
      <c r="T1758" s="14" t="s">
        <v>4865</v>
      </c>
      <c r="U1758" s="14" t="s">
        <v>2456</v>
      </c>
      <c r="V1758" s="13"/>
      <c r="W1758" s="21"/>
      <c r="X1758" s="14"/>
      <c r="Y1758" s="14"/>
      <c r="Z1758" s="14"/>
      <c r="AA1758" s="14"/>
      <c r="AC1758" s="14"/>
      <c r="AD1758" s="14"/>
      <c r="AE1758" s="14"/>
      <c r="AF1758" s="20"/>
      <c r="AH1758" s="14"/>
      <c r="AI1758" s="14"/>
      <c r="AJ1758" s="14"/>
      <c r="AK1758" s="20"/>
      <c r="AM1758" s="14"/>
      <c r="AN1758" s="14"/>
      <c r="AO1758" s="14"/>
      <c r="AU1758" s="52" t="s">
        <v>53</v>
      </c>
    </row>
    <row r="1759" spans="1:47" s="12" customFormat="1" ht="25.5" customHeight="1" x14ac:dyDescent="0.3">
      <c r="A1759" s="12" t="s">
        <v>505</v>
      </c>
      <c r="B1759" s="12" t="s">
        <v>4886</v>
      </c>
      <c r="C1759" s="12">
        <v>70</v>
      </c>
      <c r="D1759" s="12">
        <v>670</v>
      </c>
      <c r="E1759" s="14"/>
      <c r="F1759" s="276" t="s">
        <v>4986</v>
      </c>
      <c r="G1759" s="12" t="str">
        <f t="shared" si="41"/>
        <v>706701100693185</v>
      </c>
      <c r="H1759" s="14" t="s">
        <v>9361</v>
      </c>
      <c r="I1759" s="12">
        <v>1100693185</v>
      </c>
      <c r="J1759" s="14" t="s">
        <v>4987</v>
      </c>
      <c r="K1759" s="14" t="s">
        <v>230</v>
      </c>
      <c r="L1759" s="12">
        <v>3218086110</v>
      </c>
      <c r="M1759" s="99" t="s">
        <v>9362</v>
      </c>
      <c r="N1759" s="12" t="s">
        <v>46</v>
      </c>
      <c r="O1759" s="12" t="s">
        <v>47</v>
      </c>
      <c r="P1759" s="176" t="s">
        <v>48</v>
      </c>
      <c r="Q1759" s="13">
        <v>46225</v>
      </c>
      <c r="R1759" s="12">
        <v>83</v>
      </c>
      <c r="S1759" s="14" t="s">
        <v>49</v>
      </c>
      <c r="U1759" s="12" t="s">
        <v>60</v>
      </c>
      <c r="V1759" s="20" t="s">
        <v>4988</v>
      </c>
      <c r="W1759" s="16">
        <v>0.81</v>
      </c>
      <c r="X1759" s="14" t="s">
        <v>49</v>
      </c>
      <c r="Y1759" s="14" t="s">
        <v>4865</v>
      </c>
      <c r="Z1759" s="14" t="s">
        <v>60</v>
      </c>
      <c r="AA1759" s="14"/>
      <c r="AC1759" s="14"/>
      <c r="AD1759" s="14"/>
      <c r="AE1759" s="14"/>
      <c r="AF1759" s="20"/>
      <c r="AH1759" s="14"/>
      <c r="AI1759" s="14"/>
      <c r="AJ1759" s="14"/>
      <c r="AK1759" s="20"/>
      <c r="AM1759" s="14"/>
      <c r="AN1759" s="14"/>
      <c r="AO1759" s="14"/>
      <c r="AU1759" s="52" t="s">
        <v>53</v>
      </c>
    </row>
    <row r="1760" spans="1:47" s="12" customFormat="1" ht="18" customHeight="1" x14ac:dyDescent="0.3">
      <c r="A1760" s="12" t="s">
        <v>505</v>
      </c>
      <c r="B1760" s="12" t="s">
        <v>4886</v>
      </c>
      <c r="C1760" s="12">
        <v>70</v>
      </c>
      <c r="D1760" s="12">
        <v>670</v>
      </c>
      <c r="E1760" s="14"/>
      <c r="F1760" s="14" t="s">
        <v>4989</v>
      </c>
      <c r="G1760" s="12" t="str">
        <f t="shared" si="41"/>
        <v>7067032393136</v>
      </c>
      <c r="H1760" s="14" t="s">
        <v>4990</v>
      </c>
      <c r="I1760" s="12">
        <v>32393136</v>
      </c>
      <c r="J1760" s="14" t="s">
        <v>4991</v>
      </c>
      <c r="K1760" s="14" t="s">
        <v>133</v>
      </c>
      <c r="L1760" s="12">
        <v>3244180061</v>
      </c>
      <c r="M1760" s="99" t="s">
        <v>4992</v>
      </c>
      <c r="N1760" s="12" t="s">
        <v>46</v>
      </c>
      <c r="O1760" s="12" t="s">
        <v>47</v>
      </c>
      <c r="P1760" s="176" t="s">
        <v>48</v>
      </c>
      <c r="Q1760" s="20" t="s">
        <v>2326</v>
      </c>
      <c r="R1760" s="59">
        <v>0.80500000000000005</v>
      </c>
      <c r="S1760" s="14" t="s">
        <v>49</v>
      </c>
      <c r="T1760" s="14" t="s">
        <v>4865</v>
      </c>
      <c r="U1760" s="14" t="s">
        <v>60</v>
      </c>
      <c r="V1760" s="13" t="s">
        <v>4993</v>
      </c>
      <c r="W1760" s="22">
        <v>0.82499999999999996</v>
      </c>
      <c r="X1760" s="14" t="s">
        <v>49</v>
      </c>
      <c r="Y1760" s="14"/>
      <c r="Z1760" s="14" t="s">
        <v>50</v>
      </c>
      <c r="AA1760" s="14"/>
      <c r="AC1760" s="14"/>
      <c r="AD1760" s="14"/>
      <c r="AE1760" s="14"/>
      <c r="AF1760" s="20"/>
      <c r="AH1760" s="14"/>
      <c r="AI1760" s="14"/>
      <c r="AJ1760" s="14"/>
      <c r="AK1760" s="20"/>
      <c r="AM1760" s="14"/>
      <c r="AN1760" s="14"/>
      <c r="AO1760" s="14"/>
      <c r="AU1760" s="52" t="s">
        <v>53</v>
      </c>
    </row>
    <row r="1761" spans="1:53" s="12" customFormat="1" ht="18" hidden="1" customHeight="1" x14ac:dyDescent="0.3">
      <c r="A1761" s="12" t="s">
        <v>505</v>
      </c>
      <c r="B1761" s="12" t="s">
        <v>4886</v>
      </c>
      <c r="C1761" s="12">
        <v>70</v>
      </c>
      <c r="D1761" s="12">
        <v>670</v>
      </c>
      <c r="E1761" s="14" t="s">
        <v>4994</v>
      </c>
      <c r="F1761" s="14" t="s">
        <v>4995</v>
      </c>
      <c r="G1761" s="12" t="str">
        <f t="shared" si="41"/>
        <v>706709004223666</v>
      </c>
      <c r="H1761" s="14" t="s">
        <v>4996</v>
      </c>
      <c r="I1761" s="12">
        <v>9004223666</v>
      </c>
      <c r="J1761" s="14" t="s">
        <v>7885</v>
      </c>
      <c r="K1761" s="14" t="s">
        <v>230</v>
      </c>
      <c r="L1761" s="12">
        <v>3005999220</v>
      </c>
      <c r="M1761" s="61" t="s">
        <v>4997</v>
      </c>
      <c r="N1761" s="12" t="s">
        <v>127</v>
      </c>
      <c r="O1761" s="12" t="s">
        <v>2822</v>
      </c>
      <c r="P1761" s="176" t="s">
        <v>48</v>
      </c>
      <c r="Q1761" s="20">
        <v>45846</v>
      </c>
      <c r="R1761" s="18" t="s">
        <v>4998</v>
      </c>
      <c r="S1761" s="14" t="s">
        <v>210</v>
      </c>
      <c r="T1761" s="14"/>
      <c r="U1761" s="14" t="s">
        <v>60</v>
      </c>
      <c r="V1761" s="13">
        <v>45419</v>
      </c>
      <c r="W1761" s="21" t="s">
        <v>2148</v>
      </c>
      <c r="X1761" s="14" t="s">
        <v>49</v>
      </c>
      <c r="Y1761" s="14"/>
      <c r="Z1761" s="14"/>
      <c r="AA1761" s="14"/>
      <c r="AC1761" s="14"/>
      <c r="AD1761" s="14"/>
      <c r="AE1761" s="14"/>
      <c r="AF1761" s="20"/>
      <c r="AH1761" s="14"/>
      <c r="AI1761" s="14"/>
      <c r="AJ1761" s="14"/>
      <c r="AK1761" s="20"/>
      <c r="AM1761" s="14"/>
      <c r="AN1761" s="14"/>
      <c r="AO1761" s="14"/>
      <c r="AU1761" s="52" t="s">
        <v>53</v>
      </c>
    </row>
    <row r="1762" spans="1:53" s="12" customFormat="1" ht="18" hidden="1" customHeight="1" x14ac:dyDescent="0.3">
      <c r="A1762" s="12" t="s">
        <v>505</v>
      </c>
      <c r="B1762" s="12" t="s">
        <v>4886</v>
      </c>
      <c r="C1762" s="12">
        <v>70</v>
      </c>
      <c r="D1762" s="12">
        <v>670</v>
      </c>
      <c r="E1762" s="14" t="s">
        <v>4994</v>
      </c>
      <c r="F1762" s="14" t="s">
        <v>7884</v>
      </c>
      <c r="G1762" s="12" t="str">
        <f t="shared" si="41"/>
        <v>706709004223666</v>
      </c>
      <c r="H1762" s="14" t="s">
        <v>4996</v>
      </c>
      <c r="I1762" s="12">
        <v>9004223666</v>
      </c>
      <c r="J1762" s="14" t="s">
        <v>7886</v>
      </c>
      <c r="K1762" s="14" t="s">
        <v>230</v>
      </c>
      <c r="L1762" s="12">
        <v>3005999219</v>
      </c>
      <c r="M1762" s="61" t="s">
        <v>4997</v>
      </c>
      <c r="N1762" s="12" t="s">
        <v>127</v>
      </c>
      <c r="O1762" s="12" t="s">
        <v>2822</v>
      </c>
      <c r="P1762" s="176" t="s">
        <v>48</v>
      </c>
      <c r="Q1762" s="20">
        <v>45846</v>
      </c>
      <c r="R1762" s="16">
        <v>0.9</v>
      </c>
      <c r="S1762" s="14" t="s">
        <v>210</v>
      </c>
      <c r="T1762" s="14"/>
      <c r="U1762" s="14" t="s">
        <v>60</v>
      </c>
      <c r="V1762" s="13">
        <v>45419</v>
      </c>
      <c r="W1762" s="21" t="s">
        <v>1085</v>
      </c>
      <c r="X1762" s="14" t="s">
        <v>210</v>
      </c>
      <c r="Y1762" s="14"/>
      <c r="Z1762" s="14"/>
      <c r="AA1762" s="14"/>
      <c r="AC1762" s="14"/>
      <c r="AD1762" s="14"/>
      <c r="AE1762" s="14"/>
      <c r="AF1762" s="20"/>
      <c r="AH1762" s="14"/>
      <c r="AI1762" s="14"/>
      <c r="AJ1762" s="14"/>
      <c r="AK1762" s="20"/>
      <c r="AM1762" s="14"/>
      <c r="AN1762" s="14"/>
      <c r="AO1762" s="14"/>
      <c r="AU1762" s="52" t="s">
        <v>53</v>
      </c>
      <c r="AX1762" s="12" t="s">
        <v>1920</v>
      </c>
      <c r="AZ1762" s="12" t="s">
        <v>4668</v>
      </c>
    </row>
    <row r="1763" spans="1:53" s="12" customFormat="1" ht="18" hidden="1" customHeight="1" x14ac:dyDescent="0.3">
      <c r="A1763" s="12" t="s">
        <v>505</v>
      </c>
      <c r="B1763" s="12" t="s">
        <v>4886</v>
      </c>
      <c r="C1763" s="12">
        <v>70</v>
      </c>
      <c r="D1763" s="12">
        <v>670</v>
      </c>
      <c r="E1763" s="14" t="s">
        <v>4873</v>
      </c>
      <c r="F1763" s="14" t="s">
        <v>4999</v>
      </c>
      <c r="G1763" s="12" t="str">
        <f t="shared" si="41"/>
        <v>70670900490498-1</v>
      </c>
      <c r="H1763" s="14" t="s">
        <v>4921</v>
      </c>
      <c r="I1763" s="14" t="s">
        <v>4875</v>
      </c>
      <c r="J1763" s="14" t="s">
        <v>5000</v>
      </c>
      <c r="K1763" s="14" t="s">
        <v>133</v>
      </c>
      <c r="L1763" s="14">
        <v>3145141087</v>
      </c>
      <c r="M1763" s="14">
        <v>3182212565</v>
      </c>
      <c r="N1763" s="12" t="s">
        <v>127</v>
      </c>
      <c r="O1763" s="12" t="s">
        <v>2822</v>
      </c>
      <c r="P1763" s="176" t="s">
        <v>48</v>
      </c>
      <c r="Q1763" s="20">
        <v>45748</v>
      </c>
      <c r="R1763" s="218">
        <v>0.745</v>
      </c>
      <c r="S1763" s="14" t="s">
        <v>49</v>
      </c>
      <c r="T1763" s="14"/>
      <c r="U1763" s="14"/>
      <c r="V1763" s="20">
        <v>45415</v>
      </c>
      <c r="W1763" s="21">
        <v>0.79</v>
      </c>
      <c r="X1763" s="14" t="s">
        <v>49</v>
      </c>
      <c r="Y1763" s="14"/>
      <c r="Z1763" s="14"/>
      <c r="AA1763" s="14"/>
      <c r="AB1763" s="14"/>
      <c r="AC1763" s="14"/>
      <c r="AD1763" s="14"/>
      <c r="AE1763" s="14"/>
      <c r="AF1763" s="20"/>
      <c r="AG1763" s="14"/>
      <c r="AH1763" s="14"/>
      <c r="AI1763" s="14"/>
      <c r="AJ1763" s="14"/>
      <c r="AK1763" s="20"/>
      <c r="AL1763" s="14"/>
      <c r="AM1763" s="14"/>
      <c r="AN1763" s="14"/>
      <c r="AO1763" s="14"/>
      <c r="AP1763" s="14"/>
      <c r="AQ1763" s="14"/>
      <c r="AR1763" s="14"/>
      <c r="AS1763" s="14"/>
      <c r="AT1763" s="14"/>
      <c r="AU1763" s="52" t="s">
        <v>53</v>
      </c>
      <c r="AV1763" s="14"/>
      <c r="AW1763" s="14"/>
      <c r="AX1763" s="14"/>
      <c r="AY1763" s="14"/>
      <c r="AZ1763" s="14"/>
      <c r="BA1763" s="14"/>
    </row>
    <row r="1764" spans="1:53" s="12" customFormat="1" ht="18" hidden="1" customHeight="1" x14ac:dyDescent="0.3">
      <c r="A1764" s="12" t="s">
        <v>505</v>
      </c>
      <c r="B1764" s="12" t="s">
        <v>4886</v>
      </c>
      <c r="C1764" s="12">
        <v>70</v>
      </c>
      <c r="D1764" s="12">
        <v>670</v>
      </c>
      <c r="E1764" s="14" t="s">
        <v>4873</v>
      </c>
      <c r="F1764" s="14" t="s">
        <v>5001</v>
      </c>
      <c r="G1764" s="12" t="str">
        <f t="shared" si="41"/>
        <v>70670900490498-1</v>
      </c>
      <c r="H1764" s="14" t="s">
        <v>4921</v>
      </c>
      <c r="I1764" s="14" t="s">
        <v>4875</v>
      </c>
      <c r="J1764" s="14" t="s">
        <v>5002</v>
      </c>
      <c r="K1764" s="14" t="s">
        <v>133</v>
      </c>
      <c r="L1764" s="14">
        <v>311300752</v>
      </c>
      <c r="M1764" s="53" t="s">
        <v>5003</v>
      </c>
      <c r="N1764" s="12" t="s">
        <v>127</v>
      </c>
      <c r="O1764" s="12" t="s">
        <v>2822</v>
      </c>
      <c r="P1764" s="176" t="s">
        <v>48</v>
      </c>
      <c r="Q1764" s="20">
        <v>45750</v>
      </c>
      <c r="R1764" s="21">
        <v>0.77</v>
      </c>
      <c r="S1764" s="14" t="s">
        <v>49</v>
      </c>
      <c r="T1764" s="14"/>
      <c r="U1764" s="14"/>
      <c r="V1764" s="20">
        <v>45412</v>
      </c>
      <c r="W1764" s="21">
        <v>0.79</v>
      </c>
      <c r="X1764" s="14" t="s">
        <v>49</v>
      </c>
      <c r="Y1764" s="14"/>
      <c r="Z1764" s="14"/>
      <c r="AA1764" s="14"/>
      <c r="AB1764" s="14"/>
      <c r="AC1764" s="14"/>
      <c r="AD1764" s="14"/>
      <c r="AE1764" s="14"/>
      <c r="AF1764" s="20"/>
      <c r="AG1764" s="14"/>
      <c r="AH1764" s="14"/>
      <c r="AI1764" s="14"/>
      <c r="AJ1764" s="14"/>
      <c r="AK1764" s="20"/>
      <c r="AL1764" s="14"/>
      <c r="AM1764" s="14"/>
      <c r="AN1764" s="14"/>
      <c r="AO1764" s="14"/>
      <c r="AP1764" s="14"/>
      <c r="AQ1764" s="14"/>
      <c r="AR1764" s="14"/>
      <c r="AS1764" s="14"/>
      <c r="AT1764" s="14"/>
      <c r="AU1764" s="52" t="s">
        <v>53</v>
      </c>
      <c r="AV1764" s="14"/>
      <c r="AW1764" s="14"/>
      <c r="AX1764" s="14"/>
      <c r="AY1764" s="14"/>
      <c r="AZ1764" s="14"/>
      <c r="BA1764" s="14"/>
    </row>
    <row r="1765" spans="1:53" s="12" customFormat="1" ht="31.5" hidden="1" customHeight="1" x14ac:dyDescent="0.3">
      <c r="A1765" s="12" t="s">
        <v>505</v>
      </c>
      <c r="B1765" s="12" t="s">
        <v>4886</v>
      </c>
      <c r="C1765" s="12">
        <v>70</v>
      </c>
      <c r="D1765" s="12">
        <v>670</v>
      </c>
      <c r="E1765" s="14" t="s">
        <v>8596</v>
      </c>
      <c r="F1765" s="276" t="s">
        <v>8843</v>
      </c>
      <c r="G1765" s="12" t="str">
        <f t="shared" si="41"/>
        <v>70670902021136</v>
      </c>
      <c r="H1765" s="14" t="s">
        <v>8830</v>
      </c>
      <c r="I1765" s="14">
        <v>902021136</v>
      </c>
      <c r="J1765" s="14" t="s">
        <v>8598</v>
      </c>
      <c r="K1765" s="14" t="s">
        <v>133</v>
      </c>
      <c r="L1765" s="14">
        <v>3182212565</v>
      </c>
      <c r="M1765" s="53" t="s">
        <v>8599</v>
      </c>
      <c r="N1765" s="12" t="s">
        <v>127</v>
      </c>
      <c r="O1765" s="12" t="s">
        <v>2822</v>
      </c>
      <c r="P1765" s="176" t="s">
        <v>48</v>
      </c>
      <c r="Q1765" s="13">
        <v>46069</v>
      </c>
      <c r="R1765" s="12" t="s">
        <v>8588</v>
      </c>
      <c r="S1765" s="12" t="s">
        <v>49</v>
      </c>
      <c r="T1765" s="14"/>
      <c r="U1765" s="14" t="s">
        <v>50</v>
      </c>
      <c r="V1765" s="20">
        <v>45796</v>
      </c>
      <c r="W1765" s="21">
        <v>0.81</v>
      </c>
      <c r="X1765" s="14" t="s">
        <v>49</v>
      </c>
      <c r="Y1765" s="14"/>
      <c r="Z1765" s="14" t="s">
        <v>2881</v>
      </c>
      <c r="AA1765" s="14"/>
      <c r="AB1765" s="14"/>
      <c r="AC1765" s="14"/>
      <c r="AD1765" s="14"/>
      <c r="AE1765" s="14"/>
      <c r="AF1765" s="20"/>
      <c r="AG1765" s="14"/>
      <c r="AH1765" s="14"/>
      <c r="AI1765" s="14"/>
      <c r="AJ1765" s="14"/>
      <c r="AK1765" s="20"/>
      <c r="AL1765" s="14"/>
      <c r="AM1765" s="14"/>
      <c r="AN1765" s="14"/>
      <c r="AO1765" s="14"/>
      <c r="AP1765" s="14"/>
      <c r="AQ1765" s="14"/>
      <c r="AR1765" s="14"/>
      <c r="AS1765" s="14"/>
      <c r="AT1765" s="14"/>
      <c r="AU1765" s="52" t="s">
        <v>53</v>
      </c>
      <c r="AV1765" s="14"/>
      <c r="AW1765" s="14"/>
      <c r="AX1765" s="14"/>
      <c r="AY1765" s="14"/>
      <c r="AZ1765" s="14"/>
      <c r="BA1765" s="14"/>
    </row>
    <row r="1766" spans="1:53" s="12" customFormat="1" ht="31.5" hidden="1" customHeight="1" x14ac:dyDescent="0.3">
      <c r="A1766" s="12" t="s">
        <v>505</v>
      </c>
      <c r="B1766" s="12" t="s">
        <v>4886</v>
      </c>
      <c r="C1766" s="12">
        <v>70</v>
      </c>
      <c r="D1766" s="12">
        <v>670</v>
      </c>
      <c r="E1766" s="14" t="s">
        <v>8596</v>
      </c>
      <c r="F1766" s="276" t="s">
        <v>9358</v>
      </c>
      <c r="G1766" s="12" t="str">
        <f t="shared" si="41"/>
        <v>70670902021136</v>
      </c>
      <c r="H1766" s="14" t="s">
        <v>8830</v>
      </c>
      <c r="I1766" s="14">
        <v>902021136</v>
      </c>
      <c r="J1766" s="14" t="s">
        <v>9359</v>
      </c>
      <c r="K1766" s="14" t="s">
        <v>133</v>
      </c>
      <c r="L1766" s="14">
        <v>3126874974</v>
      </c>
      <c r="M1766" s="53" t="s">
        <v>9360</v>
      </c>
      <c r="N1766" s="12" t="s">
        <v>127</v>
      </c>
      <c r="O1766" s="12" t="s">
        <v>2822</v>
      </c>
      <c r="P1766" s="176" t="s">
        <v>48</v>
      </c>
      <c r="Q1766" s="13">
        <v>46213</v>
      </c>
      <c r="R1766" s="12" t="s">
        <v>8538</v>
      </c>
      <c r="S1766" s="12" t="s">
        <v>49</v>
      </c>
      <c r="T1766" s="14"/>
      <c r="U1766" s="14" t="s">
        <v>60</v>
      </c>
      <c r="V1766" s="20"/>
      <c r="W1766" s="21"/>
      <c r="X1766" s="14"/>
      <c r="Y1766" s="14"/>
      <c r="Z1766" s="14"/>
      <c r="AA1766" s="14"/>
      <c r="AB1766" s="14"/>
      <c r="AC1766" s="14"/>
      <c r="AD1766" s="14"/>
      <c r="AE1766" s="14"/>
      <c r="AF1766" s="20"/>
      <c r="AG1766" s="14"/>
      <c r="AH1766" s="14"/>
      <c r="AI1766" s="14"/>
      <c r="AJ1766" s="14"/>
      <c r="AK1766" s="20"/>
      <c r="AL1766" s="14"/>
      <c r="AM1766" s="14"/>
      <c r="AN1766" s="14"/>
      <c r="AO1766" s="14"/>
      <c r="AP1766" s="14"/>
      <c r="AQ1766" s="14"/>
      <c r="AR1766" s="14"/>
      <c r="AS1766" s="14"/>
      <c r="AT1766" s="14"/>
      <c r="AU1766" s="52" t="s">
        <v>53</v>
      </c>
      <c r="AV1766" s="14"/>
      <c r="AW1766" s="14"/>
      <c r="AX1766" s="14"/>
      <c r="AY1766" s="14"/>
      <c r="AZ1766" s="14"/>
      <c r="BA1766" s="14"/>
    </row>
    <row r="1767" spans="1:53" s="12" customFormat="1" ht="18" hidden="1" customHeight="1" x14ac:dyDescent="0.3">
      <c r="A1767" s="12" t="s">
        <v>505</v>
      </c>
      <c r="B1767" s="12" t="s">
        <v>4886</v>
      </c>
      <c r="C1767" s="12">
        <v>70</v>
      </c>
      <c r="D1767" s="12">
        <v>670</v>
      </c>
      <c r="E1767" s="14" t="s">
        <v>4895</v>
      </c>
      <c r="F1767" s="14" t="s">
        <v>8844</v>
      </c>
      <c r="G1767" s="12" t="str">
        <f t="shared" si="41"/>
        <v>70670901926953-7</v>
      </c>
      <c r="H1767" s="14" t="s">
        <v>4921</v>
      </c>
      <c r="I1767" s="14" t="s">
        <v>4350</v>
      </c>
      <c r="J1767" s="14" t="s">
        <v>5004</v>
      </c>
      <c r="K1767" s="14" t="s">
        <v>133</v>
      </c>
      <c r="L1767" s="14">
        <v>3182212565</v>
      </c>
      <c r="M1767" s="53" t="s">
        <v>4899</v>
      </c>
      <c r="N1767" s="12" t="s">
        <v>127</v>
      </c>
      <c r="O1767" s="12" t="s">
        <v>2822</v>
      </c>
      <c r="P1767" s="176" t="s">
        <v>48</v>
      </c>
      <c r="Q1767" s="20">
        <v>45803</v>
      </c>
      <c r="R1767" s="218">
        <v>0.85499999999999998</v>
      </c>
      <c r="S1767" s="14" t="s">
        <v>49</v>
      </c>
      <c r="T1767" s="14"/>
      <c r="U1767" s="14"/>
      <c r="V1767" s="20"/>
      <c r="W1767" s="21"/>
      <c r="X1767" s="14"/>
      <c r="Y1767" s="14"/>
      <c r="Z1767" s="14"/>
      <c r="AA1767" s="14"/>
      <c r="AB1767" s="14"/>
      <c r="AC1767" s="14"/>
      <c r="AD1767" s="14"/>
      <c r="AE1767" s="14"/>
      <c r="AF1767" s="20"/>
      <c r="AG1767" s="14"/>
      <c r="AH1767" s="14"/>
      <c r="AI1767" s="14"/>
      <c r="AJ1767" s="14"/>
      <c r="AK1767" s="20"/>
      <c r="AL1767" s="14"/>
      <c r="AM1767" s="14"/>
      <c r="AN1767" s="14"/>
      <c r="AO1767" s="14"/>
      <c r="AP1767" s="14"/>
      <c r="AQ1767" s="14"/>
      <c r="AR1767" s="14"/>
      <c r="AS1767" s="14"/>
      <c r="AT1767" s="14"/>
      <c r="AU1767" s="52" t="s">
        <v>53</v>
      </c>
      <c r="AV1767" s="14"/>
      <c r="AW1767" s="14"/>
      <c r="AX1767" s="14"/>
      <c r="AY1767" s="14"/>
      <c r="AZ1767" s="14"/>
      <c r="BA1767" s="14"/>
    </row>
    <row r="1768" spans="1:53" s="12" customFormat="1" ht="31.5" hidden="1" customHeight="1" x14ac:dyDescent="0.3">
      <c r="A1768" s="12" t="s">
        <v>505</v>
      </c>
      <c r="B1768" s="12" t="s">
        <v>4886</v>
      </c>
      <c r="C1768" s="12">
        <v>70</v>
      </c>
      <c r="D1768" s="12">
        <v>670</v>
      </c>
      <c r="E1768" s="14" t="s">
        <v>8337</v>
      </c>
      <c r="F1768" s="276" t="s">
        <v>8510</v>
      </c>
      <c r="G1768" s="12" t="str">
        <f t="shared" si="41"/>
        <v>70670902024779</v>
      </c>
      <c r="H1768" s="14" t="s">
        <v>710</v>
      </c>
      <c r="I1768" s="14">
        <v>902024779</v>
      </c>
      <c r="J1768" s="14" t="s">
        <v>8511</v>
      </c>
      <c r="K1768" s="14" t="s">
        <v>133</v>
      </c>
      <c r="L1768" s="14">
        <v>3103155698</v>
      </c>
      <c r="M1768" s="53" t="s">
        <v>8335</v>
      </c>
      <c r="N1768" s="12" t="s">
        <v>127</v>
      </c>
      <c r="O1768" s="12" t="s">
        <v>2822</v>
      </c>
      <c r="P1768" s="176" t="s">
        <v>48</v>
      </c>
      <c r="Q1768" s="13">
        <v>46086</v>
      </c>
      <c r="R1768" s="12" t="s">
        <v>186</v>
      </c>
      <c r="S1768" s="12" t="s">
        <v>139</v>
      </c>
      <c r="T1768" s="14"/>
      <c r="U1768" s="14" t="s">
        <v>50</v>
      </c>
      <c r="V1768" s="20">
        <v>45807</v>
      </c>
      <c r="W1768" s="218">
        <v>0.85499999999999998</v>
      </c>
      <c r="X1768" s="14" t="s">
        <v>49</v>
      </c>
      <c r="Y1768" s="14"/>
      <c r="Z1768" s="14" t="s">
        <v>8317</v>
      </c>
      <c r="AA1768" s="14"/>
      <c r="AB1768" s="14"/>
      <c r="AC1768" s="14"/>
      <c r="AD1768" s="14"/>
      <c r="AE1768" s="14"/>
      <c r="AF1768" s="20"/>
      <c r="AG1768" s="14"/>
      <c r="AH1768" s="14"/>
      <c r="AI1768" s="14"/>
      <c r="AJ1768" s="14"/>
      <c r="AK1768" s="20"/>
      <c r="AL1768" s="14"/>
      <c r="AM1768" s="14"/>
      <c r="AN1768" s="14"/>
      <c r="AO1768" s="14"/>
      <c r="AP1768" s="14"/>
      <c r="AQ1768" s="14"/>
      <c r="AR1768" s="14"/>
      <c r="AS1768" s="14"/>
      <c r="AT1768" s="14"/>
      <c r="AU1768" s="52" t="s">
        <v>53</v>
      </c>
      <c r="AV1768" s="14"/>
      <c r="AW1768" s="14"/>
      <c r="AX1768" s="14"/>
      <c r="AY1768" s="14"/>
      <c r="AZ1768" s="14"/>
      <c r="BA1768" s="14"/>
    </row>
    <row r="1769" spans="1:53" s="12" customFormat="1" ht="34.5" hidden="1" customHeight="1" x14ac:dyDescent="0.3">
      <c r="A1769" s="12" t="s">
        <v>505</v>
      </c>
      <c r="B1769" s="12" t="s">
        <v>4886</v>
      </c>
      <c r="C1769" s="12">
        <v>70</v>
      </c>
      <c r="D1769" s="12">
        <v>670</v>
      </c>
      <c r="E1769" s="14" t="s">
        <v>8596</v>
      </c>
      <c r="F1769" s="276" t="s">
        <v>8845</v>
      </c>
      <c r="G1769" s="12" t="str">
        <f t="shared" si="41"/>
        <v>706709020211365</v>
      </c>
      <c r="H1769" s="14" t="s">
        <v>8830</v>
      </c>
      <c r="I1769" s="14">
        <v>9020211365</v>
      </c>
      <c r="J1769" s="14" t="s">
        <v>5005</v>
      </c>
      <c r="K1769" s="14" t="s">
        <v>133</v>
      </c>
      <c r="L1769" s="14">
        <v>3182212565</v>
      </c>
      <c r="M1769" s="53" t="s">
        <v>8413</v>
      </c>
      <c r="N1769" s="12" t="s">
        <v>127</v>
      </c>
      <c r="O1769" s="12" t="s">
        <v>2822</v>
      </c>
      <c r="P1769" s="176" t="s">
        <v>48</v>
      </c>
      <c r="Q1769" s="13">
        <v>46185</v>
      </c>
      <c r="R1769" s="12">
        <v>88</v>
      </c>
      <c r="S1769" s="12" t="s">
        <v>49</v>
      </c>
      <c r="T1769" s="14"/>
      <c r="U1769" s="14" t="s">
        <v>50</v>
      </c>
      <c r="V1769" s="20">
        <v>45859</v>
      </c>
      <c r="W1769" s="218">
        <v>0.83499999999999996</v>
      </c>
      <c r="X1769" s="14" t="s">
        <v>49</v>
      </c>
      <c r="Y1769" s="14"/>
      <c r="Z1769" s="14" t="s">
        <v>60</v>
      </c>
      <c r="AA1769" s="14"/>
      <c r="AB1769" s="14"/>
      <c r="AC1769" s="14"/>
      <c r="AD1769" s="14"/>
      <c r="AE1769" s="14"/>
      <c r="AF1769" s="20"/>
      <c r="AG1769" s="14"/>
      <c r="AH1769" s="14"/>
      <c r="AI1769" s="14"/>
      <c r="AJ1769" s="14"/>
      <c r="AK1769" s="20"/>
      <c r="AL1769" s="14"/>
      <c r="AM1769" s="14"/>
      <c r="AN1769" s="14"/>
      <c r="AO1769" s="14"/>
      <c r="AP1769" s="14"/>
      <c r="AQ1769" s="14"/>
      <c r="AR1769" s="14"/>
      <c r="AS1769" s="14"/>
      <c r="AT1769" s="14"/>
      <c r="AU1769" s="52" t="s">
        <v>53</v>
      </c>
      <c r="AV1769" s="14"/>
      <c r="AW1769" s="14"/>
      <c r="AX1769" s="14"/>
      <c r="AY1769" s="14"/>
      <c r="AZ1769" s="14"/>
      <c r="BA1769" s="14"/>
    </row>
    <row r="1770" spans="1:53" s="14" customFormat="1" ht="30.75" hidden="1" customHeight="1" x14ac:dyDescent="0.3">
      <c r="A1770" s="12" t="s">
        <v>505</v>
      </c>
      <c r="B1770" s="12" t="s">
        <v>4886</v>
      </c>
      <c r="C1770" s="12">
        <v>70</v>
      </c>
      <c r="D1770" s="12">
        <v>670</v>
      </c>
      <c r="E1770" s="14" t="s">
        <v>4895</v>
      </c>
      <c r="F1770" s="276" t="s">
        <v>8846</v>
      </c>
      <c r="G1770" s="12" t="str">
        <f t="shared" si="41"/>
        <v>70670901926953-7</v>
      </c>
      <c r="H1770" s="14" t="s">
        <v>4921</v>
      </c>
      <c r="I1770" s="14" t="s">
        <v>4350</v>
      </c>
      <c r="J1770" s="14" t="s">
        <v>5006</v>
      </c>
      <c r="K1770" s="14" t="s">
        <v>133</v>
      </c>
      <c r="L1770" s="14">
        <v>3182212565</v>
      </c>
      <c r="M1770" s="53" t="s">
        <v>4899</v>
      </c>
      <c r="N1770" s="12" t="s">
        <v>127</v>
      </c>
      <c r="O1770" s="12" t="s">
        <v>2822</v>
      </c>
      <c r="P1770" s="176" t="s">
        <v>48</v>
      </c>
      <c r="Q1770" s="20">
        <v>45866</v>
      </c>
      <c r="R1770" s="218">
        <v>0.83499999999999996</v>
      </c>
      <c r="S1770" s="14" t="s">
        <v>49</v>
      </c>
      <c r="V1770" s="20"/>
      <c r="W1770" s="21"/>
      <c r="AF1770" s="20"/>
      <c r="AK1770" s="20"/>
      <c r="AU1770" s="52" t="s">
        <v>53</v>
      </c>
    </row>
    <row r="1771" spans="1:53" s="14" customFormat="1" ht="23.25" hidden="1" customHeight="1" x14ac:dyDescent="0.3">
      <c r="A1771" s="12" t="s">
        <v>505</v>
      </c>
      <c r="B1771" s="12" t="s">
        <v>4886</v>
      </c>
      <c r="C1771" s="12">
        <v>70</v>
      </c>
      <c r="D1771" s="12">
        <v>670</v>
      </c>
      <c r="E1771" s="14" t="s">
        <v>7928</v>
      </c>
      <c r="F1771" s="14" t="s">
        <v>7929</v>
      </c>
      <c r="G1771" s="12" t="str">
        <f t="shared" si="41"/>
        <v>706709019575995</v>
      </c>
      <c r="H1771" s="14" t="s">
        <v>7930</v>
      </c>
      <c r="I1771" s="14">
        <v>9019575995</v>
      </c>
      <c r="J1771" s="14" t="s">
        <v>7931</v>
      </c>
      <c r="K1771" s="14" t="s">
        <v>133</v>
      </c>
      <c r="L1771" s="14">
        <v>3014627385</v>
      </c>
      <c r="M1771" s="211" t="s">
        <v>7932</v>
      </c>
      <c r="N1771" s="12" t="s">
        <v>127</v>
      </c>
      <c r="O1771" s="12" t="s">
        <v>2822</v>
      </c>
      <c r="P1771" s="176" t="s">
        <v>48</v>
      </c>
      <c r="Q1771" s="20">
        <v>45968</v>
      </c>
      <c r="R1771" s="21">
        <v>0.7</v>
      </c>
      <c r="S1771" s="14" t="s">
        <v>49</v>
      </c>
      <c r="U1771" s="14" t="s">
        <v>60</v>
      </c>
      <c r="V1771" s="20"/>
      <c r="W1771" s="21"/>
      <c r="AF1771" s="20"/>
      <c r="AK1771" s="20"/>
      <c r="AU1771" s="52" t="s">
        <v>53</v>
      </c>
    </row>
    <row r="1772" spans="1:53" s="14" customFormat="1" ht="34.5" hidden="1" customHeight="1" x14ac:dyDescent="0.3">
      <c r="A1772" s="12" t="s">
        <v>505</v>
      </c>
      <c r="B1772" s="12" t="s">
        <v>4886</v>
      </c>
      <c r="C1772" s="12">
        <v>70</v>
      </c>
      <c r="D1772" s="12">
        <v>670</v>
      </c>
      <c r="E1772" s="14" t="s">
        <v>8596</v>
      </c>
      <c r="F1772" s="276" t="s">
        <v>9000</v>
      </c>
      <c r="G1772" s="12" t="str">
        <f>C1772&amp;D1772&amp;I1772</f>
        <v>706709020211365</v>
      </c>
      <c r="H1772" s="14" t="s">
        <v>9001</v>
      </c>
      <c r="I1772" s="14">
        <v>9020211365</v>
      </c>
      <c r="J1772" s="14" t="s">
        <v>9002</v>
      </c>
      <c r="K1772" s="14" t="s">
        <v>133</v>
      </c>
      <c r="L1772" s="14">
        <v>3182212565</v>
      </c>
      <c r="M1772" s="211" t="s">
        <v>8413</v>
      </c>
      <c r="N1772" s="12" t="s">
        <v>127</v>
      </c>
      <c r="O1772" s="12" t="s">
        <v>2822</v>
      </c>
      <c r="P1772" s="176" t="s">
        <v>48</v>
      </c>
      <c r="Q1772" s="20">
        <v>46146</v>
      </c>
      <c r="R1772" s="14">
        <v>81</v>
      </c>
      <c r="S1772" s="14" t="s">
        <v>49</v>
      </c>
      <c r="U1772" s="14" t="s">
        <v>60</v>
      </c>
      <c r="V1772" s="20"/>
      <c r="W1772" s="21"/>
      <c r="AF1772" s="20"/>
      <c r="AK1772" s="20"/>
      <c r="AU1772" s="52" t="s">
        <v>53</v>
      </c>
    </row>
    <row r="1773" spans="1:53" s="14" customFormat="1" ht="47.25" hidden="1" customHeight="1" x14ac:dyDescent="0.3">
      <c r="A1773" s="12" t="s">
        <v>505</v>
      </c>
      <c r="B1773" s="12" t="s">
        <v>4886</v>
      </c>
      <c r="C1773" s="12">
        <v>70</v>
      </c>
      <c r="D1773" s="12">
        <v>670</v>
      </c>
      <c r="E1773" s="14" t="s">
        <v>8596</v>
      </c>
      <c r="F1773" s="345" t="s">
        <v>9003</v>
      </c>
      <c r="G1773" s="12" t="str">
        <f>C1773&amp;D1773&amp;I1773</f>
        <v>706709020211365</v>
      </c>
      <c r="H1773" s="14" t="s">
        <v>9001</v>
      </c>
      <c r="I1773" s="14">
        <v>9020211365</v>
      </c>
      <c r="J1773" s="14" t="s">
        <v>9004</v>
      </c>
      <c r="K1773" s="14" t="s">
        <v>133</v>
      </c>
      <c r="L1773" s="14">
        <v>3182212565</v>
      </c>
      <c r="M1773" s="211" t="s">
        <v>8413</v>
      </c>
      <c r="N1773" s="12" t="s">
        <v>127</v>
      </c>
      <c r="O1773" s="12" t="s">
        <v>2822</v>
      </c>
      <c r="P1773" s="176" t="s">
        <v>48</v>
      </c>
      <c r="Q1773" s="20">
        <v>46161</v>
      </c>
      <c r="R1773" s="14">
        <v>81</v>
      </c>
      <c r="S1773" s="14" t="s">
        <v>49</v>
      </c>
      <c r="U1773" s="14" t="s">
        <v>60</v>
      </c>
      <c r="V1773" s="20"/>
      <c r="W1773" s="21"/>
      <c r="AF1773" s="20"/>
      <c r="AK1773" s="20"/>
      <c r="AU1773" s="52" t="s">
        <v>53</v>
      </c>
    </row>
    <row r="1774" spans="1:53" s="14" customFormat="1" ht="41.25" hidden="1" customHeight="1" x14ac:dyDescent="0.3">
      <c r="A1774" s="12" t="s">
        <v>505</v>
      </c>
      <c r="B1774" s="12" t="s">
        <v>4886</v>
      </c>
      <c r="C1774" s="12">
        <v>70</v>
      </c>
      <c r="D1774" s="12">
        <v>670</v>
      </c>
      <c r="E1774" s="347" t="s">
        <v>8596</v>
      </c>
      <c r="F1774" s="349" t="s">
        <v>9006</v>
      </c>
      <c r="G1774" s="220" t="str">
        <f>C1774&amp;D1774&amp;I1774</f>
        <v>706709020211365</v>
      </c>
      <c r="H1774" s="14" t="s">
        <v>9001</v>
      </c>
      <c r="I1774" s="14">
        <v>9020211365</v>
      </c>
      <c r="J1774" s="14" t="s">
        <v>9007</v>
      </c>
      <c r="K1774" s="14" t="s">
        <v>133</v>
      </c>
      <c r="L1774" s="14">
        <v>3116758370</v>
      </c>
      <c r="M1774" s="211" t="s">
        <v>8413</v>
      </c>
      <c r="N1774" s="12" t="s">
        <v>127</v>
      </c>
      <c r="O1774" s="12" t="s">
        <v>2822</v>
      </c>
      <c r="P1774" s="176" t="s">
        <v>48</v>
      </c>
      <c r="Q1774" s="20">
        <v>46161</v>
      </c>
      <c r="R1774" s="14" t="s">
        <v>7753</v>
      </c>
      <c r="S1774" s="14" t="s">
        <v>49</v>
      </c>
      <c r="U1774" s="14" t="s">
        <v>60</v>
      </c>
      <c r="V1774" s="20"/>
      <c r="W1774" s="21"/>
      <c r="AF1774" s="20"/>
      <c r="AK1774" s="20"/>
      <c r="AU1774" s="52" t="s">
        <v>53</v>
      </c>
    </row>
    <row r="1775" spans="1:53" s="14" customFormat="1" ht="27.75" hidden="1" customHeight="1" x14ac:dyDescent="0.3">
      <c r="A1775" s="12" t="s">
        <v>505</v>
      </c>
      <c r="B1775" s="12" t="s">
        <v>4886</v>
      </c>
      <c r="C1775" s="12">
        <v>70</v>
      </c>
      <c r="D1775" s="12">
        <v>670</v>
      </c>
      <c r="E1775" s="14" t="s">
        <v>8596</v>
      </c>
      <c r="F1775" s="348" t="s">
        <v>8847</v>
      </c>
      <c r="G1775" s="12" t="str">
        <f t="shared" si="41"/>
        <v>70670902021135</v>
      </c>
      <c r="H1775" s="14" t="s">
        <v>8830</v>
      </c>
      <c r="I1775" s="14">
        <v>902021135</v>
      </c>
      <c r="J1775" s="14" t="s">
        <v>5007</v>
      </c>
      <c r="K1775" s="14" t="s">
        <v>133</v>
      </c>
      <c r="L1775" s="14">
        <v>3126874974</v>
      </c>
      <c r="M1775" s="53" t="s">
        <v>8413</v>
      </c>
      <c r="N1775" s="12" t="s">
        <v>127</v>
      </c>
      <c r="O1775" s="12" t="s">
        <v>2822</v>
      </c>
      <c r="P1775" s="176" t="s">
        <v>48</v>
      </c>
      <c r="Q1775" s="20">
        <v>46128</v>
      </c>
      <c r="R1775" s="14">
        <v>76</v>
      </c>
      <c r="S1775" s="14" t="s">
        <v>49</v>
      </c>
      <c r="U1775" s="14" t="s">
        <v>60</v>
      </c>
      <c r="V1775" s="20">
        <v>45873</v>
      </c>
      <c r="W1775" s="218">
        <v>0.84499999999999997</v>
      </c>
      <c r="X1775" s="14" t="s">
        <v>49</v>
      </c>
      <c r="Z1775" s="14" t="s">
        <v>2881</v>
      </c>
      <c r="AF1775" s="20"/>
      <c r="AK1775" s="20"/>
      <c r="AU1775" s="52" t="s">
        <v>53</v>
      </c>
    </row>
    <row r="1776" spans="1:53" s="14" customFormat="1" ht="18" hidden="1" customHeight="1" x14ac:dyDescent="0.3">
      <c r="A1776" s="12" t="s">
        <v>39</v>
      </c>
      <c r="B1776" s="12" t="s">
        <v>4337</v>
      </c>
      <c r="C1776" s="12">
        <v>70</v>
      </c>
      <c r="D1776" s="12">
        <v>523</v>
      </c>
      <c r="E1776" s="12" t="s">
        <v>4338</v>
      </c>
      <c r="F1776" s="12" t="s">
        <v>4339</v>
      </c>
      <c r="G1776" s="12" t="str">
        <f t="shared" si="41"/>
        <v>70523901667627-9</v>
      </c>
      <c r="H1776" s="12" t="s">
        <v>4340</v>
      </c>
      <c r="I1776" s="12" t="s">
        <v>4341</v>
      </c>
      <c r="J1776" s="12" t="s">
        <v>4342</v>
      </c>
      <c r="K1776" s="12" t="s">
        <v>133</v>
      </c>
      <c r="L1776" s="12">
        <v>3027577735</v>
      </c>
      <c r="M1776" s="99" t="s">
        <v>4343</v>
      </c>
      <c r="N1776" s="12" t="s">
        <v>127</v>
      </c>
      <c r="O1776" s="12" t="s">
        <v>2822</v>
      </c>
      <c r="P1776" s="88" t="s">
        <v>48</v>
      </c>
      <c r="Q1776" s="13" t="s">
        <v>4344</v>
      </c>
      <c r="R1776" s="18">
        <v>0.85499999999999998</v>
      </c>
      <c r="S1776" s="12" t="s">
        <v>49</v>
      </c>
      <c r="T1776" s="12" t="s">
        <v>4345</v>
      </c>
      <c r="U1776" s="12" t="s">
        <v>50</v>
      </c>
      <c r="V1776" s="12"/>
      <c r="W1776" s="18"/>
      <c r="X1776" s="12"/>
      <c r="Y1776" s="12"/>
      <c r="Z1776" s="12"/>
      <c r="AA1776" s="12"/>
      <c r="AB1776" s="12"/>
      <c r="AC1776" s="12"/>
      <c r="AD1776" s="12"/>
      <c r="AE1776" s="12"/>
      <c r="AF1776" s="12"/>
      <c r="AG1776" s="12"/>
      <c r="AH1776" s="12"/>
      <c r="AI1776" s="12"/>
      <c r="AJ1776" s="12"/>
      <c r="AK1776" s="12"/>
      <c r="AL1776" s="12"/>
      <c r="AM1776" s="12"/>
      <c r="AN1776" s="12"/>
      <c r="AO1776" s="12"/>
      <c r="AP1776" s="12"/>
      <c r="AQ1776" s="12"/>
      <c r="AR1776" s="12"/>
      <c r="AS1776" s="12"/>
      <c r="AT1776" s="12"/>
      <c r="AU1776" s="12"/>
      <c r="AV1776" s="12"/>
      <c r="AW1776" s="12"/>
      <c r="AX1776" s="12"/>
      <c r="AY1776" s="12"/>
      <c r="AZ1776" s="12"/>
      <c r="BA1776" s="12"/>
    </row>
    <row r="1777" spans="1:53" s="14" customFormat="1" ht="18" hidden="1" customHeight="1" x14ac:dyDescent="0.3">
      <c r="A1777" s="12" t="s">
        <v>39</v>
      </c>
      <c r="B1777" s="12" t="s">
        <v>4337</v>
      </c>
      <c r="C1777" s="12">
        <v>70</v>
      </c>
      <c r="D1777" s="12">
        <v>523</v>
      </c>
      <c r="E1777" s="12" t="s">
        <v>4338</v>
      </c>
      <c r="F1777" s="12" t="s">
        <v>4346</v>
      </c>
      <c r="G1777" s="12" t="str">
        <f t="shared" si="41"/>
        <v>70523901667627-9</v>
      </c>
      <c r="H1777" s="12" t="s">
        <v>4340</v>
      </c>
      <c r="I1777" s="12" t="s">
        <v>4341</v>
      </c>
      <c r="J1777" s="12"/>
      <c r="K1777" s="12" t="s">
        <v>133</v>
      </c>
      <c r="L1777" s="12">
        <v>3107478559</v>
      </c>
      <c r="M1777" s="99" t="s">
        <v>4343</v>
      </c>
      <c r="N1777" s="12" t="s">
        <v>127</v>
      </c>
      <c r="O1777" s="12" t="s">
        <v>2822</v>
      </c>
      <c r="P1777" s="88" t="s">
        <v>48</v>
      </c>
      <c r="Q1777" s="13" t="s">
        <v>4347</v>
      </c>
      <c r="R1777" s="18">
        <v>0.86499999999999999</v>
      </c>
      <c r="S1777" s="12" t="s">
        <v>49</v>
      </c>
      <c r="T1777" s="12" t="s">
        <v>2069</v>
      </c>
      <c r="U1777" s="12" t="s">
        <v>50</v>
      </c>
      <c r="V1777" s="12" t="s">
        <v>3238</v>
      </c>
      <c r="W1777" s="18">
        <v>0.875</v>
      </c>
      <c r="X1777" s="12" t="s">
        <v>69</v>
      </c>
      <c r="Y1777" s="12"/>
      <c r="Z1777" s="12"/>
      <c r="AA1777" s="12"/>
      <c r="AB1777" s="12"/>
      <c r="AC1777" s="12"/>
      <c r="AD1777" s="12"/>
      <c r="AE1777" s="12"/>
      <c r="AF1777" s="12"/>
      <c r="AG1777" s="12"/>
      <c r="AH1777" s="12"/>
      <c r="AI1777" s="12"/>
      <c r="AJ1777" s="12"/>
      <c r="AK1777" s="12"/>
      <c r="AL1777" s="12"/>
      <c r="AM1777" s="12"/>
      <c r="AN1777" s="12"/>
      <c r="AO1777" s="12"/>
      <c r="AP1777" s="12"/>
      <c r="AQ1777" s="12"/>
      <c r="AR1777" s="12"/>
      <c r="AS1777" s="12"/>
      <c r="AT1777" s="12"/>
      <c r="AU1777" s="12"/>
      <c r="AV1777" s="12"/>
      <c r="AW1777" s="12"/>
      <c r="AX1777" s="12"/>
      <c r="AY1777" s="12"/>
      <c r="AZ1777" s="12"/>
      <c r="BA1777" s="12"/>
    </row>
    <row r="1778" spans="1:53" s="14" customFormat="1" ht="18" hidden="1" customHeight="1" x14ac:dyDescent="0.3">
      <c r="A1778" s="12" t="s">
        <v>39</v>
      </c>
      <c r="B1778" s="12" t="s">
        <v>4337</v>
      </c>
      <c r="C1778" s="12">
        <v>70</v>
      </c>
      <c r="D1778" s="12">
        <v>523</v>
      </c>
      <c r="E1778" s="12" t="s">
        <v>8596</v>
      </c>
      <c r="F1778" s="275" t="s">
        <v>4348</v>
      </c>
      <c r="G1778" s="12" t="str">
        <f t="shared" si="41"/>
        <v>70523997954912</v>
      </c>
      <c r="H1778" s="12" t="s">
        <v>4349</v>
      </c>
      <c r="I1778" s="12">
        <v>997954912</v>
      </c>
      <c r="J1778" s="12" t="s">
        <v>8848</v>
      </c>
      <c r="K1778" s="12" t="s">
        <v>133</v>
      </c>
      <c r="L1778" s="12">
        <v>3237286237</v>
      </c>
      <c r="M1778" s="17" t="s">
        <v>4928</v>
      </c>
      <c r="N1778" s="12" t="s">
        <v>127</v>
      </c>
      <c r="O1778" s="12" t="s">
        <v>2822</v>
      </c>
      <c r="P1778" s="88" t="s">
        <v>48</v>
      </c>
      <c r="Q1778" s="20">
        <v>46097</v>
      </c>
      <c r="R1778" s="21">
        <v>0.86</v>
      </c>
      <c r="S1778" s="12" t="s">
        <v>49</v>
      </c>
      <c r="T1778" s="12" t="s">
        <v>4345</v>
      </c>
      <c r="U1778" s="12" t="s">
        <v>50</v>
      </c>
      <c r="V1778" s="13" t="s">
        <v>4352</v>
      </c>
      <c r="W1778" s="18">
        <v>0.85499999999999998</v>
      </c>
      <c r="X1778" s="12" t="s">
        <v>49</v>
      </c>
      <c r="Y1778" s="12"/>
      <c r="Z1778" s="12"/>
      <c r="AA1778" s="12"/>
      <c r="AB1778" s="12"/>
      <c r="AC1778" s="12"/>
      <c r="AD1778" s="12"/>
      <c r="AE1778" s="12"/>
      <c r="AF1778" s="12"/>
      <c r="AG1778" s="12"/>
      <c r="AH1778" s="12"/>
      <c r="AI1778" s="12"/>
      <c r="AJ1778" s="12"/>
      <c r="AK1778" s="12"/>
      <c r="AL1778" s="12"/>
      <c r="AM1778" s="12"/>
      <c r="AN1778" s="12"/>
      <c r="AO1778" s="12"/>
      <c r="AP1778" s="12"/>
      <c r="AQ1778" s="12"/>
      <c r="AR1778" s="12"/>
      <c r="AS1778" s="12"/>
      <c r="AT1778" s="12"/>
      <c r="AU1778" s="12"/>
      <c r="AV1778" s="12"/>
      <c r="AW1778" s="12"/>
      <c r="AX1778" s="12"/>
      <c r="AY1778" s="12"/>
      <c r="AZ1778" s="12"/>
      <c r="BA1778" s="12"/>
    </row>
    <row r="1779" spans="1:53" s="14" customFormat="1" ht="18" hidden="1" customHeight="1" x14ac:dyDescent="0.3">
      <c r="A1779" s="12" t="s">
        <v>39</v>
      </c>
      <c r="B1779" s="12" t="s">
        <v>4337</v>
      </c>
      <c r="C1779" s="12">
        <v>70</v>
      </c>
      <c r="D1779" s="12">
        <v>523</v>
      </c>
      <c r="E1779" s="12" t="s">
        <v>8596</v>
      </c>
      <c r="F1779" s="275" t="s">
        <v>4353</v>
      </c>
      <c r="G1779" s="12" t="str">
        <f t="shared" si="41"/>
        <v>70523997954912</v>
      </c>
      <c r="H1779" s="12" t="s">
        <v>4349</v>
      </c>
      <c r="I1779" s="12">
        <v>997954912</v>
      </c>
      <c r="J1779" s="12" t="s">
        <v>4354</v>
      </c>
      <c r="K1779" s="12" t="s">
        <v>133</v>
      </c>
      <c r="L1779" s="12">
        <v>3237286237</v>
      </c>
      <c r="M1779" s="17" t="s">
        <v>4928</v>
      </c>
      <c r="N1779" s="12" t="s">
        <v>127</v>
      </c>
      <c r="O1779" s="12" t="s">
        <v>2822</v>
      </c>
      <c r="P1779" s="88" t="s">
        <v>48</v>
      </c>
      <c r="Q1779" s="20">
        <v>46087</v>
      </c>
      <c r="R1779" s="21">
        <v>0.88</v>
      </c>
      <c r="S1779" s="12" t="s">
        <v>49</v>
      </c>
      <c r="T1779" s="12" t="s">
        <v>4345</v>
      </c>
      <c r="U1779" s="12" t="s">
        <v>8832</v>
      </c>
      <c r="V1779" s="13">
        <v>45843</v>
      </c>
      <c r="W1779" s="16">
        <v>0.9</v>
      </c>
      <c r="X1779" s="12" t="s">
        <v>210</v>
      </c>
      <c r="Y1779" s="12"/>
      <c r="Z1779" s="12"/>
      <c r="AA1779" s="12"/>
      <c r="AB1779" s="12"/>
      <c r="AC1779" s="12"/>
      <c r="AD1779" s="12"/>
      <c r="AE1779" s="12"/>
      <c r="AF1779" s="12"/>
      <c r="AG1779" s="12"/>
      <c r="AH1779" s="12"/>
      <c r="AI1779" s="12"/>
      <c r="AJ1779" s="12"/>
      <c r="AK1779" s="12"/>
      <c r="AL1779" s="12"/>
      <c r="AM1779" s="12"/>
      <c r="AN1779" s="12"/>
      <c r="AO1779" s="12"/>
      <c r="AP1779" s="12"/>
      <c r="AQ1779" s="12"/>
      <c r="AR1779" s="12"/>
      <c r="AS1779" s="12"/>
      <c r="AT1779" s="12"/>
      <c r="AU1779" s="12"/>
      <c r="AV1779" s="12"/>
      <c r="AW1779" s="12"/>
      <c r="AX1779" s="12"/>
      <c r="AY1779" s="12"/>
      <c r="AZ1779" s="12"/>
      <c r="BA1779" s="12"/>
    </row>
    <row r="1780" spans="1:53" s="14" customFormat="1" ht="18" hidden="1" customHeight="1" x14ac:dyDescent="0.3">
      <c r="A1780" s="12" t="s">
        <v>39</v>
      </c>
      <c r="B1780" s="12" t="s">
        <v>4337</v>
      </c>
      <c r="C1780" s="12">
        <v>70</v>
      </c>
      <c r="D1780" s="12">
        <v>523</v>
      </c>
      <c r="E1780" s="12" t="s">
        <v>8596</v>
      </c>
      <c r="F1780" s="12" t="s">
        <v>4355</v>
      </c>
      <c r="G1780" s="12" t="str">
        <f t="shared" si="41"/>
        <v>70523901926953-7</v>
      </c>
      <c r="H1780" s="12" t="s">
        <v>4349</v>
      </c>
      <c r="I1780" s="12" t="s">
        <v>4350</v>
      </c>
      <c r="J1780" s="12" t="s">
        <v>4356</v>
      </c>
      <c r="K1780" s="12" t="s">
        <v>133</v>
      </c>
      <c r="L1780" s="12">
        <v>3177690021</v>
      </c>
      <c r="M1780" s="108" t="s">
        <v>4351</v>
      </c>
      <c r="N1780" s="12" t="s">
        <v>127</v>
      </c>
      <c r="O1780" s="12" t="s">
        <v>2822</v>
      </c>
      <c r="P1780" s="88" t="s">
        <v>48</v>
      </c>
      <c r="Q1780" s="13">
        <v>45936</v>
      </c>
      <c r="R1780" s="18">
        <v>0.82499999999999996</v>
      </c>
      <c r="S1780" s="12" t="s">
        <v>49</v>
      </c>
      <c r="T1780" s="12" t="s">
        <v>4345</v>
      </c>
      <c r="U1780" s="12" t="s">
        <v>50</v>
      </c>
      <c r="V1780" s="13" t="s">
        <v>4357</v>
      </c>
      <c r="W1780" s="18">
        <v>0.79500000000000004</v>
      </c>
      <c r="X1780" s="12" t="s">
        <v>1192</v>
      </c>
      <c r="Y1780" s="12" t="s">
        <v>2069</v>
      </c>
      <c r="Z1780" s="12"/>
      <c r="AA1780" s="12"/>
      <c r="AB1780" s="12"/>
      <c r="AC1780" s="12"/>
      <c r="AD1780" s="12"/>
      <c r="AE1780" s="12"/>
      <c r="AF1780" s="12"/>
      <c r="AG1780" s="12"/>
      <c r="AH1780" s="12"/>
      <c r="AI1780" s="12"/>
      <c r="AJ1780" s="12"/>
      <c r="AK1780" s="12"/>
      <c r="AL1780" s="12"/>
      <c r="AM1780" s="12"/>
      <c r="AN1780" s="12"/>
      <c r="AO1780" s="12"/>
      <c r="AP1780" s="12"/>
      <c r="AQ1780" s="12"/>
      <c r="AR1780" s="12"/>
      <c r="AS1780" s="12"/>
      <c r="AT1780" s="12"/>
      <c r="AU1780" s="12"/>
      <c r="AV1780" s="12"/>
      <c r="AW1780" s="12"/>
      <c r="AX1780" s="12"/>
      <c r="AY1780" s="12"/>
      <c r="AZ1780" s="12"/>
      <c r="BA1780" s="12"/>
    </row>
    <row r="1781" spans="1:53" s="14" customFormat="1" ht="18" hidden="1" customHeight="1" x14ac:dyDescent="0.3">
      <c r="A1781" s="12" t="s">
        <v>39</v>
      </c>
      <c r="B1781" s="12" t="s">
        <v>4337</v>
      </c>
      <c r="C1781" s="12">
        <v>70</v>
      </c>
      <c r="D1781" s="12">
        <v>523</v>
      </c>
      <c r="E1781" s="12" t="s">
        <v>8596</v>
      </c>
      <c r="F1781" s="275" t="s">
        <v>4358</v>
      </c>
      <c r="G1781" s="12" t="str">
        <f t="shared" si="41"/>
        <v>70523997954912</v>
      </c>
      <c r="H1781" s="12" t="s">
        <v>4349</v>
      </c>
      <c r="I1781" s="12">
        <v>997954912</v>
      </c>
      <c r="J1781" s="12" t="s">
        <v>4359</v>
      </c>
      <c r="K1781" s="12" t="s">
        <v>133</v>
      </c>
      <c r="L1781" s="12">
        <v>3237286237</v>
      </c>
      <c r="M1781" s="108" t="s">
        <v>4351</v>
      </c>
      <c r="N1781" s="12" t="s">
        <v>127</v>
      </c>
      <c r="O1781" s="12" t="s">
        <v>2822</v>
      </c>
      <c r="P1781" s="88" t="s">
        <v>48</v>
      </c>
      <c r="Q1781" s="20">
        <v>46163</v>
      </c>
      <c r="R1781" s="21">
        <v>0.84</v>
      </c>
      <c r="S1781" s="12" t="s">
        <v>49</v>
      </c>
      <c r="T1781" s="12" t="s">
        <v>4345</v>
      </c>
      <c r="U1781" s="12" t="s">
        <v>50</v>
      </c>
      <c r="V1781" s="13">
        <v>45783</v>
      </c>
      <c r="W1781" s="16">
        <v>0.85</v>
      </c>
      <c r="X1781" s="12" t="s">
        <v>49</v>
      </c>
      <c r="Y1781" s="12" t="s">
        <v>4345</v>
      </c>
      <c r="Z1781" s="12" t="s">
        <v>50</v>
      </c>
      <c r="AA1781" s="12"/>
      <c r="AB1781" s="12"/>
      <c r="AC1781" s="12"/>
      <c r="AD1781" s="12"/>
      <c r="AE1781" s="12"/>
      <c r="AF1781" s="12"/>
      <c r="AG1781" s="12"/>
      <c r="AH1781" s="12"/>
      <c r="AI1781" s="12"/>
      <c r="AJ1781" s="12"/>
      <c r="AK1781" s="12"/>
      <c r="AL1781" s="12"/>
      <c r="AM1781" s="12"/>
      <c r="AN1781" s="12"/>
      <c r="AO1781" s="12"/>
      <c r="AP1781" s="12"/>
      <c r="AQ1781" s="12"/>
      <c r="AR1781" s="12"/>
      <c r="AS1781" s="12"/>
      <c r="AT1781" s="12"/>
      <c r="AU1781" s="12"/>
      <c r="AV1781" s="12"/>
      <c r="AW1781" s="12"/>
      <c r="AX1781" s="12"/>
      <c r="AY1781" s="12"/>
      <c r="AZ1781" s="12"/>
      <c r="BA1781" s="12"/>
    </row>
    <row r="1782" spans="1:53" s="14" customFormat="1" ht="18" hidden="1" customHeight="1" x14ac:dyDescent="0.3">
      <c r="A1782" s="12" t="s">
        <v>39</v>
      </c>
      <c r="B1782" s="12" t="s">
        <v>4337</v>
      </c>
      <c r="C1782" s="12">
        <v>70</v>
      </c>
      <c r="D1782" s="12">
        <v>523</v>
      </c>
      <c r="E1782" s="12" t="s">
        <v>8596</v>
      </c>
      <c r="F1782" s="275" t="s">
        <v>9363</v>
      </c>
      <c r="G1782" s="12" t="str">
        <f t="shared" si="41"/>
        <v>70523997954912</v>
      </c>
      <c r="H1782" s="12" t="s">
        <v>4349</v>
      </c>
      <c r="I1782" s="12">
        <v>997954912</v>
      </c>
      <c r="J1782" s="12" t="s">
        <v>9364</v>
      </c>
      <c r="K1782" s="12" t="s">
        <v>192</v>
      </c>
      <c r="L1782" s="12">
        <v>3237286237</v>
      </c>
      <c r="M1782" s="108" t="s">
        <v>4351</v>
      </c>
      <c r="N1782" s="12" t="s">
        <v>127</v>
      </c>
      <c r="O1782" s="12" t="s">
        <v>2822</v>
      </c>
      <c r="P1782" s="88" t="s">
        <v>48</v>
      </c>
      <c r="Q1782" s="20">
        <v>46169</v>
      </c>
      <c r="R1782" s="21" t="s">
        <v>1937</v>
      </c>
      <c r="S1782" s="12" t="s">
        <v>49</v>
      </c>
      <c r="T1782" s="12" t="s">
        <v>4345</v>
      </c>
      <c r="U1782" s="12" t="s">
        <v>50</v>
      </c>
      <c r="V1782" s="13"/>
      <c r="W1782" s="16"/>
      <c r="X1782" s="12"/>
      <c r="Y1782" s="12"/>
      <c r="Z1782" s="12"/>
      <c r="AA1782" s="12"/>
      <c r="AB1782" s="12"/>
      <c r="AC1782" s="12"/>
      <c r="AD1782" s="12"/>
      <c r="AE1782" s="12"/>
      <c r="AF1782" s="12"/>
      <c r="AG1782" s="12"/>
      <c r="AH1782" s="12"/>
      <c r="AI1782" s="12"/>
      <c r="AJ1782" s="12"/>
      <c r="AK1782" s="12"/>
      <c r="AL1782" s="12"/>
      <c r="AM1782" s="12"/>
      <c r="AN1782" s="12"/>
      <c r="AO1782" s="12"/>
      <c r="AP1782" s="12"/>
      <c r="AQ1782" s="12"/>
      <c r="AR1782" s="12"/>
      <c r="AS1782" s="12"/>
      <c r="AT1782" s="12"/>
      <c r="AU1782" s="12"/>
      <c r="AV1782" s="12"/>
      <c r="AW1782" s="12"/>
      <c r="AX1782" s="12"/>
      <c r="AY1782" s="12"/>
      <c r="AZ1782" s="12"/>
      <c r="BA1782" s="12"/>
    </row>
    <row r="1783" spans="1:53" s="14" customFormat="1" ht="18" hidden="1" customHeight="1" x14ac:dyDescent="0.3">
      <c r="A1783" s="12" t="s">
        <v>39</v>
      </c>
      <c r="B1783" s="12" t="s">
        <v>4337</v>
      </c>
      <c r="C1783" s="12">
        <v>70</v>
      </c>
      <c r="D1783" s="12">
        <v>523</v>
      </c>
      <c r="E1783" s="12" t="s">
        <v>8596</v>
      </c>
      <c r="F1783" s="275" t="s">
        <v>9363</v>
      </c>
      <c r="G1783" s="12" t="str">
        <f t="shared" si="41"/>
        <v>70523997954912</v>
      </c>
      <c r="H1783" s="12" t="s">
        <v>4349</v>
      </c>
      <c r="I1783" s="12">
        <v>997954912</v>
      </c>
      <c r="J1783" s="12" t="s">
        <v>9365</v>
      </c>
      <c r="K1783" s="12" t="s">
        <v>133</v>
      </c>
      <c r="L1783" s="12">
        <v>3237286237</v>
      </c>
      <c r="M1783" s="108" t="s">
        <v>4351</v>
      </c>
      <c r="N1783" s="12" t="s">
        <v>127</v>
      </c>
      <c r="O1783" s="12" t="s">
        <v>2822</v>
      </c>
      <c r="P1783" s="88" t="s">
        <v>48</v>
      </c>
      <c r="Q1783" s="20">
        <v>46164</v>
      </c>
      <c r="R1783" s="21" t="s">
        <v>8964</v>
      </c>
      <c r="S1783" s="12" t="s">
        <v>49</v>
      </c>
      <c r="T1783" s="12" t="s">
        <v>4345</v>
      </c>
      <c r="U1783" s="12" t="s">
        <v>50</v>
      </c>
      <c r="V1783" s="13"/>
      <c r="W1783" s="16"/>
      <c r="X1783" s="12"/>
      <c r="Y1783" s="12"/>
      <c r="Z1783" s="12"/>
      <c r="AA1783" s="12"/>
      <c r="AB1783" s="12"/>
      <c r="AC1783" s="12"/>
      <c r="AD1783" s="12"/>
      <c r="AE1783" s="12"/>
      <c r="AF1783" s="12"/>
      <c r="AG1783" s="12"/>
      <c r="AH1783" s="12"/>
      <c r="AI1783" s="12"/>
      <c r="AJ1783" s="12"/>
      <c r="AK1783" s="12"/>
      <c r="AL1783" s="12"/>
      <c r="AM1783" s="12"/>
      <c r="AN1783" s="12"/>
      <c r="AO1783" s="12"/>
      <c r="AP1783" s="12"/>
      <c r="AQ1783" s="12"/>
      <c r="AR1783" s="12"/>
      <c r="AS1783" s="12"/>
      <c r="AT1783" s="12"/>
      <c r="AU1783" s="12"/>
      <c r="AV1783" s="12"/>
      <c r="AW1783" s="12"/>
      <c r="AX1783" s="12"/>
      <c r="AY1783" s="12"/>
      <c r="AZ1783" s="12"/>
      <c r="BA1783" s="12"/>
    </row>
    <row r="1784" spans="1:53" s="14" customFormat="1" ht="18" hidden="1" customHeight="1" x14ac:dyDescent="0.3">
      <c r="A1784" s="12" t="s">
        <v>39</v>
      </c>
      <c r="B1784" s="12" t="s">
        <v>4337</v>
      </c>
      <c r="C1784" s="12">
        <v>70</v>
      </c>
      <c r="D1784" s="12">
        <v>523</v>
      </c>
      <c r="E1784" s="12" t="s">
        <v>8596</v>
      </c>
      <c r="F1784" s="275" t="s">
        <v>9370</v>
      </c>
      <c r="G1784" s="12" t="str">
        <f t="shared" si="41"/>
        <v>70523997954912</v>
      </c>
      <c r="H1784" s="12" t="s">
        <v>4349</v>
      </c>
      <c r="I1784" s="12">
        <v>997954912</v>
      </c>
      <c r="J1784" s="12" t="s">
        <v>9371</v>
      </c>
      <c r="K1784" s="12" t="s">
        <v>133</v>
      </c>
      <c r="L1784" s="12">
        <v>3237286237</v>
      </c>
      <c r="M1784" s="108" t="s">
        <v>4351</v>
      </c>
      <c r="N1784" s="12" t="s">
        <v>127</v>
      </c>
      <c r="O1784" s="12" t="s">
        <v>2822</v>
      </c>
      <c r="P1784" s="88" t="s">
        <v>48</v>
      </c>
      <c r="Q1784" s="20">
        <v>46183</v>
      </c>
      <c r="R1784" s="21" t="s">
        <v>1071</v>
      </c>
      <c r="S1784" s="12" t="s">
        <v>49</v>
      </c>
      <c r="T1784" s="12" t="s">
        <v>4345</v>
      </c>
      <c r="U1784" s="12" t="s">
        <v>50</v>
      </c>
      <c r="V1784" s="13"/>
      <c r="W1784" s="16"/>
      <c r="X1784" s="12"/>
      <c r="Y1784" s="12"/>
      <c r="Z1784" s="12"/>
      <c r="AA1784" s="12"/>
      <c r="AB1784" s="12"/>
      <c r="AC1784" s="12"/>
      <c r="AD1784" s="12"/>
      <c r="AE1784" s="12"/>
      <c r="AF1784" s="12"/>
      <c r="AG1784" s="12"/>
      <c r="AH1784" s="12"/>
      <c r="AI1784" s="12"/>
      <c r="AJ1784" s="12"/>
      <c r="AK1784" s="12"/>
      <c r="AL1784" s="12"/>
      <c r="AM1784" s="12"/>
      <c r="AN1784" s="12"/>
      <c r="AO1784" s="12"/>
      <c r="AP1784" s="12"/>
      <c r="AQ1784" s="12"/>
      <c r="AR1784" s="12"/>
      <c r="AS1784" s="12"/>
      <c r="AT1784" s="12"/>
      <c r="AU1784" s="12"/>
      <c r="AV1784" s="12"/>
      <c r="AW1784" s="12"/>
      <c r="AX1784" s="12"/>
      <c r="AY1784" s="12"/>
      <c r="AZ1784" s="12"/>
      <c r="BA1784" s="12"/>
    </row>
    <row r="1785" spans="1:53" s="14" customFormat="1" ht="18" hidden="1" customHeight="1" x14ac:dyDescent="0.3">
      <c r="A1785" s="12" t="s">
        <v>39</v>
      </c>
      <c r="B1785" s="12" t="s">
        <v>4337</v>
      </c>
      <c r="C1785" s="12">
        <v>70</v>
      </c>
      <c r="D1785" s="12">
        <v>523</v>
      </c>
      <c r="E1785" s="12"/>
      <c r="F1785" s="275" t="s">
        <v>9366</v>
      </c>
      <c r="G1785" s="12" t="str">
        <f t="shared" si="41"/>
        <v>705239019395562</v>
      </c>
      <c r="H1785" s="12" t="s">
        <v>9367</v>
      </c>
      <c r="I1785" s="12">
        <v>9019395562</v>
      </c>
      <c r="J1785" s="12" t="s">
        <v>9368</v>
      </c>
      <c r="K1785" s="12" t="s">
        <v>44</v>
      </c>
      <c r="L1785" s="12">
        <v>3025611781</v>
      </c>
      <c r="M1785" s="17" t="s">
        <v>9369</v>
      </c>
      <c r="N1785" s="12" t="s">
        <v>46</v>
      </c>
      <c r="O1785" s="12" t="s">
        <v>2797</v>
      </c>
      <c r="P1785" s="88" t="s">
        <v>48</v>
      </c>
      <c r="Q1785" s="20">
        <v>46177</v>
      </c>
      <c r="R1785" s="21" t="s">
        <v>1969</v>
      </c>
      <c r="S1785" s="12" t="s">
        <v>49</v>
      </c>
      <c r="T1785" s="12" t="s">
        <v>4345</v>
      </c>
      <c r="U1785" s="12" t="s">
        <v>2456</v>
      </c>
      <c r="V1785" s="13"/>
      <c r="W1785" s="16"/>
      <c r="X1785" s="12"/>
      <c r="Y1785" s="12"/>
      <c r="Z1785" s="12"/>
      <c r="AA1785" s="12"/>
      <c r="AB1785" s="12"/>
      <c r="AC1785" s="12"/>
      <c r="AD1785" s="12"/>
      <c r="AE1785" s="12"/>
      <c r="AF1785" s="12"/>
      <c r="AG1785" s="12"/>
      <c r="AH1785" s="12"/>
      <c r="AI1785" s="12"/>
      <c r="AJ1785" s="12"/>
      <c r="AK1785" s="12"/>
      <c r="AL1785" s="12"/>
      <c r="AM1785" s="12"/>
      <c r="AN1785" s="12"/>
      <c r="AO1785" s="12"/>
      <c r="AP1785" s="12"/>
      <c r="AQ1785" s="12"/>
      <c r="AR1785" s="12"/>
      <c r="AS1785" s="12"/>
      <c r="AT1785" s="12"/>
      <c r="AU1785" s="12"/>
      <c r="AV1785" s="12"/>
      <c r="AW1785" s="12"/>
      <c r="AX1785" s="12"/>
      <c r="AY1785" s="12"/>
      <c r="AZ1785" s="12"/>
      <c r="BA1785" s="12"/>
    </row>
    <row r="1786" spans="1:53" s="12" customFormat="1" ht="14.4" hidden="1" x14ac:dyDescent="0.3">
      <c r="A1786" s="12" t="s">
        <v>39</v>
      </c>
      <c r="B1786" s="12" t="s">
        <v>4337</v>
      </c>
      <c r="C1786" s="12">
        <v>70</v>
      </c>
      <c r="D1786" s="12">
        <v>523</v>
      </c>
      <c r="E1786" s="12" t="s">
        <v>5008</v>
      </c>
      <c r="F1786" s="12" t="s">
        <v>5009</v>
      </c>
      <c r="G1786" s="12" t="str">
        <f t="shared" si="41"/>
        <v>70523800167616-6</v>
      </c>
      <c r="H1786" s="12" t="s">
        <v>5010</v>
      </c>
      <c r="I1786" s="12" t="s">
        <v>5011</v>
      </c>
      <c r="J1786" s="12" t="s">
        <v>5012</v>
      </c>
      <c r="K1786" s="12" t="s">
        <v>230</v>
      </c>
      <c r="L1786" s="12">
        <v>3107478559</v>
      </c>
      <c r="M1786" s="17" t="s">
        <v>45</v>
      </c>
      <c r="N1786" s="12" t="s">
        <v>127</v>
      </c>
      <c r="O1786" s="12" t="s">
        <v>2822</v>
      </c>
      <c r="P1786" s="88" t="s">
        <v>48</v>
      </c>
      <c r="Q1786" s="13">
        <v>45775</v>
      </c>
      <c r="R1786" s="18">
        <v>0.86499999999999999</v>
      </c>
      <c r="S1786" s="12" t="s">
        <v>49</v>
      </c>
      <c r="T1786" s="12" t="s">
        <v>4345</v>
      </c>
      <c r="U1786" s="12" t="s">
        <v>60</v>
      </c>
      <c r="V1786" s="13">
        <v>44645</v>
      </c>
      <c r="W1786" s="11">
        <v>0.86499999999999999</v>
      </c>
      <c r="X1786" s="12" t="s">
        <v>49</v>
      </c>
      <c r="AU1786" s="12" t="s">
        <v>53</v>
      </c>
    </row>
    <row r="1787" spans="1:53" s="12" customFormat="1" ht="14.4" hidden="1" x14ac:dyDescent="0.3">
      <c r="A1787" s="12" t="s">
        <v>39</v>
      </c>
      <c r="B1787" s="12" t="s">
        <v>4337</v>
      </c>
      <c r="C1787" s="12">
        <v>70</v>
      </c>
      <c r="D1787" s="12">
        <v>523</v>
      </c>
      <c r="F1787" s="12" t="s">
        <v>5013</v>
      </c>
      <c r="G1787" s="12" t="str">
        <f t="shared" si="41"/>
        <v>705233923768</v>
      </c>
      <c r="H1787" s="12" t="s">
        <v>5014</v>
      </c>
      <c r="I1787" s="12">
        <v>3923768</v>
      </c>
      <c r="J1787" s="12" t="s">
        <v>5015</v>
      </c>
      <c r="K1787" s="12" t="s">
        <v>230</v>
      </c>
      <c r="L1787" s="12">
        <v>3008827445</v>
      </c>
      <c r="M1787" s="17" t="s">
        <v>5016</v>
      </c>
      <c r="N1787" s="12" t="s">
        <v>432</v>
      </c>
      <c r="O1787" s="12" t="s">
        <v>432</v>
      </c>
      <c r="P1787" s="88" t="s">
        <v>261</v>
      </c>
      <c r="Q1787" s="13">
        <v>45622</v>
      </c>
      <c r="R1787" s="16">
        <v>0.89</v>
      </c>
      <c r="S1787" s="12" t="s">
        <v>49</v>
      </c>
      <c r="V1787" s="13" t="s">
        <v>2560</v>
      </c>
      <c r="W1787" s="11">
        <v>0.9</v>
      </c>
      <c r="X1787" s="12" t="s">
        <v>210</v>
      </c>
      <c r="AC1787" s="13">
        <v>44482</v>
      </c>
      <c r="AD1787" s="11">
        <v>0.88500000000000001</v>
      </c>
      <c r="AE1787" s="12" t="s">
        <v>49</v>
      </c>
      <c r="AU1787" s="12" t="s">
        <v>164</v>
      </c>
    </row>
    <row r="1788" spans="1:53" s="12" customFormat="1" ht="14.4" hidden="1" x14ac:dyDescent="0.3">
      <c r="A1788" s="12" t="s">
        <v>39</v>
      </c>
      <c r="B1788" s="12" t="s">
        <v>4337</v>
      </c>
      <c r="C1788" s="12">
        <v>70</v>
      </c>
      <c r="D1788" s="12">
        <v>523</v>
      </c>
      <c r="F1788" s="12" t="s">
        <v>5017</v>
      </c>
      <c r="G1788" s="12" t="str">
        <f t="shared" si="41"/>
        <v>705233924000</v>
      </c>
      <c r="H1788" s="12" t="s">
        <v>5018</v>
      </c>
      <c r="I1788" s="12">
        <v>3924000</v>
      </c>
      <c r="J1788" s="12" t="s">
        <v>5019</v>
      </c>
      <c r="K1788" s="12" t="s">
        <v>230</v>
      </c>
      <c r="L1788" s="12" t="s">
        <v>45</v>
      </c>
      <c r="M1788" s="12" t="s">
        <v>45</v>
      </c>
      <c r="N1788" s="12" t="s">
        <v>432</v>
      </c>
      <c r="O1788" s="12" t="s">
        <v>432</v>
      </c>
      <c r="P1788" s="88" t="s">
        <v>261</v>
      </c>
      <c r="Q1788" s="13" t="s">
        <v>5020</v>
      </c>
      <c r="R1788" s="11">
        <v>0.91</v>
      </c>
      <c r="S1788" s="12" t="s">
        <v>210</v>
      </c>
      <c r="V1788" s="13">
        <v>44540</v>
      </c>
      <c r="W1788" s="11">
        <v>0.83</v>
      </c>
      <c r="X1788" s="12" t="s">
        <v>49</v>
      </c>
      <c r="AC1788" s="13"/>
      <c r="AD1788" s="16"/>
      <c r="AU1788" s="12" t="s">
        <v>164</v>
      </c>
    </row>
    <row r="1789" spans="1:53" s="12" customFormat="1" ht="14.4" hidden="1" x14ac:dyDescent="0.3">
      <c r="A1789" s="12" t="s">
        <v>39</v>
      </c>
      <c r="B1789" s="12" t="s">
        <v>4337</v>
      </c>
      <c r="C1789" s="12">
        <v>70</v>
      </c>
      <c r="D1789" s="12">
        <v>523</v>
      </c>
      <c r="F1789" s="12" t="s">
        <v>5021</v>
      </c>
      <c r="G1789" s="12" t="str">
        <f t="shared" si="41"/>
        <v>705238001839405</v>
      </c>
      <c r="H1789" s="12" t="s">
        <v>5022</v>
      </c>
      <c r="I1789" s="12">
        <v>8001839405</v>
      </c>
      <c r="J1789" s="12" t="s">
        <v>5023</v>
      </c>
      <c r="K1789" s="12" t="s">
        <v>230</v>
      </c>
      <c r="L1789" s="12" t="s">
        <v>1091</v>
      </c>
      <c r="M1789" s="12" t="s">
        <v>5024</v>
      </c>
      <c r="N1789" s="12" t="s">
        <v>127</v>
      </c>
      <c r="O1789" s="12" t="s">
        <v>2822</v>
      </c>
      <c r="P1789" s="88" t="s">
        <v>48</v>
      </c>
      <c r="Q1789" s="13">
        <v>44322</v>
      </c>
      <c r="R1789" s="11">
        <v>0.91</v>
      </c>
      <c r="S1789" s="12" t="s">
        <v>210</v>
      </c>
      <c r="V1789" s="13"/>
      <c r="W1789" s="11"/>
      <c r="AC1789" s="13"/>
      <c r="AD1789" s="16"/>
      <c r="AU1789" s="12" t="s">
        <v>164</v>
      </c>
    </row>
    <row r="1790" spans="1:53" s="12" customFormat="1" ht="14.4" hidden="1" x14ac:dyDescent="0.3">
      <c r="A1790" s="12" t="s">
        <v>39</v>
      </c>
      <c r="B1790" s="12" t="s">
        <v>4337</v>
      </c>
      <c r="C1790" s="12">
        <v>70</v>
      </c>
      <c r="D1790" s="12">
        <v>523</v>
      </c>
      <c r="F1790" s="12" t="s">
        <v>5025</v>
      </c>
      <c r="G1790" s="12" t="str">
        <f t="shared" si="41"/>
        <v>70523900137697</v>
      </c>
      <c r="H1790" s="12" t="s">
        <v>5026</v>
      </c>
      <c r="I1790" s="12">
        <v>900137697</v>
      </c>
      <c r="J1790" s="12" t="s">
        <v>5027</v>
      </c>
      <c r="K1790" s="12" t="s">
        <v>230</v>
      </c>
      <c r="L1790" s="12" t="s">
        <v>45</v>
      </c>
      <c r="M1790" s="12" t="s">
        <v>45</v>
      </c>
      <c r="N1790" s="12" t="s">
        <v>127</v>
      </c>
      <c r="O1790" s="12" t="s">
        <v>2822</v>
      </c>
      <c r="P1790" s="88" t="s">
        <v>48</v>
      </c>
      <c r="Q1790" s="13">
        <v>44344</v>
      </c>
      <c r="R1790" s="11">
        <v>0.92</v>
      </c>
      <c r="S1790" s="12" t="s">
        <v>210</v>
      </c>
      <c r="V1790" s="13"/>
      <c r="W1790" s="11"/>
      <c r="AC1790" s="13"/>
      <c r="AD1790" s="16"/>
      <c r="AU1790" s="12" t="s">
        <v>164</v>
      </c>
    </row>
    <row r="1791" spans="1:53" s="12" customFormat="1" ht="14.4" hidden="1" x14ac:dyDescent="0.3">
      <c r="A1791" s="12" t="s">
        <v>39</v>
      </c>
      <c r="B1791" s="12" t="s">
        <v>4337</v>
      </c>
      <c r="C1791" s="12">
        <v>70</v>
      </c>
      <c r="D1791" s="12">
        <v>523</v>
      </c>
      <c r="F1791" s="12" t="s">
        <v>5029</v>
      </c>
      <c r="G1791" s="12" t="str">
        <f t="shared" si="41"/>
        <v>705231064991441</v>
      </c>
      <c r="H1791" s="12" t="s">
        <v>5030</v>
      </c>
      <c r="I1791" s="12">
        <v>1064991441</v>
      </c>
      <c r="J1791" s="12" t="s">
        <v>5031</v>
      </c>
      <c r="K1791" s="12" t="s">
        <v>230</v>
      </c>
      <c r="L1791" s="12">
        <v>3045425457</v>
      </c>
      <c r="M1791" s="12" t="s">
        <v>45</v>
      </c>
      <c r="N1791" s="12" t="s">
        <v>780</v>
      </c>
      <c r="O1791" s="12" t="s">
        <v>260</v>
      </c>
      <c r="P1791" s="88" t="s">
        <v>261</v>
      </c>
      <c r="Q1791" s="13">
        <v>45590</v>
      </c>
      <c r="R1791" s="12" t="s">
        <v>5032</v>
      </c>
      <c r="S1791" s="12" t="s">
        <v>49</v>
      </c>
      <c r="T1791" s="12" t="s">
        <v>4345</v>
      </c>
      <c r="U1791" s="12" t="s">
        <v>60</v>
      </c>
      <c r="V1791" s="13">
        <v>44649</v>
      </c>
      <c r="W1791" s="11">
        <v>0.91500000000000004</v>
      </c>
      <c r="X1791" s="12" t="s">
        <v>210</v>
      </c>
      <c r="AC1791" s="13">
        <v>44357</v>
      </c>
      <c r="AD1791" s="16">
        <v>0.89</v>
      </c>
      <c r="AE1791" s="12" t="s">
        <v>139</v>
      </c>
      <c r="AI1791" s="13"/>
      <c r="AJ1791" s="16"/>
      <c r="AU1791" s="12" t="s">
        <v>164</v>
      </c>
    </row>
    <row r="1792" spans="1:53" s="12" customFormat="1" ht="14.4" hidden="1" x14ac:dyDescent="0.3">
      <c r="A1792" s="12" t="s">
        <v>39</v>
      </c>
      <c r="B1792" s="12" t="s">
        <v>4337</v>
      </c>
      <c r="C1792" s="12">
        <v>70</v>
      </c>
      <c r="D1792" s="12">
        <v>523</v>
      </c>
      <c r="F1792" s="12" t="s">
        <v>5033</v>
      </c>
      <c r="G1792" s="12" t="str">
        <f t="shared" si="41"/>
        <v>7052392670827</v>
      </c>
      <c r="H1792" s="12" t="s">
        <v>5034</v>
      </c>
      <c r="I1792" s="12">
        <v>92670827</v>
      </c>
      <c r="J1792" s="12" t="s">
        <v>5035</v>
      </c>
      <c r="K1792" s="12" t="s">
        <v>230</v>
      </c>
      <c r="L1792" s="12">
        <v>3205496093</v>
      </c>
      <c r="M1792" s="12" t="s">
        <v>45</v>
      </c>
      <c r="N1792" s="12" t="s">
        <v>432</v>
      </c>
      <c r="O1792" s="12" t="s">
        <v>432</v>
      </c>
      <c r="P1792" s="88" t="s">
        <v>261</v>
      </c>
      <c r="Q1792" s="13">
        <v>45553</v>
      </c>
      <c r="R1792" s="16">
        <v>0.91</v>
      </c>
      <c r="S1792" s="12" t="s">
        <v>319</v>
      </c>
      <c r="T1792" s="12" t="s">
        <v>4345</v>
      </c>
      <c r="U1792" s="12" t="s">
        <v>60</v>
      </c>
      <c r="V1792" s="13">
        <v>44607</v>
      </c>
      <c r="W1792" s="11">
        <v>0.83</v>
      </c>
      <c r="X1792" s="12" t="s">
        <v>49</v>
      </c>
      <c r="Y1792" s="12" t="s">
        <v>4345</v>
      </c>
      <c r="Z1792" s="12" t="s">
        <v>5036</v>
      </c>
      <c r="AC1792" s="13"/>
      <c r="AD1792" s="16"/>
      <c r="AI1792" s="13"/>
      <c r="AJ1792" s="16"/>
      <c r="AU1792" s="12" t="s">
        <v>164</v>
      </c>
    </row>
    <row r="1793" spans="1:47" s="12" customFormat="1" ht="14.4" hidden="1" x14ac:dyDescent="0.3">
      <c r="A1793" s="12" t="s">
        <v>39</v>
      </c>
      <c r="B1793" s="12" t="s">
        <v>4337</v>
      </c>
      <c r="C1793" s="12">
        <v>70</v>
      </c>
      <c r="D1793" s="12">
        <v>523</v>
      </c>
      <c r="F1793" s="12" t="s">
        <v>5037</v>
      </c>
      <c r="G1793" s="12" t="str">
        <f t="shared" si="41"/>
        <v>705231100335043</v>
      </c>
      <c r="H1793" s="12" t="s">
        <v>5038</v>
      </c>
      <c r="I1793" s="12">
        <v>1100335043</v>
      </c>
      <c r="J1793" s="12" t="s">
        <v>5039</v>
      </c>
      <c r="K1793" s="12" t="s">
        <v>230</v>
      </c>
      <c r="L1793" s="12" t="s">
        <v>45</v>
      </c>
      <c r="M1793" s="12" t="s">
        <v>45</v>
      </c>
      <c r="N1793" s="12" t="s">
        <v>780</v>
      </c>
      <c r="O1793" s="12" t="s">
        <v>260</v>
      </c>
      <c r="P1793" s="88" t="s">
        <v>261</v>
      </c>
      <c r="Q1793" s="13" t="s">
        <v>5040</v>
      </c>
      <c r="R1793" s="11">
        <v>0.90249999999999997</v>
      </c>
      <c r="S1793" s="12" t="s">
        <v>210</v>
      </c>
      <c r="V1793" s="13"/>
      <c r="W1793" s="11"/>
      <c r="AC1793" s="13"/>
      <c r="AD1793" s="16"/>
      <c r="AU1793" s="12" t="s">
        <v>164</v>
      </c>
    </row>
    <row r="1794" spans="1:47" s="12" customFormat="1" ht="14.4" hidden="1" x14ac:dyDescent="0.3">
      <c r="A1794" s="12" t="s">
        <v>39</v>
      </c>
      <c r="B1794" s="12" t="s">
        <v>4337</v>
      </c>
      <c r="C1794" s="12">
        <v>70</v>
      </c>
      <c r="D1794" s="12">
        <v>523</v>
      </c>
      <c r="F1794" s="12" t="s">
        <v>5041</v>
      </c>
      <c r="G1794" s="12" t="str">
        <f t="shared" si="41"/>
        <v>705231193243525</v>
      </c>
      <c r="H1794" s="12" t="s">
        <v>5042</v>
      </c>
      <c r="I1794" s="12">
        <v>1193243525</v>
      </c>
      <c r="J1794" s="12" t="s">
        <v>5015</v>
      </c>
      <c r="K1794" s="12" t="s">
        <v>230</v>
      </c>
      <c r="L1794" s="12">
        <v>3024005547</v>
      </c>
      <c r="M1794" s="12" t="s">
        <v>45</v>
      </c>
      <c r="N1794" s="12" t="s">
        <v>432</v>
      </c>
      <c r="O1794" s="12" t="s">
        <v>432</v>
      </c>
      <c r="P1794" s="88" t="s">
        <v>261</v>
      </c>
      <c r="Q1794" s="13">
        <v>45610</v>
      </c>
      <c r="R1794" s="11" t="s">
        <v>5043</v>
      </c>
      <c r="S1794" s="12" t="s">
        <v>210</v>
      </c>
      <c r="T1794" s="12" t="s">
        <v>4345</v>
      </c>
      <c r="U1794" s="12" t="s">
        <v>60</v>
      </c>
      <c r="V1794" s="13">
        <v>45013</v>
      </c>
      <c r="W1794" s="11">
        <v>0.92</v>
      </c>
      <c r="X1794" s="12" t="s">
        <v>210</v>
      </c>
      <c r="Y1794" s="12" t="s">
        <v>4345</v>
      </c>
      <c r="Z1794" s="12" t="s">
        <v>5036</v>
      </c>
      <c r="AC1794" s="13" t="s">
        <v>600</v>
      </c>
      <c r="AD1794" s="11">
        <v>0.90749999999999997</v>
      </c>
      <c r="AE1794" s="12" t="s">
        <v>210</v>
      </c>
      <c r="AU1794" s="12" t="s">
        <v>164</v>
      </c>
    </row>
    <row r="1795" spans="1:47" s="12" customFormat="1" ht="14.4" hidden="1" x14ac:dyDescent="0.3">
      <c r="A1795" s="12" t="s">
        <v>39</v>
      </c>
      <c r="B1795" s="12" t="s">
        <v>4337</v>
      </c>
      <c r="C1795" s="12">
        <v>70</v>
      </c>
      <c r="D1795" s="12">
        <v>523</v>
      </c>
      <c r="F1795" s="12" t="s">
        <v>5044</v>
      </c>
      <c r="G1795" s="12" t="str">
        <f t="shared" si="41"/>
        <v>7052332251135</v>
      </c>
      <c r="H1795" s="12" t="s">
        <v>5045</v>
      </c>
      <c r="I1795" s="12">
        <v>32251135</v>
      </c>
      <c r="J1795" s="12" t="s">
        <v>5046</v>
      </c>
      <c r="K1795" s="12" t="s">
        <v>230</v>
      </c>
      <c r="L1795" s="12" t="s">
        <v>45</v>
      </c>
      <c r="M1795" s="12" t="s">
        <v>45</v>
      </c>
      <c r="N1795" s="12" t="s">
        <v>432</v>
      </c>
      <c r="O1795" s="12" t="s">
        <v>432</v>
      </c>
      <c r="P1795" s="88" t="s">
        <v>261</v>
      </c>
      <c r="Q1795" s="13">
        <v>45132</v>
      </c>
      <c r="R1795" s="11">
        <v>0.88</v>
      </c>
      <c r="S1795" s="12" t="s">
        <v>49</v>
      </c>
      <c r="V1795" s="13"/>
      <c r="W1795" s="11"/>
      <c r="AC1795" s="13"/>
      <c r="AD1795" s="16"/>
      <c r="AI1795" s="13"/>
      <c r="AJ1795" s="16"/>
      <c r="AU1795" s="12" t="s">
        <v>53</v>
      </c>
    </row>
    <row r="1796" spans="1:47" s="12" customFormat="1" ht="14.4" hidden="1" x14ac:dyDescent="0.3">
      <c r="A1796" s="12" t="s">
        <v>39</v>
      </c>
      <c r="B1796" s="12" t="s">
        <v>4337</v>
      </c>
      <c r="C1796" s="12">
        <v>70</v>
      </c>
      <c r="D1796" s="12">
        <v>523</v>
      </c>
      <c r="F1796" s="12" t="s">
        <v>5047</v>
      </c>
      <c r="G1796" s="12" t="str">
        <f t="shared" si="41"/>
        <v>7052392500540</v>
      </c>
      <c r="H1796" s="12" t="s">
        <v>5048</v>
      </c>
      <c r="I1796" s="12">
        <v>92500540</v>
      </c>
      <c r="J1796" s="12" t="s">
        <v>5049</v>
      </c>
      <c r="K1796" s="12" t="s">
        <v>230</v>
      </c>
      <c r="L1796" s="12" t="s">
        <v>45</v>
      </c>
      <c r="M1796" s="12" t="s">
        <v>45</v>
      </c>
      <c r="N1796" s="12" t="s">
        <v>432</v>
      </c>
      <c r="O1796" s="12" t="s">
        <v>432</v>
      </c>
      <c r="P1796" s="88" t="s">
        <v>261</v>
      </c>
      <c r="Q1796" s="13">
        <v>44670</v>
      </c>
      <c r="R1796" s="11">
        <v>0.86499999999999999</v>
      </c>
      <c r="S1796" s="12" t="s">
        <v>49</v>
      </c>
      <c r="V1796" s="13"/>
      <c r="W1796" s="11"/>
      <c r="AC1796" s="13"/>
      <c r="AD1796" s="16"/>
      <c r="AU1796" s="12" t="s">
        <v>164</v>
      </c>
    </row>
    <row r="1797" spans="1:47" s="12" customFormat="1" ht="14.4" hidden="1" x14ac:dyDescent="0.3">
      <c r="A1797" s="12" t="s">
        <v>39</v>
      </c>
      <c r="B1797" s="12" t="s">
        <v>4337</v>
      </c>
      <c r="C1797" s="12">
        <v>70</v>
      </c>
      <c r="D1797" s="12">
        <v>523</v>
      </c>
      <c r="F1797" s="12" t="s">
        <v>5050</v>
      </c>
      <c r="G1797" s="12" t="str">
        <f t="shared" si="41"/>
        <v>705231064991441</v>
      </c>
      <c r="H1797" s="12" t="s">
        <v>5030</v>
      </c>
      <c r="I1797" s="12">
        <v>1064991441</v>
      </c>
      <c r="J1797" s="12" t="s">
        <v>5051</v>
      </c>
      <c r="K1797" s="12" t="s">
        <v>230</v>
      </c>
      <c r="L1797" s="12" t="s">
        <v>45</v>
      </c>
      <c r="M1797" s="12" t="s">
        <v>45</v>
      </c>
      <c r="N1797" s="12" t="s">
        <v>780</v>
      </c>
      <c r="O1797" s="12" t="s">
        <v>260</v>
      </c>
      <c r="P1797" s="88" t="s">
        <v>261</v>
      </c>
      <c r="Q1797" s="13">
        <v>45079</v>
      </c>
      <c r="R1797" s="11">
        <v>0.91</v>
      </c>
      <c r="S1797" s="12" t="s">
        <v>210</v>
      </c>
      <c r="V1797" s="13"/>
      <c r="W1797" s="11"/>
      <c r="AC1797" s="13"/>
      <c r="AD1797" s="16"/>
      <c r="AU1797" s="12" t="s">
        <v>53</v>
      </c>
    </row>
    <row r="1798" spans="1:47" s="12" customFormat="1" ht="14.4" hidden="1" x14ac:dyDescent="0.3">
      <c r="A1798" s="12" t="s">
        <v>39</v>
      </c>
      <c r="B1798" s="12" t="s">
        <v>4337</v>
      </c>
      <c r="C1798" s="12">
        <v>70</v>
      </c>
      <c r="D1798" s="12">
        <v>523</v>
      </c>
      <c r="F1798" s="12" t="s">
        <v>5052</v>
      </c>
      <c r="G1798" s="12" t="str">
        <f t="shared" si="41"/>
        <v>7052392670044</v>
      </c>
      <c r="H1798" s="12" t="s">
        <v>5053</v>
      </c>
      <c r="I1798" s="12">
        <v>92670044</v>
      </c>
      <c r="J1798" s="12" t="s">
        <v>5054</v>
      </c>
      <c r="K1798" s="12" t="s">
        <v>230</v>
      </c>
      <c r="L1798" s="12" t="s">
        <v>45</v>
      </c>
      <c r="M1798" s="12" t="s">
        <v>45</v>
      </c>
      <c r="N1798" s="12" t="s">
        <v>780</v>
      </c>
      <c r="O1798" s="12" t="s">
        <v>260</v>
      </c>
      <c r="P1798" s="88" t="s">
        <v>261</v>
      </c>
      <c r="Q1798" s="13">
        <v>44362</v>
      </c>
      <c r="R1798" s="11">
        <v>0.88500000000000001</v>
      </c>
      <c r="S1798" s="12" t="s">
        <v>49</v>
      </c>
      <c r="W1798" s="11"/>
      <c r="AU1798" s="12" t="s">
        <v>164</v>
      </c>
    </row>
    <row r="1799" spans="1:47" s="12" customFormat="1" ht="14.4" hidden="1" x14ac:dyDescent="0.3">
      <c r="A1799" s="12" t="s">
        <v>39</v>
      </c>
      <c r="B1799" s="12" t="s">
        <v>4337</v>
      </c>
      <c r="C1799" s="12">
        <v>70</v>
      </c>
      <c r="D1799" s="12">
        <v>523</v>
      </c>
      <c r="F1799" s="12" t="s">
        <v>5055</v>
      </c>
      <c r="G1799" s="12" t="str">
        <f t="shared" si="41"/>
        <v>7052392670551</v>
      </c>
      <c r="H1799" s="12" t="s">
        <v>5056</v>
      </c>
      <c r="I1799" s="12">
        <v>92670551</v>
      </c>
      <c r="J1799" s="12" t="s">
        <v>5057</v>
      </c>
      <c r="K1799" s="12" t="s">
        <v>230</v>
      </c>
      <c r="L1799" s="12">
        <v>3145605454</v>
      </c>
      <c r="M1799" s="12" t="s">
        <v>45</v>
      </c>
      <c r="N1799" s="12" t="s">
        <v>780</v>
      </c>
      <c r="O1799" s="12" t="s">
        <v>260</v>
      </c>
      <c r="P1799" s="88" t="s">
        <v>261</v>
      </c>
      <c r="Q1799" s="13">
        <v>45560</v>
      </c>
      <c r="R1799" s="11" t="s">
        <v>5032</v>
      </c>
      <c r="S1799" s="12" t="s">
        <v>49</v>
      </c>
      <c r="T1799" s="12" t="s">
        <v>4345</v>
      </c>
      <c r="U1799" s="12" t="s">
        <v>60</v>
      </c>
      <c r="V1799" s="13">
        <v>44742</v>
      </c>
      <c r="W1799" s="11" t="s">
        <v>5058</v>
      </c>
      <c r="X1799" s="12" t="s">
        <v>210</v>
      </c>
      <c r="Y1799" s="12" t="s">
        <v>4345</v>
      </c>
      <c r="Z1799" s="12" t="s">
        <v>5059</v>
      </c>
      <c r="AU1799" s="12" t="s">
        <v>164</v>
      </c>
    </row>
    <row r="1800" spans="1:47" s="12" customFormat="1" ht="14.4" hidden="1" x14ac:dyDescent="0.3">
      <c r="A1800" s="12" t="s">
        <v>39</v>
      </c>
      <c r="B1800" s="12" t="s">
        <v>4337</v>
      </c>
      <c r="C1800" s="12">
        <v>70</v>
      </c>
      <c r="D1800" s="12">
        <v>523</v>
      </c>
      <c r="F1800" s="12" t="s">
        <v>5060</v>
      </c>
      <c r="G1800" s="12" t="str">
        <f t="shared" si="41"/>
        <v>70523900072094-5</v>
      </c>
      <c r="H1800" s="12" t="s">
        <v>5022</v>
      </c>
      <c r="I1800" s="12" t="s">
        <v>1091</v>
      </c>
      <c r="J1800" s="12" t="s">
        <v>5062</v>
      </c>
      <c r="K1800" s="12" t="s">
        <v>230</v>
      </c>
      <c r="L1800" s="12" t="s">
        <v>45</v>
      </c>
      <c r="M1800" s="12" t="s">
        <v>45</v>
      </c>
      <c r="N1800" s="12" t="s">
        <v>127</v>
      </c>
      <c r="O1800" s="12" t="s">
        <v>2822</v>
      </c>
      <c r="P1800" s="88" t="s">
        <v>48</v>
      </c>
      <c r="Q1800" s="13">
        <v>44409</v>
      </c>
      <c r="R1800" s="11">
        <v>0.91500000000000004</v>
      </c>
      <c r="S1800" s="12" t="s">
        <v>210</v>
      </c>
      <c r="V1800" s="13">
        <v>44631</v>
      </c>
      <c r="W1800" s="11">
        <v>0.86499999999999999</v>
      </c>
      <c r="X1800" s="12" t="s">
        <v>49</v>
      </c>
      <c r="AU1800" s="12" t="s">
        <v>164</v>
      </c>
    </row>
    <row r="1801" spans="1:47" s="12" customFormat="1" ht="14.4" hidden="1" x14ac:dyDescent="0.3">
      <c r="A1801" s="12" t="s">
        <v>39</v>
      </c>
      <c r="B1801" s="12" t="s">
        <v>4337</v>
      </c>
      <c r="C1801" s="12">
        <v>70</v>
      </c>
      <c r="D1801" s="12">
        <v>523</v>
      </c>
      <c r="F1801" s="12" t="s">
        <v>5063</v>
      </c>
      <c r="G1801" s="12" t="str">
        <f t="shared" si="41"/>
        <v>70523900030227-8</v>
      </c>
      <c r="H1801" s="12" t="s">
        <v>5064</v>
      </c>
      <c r="I1801" s="12" t="s">
        <v>5065</v>
      </c>
      <c r="J1801" s="12" t="s">
        <v>5066</v>
      </c>
      <c r="K1801" s="12" t="s">
        <v>230</v>
      </c>
      <c r="L1801" s="12">
        <v>3014087730</v>
      </c>
      <c r="M1801" s="12" t="s">
        <v>45</v>
      </c>
      <c r="N1801" s="12" t="s">
        <v>127</v>
      </c>
      <c r="O1801" s="12" t="s">
        <v>2822</v>
      </c>
      <c r="P1801" s="88" t="s">
        <v>48</v>
      </c>
      <c r="Q1801" s="13">
        <v>45072</v>
      </c>
      <c r="R1801" s="11">
        <v>0.84</v>
      </c>
      <c r="S1801" s="12" t="s">
        <v>49</v>
      </c>
      <c r="W1801" s="11"/>
      <c r="AU1801" s="12" t="s">
        <v>53</v>
      </c>
    </row>
    <row r="1802" spans="1:47" s="12" customFormat="1" ht="14.4" x14ac:dyDescent="0.3">
      <c r="A1802" s="12" t="s">
        <v>39</v>
      </c>
      <c r="B1802" s="12" t="s">
        <v>4337</v>
      </c>
      <c r="C1802" s="12">
        <v>70</v>
      </c>
      <c r="D1802" s="12">
        <v>523</v>
      </c>
      <c r="F1802" s="12" t="s">
        <v>5067</v>
      </c>
      <c r="G1802" s="12" t="str">
        <f t="shared" si="41"/>
        <v>70523705231100335015</v>
      </c>
      <c r="H1802" s="12" t="s">
        <v>5068</v>
      </c>
      <c r="I1802" s="12">
        <v>705231100335015</v>
      </c>
      <c r="J1802" s="12" t="s">
        <v>5069</v>
      </c>
      <c r="K1802" s="12" t="s">
        <v>230</v>
      </c>
      <c r="L1802" s="12">
        <v>3045504307</v>
      </c>
      <c r="M1802" s="12" t="s">
        <v>45</v>
      </c>
      <c r="N1802" s="12" t="s">
        <v>46</v>
      </c>
      <c r="O1802" s="12" t="s">
        <v>47</v>
      </c>
      <c r="P1802" s="88" t="s">
        <v>48</v>
      </c>
      <c r="Q1802" s="13">
        <v>44938</v>
      </c>
      <c r="R1802" s="11">
        <v>0.87</v>
      </c>
      <c r="S1802" s="12" t="s">
        <v>49</v>
      </c>
      <c r="W1802" s="11"/>
      <c r="AU1802" s="12" t="s">
        <v>53</v>
      </c>
    </row>
    <row r="1803" spans="1:47" s="12" customFormat="1" ht="14.4" hidden="1" x14ac:dyDescent="0.3">
      <c r="A1803" s="12" t="s">
        <v>39</v>
      </c>
      <c r="B1803" s="12" t="s">
        <v>4337</v>
      </c>
      <c r="C1803" s="12">
        <v>70</v>
      </c>
      <c r="D1803" s="12">
        <v>523</v>
      </c>
      <c r="F1803" s="12" t="s">
        <v>5070</v>
      </c>
      <c r="G1803" s="12" t="str">
        <f t="shared" si="41"/>
        <v>70523800167616-6</v>
      </c>
      <c r="H1803" s="12" t="s">
        <v>5071</v>
      </c>
      <c r="I1803" s="12" t="s">
        <v>5011</v>
      </c>
      <c r="J1803" s="12" t="s">
        <v>5012</v>
      </c>
      <c r="K1803" s="12" t="s">
        <v>230</v>
      </c>
      <c r="L1803" s="12">
        <v>3128695882</v>
      </c>
      <c r="M1803" s="12" t="s">
        <v>45</v>
      </c>
      <c r="N1803" s="12" t="s">
        <v>127</v>
      </c>
      <c r="O1803" s="12" t="s">
        <v>2822</v>
      </c>
      <c r="P1803" s="88" t="s">
        <v>48</v>
      </c>
      <c r="Q1803" s="13"/>
      <c r="R1803" s="11"/>
      <c r="W1803" s="11"/>
      <c r="AU1803" s="12" t="s">
        <v>164</v>
      </c>
    </row>
    <row r="1804" spans="1:47" s="12" customFormat="1" ht="14.4" hidden="1" x14ac:dyDescent="0.3">
      <c r="A1804" s="12" t="s">
        <v>39</v>
      </c>
      <c r="B1804" s="12" t="s">
        <v>4337</v>
      </c>
      <c r="C1804" s="12">
        <v>70</v>
      </c>
      <c r="D1804" s="12">
        <v>523</v>
      </c>
      <c r="F1804" s="12" t="s">
        <v>5072</v>
      </c>
      <c r="G1804" s="12" t="str">
        <f t="shared" si="41"/>
        <v>705231100337885</v>
      </c>
      <c r="H1804" s="12" t="s">
        <v>5073</v>
      </c>
      <c r="I1804" s="12">
        <v>1100337885</v>
      </c>
      <c r="J1804" s="12" t="s">
        <v>5074</v>
      </c>
      <c r="K1804" s="12" t="s">
        <v>230</v>
      </c>
      <c r="L1804" s="12">
        <v>3127963488</v>
      </c>
      <c r="M1804" s="12" t="s">
        <v>45</v>
      </c>
      <c r="N1804" s="12" t="s">
        <v>46</v>
      </c>
      <c r="O1804" s="12" t="s">
        <v>2797</v>
      </c>
      <c r="P1804" s="88" t="s">
        <v>80</v>
      </c>
      <c r="Q1804" s="13">
        <v>45554</v>
      </c>
      <c r="R1804" s="11" t="s">
        <v>1969</v>
      </c>
      <c r="S1804" s="12" t="s">
        <v>49</v>
      </c>
      <c r="T1804" s="12" t="s">
        <v>4345</v>
      </c>
      <c r="U1804" s="12" t="s">
        <v>60</v>
      </c>
      <c r="V1804" s="13">
        <v>44409</v>
      </c>
      <c r="W1804" s="11" t="s">
        <v>5075</v>
      </c>
      <c r="X1804" s="12" t="s">
        <v>210</v>
      </c>
      <c r="Y1804" s="12" t="s">
        <v>4345</v>
      </c>
      <c r="Z1804" s="12" t="s">
        <v>5036</v>
      </c>
      <c r="AU1804" s="12" t="s">
        <v>164</v>
      </c>
    </row>
    <row r="1805" spans="1:47" s="12" customFormat="1" ht="14.4" hidden="1" x14ac:dyDescent="0.3">
      <c r="A1805" s="12" t="s">
        <v>39</v>
      </c>
      <c r="B1805" s="12" t="s">
        <v>4337</v>
      </c>
      <c r="C1805" s="12">
        <v>70</v>
      </c>
      <c r="D1805" s="12">
        <v>523</v>
      </c>
      <c r="F1805" s="12" t="s">
        <v>5076</v>
      </c>
      <c r="G1805" s="12" t="str">
        <f t="shared" si="41"/>
        <v>705231100339050</v>
      </c>
      <c r="H1805" s="12" t="s">
        <v>5077</v>
      </c>
      <c r="I1805" s="12">
        <v>1100339050</v>
      </c>
      <c r="J1805" s="12" t="s">
        <v>5078</v>
      </c>
      <c r="K1805" s="12" t="s">
        <v>230</v>
      </c>
      <c r="L1805" s="12">
        <v>3003739673</v>
      </c>
      <c r="M1805" s="12" t="s">
        <v>5079</v>
      </c>
      <c r="N1805" s="12" t="s">
        <v>46</v>
      </c>
      <c r="O1805" s="12" t="s">
        <v>2797</v>
      </c>
      <c r="P1805" s="88" t="s">
        <v>80</v>
      </c>
      <c r="Q1805" s="13" t="s">
        <v>5080</v>
      </c>
      <c r="R1805" s="11">
        <v>0.875</v>
      </c>
      <c r="S1805" s="12" t="s">
        <v>49</v>
      </c>
      <c r="T1805" s="12" t="s">
        <v>4345</v>
      </c>
      <c r="U1805" s="12" t="s">
        <v>60</v>
      </c>
      <c r="V1805" s="13">
        <v>45072</v>
      </c>
      <c r="W1805" s="11">
        <v>0.84</v>
      </c>
      <c r="X1805" s="12" t="s">
        <v>49</v>
      </c>
      <c r="Y1805" s="12" t="s">
        <v>4345</v>
      </c>
      <c r="Z1805" s="12" t="s">
        <v>5036</v>
      </c>
      <c r="AU1805" s="12" t="s">
        <v>164</v>
      </c>
    </row>
    <row r="1806" spans="1:47" s="12" customFormat="1" ht="14.4" hidden="1" x14ac:dyDescent="0.3">
      <c r="A1806" s="12" t="s">
        <v>39</v>
      </c>
      <c r="B1806" s="12" t="s">
        <v>4337</v>
      </c>
      <c r="C1806" s="12">
        <v>70</v>
      </c>
      <c r="D1806" s="12">
        <v>523</v>
      </c>
      <c r="F1806" s="12" t="s">
        <v>5081</v>
      </c>
      <c r="G1806" s="12" t="str">
        <f t="shared" si="41"/>
        <v>7052392670486</v>
      </c>
      <c r="H1806" s="12" t="s">
        <v>5082</v>
      </c>
      <c r="I1806" s="12">
        <v>92670486</v>
      </c>
      <c r="J1806" s="12" t="s">
        <v>5083</v>
      </c>
      <c r="K1806" s="12" t="s">
        <v>230</v>
      </c>
      <c r="L1806" s="12">
        <v>3046614677</v>
      </c>
      <c r="M1806" s="12" t="s">
        <v>5084</v>
      </c>
      <c r="N1806" s="12" t="s">
        <v>432</v>
      </c>
      <c r="O1806" s="12" t="s">
        <v>432</v>
      </c>
      <c r="P1806" s="88" t="s">
        <v>261</v>
      </c>
      <c r="Q1806" s="13"/>
      <c r="R1806" s="11"/>
      <c r="W1806" s="11"/>
      <c r="AU1806" s="12" t="s">
        <v>164</v>
      </c>
    </row>
    <row r="1807" spans="1:47" s="12" customFormat="1" ht="14.4" hidden="1" x14ac:dyDescent="0.3">
      <c r="A1807" s="12" t="s">
        <v>39</v>
      </c>
      <c r="B1807" s="12" t="s">
        <v>4337</v>
      </c>
      <c r="C1807" s="12">
        <v>70</v>
      </c>
      <c r="D1807" s="12">
        <v>523</v>
      </c>
      <c r="F1807" s="12" t="s">
        <v>5085</v>
      </c>
      <c r="G1807" s="12" t="str">
        <f t="shared" si="41"/>
        <v>705231100340129</v>
      </c>
      <c r="H1807" s="12" t="s">
        <v>5086</v>
      </c>
      <c r="I1807" s="12">
        <v>1100340129</v>
      </c>
      <c r="J1807" s="12" t="s">
        <v>5087</v>
      </c>
      <c r="K1807" s="12" t="s">
        <v>230</v>
      </c>
      <c r="L1807" s="12">
        <v>3118217231</v>
      </c>
      <c r="M1807" s="12" t="s">
        <v>5088</v>
      </c>
      <c r="N1807" s="12" t="s">
        <v>432</v>
      </c>
      <c r="O1807" s="12" t="s">
        <v>432</v>
      </c>
      <c r="P1807" s="88" t="s">
        <v>261</v>
      </c>
      <c r="Q1807" s="13">
        <v>45617</v>
      </c>
      <c r="R1807" s="16">
        <v>0.88</v>
      </c>
      <c r="S1807" s="12" t="s">
        <v>49</v>
      </c>
      <c r="T1807" s="12" t="s">
        <v>4345</v>
      </c>
      <c r="U1807" s="12" t="s">
        <v>60</v>
      </c>
      <c r="V1807" s="13">
        <v>44939</v>
      </c>
      <c r="W1807" s="11" t="s">
        <v>186</v>
      </c>
      <c r="X1807" s="12" t="s">
        <v>49</v>
      </c>
      <c r="AU1807" s="12" t="s">
        <v>53</v>
      </c>
    </row>
    <row r="1808" spans="1:47" s="12" customFormat="1" ht="14.4" hidden="1" x14ac:dyDescent="0.3">
      <c r="A1808" s="12" t="s">
        <v>39</v>
      </c>
      <c r="B1808" s="12" t="s">
        <v>4337</v>
      </c>
      <c r="C1808" s="12">
        <v>70</v>
      </c>
      <c r="D1808" s="12">
        <v>523</v>
      </c>
      <c r="F1808" s="12" t="s">
        <v>5089</v>
      </c>
      <c r="G1808" s="12" t="str">
        <f t="shared" si="41"/>
        <v>705231100340082</v>
      </c>
      <c r="H1808" s="12" t="s">
        <v>5090</v>
      </c>
      <c r="I1808" s="12">
        <v>1100340082</v>
      </c>
      <c r="J1808" s="12" t="s">
        <v>5091</v>
      </c>
      <c r="K1808" s="12" t="s">
        <v>230</v>
      </c>
      <c r="L1808" s="12" t="s">
        <v>45</v>
      </c>
      <c r="M1808" s="12" t="s">
        <v>45</v>
      </c>
      <c r="N1808" s="12" t="s">
        <v>46</v>
      </c>
      <c r="O1808" s="12" t="s">
        <v>521</v>
      </c>
      <c r="P1808" s="88" t="s">
        <v>48</v>
      </c>
      <c r="Q1808" s="13">
        <v>44364</v>
      </c>
      <c r="R1808" s="11">
        <v>0.77500000000000002</v>
      </c>
      <c r="S1808" s="12" t="s">
        <v>49</v>
      </c>
      <c r="W1808" s="11"/>
      <c r="AU1808" s="12" t="s">
        <v>164</v>
      </c>
    </row>
    <row r="1809" spans="1:47" s="12" customFormat="1" ht="14.4" hidden="1" x14ac:dyDescent="0.3">
      <c r="A1809" s="12" t="s">
        <v>39</v>
      </c>
      <c r="B1809" s="12" t="s">
        <v>4337</v>
      </c>
      <c r="C1809" s="12">
        <v>70</v>
      </c>
      <c r="D1809" s="12">
        <v>523</v>
      </c>
      <c r="F1809" s="12" t="s">
        <v>363</v>
      </c>
      <c r="G1809" s="12" t="str">
        <f t="shared" si="41"/>
        <v>70523900276962</v>
      </c>
      <c r="H1809" s="12" t="s">
        <v>364</v>
      </c>
      <c r="I1809" s="12">
        <v>900276962</v>
      </c>
      <c r="J1809" s="12" t="s">
        <v>5092</v>
      </c>
      <c r="K1809" s="12" t="s">
        <v>230</v>
      </c>
      <c r="L1809" s="12" t="s">
        <v>45</v>
      </c>
      <c r="M1809" s="12" t="s">
        <v>45</v>
      </c>
      <c r="N1809" s="12" t="s">
        <v>780</v>
      </c>
      <c r="O1809" s="12" t="s">
        <v>260</v>
      </c>
      <c r="P1809" s="88" t="s">
        <v>261</v>
      </c>
      <c r="Q1809" s="13">
        <v>44742</v>
      </c>
      <c r="R1809" s="11">
        <v>0.96</v>
      </c>
      <c r="S1809" s="12" t="s">
        <v>210</v>
      </c>
      <c r="W1809" s="11"/>
      <c r="AU1809" s="12" t="s">
        <v>164</v>
      </c>
    </row>
    <row r="1810" spans="1:47" s="12" customFormat="1" ht="14.4" hidden="1" x14ac:dyDescent="0.3">
      <c r="A1810" s="12" t="s">
        <v>39</v>
      </c>
      <c r="B1810" s="12" t="s">
        <v>4337</v>
      </c>
      <c r="C1810" s="12">
        <v>70</v>
      </c>
      <c r="D1810" s="12">
        <v>523</v>
      </c>
      <c r="F1810" s="12" t="s">
        <v>1279</v>
      </c>
      <c r="G1810" s="12" t="str">
        <f t="shared" si="41"/>
        <v>7052392670144</v>
      </c>
      <c r="H1810" s="12" t="s">
        <v>5093</v>
      </c>
      <c r="I1810" s="12">
        <v>92670144</v>
      </c>
      <c r="J1810" s="12" t="s">
        <v>5094</v>
      </c>
      <c r="K1810" s="12" t="s">
        <v>230</v>
      </c>
      <c r="L1810" s="12">
        <v>3173342404</v>
      </c>
      <c r="M1810" s="12" t="s">
        <v>45</v>
      </c>
      <c r="N1810" s="12" t="s">
        <v>780</v>
      </c>
      <c r="O1810" s="12" t="s">
        <v>260</v>
      </c>
      <c r="P1810" s="88" t="s">
        <v>261</v>
      </c>
      <c r="Q1810" s="13">
        <v>45593</v>
      </c>
      <c r="R1810" s="12" t="s">
        <v>5032</v>
      </c>
      <c r="S1810" s="12" t="s">
        <v>49</v>
      </c>
      <c r="T1810" s="12" t="s">
        <v>4345</v>
      </c>
      <c r="U1810" s="12" t="s">
        <v>60</v>
      </c>
      <c r="V1810" s="13" t="s">
        <v>5095</v>
      </c>
      <c r="W1810" s="11">
        <v>0.87</v>
      </c>
      <c r="X1810" s="12" t="s">
        <v>49</v>
      </c>
      <c r="AC1810" s="13">
        <v>44644</v>
      </c>
      <c r="AD1810" s="11">
        <v>0.83</v>
      </c>
      <c r="AE1810" s="12" t="s">
        <v>49</v>
      </c>
      <c r="AU1810" s="12" t="s">
        <v>164</v>
      </c>
    </row>
    <row r="1811" spans="1:47" s="12" customFormat="1" ht="14.4" hidden="1" x14ac:dyDescent="0.3">
      <c r="A1811" s="12" t="s">
        <v>39</v>
      </c>
      <c r="B1811" s="12" t="s">
        <v>4337</v>
      </c>
      <c r="C1811" s="12">
        <v>70</v>
      </c>
      <c r="D1811" s="12">
        <v>523</v>
      </c>
      <c r="F1811" s="12" t="s">
        <v>302</v>
      </c>
      <c r="G1811" s="12" t="str">
        <f t="shared" si="41"/>
        <v>705233923550</v>
      </c>
      <c r="H1811" s="12" t="s">
        <v>5096</v>
      </c>
      <c r="I1811" s="12">
        <v>3923550</v>
      </c>
      <c r="J1811" s="12" t="s">
        <v>5091</v>
      </c>
      <c r="K1811" s="12" t="s">
        <v>230</v>
      </c>
      <c r="L1811" s="12">
        <v>3017381570</v>
      </c>
      <c r="M1811" s="12" t="s">
        <v>45</v>
      </c>
      <c r="N1811" s="12" t="s">
        <v>780</v>
      </c>
      <c r="O1811" s="12" t="s">
        <v>260</v>
      </c>
      <c r="P1811" s="88" t="s">
        <v>261</v>
      </c>
      <c r="Q1811" s="12" t="s">
        <v>5097</v>
      </c>
      <c r="R1811" s="12" t="s">
        <v>5032</v>
      </c>
      <c r="S1811" s="12" t="s">
        <v>49</v>
      </c>
      <c r="T1811" s="12" t="s">
        <v>4345</v>
      </c>
      <c r="U1811" s="12" t="s">
        <v>60</v>
      </c>
      <c r="V1811" s="12" t="s">
        <v>5098</v>
      </c>
      <c r="W1811" s="11">
        <v>0.88749999999999996</v>
      </c>
      <c r="X1811" s="12" t="s">
        <v>49</v>
      </c>
      <c r="AC1811" s="13">
        <v>44756</v>
      </c>
      <c r="AD1811" s="16">
        <v>0.87</v>
      </c>
      <c r="AE1811" s="12" t="s">
        <v>139</v>
      </c>
      <c r="AF1811" s="12" t="s">
        <v>5059</v>
      </c>
      <c r="AU1811" s="12" t="s">
        <v>164</v>
      </c>
    </row>
    <row r="1812" spans="1:47" s="12" customFormat="1" ht="14.4" hidden="1" x14ac:dyDescent="0.3">
      <c r="A1812" s="12" t="s">
        <v>39</v>
      </c>
      <c r="B1812" s="12" t="s">
        <v>4337</v>
      </c>
      <c r="C1812" s="12">
        <v>70</v>
      </c>
      <c r="D1812" s="12">
        <v>523</v>
      </c>
      <c r="F1812" s="12" t="s">
        <v>5099</v>
      </c>
      <c r="G1812" s="12" t="str">
        <f t="shared" si="41"/>
        <v>705231064991441</v>
      </c>
      <c r="H1812" s="12" t="s">
        <v>5030</v>
      </c>
      <c r="I1812" s="12">
        <v>1064991441</v>
      </c>
      <c r="J1812" s="12" t="s">
        <v>5100</v>
      </c>
      <c r="K1812" s="12" t="s">
        <v>230</v>
      </c>
      <c r="L1812" s="12">
        <v>3045425457</v>
      </c>
      <c r="M1812" s="12" t="s">
        <v>45</v>
      </c>
      <c r="N1812" s="12" t="s">
        <v>780</v>
      </c>
      <c r="O1812" s="12" t="s">
        <v>260</v>
      </c>
      <c r="P1812" s="88" t="s">
        <v>261</v>
      </c>
      <c r="Q1812" s="13">
        <v>45586</v>
      </c>
      <c r="R1812" s="11">
        <v>0.87</v>
      </c>
      <c r="S1812" s="12" t="s">
        <v>49</v>
      </c>
      <c r="T1812" s="12" t="s">
        <v>4345</v>
      </c>
      <c r="U1812" s="12" t="s">
        <v>60</v>
      </c>
      <c r="V1812" s="13">
        <v>44302</v>
      </c>
      <c r="W1812" s="11">
        <v>0.84</v>
      </c>
      <c r="X1812" s="12" t="s">
        <v>49</v>
      </c>
      <c r="Y1812" s="12" t="s">
        <v>4345</v>
      </c>
      <c r="Z1812" s="12" t="s">
        <v>5036</v>
      </c>
      <c r="AU1812" s="12" t="s">
        <v>53</v>
      </c>
    </row>
    <row r="1813" spans="1:47" s="12" customFormat="1" ht="14.4" hidden="1" x14ac:dyDescent="0.3">
      <c r="A1813" s="12" t="s">
        <v>39</v>
      </c>
      <c r="B1813" s="12" t="s">
        <v>4337</v>
      </c>
      <c r="C1813" s="12">
        <v>70</v>
      </c>
      <c r="D1813" s="12">
        <v>523</v>
      </c>
      <c r="F1813" s="12" t="s">
        <v>5101</v>
      </c>
      <c r="G1813" s="12" t="str">
        <f t="shared" si="41"/>
        <v>7052392670408</v>
      </c>
      <c r="H1813" s="12" t="s">
        <v>5102</v>
      </c>
      <c r="I1813" s="12">
        <v>92670408</v>
      </c>
      <c r="J1813" s="12" t="s">
        <v>5103</v>
      </c>
      <c r="K1813" s="12" t="s">
        <v>230</v>
      </c>
      <c r="L1813" s="12" t="s">
        <v>45</v>
      </c>
      <c r="M1813" s="12" t="s">
        <v>45</v>
      </c>
      <c r="N1813" s="12" t="s">
        <v>780</v>
      </c>
      <c r="O1813" s="12" t="s">
        <v>260</v>
      </c>
      <c r="P1813" s="88" t="s">
        <v>261</v>
      </c>
      <c r="R1813" s="11"/>
      <c r="W1813" s="11"/>
      <c r="AU1813" s="12" t="s">
        <v>164</v>
      </c>
    </row>
    <row r="1814" spans="1:47" s="12" customFormat="1" ht="14.4" hidden="1" x14ac:dyDescent="0.3">
      <c r="A1814" s="12" t="s">
        <v>39</v>
      </c>
      <c r="B1814" s="12" t="s">
        <v>4337</v>
      </c>
      <c r="C1814" s="12">
        <v>70</v>
      </c>
      <c r="D1814" s="12">
        <v>523</v>
      </c>
      <c r="F1814" s="12" t="s">
        <v>5104</v>
      </c>
      <c r="G1814" s="12" t="str">
        <f t="shared" si="41"/>
        <v>7052392671349</v>
      </c>
      <c r="H1814" s="12" t="s">
        <v>5105</v>
      </c>
      <c r="I1814" s="12">
        <v>92671349</v>
      </c>
      <c r="J1814" s="12" t="s">
        <v>5074</v>
      </c>
      <c r="K1814" s="12" t="s">
        <v>230</v>
      </c>
      <c r="L1814" s="12" t="s">
        <v>45</v>
      </c>
      <c r="M1814" s="12" t="s">
        <v>45</v>
      </c>
      <c r="N1814" s="12" t="s">
        <v>780</v>
      </c>
      <c r="O1814" s="12" t="s">
        <v>260</v>
      </c>
      <c r="P1814" s="88" t="s">
        <v>261</v>
      </c>
      <c r="Q1814" s="12" t="s">
        <v>5106</v>
      </c>
      <c r="R1814" s="11">
        <v>0.89500000000000002</v>
      </c>
      <c r="S1814" s="12" t="s">
        <v>210</v>
      </c>
      <c r="W1814" s="11"/>
      <c r="AU1814" s="12" t="s">
        <v>164</v>
      </c>
    </row>
    <row r="1815" spans="1:47" s="12" customFormat="1" ht="14.4" hidden="1" x14ac:dyDescent="0.3">
      <c r="A1815" s="12" t="s">
        <v>39</v>
      </c>
      <c r="B1815" s="12" t="s">
        <v>4337</v>
      </c>
      <c r="C1815" s="12">
        <v>70</v>
      </c>
      <c r="D1815" s="12">
        <v>523</v>
      </c>
      <c r="F1815" s="12" t="s">
        <v>5107</v>
      </c>
      <c r="G1815" s="12" t="str">
        <f t="shared" si="41"/>
        <v>705236814816</v>
      </c>
      <c r="H1815" s="12" t="s">
        <v>5108</v>
      </c>
      <c r="I1815" s="12">
        <v>6814816</v>
      </c>
      <c r="J1815" s="12" t="s">
        <v>5109</v>
      </c>
      <c r="K1815" s="12" t="s">
        <v>230</v>
      </c>
      <c r="L1815" s="12">
        <v>3014546994</v>
      </c>
      <c r="M1815" s="12" t="s">
        <v>45</v>
      </c>
      <c r="N1815" s="12" t="s">
        <v>780</v>
      </c>
      <c r="O1815" s="12" t="s">
        <v>260</v>
      </c>
      <c r="P1815" s="88" t="s">
        <v>261</v>
      </c>
      <c r="Q1815" s="13">
        <v>45553</v>
      </c>
      <c r="R1815" s="11">
        <v>0.89</v>
      </c>
      <c r="S1815" s="12" t="s">
        <v>49</v>
      </c>
      <c r="W1815" s="11"/>
      <c r="AU1815" s="12" t="s">
        <v>53</v>
      </c>
    </row>
    <row r="1816" spans="1:47" s="12" customFormat="1" ht="14.4" hidden="1" x14ac:dyDescent="0.3">
      <c r="A1816" s="12" t="s">
        <v>39</v>
      </c>
      <c r="B1816" s="12" t="s">
        <v>4337</v>
      </c>
      <c r="C1816" s="12">
        <v>70</v>
      </c>
      <c r="D1816" s="12">
        <v>523</v>
      </c>
      <c r="F1816" s="12" t="s">
        <v>5110</v>
      </c>
      <c r="G1816" s="12" t="str">
        <f t="shared" si="41"/>
        <v>70523901820624-2</v>
      </c>
      <c r="H1816" s="12" t="s">
        <v>214</v>
      </c>
      <c r="I1816" s="12" t="s">
        <v>2701</v>
      </c>
      <c r="J1816" s="12" t="s">
        <v>2674</v>
      </c>
      <c r="K1816" s="12" t="s">
        <v>230</v>
      </c>
      <c r="L1816" s="12">
        <v>3045840505</v>
      </c>
      <c r="M1816" s="12" t="s">
        <v>45</v>
      </c>
      <c r="N1816" s="12" t="s">
        <v>127</v>
      </c>
      <c r="O1816" s="12" t="s">
        <v>2822</v>
      </c>
      <c r="P1816" s="88" t="s">
        <v>48</v>
      </c>
      <c r="Q1816" s="13">
        <v>45569</v>
      </c>
      <c r="R1816" s="11">
        <v>0.77</v>
      </c>
      <c r="S1816" s="12" t="s">
        <v>49</v>
      </c>
      <c r="T1816" s="12" t="s">
        <v>4345</v>
      </c>
      <c r="U1816" s="12" t="s">
        <v>60</v>
      </c>
      <c r="W1816" s="11"/>
      <c r="AU1816" s="12" t="s">
        <v>53</v>
      </c>
    </row>
    <row r="1817" spans="1:47" s="12" customFormat="1" ht="14.4" hidden="1" x14ac:dyDescent="0.3">
      <c r="A1817" s="12" t="s">
        <v>39</v>
      </c>
      <c r="B1817" s="12" t="s">
        <v>4337</v>
      </c>
      <c r="C1817" s="12">
        <v>70</v>
      </c>
      <c r="D1817" s="12">
        <v>523</v>
      </c>
      <c r="F1817" s="12" t="s">
        <v>5111</v>
      </c>
      <c r="G1817" s="12" t="str">
        <f t="shared" ref="G1817:G1866" si="42">C1817&amp;D1817&amp;I1817</f>
        <v>70523800167616-6</v>
      </c>
      <c r="H1817" s="12" t="s">
        <v>5112</v>
      </c>
      <c r="I1817" s="12" t="s">
        <v>5011</v>
      </c>
      <c r="J1817" s="12" t="s">
        <v>5113</v>
      </c>
      <c r="K1817" s="12" t="s">
        <v>133</v>
      </c>
      <c r="L1817" s="12">
        <v>3145182531</v>
      </c>
      <c r="M1817" s="12" t="s">
        <v>45</v>
      </c>
      <c r="N1817" s="12" t="s">
        <v>127</v>
      </c>
      <c r="O1817" s="12" t="s">
        <v>2822</v>
      </c>
      <c r="P1817" s="88" t="s">
        <v>48</v>
      </c>
      <c r="Q1817" s="13">
        <v>44630</v>
      </c>
      <c r="R1817" s="16">
        <v>0.82499999999999996</v>
      </c>
      <c r="S1817" s="12" t="s">
        <v>49</v>
      </c>
      <c r="V1817" s="13"/>
      <c r="W1817" s="11"/>
      <c r="AU1817" s="12" t="s">
        <v>164</v>
      </c>
    </row>
    <row r="1818" spans="1:47" s="12" customFormat="1" ht="14.4" hidden="1" x14ac:dyDescent="0.3">
      <c r="A1818" s="12" t="s">
        <v>39</v>
      </c>
      <c r="B1818" s="12" t="s">
        <v>4337</v>
      </c>
      <c r="C1818" s="12">
        <v>70</v>
      </c>
      <c r="D1818" s="12">
        <v>523</v>
      </c>
      <c r="F1818" s="12" t="s">
        <v>5114</v>
      </c>
      <c r="G1818" s="12" t="str">
        <f t="shared" si="42"/>
        <v>70523800167616-6</v>
      </c>
      <c r="H1818" s="12" t="s">
        <v>5112</v>
      </c>
      <c r="I1818" s="12" t="s">
        <v>5011</v>
      </c>
      <c r="J1818" s="12" t="s">
        <v>4342</v>
      </c>
      <c r="K1818" s="12" t="s">
        <v>133</v>
      </c>
      <c r="L1818" s="12">
        <v>3116538528</v>
      </c>
      <c r="M1818" s="12" t="s">
        <v>45</v>
      </c>
      <c r="N1818" s="12" t="s">
        <v>127</v>
      </c>
      <c r="O1818" s="12" t="s">
        <v>2822</v>
      </c>
      <c r="P1818" s="88" t="s">
        <v>48</v>
      </c>
      <c r="Q1818" s="13">
        <v>44673</v>
      </c>
      <c r="R1818" s="16">
        <v>0.85499999999999998</v>
      </c>
      <c r="S1818" s="12" t="s">
        <v>49</v>
      </c>
      <c r="V1818" s="13"/>
      <c r="W1818" s="11"/>
      <c r="AU1818" s="12" t="s">
        <v>164</v>
      </c>
    </row>
    <row r="1819" spans="1:47" s="12" customFormat="1" ht="14.4" hidden="1" x14ac:dyDescent="0.3">
      <c r="A1819" s="12" t="s">
        <v>39</v>
      </c>
      <c r="B1819" s="12" t="s">
        <v>4337</v>
      </c>
      <c r="C1819" s="12">
        <v>70</v>
      </c>
      <c r="D1819" s="12">
        <v>523</v>
      </c>
      <c r="F1819" s="12" t="s">
        <v>5115</v>
      </c>
      <c r="G1819" s="12" t="str">
        <f t="shared" si="42"/>
        <v>70523800167616-6</v>
      </c>
      <c r="H1819" s="12" t="s">
        <v>5112</v>
      </c>
      <c r="I1819" s="12" t="s">
        <v>5011</v>
      </c>
      <c r="J1819" s="12" t="s">
        <v>5116</v>
      </c>
      <c r="K1819" s="12" t="s">
        <v>133</v>
      </c>
      <c r="L1819" s="12">
        <v>3142789594</v>
      </c>
      <c r="M1819" s="12" t="s">
        <v>45</v>
      </c>
      <c r="N1819" s="12" t="s">
        <v>127</v>
      </c>
      <c r="O1819" s="12" t="s">
        <v>2822</v>
      </c>
      <c r="P1819" s="88" t="s">
        <v>48</v>
      </c>
      <c r="Q1819" s="13">
        <v>45146</v>
      </c>
      <c r="R1819" s="16">
        <v>0.88</v>
      </c>
      <c r="S1819" s="12" t="s">
        <v>49</v>
      </c>
      <c r="V1819" s="13">
        <v>44678</v>
      </c>
      <c r="W1819" s="11">
        <v>0.85499999999999998</v>
      </c>
      <c r="X1819" s="12" t="s">
        <v>49</v>
      </c>
      <c r="AU1819" s="12" t="s">
        <v>53</v>
      </c>
    </row>
    <row r="1820" spans="1:47" s="12" customFormat="1" ht="14.4" hidden="1" x14ac:dyDescent="0.3">
      <c r="A1820" s="12" t="s">
        <v>39</v>
      </c>
      <c r="B1820" s="12" t="s">
        <v>4337</v>
      </c>
      <c r="C1820" s="12">
        <v>70</v>
      </c>
      <c r="D1820" s="12">
        <v>523</v>
      </c>
      <c r="F1820" s="12" t="s">
        <v>5117</v>
      </c>
      <c r="G1820" s="12" t="str">
        <f t="shared" si="42"/>
        <v>70523800167616-6</v>
      </c>
      <c r="H1820" s="12" t="s">
        <v>5112</v>
      </c>
      <c r="I1820" s="12" t="s">
        <v>5011</v>
      </c>
      <c r="J1820" s="12" t="s">
        <v>5118</v>
      </c>
      <c r="K1820" s="12" t="s">
        <v>133</v>
      </c>
      <c r="L1820" s="12">
        <v>3229180525</v>
      </c>
      <c r="M1820" s="12" t="s">
        <v>45</v>
      </c>
      <c r="N1820" s="12" t="s">
        <v>127</v>
      </c>
      <c r="O1820" s="12" t="s">
        <v>2822</v>
      </c>
      <c r="P1820" s="88" t="s">
        <v>48</v>
      </c>
      <c r="Q1820" s="13">
        <v>44679</v>
      </c>
      <c r="R1820" s="16">
        <v>0.89500000000000002</v>
      </c>
      <c r="S1820" s="12" t="s">
        <v>210</v>
      </c>
      <c r="V1820" s="13"/>
      <c r="W1820" s="11"/>
      <c r="AU1820" s="12" t="s">
        <v>164</v>
      </c>
    </row>
    <row r="1821" spans="1:47" s="12" customFormat="1" ht="14.4" hidden="1" x14ac:dyDescent="0.3">
      <c r="A1821" s="12" t="s">
        <v>39</v>
      </c>
      <c r="B1821" s="12" t="s">
        <v>4337</v>
      </c>
      <c r="C1821" s="12">
        <v>70</v>
      </c>
      <c r="D1821" s="12">
        <v>523</v>
      </c>
      <c r="F1821" s="12" t="s">
        <v>5119</v>
      </c>
      <c r="G1821" s="12" t="str">
        <f t="shared" si="42"/>
        <v>70523900072094-5</v>
      </c>
      <c r="H1821" s="12" t="s">
        <v>5120</v>
      </c>
      <c r="I1821" s="12" t="s">
        <v>1091</v>
      </c>
      <c r="J1821" s="12" t="s">
        <v>5028</v>
      </c>
      <c r="K1821" s="12" t="s">
        <v>133</v>
      </c>
      <c r="L1821" s="12">
        <v>3114396904</v>
      </c>
      <c r="M1821" s="12" t="s">
        <v>45</v>
      </c>
      <c r="N1821" s="12" t="s">
        <v>127</v>
      </c>
      <c r="O1821" s="12" t="s">
        <v>2822</v>
      </c>
      <c r="P1821" s="88" t="s">
        <v>48</v>
      </c>
      <c r="Q1821" s="13">
        <v>45051</v>
      </c>
      <c r="R1821" s="16">
        <v>0.94499999999999995</v>
      </c>
      <c r="S1821" s="12" t="s">
        <v>210</v>
      </c>
      <c r="W1821" s="11"/>
      <c r="AU1821" s="12" t="s">
        <v>53</v>
      </c>
    </row>
    <row r="1822" spans="1:47" s="12" customFormat="1" ht="14.4" hidden="1" x14ac:dyDescent="0.3">
      <c r="A1822" s="12" t="s">
        <v>39</v>
      </c>
      <c r="B1822" s="12" t="s">
        <v>4337</v>
      </c>
      <c r="C1822" s="12">
        <v>70</v>
      </c>
      <c r="D1822" s="12">
        <v>523</v>
      </c>
      <c r="F1822" s="12" t="s">
        <v>5121</v>
      </c>
      <c r="G1822" s="12" t="str">
        <f t="shared" si="42"/>
        <v>70523800167616-6</v>
      </c>
      <c r="H1822" s="12" t="s">
        <v>5112</v>
      </c>
      <c r="I1822" s="12" t="s">
        <v>5011</v>
      </c>
      <c r="J1822" s="12" t="s">
        <v>5122</v>
      </c>
      <c r="K1822" s="12" t="s">
        <v>133</v>
      </c>
      <c r="L1822" s="12" t="s">
        <v>45</v>
      </c>
      <c r="M1822" s="12" t="s">
        <v>45</v>
      </c>
      <c r="N1822" s="12" t="s">
        <v>127</v>
      </c>
      <c r="O1822" s="12" t="s">
        <v>2822</v>
      </c>
      <c r="P1822" s="88" t="s">
        <v>48</v>
      </c>
      <c r="Q1822" s="13">
        <v>45141</v>
      </c>
      <c r="R1822" s="16">
        <v>0.79500000000000004</v>
      </c>
      <c r="S1822" s="12" t="s">
        <v>49</v>
      </c>
      <c r="V1822" s="13"/>
      <c r="W1822" s="11"/>
      <c r="AU1822" s="12" t="s">
        <v>53</v>
      </c>
    </row>
    <row r="1823" spans="1:47" s="12" customFormat="1" ht="14.4" hidden="1" x14ac:dyDescent="0.3">
      <c r="A1823" s="12" t="s">
        <v>39</v>
      </c>
      <c r="B1823" s="12" t="s">
        <v>4337</v>
      </c>
      <c r="C1823" s="12">
        <v>70</v>
      </c>
      <c r="D1823" s="12">
        <v>523</v>
      </c>
      <c r="F1823" s="12" t="s">
        <v>5123</v>
      </c>
      <c r="G1823" s="12" t="str">
        <f t="shared" si="42"/>
        <v>70523800167616-6</v>
      </c>
      <c r="H1823" s="12" t="s">
        <v>5112</v>
      </c>
      <c r="I1823" s="12" t="s">
        <v>5011</v>
      </c>
      <c r="J1823" s="12" t="s">
        <v>5124</v>
      </c>
      <c r="K1823" s="12" t="s">
        <v>133</v>
      </c>
      <c r="L1823" s="12">
        <v>3218005747</v>
      </c>
      <c r="M1823" s="12" t="s">
        <v>45</v>
      </c>
      <c r="N1823" s="12" t="s">
        <v>127</v>
      </c>
      <c r="O1823" s="12" t="s">
        <v>2822</v>
      </c>
      <c r="P1823" s="88" t="s">
        <v>48</v>
      </c>
      <c r="Q1823" s="13">
        <v>43740</v>
      </c>
      <c r="R1823" s="16">
        <v>0.99</v>
      </c>
      <c r="S1823" s="12" t="s">
        <v>210</v>
      </c>
      <c r="V1823" s="13">
        <v>44671</v>
      </c>
      <c r="W1823" s="11">
        <v>0.85499999999999998</v>
      </c>
      <c r="X1823" s="12" t="s">
        <v>49</v>
      </c>
      <c r="AU1823" s="12" t="s">
        <v>164</v>
      </c>
    </row>
    <row r="1824" spans="1:47" s="12" customFormat="1" ht="14.4" hidden="1" x14ac:dyDescent="0.3">
      <c r="A1824" s="12" t="s">
        <v>39</v>
      </c>
      <c r="B1824" s="12" t="s">
        <v>4337</v>
      </c>
      <c r="C1824" s="12">
        <v>70</v>
      </c>
      <c r="D1824" s="12">
        <v>523</v>
      </c>
      <c r="E1824" s="12" t="s">
        <v>5130</v>
      </c>
      <c r="F1824" s="275" t="s">
        <v>5125</v>
      </c>
      <c r="G1824" s="12" t="str">
        <f t="shared" si="42"/>
        <v>705239019269537</v>
      </c>
      <c r="H1824" s="12" t="s">
        <v>2277</v>
      </c>
      <c r="I1824" s="12">
        <v>9019269537</v>
      </c>
      <c r="J1824" s="12" t="s">
        <v>5126</v>
      </c>
      <c r="K1824" s="12" t="s">
        <v>133</v>
      </c>
      <c r="L1824" s="12" t="s">
        <v>45</v>
      </c>
      <c r="M1824" s="12" t="s">
        <v>45</v>
      </c>
      <c r="N1824" s="12" t="s">
        <v>127</v>
      </c>
      <c r="O1824" s="12" t="s">
        <v>2822</v>
      </c>
      <c r="P1824" s="88" t="s">
        <v>48</v>
      </c>
      <c r="Q1824" s="13" t="s">
        <v>5127</v>
      </c>
      <c r="R1824" s="16">
        <v>0.85</v>
      </c>
      <c r="S1824" s="12" t="s">
        <v>49</v>
      </c>
      <c r="V1824" s="13" t="s">
        <v>5128</v>
      </c>
      <c r="W1824" s="11">
        <v>0.83</v>
      </c>
      <c r="X1824" s="12" t="s">
        <v>49</v>
      </c>
      <c r="AU1824" s="12" t="s">
        <v>164</v>
      </c>
    </row>
    <row r="1825" spans="1:47" s="12" customFormat="1" ht="14.4" hidden="1" x14ac:dyDescent="0.3">
      <c r="A1825" s="12" t="s">
        <v>39</v>
      </c>
      <c r="B1825" s="12" t="s">
        <v>4337</v>
      </c>
      <c r="C1825" s="12">
        <v>70</v>
      </c>
      <c r="D1825" s="12">
        <v>523</v>
      </c>
      <c r="E1825" s="12" t="s">
        <v>5130</v>
      </c>
      <c r="F1825" s="12" t="s">
        <v>8323</v>
      </c>
      <c r="G1825" s="12" t="str">
        <f t="shared" si="42"/>
        <v>705239019269537</v>
      </c>
      <c r="H1825" s="12" t="s">
        <v>4921</v>
      </c>
      <c r="I1825" s="12">
        <v>9019269537</v>
      </c>
      <c r="J1825" s="12" t="s">
        <v>5129</v>
      </c>
      <c r="K1825" s="12" t="s">
        <v>133</v>
      </c>
      <c r="L1825" s="12">
        <v>3126652901</v>
      </c>
      <c r="M1825" s="17" t="s">
        <v>4899</v>
      </c>
      <c r="N1825" s="12" t="s">
        <v>127</v>
      </c>
      <c r="O1825" s="12" t="s">
        <v>2822</v>
      </c>
      <c r="P1825" s="88" t="s">
        <v>48</v>
      </c>
      <c r="Q1825" s="13">
        <v>45814</v>
      </c>
      <c r="R1825" s="18">
        <v>0.94499999999999995</v>
      </c>
      <c r="S1825" s="12" t="s">
        <v>319</v>
      </c>
      <c r="T1825" s="12" t="s">
        <v>4345</v>
      </c>
      <c r="U1825" s="12" t="s">
        <v>60</v>
      </c>
      <c r="V1825" s="13">
        <v>44722</v>
      </c>
      <c r="W1825" s="16">
        <v>0.91</v>
      </c>
      <c r="X1825" s="12" t="s">
        <v>210</v>
      </c>
      <c r="AU1825" s="12" t="s">
        <v>164</v>
      </c>
    </row>
    <row r="1826" spans="1:47" s="12" customFormat="1" ht="14.4" hidden="1" x14ac:dyDescent="0.3">
      <c r="A1826" s="12" t="s">
        <v>39</v>
      </c>
      <c r="B1826" s="12" t="s">
        <v>4337</v>
      </c>
      <c r="C1826" s="12">
        <v>70</v>
      </c>
      <c r="D1826" s="12">
        <v>523</v>
      </c>
      <c r="E1826" s="12" t="s">
        <v>5130</v>
      </c>
      <c r="F1826" s="275" t="s">
        <v>5131</v>
      </c>
      <c r="G1826" s="12" t="str">
        <f t="shared" si="42"/>
        <v>705239019269537</v>
      </c>
      <c r="H1826" s="12" t="s">
        <v>2277</v>
      </c>
      <c r="I1826" s="12">
        <v>9019269537</v>
      </c>
      <c r="J1826" s="12" t="s">
        <v>4342</v>
      </c>
      <c r="K1826" s="12" t="s">
        <v>133</v>
      </c>
      <c r="L1826" s="12" t="s">
        <v>45</v>
      </c>
      <c r="M1826" s="12" t="s">
        <v>45</v>
      </c>
      <c r="N1826" s="12" t="s">
        <v>127</v>
      </c>
      <c r="O1826" s="12" t="s">
        <v>2822</v>
      </c>
      <c r="P1826" s="88" t="s">
        <v>48</v>
      </c>
      <c r="Q1826" s="13">
        <v>45813</v>
      </c>
      <c r="R1826" s="16">
        <v>0.85</v>
      </c>
      <c r="S1826" s="12" t="s">
        <v>49</v>
      </c>
      <c r="V1826" s="13">
        <v>44648</v>
      </c>
      <c r="W1826" s="16">
        <v>0.92</v>
      </c>
      <c r="X1826" s="12" t="s">
        <v>210</v>
      </c>
      <c r="AU1826" s="12" t="s">
        <v>164</v>
      </c>
    </row>
    <row r="1827" spans="1:47" s="12" customFormat="1" ht="14.4" hidden="1" x14ac:dyDescent="0.3">
      <c r="A1827" s="12" t="s">
        <v>39</v>
      </c>
      <c r="B1827" s="12" t="s">
        <v>4337</v>
      </c>
      <c r="C1827" s="12">
        <v>70</v>
      </c>
      <c r="D1827" s="12">
        <v>523</v>
      </c>
      <c r="E1827" s="12" t="s">
        <v>5130</v>
      </c>
      <c r="F1827" s="12" t="s">
        <v>5132</v>
      </c>
      <c r="G1827" s="12" t="str">
        <f t="shared" si="42"/>
        <v>705239019269537</v>
      </c>
      <c r="H1827" s="12" t="s">
        <v>2277</v>
      </c>
      <c r="I1827" s="12">
        <v>9019269537</v>
      </c>
      <c r="J1827" s="12" t="s">
        <v>5133</v>
      </c>
      <c r="K1827" s="12" t="s">
        <v>133</v>
      </c>
      <c r="L1827" s="12" t="s">
        <v>45</v>
      </c>
      <c r="M1827" s="12" t="s">
        <v>45</v>
      </c>
      <c r="N1827" s="12" t="s">
        <v>127</v>
      </c>
      <c r="O1827" s="12" t="s">
        <v>2822</v>
      </c>
      <c r="P1827" s="88" t="s">
        <v>48</v>
      </c>
      <c r="Q1827" s="13" t="s">
        <v>5134</v>
      </c>
      <c r="R1827" s="16">
        <v>0.93</v>
      </c>
      <c r="S1827" s="12" t="s">
        <v>210</v>
      </c>
      <c r="W1827" s="11"/>
      <c r="AU1827" s="12" t="s">
        <v>164</v>
      </c>
    </row>
    <row r="1828" spans="1:47" s="12" customFormat="1" ht="14.4" hidden="1" x14ac:dyDescent="0.3">
      <c r="A1828" s="12" t="s">
        <v>39</v>
      </c>
      <c r="B1828" s="12" t="s">
        <v>4337</v>
      </c>
      <c r="C1828" s="12">
        <v>70</v>
      </c>
      <c r="D1828" s="12">
        <v>523</v>
      </c>
      <c r="E1828" s="12" t="s">
        <v>5130</v>
      </c>
      <c r="F1828" s="12" t="s">
        <v>5135</v>
      </c>
      <c r="G1828" s="12" t="str">
        <f t="shared" si="42"/>
        <v>705239019269537</v>
      </c>
      <c r="H1828" s="12" t="s">
        <v>4921</v>
      </c>
      <c r="I1828" s="12">
        <v>9019269537</v>
      </c>
      <c r="J1828" s="12" t="s">
        <v>5118</v>
      </c>
      <c r="K1828" s="12" t="s">
        <v>133</v>
      </c>
      <c r="L1828" s="12">
        <v>3108453617</v>
      </c>
      <c r="M1828" s="12" t="s">
        <v>45</v>
      </c>
      <c r="N1828" s="12" t="s">
        <v>127</v>
      </c>
      <c r="O1828" s="12" t="s">
        <v>2822</v>
      </c>
      <c r="P1828" s="88" t="s">
        <v>48</v>
      </c>
      <c r="Q1828" s="13">
        <v>44659</v>
      </c>
      <c r="R1828" s="16">
        <v>0.94499999999999995</v>
      </c>
      <c r="S1828" s="12" t="s">
        <v>210</v>
      </c>
      <c r="V1828" s="13"/>
      <c r="W1828" s="11"/>
      <c r="AU1828" s="12" t="s">
        <v>164</v>
      </c>
    </row>
    <row r="1829" spans="1:47" s="12" customFormat="1" ht="14.4" hidden="1" x14ac:dyDescent="0.3">
      <c r="A1829" s="12" t="s">
        <v>39</v>
      </c>
      <c r="B1829" s="12" t="s">
        <v>4337</v>
      </c>
      <c r="C1829" s="12">
        <v>70</v>
      </c>
      <c r="D1829" s="12">
        <v>523</v>
      </c>
      <c r="F1829" s="12" t="s">
        <v>5136</v>
      </c>
      <c r="G1829" s="12" t="str">
        <f t="shared" si="42"/>
        <v>705231100336895</v>
      </c>
      <c r="H1829" s="12" t="s">
        <v>5137</v>
      </c>
      <c r="I1829" s="12">
        <v>1100336895</v>
      </c>
      <c r="J1829" s="12" t="s">
        <v>5138</v>
      </c>
      <c r="K1829" s="12" t="s">
        <v>133</v>
      </c>
      <c r="L1829" s="12" t="s">
        <v>45</v>
      </c>
      <c r="M1829" s="12" t="s">
        <v>45</v>
      </c>
      <c r="N1829" s="12" t="s">
        <v>432</v>
      </c>
      <c r="O1829" s="12" t="s">
        <v>432</v>
      </c>
      <c r="P1829" s="88" t="s">
        <v>261</v>
      </c>
      <c r="Q1829" s="13">
        <v>44628</v>
      </c>
      <c r="R1829" s="16">
        <v>0.86</v>
      </c>
      <c r="S1829" s="12" t="s">
        <v>49</v>
      </c>
      <c r="W1829" s="11"/>
      <c r="AU1829" s="12" t="s">
        <v>164</v>
      </c>
    </row>
    <row r="1830" spans="1:47" s="12" customFormat="1" ht="14.4" hidden="1" x14ac:dyDescent="0.3">
      <c r="A1830" s="12" t="s">
        <v>39</v>
      </c>
      <c r="B1830" s="12" t="s">
        <v>4337</v>
      </c>
      <c r="C1830" s="12">
        <v>70</v>
      </c>
      <c r="D1830" s="12">
        <v>523</v>
      </c>
      <c r="F1830" s="12" t="s">
        <v>5139</v>
      </c>
      <c r="G1830" s="12" t="str">
        <f t="shared" si="42"/>
        <v>705231007650775</v>
      </c>
      <c r="H1830" s="12" t="s">
        <v>5140</v>
      </c>
      <c r="I1830" s="12">
        <v>1007650775</v>
      </c>
      <c r="J1830" s="12" t="s">
        <v>5141</v>
      </c>
      <c r="K1830" s="12" t="s">
        <v>133</v>
      </c>
      <c r="L1830" s="12" t="s">
        <v>45</v>
      </c>
      <c r="M1830" s="12" t="s">
        <v>45</v>
      </c>
      <c r="N1830" s="12" t="s">
        <v>780</v>
      </c>
      <c r="O1830" s="12" t="s">
        <v>260</v>
      </c>
      <c r="P1830" s="88" t="s">
        <v>261</v>
      </c>
      <c r="Q1830" s="13"/>
      <c r="R1830" s="16"/>
      <c r="W1830" s="11"/>
      <c r="AU1830" s="12" t="s">
        <v>164</v>
      </c>
    </row>
    <row r="1831" spans="1:47" s="12" customFormat="1" ht="14.4" hidden="1" x14ac:dyDescent="0.3">
      <c r="A1831" s="12" t="s">
        <v>39</v>
      </c>
      <c r="B1831" s="12" t="s">
        <v>4337</v>
      </c>
      <c r="C1831" s="12">
        <v>70</v>
      </c>
      <c r="D1831" s="12">
        <v>523</v>
      </c>
      <c r="E1831" s="12" t="s">
        <v>5130</v>
      </c>
      <c r="F1831" s="12" t="s">
        <v>8321</v>
      </c>
      <c r="G1831" s="12" t="str">
        <f t="shared" si="42"/>
        <v>705239019269537</v>
      </c>
      <c r="H1831" s="12" t="s">
        <v>4921</v>
      </c>
      <c r="I1831" s="12">
        <v>9019269537</v>
      </c>
      <c r="J1831" s="12" t="s">
        <v>5141</v>
      </c>
      <c r="K1831" s="12" t="s">
        <v>133</v>
      </c>
      <c r="L1831" s="12">
        <v>3108453617</v>
      </c>
      <c r="M1831" s="17" t="s">
        <v>4899</v>
      </c>
      <c r="N1831" s="12" t="s">
        <v>127</v>
      </c>
      <c r="O1831" s="12" t="s">
        <v>2822</v>
      </c>
      <c r="P1831" s="88" t="s">
        <v>48</v>
      </c>
      <c r="Q1831" s="13">
        <v>45791</v>
      </c>
      <c r="R1831" s="16" t="s">
        <v>203</v>
      </c>
      <c r="S1831" s="12" t="s">
        <v>49</v>
      </c>
      <c r="W1831" s="11"/>
    </row>
    <row r="1832" spans="1:47" s="12" customFormat="1" ht="14.4" hidden="1" x14ac:dyDescent="0.3">
      <c r="A1832" s="12" t="s">
        <v>39</v>
      </c>
      <c r="B1832" s="12" t="s">
        <v>4337</v>
      </c>
      <c r="C1832" s="12">
        <v>70</v>
      </c>
      <c r="D1832" s="12">
        <v>523</v>
      </c>
      <c r="E1832" s="12" t="s">
        <v>5130</v>
      </c>
      <c r="F1832" s="12" t="s">
        <v>8322</v>
      </c>
      <c r="G1832" s="12" t="str">
        <f t="shared" si="42"/>
        <v>705239019269537</v>
      </c>
      <c r="H1832" s="12" t="s">
        <v>4921</v>
      </c>
      <c r="I1832" s="12">
        <v>9019269537</v>
      </c>
      <c r="J1832" s="12" t="s">
        <v>4354</v>
      </c>
      <c r="K1832" s="12" t="s">
        <v>133</v>
      </c>
      <c r="L1832" s="12">
        <v>3108453617</v>
      </c>
      <c r="M1832" s="17" t="s">
        <v>4899</v>
      </c>
      <c r="N1832" s="12" t="s">
        <v>127</v>
      </c>
      <c r="O1832" s="12" t="s">
        <v>2822</v>
      </c>
      <c r="P1832" s="88" t="s">
        <v>48</v>
      </c>
      <c r="Q1832" s="13">
        <v>45784</v>
      </c>
      <c r="R1832" s="16">
        <v>0.9</v>
      </c>
      <c r="S1832" s="12" t="s">
        <v>210</v>
      </c>
      <c r="W1832" s="11"/>
    </row>
    <row r="1833" spans="1:47" s="12" customFormat="1" ht="14.4" hidden="1" x14ac:dyDescent="0.3">
      <c r="A1833" s="12" t="s">
        <v>39</v>
      </c>
      <c r="B1833" s="12" t="s">
        <v>4337</v>
      </c>
      <c r="C1833" s="12">
        <v>70</v>
      </c>
      <c r="D1833" s="12">
        <v>523</v>
      </c>
      <c r="E1833" s="12" t="s">
        <v>5130</v>
      </c>
      <c r="F1833" s="12" t="s">
        <v>8321</v>
      </c>
      <c r="G1833" s="12" t="str">
        <f t="shared" si="42"/>
        <v>705239019269537</v>
      </c>
      <c r="H1833" s="12" t="s">
        <v>4921</v>
      </c>
      <c r="I1833" s="12">
        <v>9019269537</v>
      </c>
      <c r="J1833" s="12" t="s">
        <v>8324</v>
      </c>
      <c r="K1833" s="12" t="s">
        <v>133</v>
      </c>
      <c r="L1833" s="12">
        <v>3108453617</v>
      </c>
      <c r="M1833" s="17" t="s">
        <v>4899</v>
      </c>
      <c r="N1833" s="12" t="s">
        <v>127</v>
      </c>
      <c r="O1833" s="12" t="s">
        <v>2822</v>
      </c>
      <c r="P1833" s="88" t="s">
        <v>48</v>
      </c>
      <c r="Q1833" s="13">
        <v>45818</v>
      </c>
      <c r="R1833" s="16" t="s">
        <v>1937</v>
      </c>
      <c r="S1833" s="12" t="s">
        <v>74</v>
      </c>
      <c r="W1833" s="11"/>
    </row>
    <row r="1834" spans="1:47" s="12" customFormat="1" ht="14.4" hidden="1" x14ac:dyDescent="0.3">
      <c r="A1834" s="12" t="s">
        <v>39</v>
      </c>
      <c r="B1834" s="12" t="s">
        <v>4337</v>
      </c>
      <c r="C1834" s="12">
        <v>70</v>
      </c>
      <c r="D1834" s="12">
        <v>523</v>
      </c>
      <c r="E1834" s="12" t="s">
        <v>5130</v>
      </c>
      <c r="F1834" s="275" t="s">
        <v>8325</v>
      </c>
      <c r="G1834" s="12" t="str">
        <f t="shared" si="42"/>
        <v>705239019269537</v>
      </c>
      <c r="H1834" s="12" t="s">
        <v>4921</v>
      </c>
      <c r="I1834" s="12">
        <v>9019269537</v>
      </c>
      <c r="J1834" s="12" t="s">
        <v>8326</v>
      </c>
      <c r="K1834" s="12" t="s">
        <v>133</v>
      </c>
      <c r="L1834" s="12">
        <v>3137783232</v>
      </c>
      <c r="M1834" s="17" t="s">
        <v>4899</v>
      </c>
      <c r="N1834" s="12" t="s">
        <v>127</v>
      </c>
      <c r="O1834" s="12" t="s">
        <v>2822</v>
      </c>
      <c r="P1834" s="88" t="s">
        <v>48</v>
      </c>
      <c r="Q1834" s="13">
        <v>46184</v>
      </c>
      <c r="R1834" s="12" t="s">
        <v>1071</v>
      </c>
      <c r="S1834" s="12" t="s">
        <v>74</v>
      </c>
      <c r="T1834" s="12" t="s">
        <v>4345</v>
      </c>
      <c r="U1834" s="12" t="s">
        <v>60</v>
      </c>
      <c r="V1834" s="13">
        <v>45852</v>
      </c>
      <c r="W1834" s="16" t="s">
        <v>1071</v>
      </c>
      <c r="X1834" s="12" t="s">
        <v>74</v>
      </c>
    </row>
    <row r="1835" spans="1:47" s="12" customFormat="1" ht="14.4" hidden="1" x14ac:dyDescent="0.3">
      <c r="A1835" s="12" t="s">
        <v>39</v>
      </c>
      <c r="B1835" s="12" t="s">
        <v>4337</v>
      </c>
      <c r="C1835" s="12">
        <v>70</v>
      </c>
      <c r="D1835" s="12">
        <v>523</v>
      </c>
      <c r="E1835" s="12" t="s">
        <v>5130</v>
      </c>
      <c r="F1835" s="12" t="s">
        <v>8325</v>
      </c>
      <c r="G1835" s="12" t="str">
        <f t="shared" si="42"/>
        <v>705239019269537</v>
      </c>
      <c r="H1835" s="12" t="s">
        <v>4921</v>
      </c>
      <c r="I1835" s="12">
        <v>9019269537</v>
      </c>
      <c r="J1835" s="12" t="s">
        <v>8327</v>
      </c>
      <c r="K1835" s="12" t="s">
        <v>192</v>
      </c>
      <c r="L1835" s="12">
        <v>3213471529</v>
      </c>
      <c r="M1835" s="17" t="s">
        <v>4899</v>
      </c>
      <c r="N1835" s="12" t="s">
        <v>127</v>
      </c>
      <c r="O1835" s="12" t="s">
        <v>2822</v>
      </c>
      <c r="P1835" s="88" t="s">
        <v>48</v>
      </c>
      <c r="Q1835" s="13">
        <v>45848</v>
      </c>
      <c r="R1835" s="16" t="s">
        <v>4569</v>
      </c>
      <c r="S1835" s="12" t="s">
        <v>74</v>
      </c>
      <c r="T1835" s="12" t="s">
        <v>4345</v>
      </c>
      <c r="U1835" s="12" t="s">
        <v>60</v>
      </c>
      <c r="W1835" s="11"/>
    </row>
    <row r="1836" spans="1:47" s="12" customFormat="1" ht="14.4" hidden="1" x14ac:dyDescent="0.3">
      <c r="A1836" s="12" t="s">
        <v>39</v>
      </c>
      <c r="B1836" s="12" t="s">
        <v>4337</v>
      </c>
      <c r="C1836" s="12">
        <v>70</v>
      </c>
      <c r="D1836" s="12">
        <v>523</v>
      </c>
      <c r="E1836" s="12" t="s">
        <v>5130</v>
      </c>
      <c r="F1836" s="275" t="s">
        <v>8325</v>
      </c>
      <c r="G1836" s="12" t="str">
        <f t="shared" si="42"/>
        <v>705239019269337</v>
      </c>
      <c r="H1836" s="12" t="s">
        <v>4921</v>
      </c>
      <c r="I1836" s="12">
        <v>9019269337</v>
      </c>
      <c r="J1836" s="12" t="s">
        <v>8328</v>
      </c>
      <c r="K1836" s="12" t="s">
        <v>133</v>
      </c>
      <c r="L1836" s="12">
        <v>3022788787</v>
      </c>
      <c r="M1836" s="17" t="s">
        <v>4899</v>
      </c>
      <c r="N1836" s="12" t="s">
        <v>127</v>
      </c>
      <c r="O1836" s="12" t="s">
        <v>2822</v>
      </c>
      <c r="P1836" s="88" t="s">
        <v>48</v>
      </c>
      <c r="Q1836" s="13">
        <v>46182</v>
      </c>
      <c r="R1836" s="12" t="s">
        <v>81</v>
      </c>
      <c r="S1836" s="12" t="s">
        <v>74</v>
      </c>
      <c r="V1836" s="13">
        <v>45853</v>
      </c>
      <c r="W1836" s="16" t="s">
        <v>176</v>
      </c>
      <c r="X1836" s="12" t="s">
        <v>74</v>
      </c>
      <c r="Z1836" s="12" t="s">
        <v>60</v>
      </c>
    </row>
    <row r="1837" spans="1:47" s="12" customFormat="1" ht="14.4" hidden="1" x14ac:dyDescent="0.3">
      <c r="A1837" s="12" t="s">
        <v>39</v>
      </c>
      <c r="B1837" s="12" t="s">
        <v>4337</v>
      </c>
      <c r="C1837" s="12">
        <v>70</v>
      </c>
      <c r="D1837" s="12">
        <v>523</v>
      </c>
      <c r="E1837" s="12" t="s">
        <v>8596</v>
      </c>
      <c r="F1837" s="275" t="s">
        <v>8849</v>
      </c>
      <c r="G1837" s="12" t="str">
        <f t="shared" si="42"/>
        <v>70523997954912</v>
      </c>
      <c r="H1837" s="12" t="s">
        <v>4921</v>
      </c>
      <c r="I1837" s="12">
        <v>997954912</v>
      </c>
      <c r="J1837" s="12" t="s">
        <v>8219</v>
      </c>
      <c r="K1837" s="12" t="s">
        <v>192</v>
      </c>
      <c r="L1837" s="12">
        <v>3502676045</v>
      </c>
      <c r="M1837" s="17" t="s">
        <v>4928</v>
      </c>
      <c r="N1837" s="12" t="s">
        <v>127</v>
      </c>
      <c r="O1837" s="12" t="s">
        <v>2822</v>
      </c>
      <c r="P1837" s="88" t="s">
        <v>48</v>
      </c>
      <c r="Q1837" s="13">
        <v>46142</v>
      </c>
      <c r="R1837" s="16">
        <v>0.89</v>
      </c>
      <c r="S1837" s="12" t="s">
        <v>49</v>
      </c>
      <c r="U1837" s="12" t="s">
        <v>60</v>
      </c>
      <c r="V1837" s="13">
        <v>45897</v>
      </c>
      <c r="W1837" s="16" t="s">
        <v>1906</v>
      </c>
      <c r="X1837" s="12" t="s">
        <v>74</v>
      </c>
    </row>
    <row r="1838" spans="1:47" s="12" customFormat="1" ht="14.4" hidden="1" x14ac:dyDescent="0.3">
      <c r="A1838" s="12" t="s">
        <v>39</v>
      </c>
      <c r="B1838" s="12" t="s">
        <v>4337</v>
      </c>
      <c r="C1838" s="12">
        <v>70</v>
      </c>
      <c r="D1838" s="12">
        <v>523</v>
      </c>
      <c r="E1838" s="12" t="s">
        <v>5130</v>
      </c>
      <c r="F1838" s="12" t="s">
        <v>8329</v>
      </c>
      <c r="G1838" s="12" t="str">
        <f t="shared" si="42"/>
        <v>705239019269537</v>
      </c>
      <c r="H1838" s="12" t="s">
        <v>4921</v>
      </c>
      <c r="I1838" s="12">
        <v>9019269537</v>
      </c>
      <c r="J1838" s="12" t="s">
        <v>8330</v>
      </c>
      <c r="K1838" s="12" t="s">
        <v>133</v>
      </c>
      <c r="L1838" s="12">
        <v>3126079826</v>
      </c>
      <c r="M1838" s="17" t="s">
        <v>4899</v>
      </c>
      <c r="N1838" s="12" t="s">
        <v>127</v>
      </c>
      <c r="O1838" s="12" t="s">
        <v>2822</v>
      </c>
      <c r="P1838" s="88" t="s">
        <v>48</v>
      </c>
      <c r="Q1838" s="13">
        <v>45894</v>
      </c>
      <c r="R1838" s="16" t="s">
        <v>203</v>
      </c>
      <c r="S1838" s="12" t="s">
        <v>74</v>
      </c>
      <c r="W1838" s="11"/>
    </row>
    <row r="1839" spans="1:47" s="12" customFormat="1" ht="14.4" hidden="1" x14ac:dyDescent="0.3">
      <c r="A1839" s="12" t="s">
        <v>39</v>
      </c>
      <c r="B1839" s="12" t="s">
        <v>4337</v>
      </c>
      <c r="C1839" s="12">
        <v>70</v>
      </c>
      <c r="D1839" s="12">
        <v>523</v>
      </c>
      <c r="E1839" s="12" t="s">
        <v>5130</v>
      </c>
      <c r="F1839" s="12" t="s">
        <v>8329</v>
      </c>
      <c r="G1839" s="12" t="str">
        <f t="shared" si="42"/>
        <v>705239019269537</v>
      </c>
      <c r="H1839" s="12" t="s">
        <v>4921</v>
      </c>
      <c r="I1839" s="12">
        <v>9019269537</v>
      </c>
      <c r="J1839" s="12" t="s">
        <v>8331</v>
      </c>
      <c r="K1839" s="12" t="s">
        <v>133</v>
      </c>
      <c r="L1839" s="12">
        <v>3023118809</v>
      </c>
      <c r="M1839" s="17" t="s">
        <v>4899</v>
      </c>
      <c r="N1839" s="12" t="s">
        <v>127</v>
      </c>
      <c r="O1839" s="12" t="s">
        <v>2822</v>
      </c>
      <c r="P1839" s="88" t="s">
        <v>48</v>
      </c>
      <c r="Q1839" s="13">
        <v>45890</v>
      </c>
      <c r="R1839" s="16" t="s">
        <v>203</v>
      </c>
      <c r="S1839" s="12" t="s">
        <v>74</v>
      </c>
      <c r="W1839" s="11"/>
    </row>
    <row r="1840" spans="1:47" s="12" customFormat="1" ht="14.4" hidden="1" x14ac:dyDescent="0.3">
      <c r="A1840" s="12" t="s">
        <v>39</v>
      </c>
      <c r="B1840" s="12" t="s">
        <v>4337</v>
      </c>
      <c r="C1840" s="12">
        <v>70</v>
      </c>
      <c r="D1840" s="12">
        <v>523</v>
      </c>
      <c r="E1840" s="12" t="s">
        <v>5130</v>
      </c>
      <c r="F1840" s="12" t="s">
        <v>8332</v>
      </c>
      <c r="G1840" s="12" t="str">
        <f t="shared" si="42"/>
        <v>705239019269537</v>
      </c>
      <c r="H1840" s="12" t="s">
        <v>4921</v>
      </c>
      <c r="I1840" s="12">
        <v>9019269537</v>
      </c>
      <c r="J1840" s="12" t="s">
        <v>8333</v>
      </c>
      <c r="K1840" s="12" t="s">
        <v>133</v>
      </c>
      <c r="L1840" s="12">
        <v>3122760929</v>
      </c>
      <c r="M1840" s="17" t="s">
        <v>4899</v>
      </c>
      <c r="N1840" s="12" t="s">
        <v>127</v>
      </c>
      <c r="O1840" s="12" t="s">
        <v>2822</v>
      </c>
      <c r="P1840" s="88" t="s">
        <v>48</v>
      </c>
      <c r="Q1840" s="13">
        <v>45924</v>
      </c>
      <c r="R1840" s="16" t="s">
        <v>4569</v>
      </c>
      <c r="S1840" s="12" t="s">
        <v>74</v>
      </c>
      <c r="W1840" s="11"/>
    </row>
    <row r="1841" spans="1:47" s="12" customFormat="1" ht="14.4" hidden="1" x14ac:dyDescent="0.3">
      <c r="A1841" s="12" t="s">
        <v>39</v>
      </c>
      <c r="B1841" s="12" t="s">
        <v>4337</v>
      </c>
      <c r="C1841" s="12">
        <v>70</v>
      </c>
      <c r="D1841" s="12">
        <v>523</v>
      </c>
      <c r="E1841" s="12" t="s">
        <v>8596</v>
      </c>
      <c r="F1841" s="275" t="s">
        <v>8321</v>
      </c>
      <c r="G1841" s="12" t="str">
        <f t="shared" si="42"/>
        <v>70523997954912</v>
      </c>
      <c r="H1841" s="12" t="s">
        <v>4921</v>
      </c>
      <c r="I1841" s="12">
        <v>997954912</v>
      </c>
      <c r="J1841" s="12" t="s">
        <v>5176</v>
      </c>
      <c r="K1841" s="12" t="s">
        <v>133</v>
      </c>
      <c r="L1841" s="12">
        <v>3237286237</v>
      </c>
      <c r="M1841" s="17" t="s">
        <v>8850</v>
      </c>
      <c r="N1841" s="12" t="s">
        <v>127</v>
      </c>
      <c r="O1841" s="12" t="s">
        <v>2822</v>
      </c>
      <c r="P1841" s="88" t="s">
        <v>48</v>
      </c>
      <c r="Q1841" s="13">
        <v>46129</v>
      </c>
      <c r="R1841" s="12" t="s">
        <v>1906</v>
      </c>
      <c r="S1841" s="12" t="s">
        <v>74</v>
      </c>
      <c r="U1841" s="12" t="s">
        <v>60</v>
      </c>
      <c r="V1841" s="13">
        <v>45791</v>
      </c>
      <c r="W1841" s="16" t="s">
        <v>203</v>
      </c>
      <c r="X1841" s="12" t="s">
        <v>49</v>
      </c>
      <c r="AU1841" s="12" t="s">
        <v>53</v>
      </c>
    </row>
    <row r="1842" spans="1:47" s="12" customFormat="1" ht="14.4" hidden="1" x14ac:dyDescent="0.3">
      <c r="A1842" s="12" t="s">
        <v>39</v>
      </c>
      <c r="B1842" s="12" t="s">
        <v>4337</v>
      </c>
      <c r="C1842" s="12">
        <v>70</v>
      </c>
      <c r="D1842" s="12">
        <v>523</v>
      </c>
      <c r="E1842" s="12" t="s">
        <v>5130</v>
      </c>
      <c r="F1842" s="12" t="s">
        <v>8341</v>
      </c>
      <c r="G1842" s="12" t="str">
        <f t="shared" si="42"/>
        <v>705239019269537</v>
      </c>
      <c r="H1842" s="12" t="s">
        <v>4921</v>
      </c>
      <c r="I1842" s="12">
        <v>9019269537</v>
      </c>
      <c r="J1842" s="12" t="s">
        <v>8342</v>
      </c>
      <c r="K1842" s="12" t="s">
        <v>133</v>
      </c>
      <c r="L1842" s="12">
        <v>3108453617</v>
      </c>
      <c r="M1842" s="17" t="s">
        <v>4899</v>
      </c>
      <c r="N1842" s="12" t="s">
        <v>127</v>
      </c>
      <c r="O1842" s="12" t="s">
        <v>2822</v>
      </c>
      <c r="P1842" s="88" t="s">
        <v>48</v>
      </c>
      <c r="Q1842" s="13">
        <v>45924</v>
      </c>
      <c r="R1842" s="16" t="s">
        <v>4569</v>
      </c>
      <c r="S1842" s="12" t="s">
        <v>49</v>
      </c>
      <c r="T1842" s="12" t="s">
        <v>4345</v>
      </c>
      <c r="U1842" s="12" t="s">
        <v>60</v>
      </c>
      <c r="W1842" s="11"/>
      <c r="AU1842" s="12" t="s">
        <v>53</v>
      </c>
    </row>
    <row r="1843" spans="1:47" s="12" customFormat="1" ht="14.4" hidden="1" x14ac:dyDescent="0.3">
      <c r="A1843" s="12" t="s">
        <v>39</v>
      </c>
      <c r="B1843" s="12" t="s">
        <v>4337</v>
      </c>
      <c r="C1843" s="12">
        <v>70</v>
      </c>
      <c r="D1843" s="12">
        <v>523</v>
      </c>
      <c r="F1843" s="12" t="s">
        <v>5142</v>
      </c>
      <c r="G1843" s="12" t="str">
        <f t="shared" si="42"/>
        <v>70523800167616-6</v>
      </c>
      <c r="H1843" s="12" t="s">
        <v>5143</v>
      </c>
      <c r="I1843" s="12" t="s">
        <v>5011</v>
      </c>
      <c r="J1843" s="12" t="s">
        <v>5144</v>
      </c>
      <c r="K1843" s="12" t="s">
        <v>133</v>
      </c>
      <c r="L1843" s="12">
        <v>3235057555</v>
      </c>
      <c r="M1843" s="12" t="s">
        <v>45</v>
      </c>
      <c r="N1843" s="12" t="s">
        <v>127</v>
      </c>
      <c r="O1843" s="12" t="s">
        <v>2822</v>
      </c>
      <c r="P1843" s="88" t="s">
        <v>48</v>
      </c>
      <c r="Q1843" s="13">
        <v>44782</v>
      </c>
      <c r="R1843" s="16">
        <v>0.875</v>
      </c>
      <c r="S1843" s="12" t="s">
        <v>49</v>
      </c>
      <c r="W1843" s="11"/>
      <c r="AU1843" s="12" t="s">
        <v>164</v>
      </c>
    </row>
    <row r="1844" spans="1:47" s="12" customFormat="1" ht="14.4" hidden="1" x14ac:dyDescent="0.3">
      <c r="A1844" s="12" t="s">
        <v>39</v>
      </c>
      <c r="B1844" s="12" t="s">
        <v>4337</v>
      </c>
      <c r="C1844" s="12">
        <v>70</v>
      </c>
      <c r="D1844" s="12">
        <v>523</v>
      </c>
      <c r="F1844" s="12" t="s">
        <v>5145</v>
      </c>
      <c r="G1844" s="12" t="str">
        <f t="shared" si="42"/>
        <v>705238001676166-6</v>
      </c>
      <c r="H1844" s="12" t="s">
        <v>5112</v>
      </c>
      <c r="I1844" s="12" t="s">
        <v>5146</v>
      </c>
      <c r="J1844" s="12" t="s">
        <v>4342</v>
      </c>
      <c r="K1844" s="12" t="s">
        <v>133</v>
      </c>
      <c r="L1844" s="12" t="s">
        <v>45</v>
      </c>
      <c r="M1844" s="12" t="s">
        <v>45</v>
      </c>
      <c r="N1844" s="12" t="s">
        <v>127</v>
      </c>
      <c r="O1844" s="12" t="s">
        <v>2822</v>
      </c>
      <c r="P1844" s="88" t="s">
        <v>48</v>
      </c>
      <c r="Q1844" s="13">
        <v>45775</v>
      </c>
      <c r="R1844" s="18">
        <v>0.85499999999999998</v>
      </c>
      <c r="S1844" s="12" t="s">
        <v>49</v>
      </c>
      <c r="T1844" s="12" t="s">
        <v>4345</v>
      </c>
      <c r="U1844" s="12" t="s">
        <v>60</v>
      </c>
      <c r="V1844" s="13">
        <v>44657</v>
      </c>
      <c r="W1844" s="16">
        <v>0.92500000000000004</v>
      </c>
      <c r="X1844" s="12" t="s">
        <v>210</v>
      </c>
      <c r="AU1844" s="12" t="s">
        <v>53</v>
      </c>
    </row>
    <row r="1845" spans="1:47" s="12" customFormat="1" ht="14.4" hidden="1" x14ac:dyDescent="0.3">
      <c r="A1845" s="12" t="s">
        <v>39</v>
      </c>
      <c r="B1845" s="12" t="s">
        <v>4337</v>
      </c>
      <c r="C1845" s="12">
        <v>70</v>
      </c>
      <c r="D1845" s="12">
        <v>523</v>
      </c>
      <c r="F1845" s="12" t="s">
        <v>5147</v>
      </c>
      <c r="G1845" s="12" t="str">
        <f t="shared" si="42"/>
        <v>70523800167616-6</v>
      </c>
      <c r="H1845" s="12" t="s">
        <v>5112</v>
      </c>
      <c r="I1845" s="12" t="s">
        <v>5011</v>
      </c>
      <c r="J1845" s="12" t="s">
        <v>5118</v>
      </c>
      <c r="K1845" s="12" t="s">
        <v>133</v>
      </c>
      <c r="L1845" s="12">
        <v>3007210106</v>
      </c>
      <c r="M1845" s="12" t="s">
        <v>45</v>
      </c>
      <c r="N1845" s="12" t="s">
        <v>127</v>
      </c>
      <c r="O1845" s="12" t="s">
        <v>2822</v>
      </c>
      <c r="P1845" s="88" t="s">
        <v>48</v>
      </c>
      <c r="Q1845" s="13">
        <v>45180</v>
      </c>
      <c r="R1845" s="16">
        <v>0.88</v>
      </c>
      <c r="S1845" s="12" t="s">
        <v>49</v>
      </c>
      <c r="W1845" s="11"/>
      <c r="AU1845" s="12" t="s">
        <v>53</v>
      </c>
    </row>
    <row r="1846" spans="1:47" s="12" customFormat="1" ht="14.4" hidden="1" x14ac:dyDescent="0.3">
      <c r="A1846" s="12" t="s">
        <v>39</v>
      </c>
      <c r="B1846" s="12" t="s">
        <v>4337</v>
      </c>
      <c r="C1846" s="12">
        <v>70</v>
      </c>
      <c r="D1846" s="12">
        <v>523</v>
      </c>
      <c r="F1846" s="12" t="s">
        <v>5148</v>
      </c>
      <c r="G1846" s="12" t="str">
        <f t="shared" si="42"/>
        <v>7052370523900072094-5</v>
      </c>
      <c r="H1846" s="12" t="s">
        <v>5022</v>
      </c>
      <c r="I1846" s="12" t="s">
        <v>5061</v>
      </c>
      <c r="J1846" s="12" t="s">
        <v>5141</v>
      </c>
      <c r="K1846" s="12" t="s">
        <v>133</v>
      </c>
      <c r="L1846" s="12" t="s">
        <v>45</v>
      </c>
      <c r="M1846" s="12" t="s">
        <v>45</v>
      </c>
      <c r="N1846" s="12" t="s">
        <v>127</v>
      </c>
      <c r="O1846" s="12" t="s">
        <v>2822</v>
      </c>
      <c r="P1846" s="88" t="s">
        <v>48</v>
      </c>
      <c r="R1846" s="16"/>
      <c r="W1846" s="11"/>
      <c r="AU1846" s="12" t="s">
        <v>164</v>
      </c>
    </row>
    <row r="1847" spans="1:47" s="12" customFormat="1" ht="14.4" hidden="1" x14ac:dyDescent="0.3">
      <c r="A1847" s="12" t="s">
        <v>39</v>
      </c>
      <c r="B1847" s="12" t="s">
        <v>4337</v>
      </c>
      <c r="C1847" s="12">
        <v>70</v>
      </c>
      <c r="D1847" s="12">
        <v>523</v>
      </c>
      <c r="F1847" s="12" t="s">
        <v>5149</v>
      </c>
      <c r="G1847" s="12" t="str">
        <f t="shared" si="42"/>
        <v>70523800167616-6</v>
      </c>
      <c r="H1847" s="12" t="s">
        <v>5150</v>
      </c>
      <c r="I1847" s="12" t="s">
        <v>5011</v>
      </c>
      <c r="J1847" s="12" t="s">
        <v>5151</v>
      </c>
      <c r="K1847" s="12" t="s">
        <v>133</v>
      </c>
      <c r="L1847" s="12">
        <v>3126150413</v>
      </c>
      <c r="M1847" s="12" t="s">
        <v>45</v>
      </c>
      <c r="N1847" s="12" t="s">
        <v>127</v>
      </c>
      <c r="O1847" s="12" t="s">
        <v>2822</v>
      </c>
      <c r="P1847" s="88" t="s">
        <v>48</v>
      </c>
      <c r="R1847" s="16"/>
      <c r="V1847" s="13"/>
      <c r="W1847" s="11"/>
      <c r="AU1847" s="12" t="s">
        <v>164</v>
      </c>
    </row>
    <row r="1848" spans="1:47" s="12" customFormat="1" ht="14.4" hidden="1" x14ac:dyDescent="0.3">
      <c r="A1848" s="12" t="s">
        <v>39</v>
      </c>
      <c r="B1848" s="12" t="s">
        <v>4337</v>
      </c>
      <c r="C1848" s="12">
        <v>70</v>
      </c>
      <c r="D1848" s="12">
        <v>523</v>
      </c>
      <c r="F1848" s="12" t="s">
        <v>5152</v>
      </c>
      <c r="G1848" s="12" t="str">
        <f t="shared" si="42"/>
        <v>70523900072094-5</v>
      </c>
      <c r="H1848" s="12" t="s">
        <v>5022</v>
      </c>
      <c r="I1848" s="12" t="s">
        <v>1091</v>
      </c>
      <c r="J1848" s="12" t="s">
        <v>5141</v>
      </c>
      <c r="K1848" s="12" t="s">
        <v>133</v>
      </c>
      <c r="L1848" s="12">
        <v>3146276218</v>
      </c>
      <c r="M1848" s="12" t="s">
        <v>45</v>
      </c>
      <c r="N1848" s="12" t="s">
        <v>127</v>
      </c>
      <c r="O1848" s="12" t="s">
        <v>2822</v>
      </c>
      <c r="P1848" s="88" t="s">
        <v>48</v>
      </c>
      <c r="R1848" s="16"/>
      <c r="W1848" s="11"/>
      <c r="AU1848" s="12" t="s">
        <v>164</v>
      </c>
    </row>
    <row r="1849" spans="1:47" s="12" customFormat="1" ht="14.4" x14ac:dyDescent="0.3">
      <c r="A1849" s="12" t="s">
        <v>39</v>
      </c>
      <c r="B1849" s="12" t="s">
        <v>4337</v>
      </c>
      <c r="C1849" s="12">
        <v>70</v>
      </c>
      <c r="D1849" s="12">
        <v>523</v>
      </c>
      <c r="F1849" s="12" t="s">
        <v>5153</v>
      </c>
      <c r="G1849" s="12" t="str">
        <f t="shared" si="42"/>
        <v>70523901465399</v>
      </c>
      <c r="H1849" s="12" t="s">
        <v>5154</v>
      </c>
      <c r="I1849" s="12">
        <v>901465399</v>
      </c>
      <c r="J1849" s="12" t="s">
        <v>5155</v>
      </c>
      <c r="K1849" s="12" t="s">
        <v>133</v>
      </c>
      <c r="L1849" s="12" t="s">
        <v>45</v>
      </c>
      <c r="M1849" s="12" t="s">
        <v>45</v>
      </c>
      <c r="N1849" s="12" t="s">
        <v>46</v>
      </c>
      <c r="O1849" s="12" t="s">
        <v>47</v>
      </c>
      <c r="P1849" s="88" t="s">
        <v>48</v>
      </c>
      <c r="Q1849" s="13">
        <v>44728</v>
      </c>
      <c r="R1849" s="16">
        <v>0.77</v>
      </c>
      <c r="S1849" s="12" t="s">
        <v>49</v>
      </c>
      <c r="W1849" s="11"/>
      <c r="AU1849" s="12" t="s">
        <v>164</v>
      </c>
    </row>
    <row r="1850" spans="1:47" s="12" customFormat="1" ht="14.4" hidden="1" x14ac:dyDescent="0.3">
      <c r="A1850" s="12" t="s">
        <v>39</v>
      </c>
      <c r="B1850" s="12" t="s">
        <v>4337</v>
      </c>
      <c r="C1850" s="12">
        <v>70</v>
      </c>
      <c r="D1850" s="12">
        <v>523</v>
      </c>
      <c r="F1850" s="12" t="s">
        <v>5156</v>
      </c>
      <c r="G1850" s="12" t="str">
        <f t="shared" si="42"/>
        <v>70523900072094-5</v>
      </c>
      <c r="H1850" s="12" t="s">
        <v>5157</v>
      </c>
      <c r="I1850" s="12" t="s">
        <v>1091</v>
      </c>
      <c r="J1850" s="12" t="s">
        <v>5158</v>
      </c>
      <c r="K1850" s="12" t="s">
        <v>133</v>
      </c>
      <c r="L1850" s="12" t="s">
        <v>45</v>
      </c>
      <c r="M1850" s="12" t="s">
        <v>45</v>
      </c>
      <c r="N1850" s="12" t="s">
        <v>127</v>
      </c>
      <c r="O1850" s="12" t="s">
        <v>2822</v>
      </c>
      <c r="P1850" s="88" t="s">
        <v>48</v>
      </c>
      <c r="Q1850" s="13">
        <v>44624</v>
      </c>
      <c r="R1850" s="16">
        <v>0.76</v>
      </c>
      <c r="S1850" s="12" t="s">
        <v>49</v>
      </c>
      <c r="V1850" s="13">
        <v>44398</v>
      </c>
      <c r="W1850" s="11">
        <v>0.83499999999999996</v>
      </c>
      <c r="X1850" s="12" t="s">
        <v>49</v>
      </c>
      <c r="AU1850" s="12" t="s">
        <v>164</v>
      </c>
    </row>
    <row r="1851" spans="1:47" s="12" customFormat="1" ht="14.4" hidden="1" x14ac:dyDescent="0.3">
      <c r="A1851" s="12" t="s">
        <v>39</v>
      </c>
      <c r="B1851" s="12" t="s">
        <v>4337</v>
      </c>
      <c r="C1851" s="12">
        <v>70</v>
      </c>
      <c r="D1851" s="12">
        <v>523</v>
      </c>
      <c r="F1851" s="12" t="s">
        <v>5159</v>
      </c>
      <c r="G1851" s="12" t="str">
        <f t="shared" si="42"/>
        <v>70523901471505</v>
      </c>
      <c r="H1851" s="12" t="s">
        <v>5160</v>
      </c>
      <c r="I1851" s="12">
        <v>901471505</v>
      </c>
      <c r="J1851" s="12" t="s">
        <v>5141</v>
      </c>
      <c r="K1851" s="12" t="s">
        <v>133</v>
      </c>
      <c r="L1851" s="12">
        <v>3233905043</v>
      </c>
      <c r="M1851" s="12" t="s">
        <v>45</v>
      </c>
      <c r="N1851" s="12" t="s">
        <v>780</v>
      </c>
      <c r="O1851" s="12" t="s">
        <v>260</v>
      </c>
      <c r="P1851" s="88" t="s">
        <v>261</v>
      </c>
      <c r="Q1851" s="13">
        <v>45548</v>
      </c>
      <c r="R1851" s="16">
        <v>0.84</v>
      </c>
      <c r="S1851" s="12" t="s">
        <v>49</v>
      </c>
      <c r="T1851" s="12" t="s">
        <v>4345</v>
      </c>
      <c r="U1851" s="12" t="s">
        <v>60</v>
      </c>
      <c r="V1851" s="13">
        <v>44820</v>
      </c>
      <c r="W1851" s="11" t="s">
        <v>1906</v>
      </c>
      <c r="X1851" s="12" t="s">
        <v>139</v>
      </c>
      <c r="Y1851" s="12" t="s">
        <v>4345</v>
      </c>
      <c r="Z1851" s="12" t="s">
        <v>5059</v>
      </c>
      <c r="AC1851" s="13">
        <v>44302</v>
      </c>
      <c r="AD1851" s="16">
        <v>0.84</v>
      </c>
      <c r="AE1851" s="12" t="s">
        <v>49</v>
      </c>
      <c r="AU1851" s="12" t="s">
        <v>164</v>
      </c>
    </row>
    <row r="1852" spans="1:47" s="12" customFormat="1" ht="14.4" hidden="1" x14ac:dyDescent="0.3">
      <c r="A1852" s="12" t="s">
        <v>39</v>
      </c>
      <c r="B1852" s="12" t="s">
        <v>4337</v>
      </c>
      <c r="C1852" s="12">
        <v>70</v>
      </c>
      <c r="D1852" s="12">
        <v>523</v>
      </c>
      <c r="F1852" s="12" t="s">
        <v>5161</v>
      </c>
      <c r="G1852" s="12" t="str">
        <f t="shared" si="42"/>
        <v>70523800167616-6</v>
      </c>
      <c r="H1852" s="12" t="s">
        <v>5162</v>
      </c>
      <c r="I1852" s="12" t="s">
        <v>5011</v>
      </c>
      <c r="J1852" s="12" t="s">
        <v>5163</v>
      </c>
      <c r="K1852" s="12" t="s">
        <v>133</v>
      </c>
      <c r="L1852" s="12" t="s">
        <v>45</v>
      </c>
      <c r="M1852" s="12" t="s">
        <v>45</v>
      </c>
      <c r="N1852" s="12" t="s">
        <v>127</v>
      </c>
      <c r="O1852" s="12" t="s">
        <v>2822</v>
      </c>
      <c r="P1852" s="88" t="s">
        <v>48</v>
      </c>
      <c r="Q1852" s="13">
        <v>44621</v>
      </c>
      <c r="R1852" s="16">
        <v>0.88500000000000001</v>
      </c>
      <c r="S1852" s="12" t="s">
        <v>49</v>
      </c>
      <c r="W1852" s="11"/>
      <c r="AU1852" s="12" t="s">
        <v>164</v>
      </c>
    </row>
    <row r="1853" spans="1:47" s="12" customFormat="1" ht="14.4" hidden="1" x14ac:dyDescent="0.3">
      <c r="A1853" s="12" t="s">
        <v>39</v>
      </c>
      <c r="B1853" s="12" t="s">
        <v>4337</v>
      </c>
      <c r="C1853" s="12">
        <v>70</v>
      </c>
      <c r="D1853" s="12">
        <v>523</v>
      </c>
      <c r="F1853" s="12" t="s">
        <v>5161</v>
      </c>
      <c r="G1853" s="12" t="str">
        <f t="shared" si="42"/>
        <v>70523800167616-6</v>
      </c>
      <c r="H1853" s="12" t="s">
        <v>5162</v>
      </c>
      <c r="I1853" s="12" t="s">
        <v>5011</v>
      </c>
      <c r="J1853" s="12" t="s">
        <v>5113</v>
      </c>
      <c r="K1853" s="12" t="s">
        <v>133</v>
      </c>
      <c r="L1853" s="12" t="s">
        <v>45</v>
      </c>
      <c r="M1853" s="12" t="s">
        <v>45</v>
      </c>
      <c r="N1853" s="12" t="s">
        <v>127</v>
      </c>
      <c r="O1853" s="12" t="s">
        <v>2822</v>
      </c>
      <c r="P1853" s="88" t="s">
        <v>48</v>
      </c>
      <c r="Q1853" s="13">
        <v>44642</v>
      </c>
      <c r="R1853" s="16">
        <v>0.84499999999999997</v>
      </c>
      <c r="S1853" s="12" t="s">
        <v>49</v>
      </c>
      <c r="W1853" s="11"/>
      <c r="AU1853" s="12" t="s">
        <v>164</v>
      </c>
    </row>
    <row r="1854" spans="1:47" s="12" customFormat="1" ht="14.4" hidden="1" x14ac:dyDescent="0.3">
      <c r="A1854" s="12" t="s">
        <v>39</v>
      </c>
      <c r="B1854" s="12" t="s">
        <v>4337</v>
      </c>
      <c r="C1854" s="12">
        <v>70</v>
      </c>
      <c r="D1854" s="12">
        <v>523</v>
      </c>
      <c r="F1854" s="12" t="s">
        <v>5161</v>
      </c>
      <c r="G1854" s="12" t="str">
        <f t="shared" si="42"/>
        <v>70523800167616-6</v>
      </c>
      <c r="H1854" s="12" t="s">
        <v>5112</v>
      </c>
      <c r="I1854" s="12" t="s">
        <v>5011</v>
      </c>
      <c r="J1854" s="12" t="s">
        <v>5164</v>
      </c>
      <c r="K1854" s="12" t="s">
        <v>133</v>
      </c>
      <c r="L1854" s="12">
        <v>3164363387</v>
      </c>
      <c r="M1854" s="12" t="s">
        <v>45</v>
      </c>
      <c r="N1854" s="12" t="s">
        <v>127</v>
      </c>
      <c r="O1854" s="12" t="s">
        <v>2822</v>
      </c>
      <c r="P1854" s="88" t="s">
        <v>48</v>
      </c>
      <c r="Q1854" s="13"/>
      <c r="R1854" s="16"/>
      <c r="W1854" s="11"/>
      <c r="AU1854" s="12" t="s">
        <v>164</v>
      </c>
    </row>
    <row r="1855" spans="1:47" s="12" customFormat="1" ht="14.4" hidden="1" x14ac:dyDescent="0.3">
      <c r="A1855" s="12" t="s">
        <v>39</v>
      </c>
      <c r="B1855" s="12" t="s">
        <v>4337</v>
      </c>
      <c r="C1855" s="12">
        <v>70</v>
      </c>
      <c r="D1855" s="12">
        <v>523</v>
      </c>
      <c r="F1855" s="12" t="s">
        <v>5161</v>
      </c>
      <c r="G1855" s="12" t="str">
        <f t="shared" si="42"/>
        <v>70523800167616-6</v>
      </c>
      <c r="H1855" s="12" t="s">
        <v>5165</v>
      </c>
      <c r="I1855" s="12" t="s">
        <v>5011</v>
      </c>
      <c r="J1855" s="12" t="s">
        <v>5133</v>
      </c>
      <c r="K1855" s="12" t="s">
        <v>133</v>
      </c>
      <c r="L1855" s="12" t="s">
        <v>45</v>
      </c>
      <c r="M1855" s="12" t="s">
        <v>45</v>
      </c>
      <c r="N1855" s="12" t="s">
        <v>127</v>
      </c>
      <c r="O1855" s="12" t="s">
        <v>2822</v>
      </c>
      <c r="P1855" s="88" t="s">
        <v>48</v>
      </c>
      <c r="Q1855" s="13" t="s">
        <v>5134</v>
      </c>
      <c r="R1855" s="16">
        <v>0.84499999999999997</v>
      </c>
      <c r="S1855" s="12" t="s">
        <v>49</v>
      </c>
      <c r="W1855" s="11"/>
      <c r="AU1855" s="12" t="s">
        <v>164</v>
      </c>
    </row>
    <row r="1856" spans="1:47" s="12" customFormat="1" ht="14.4" hidden="1" x14ac:dyDescent="0.3">
      <c r="A1856" s="12" t="s">
        <v>39</v>
      </c>
      <c r="B1856" s="12" t="s">
        <v>4337</v>
      </c>
      <c r="C1856" s="12">
        <v>70</v>
      </c>
      <c r="D1856" s="12">
        <v>523</v>
      </c>
      <c r="F1856" s="12" t="s">
        <v>5161</v>
      </c>
      <c r="G1856" s="12" t="str">
        <f t="shared" si="42"/>
        <v>70523800167616-6</v>
      </c>
      <c r="H1856" s="12" t="s">
        <v>5112</v>
      </c>
      <c r="I1856" s="12" t="s">
        <v>5011</v>
      </c>
      <c r="J1856" s="12" t="s">
        <v>5124</v>
      </c>
      <c r="K1856" s="12" t="s">
        <v>133</v>
      </c>
      <c r="L1856" s="12" t="s">
        <v>45</v>
      </c>
      <c r="M1856" s="12" t="s">
        <v>45</v>
      </c>
      <c r="N1856" s="12" t="s">
        <v>127</v>
      </c>
      <c r="O1856" s="12" t="s">
        <v>2822</v>
      </c>
      <c r="P1856" s="88" t="s">
        <v>48</v>
      </c>
      <c r="Q1856" s="13">
        <v>44910</v>
      </c>
      <c r="R1856" s="16">
        <v>0.84499999999999997</v>
      </c>
      <c r="S1856" s="12" t="s">
        <v>49</v>
      </c>
      <c r="W1856" s="11"/>
      <c r="AU1856" s="12" t="s">
        <v>164</v>
      </c>
    </row>
    <row r="1857" spans="1:47" s="12" customFormat="1" ht="14.4" hidden="1" x14ac:dyDescent="0.3">
      <c r="A1857" s="12" t="s">
        <v>39</v>
      </c>
      <c r="B1857" s="12" t="s">
        <v>4337</v>
      </c>
      <c r="C1857" s="12">
        <v>70</v>
      </c>
      <c r="D1857" s="12">
        <v>523</v>
      </c>
      <c r="F1857" s="12" t="s">
        <v>5161</v>
      </c>
      <c r="G1857" s="12" t="str">
        <f t="shared" si="42"/>
        <v>70523800167616-6</v>
      </c>
      <c r="H1857" s="12" t="s">
        <v>5112</v>
      </c>
      <c r="I1857" s="12" t="s">
        <v>5011</v>
      </c>
      <c r="J1857" s="12" t="s">
        <v>5166</v>
      </c>
      <c r="K1857" s="12" t="s">
        <v>133</v>
      </c>
      <c r="L1857" s="12" t="s">
        <v>45</v>
      </c>
      <c r="M1857" s="12" t="s">
        <v>45</v>
      </c>
      <c r="N1857" s="12" t="s">
        <v>127</v>
      </c>
      <c r="O1857" s="12" t="s">
        <v>2822</v>
      </c>
      <c r="P1857" s="88" t="s">
        <v>48</v>
      </c>
      <c r="Q1857" s="13"/>
      <c r="R1857" s="16"/>
      <c r="W1857" s="11"/>
      <c r="AU1857" s="12" t="s">
        <v>164</v>
      </c>
    </row>
    <row r="1858" spans="1:47" s="12" customFormat="1" ht="14.4" hidden="1" x14ac:dyDescent="0.3">
      <c r="A1858" s="12" t="s">
        <v>39</v>
      </c>
      <c r="B1858" s="12" t="s">
        <v>4337</v>
      </c>
      <c r="C1858" s="12">
        <v>70</v>
      </c>
      <c r="D1858" s="12">
        <v>523</v>
      </c>
      <c r="F1858" s="12" t="s">
        <v>5161</v>
      </c>
      <c r="G1858" s="12" t="str">
        <f t="shared" si="42"/>
        <v>70523800167616-6</v>
      </c>
      <c r="H1858" s="12" t="s">
        <v>5162</v>
      </c>
      <c r="I1858" s="12" t="s">
        <v>5011</v>
      </c>
      <c r="J1858" s="12" t="s">
        <v>5167</v>
      </c>
      <c r="K1858" s="12" t="s">
        <v>133</v>
      </c>
      <c r="L1858" s="12" t="s">
        <v>45</v>
      </c>
      <c r="M1858" s="12" t="s">
        <v>45</v>
      </c>
      <c r="N1858" s="12" t="s">
        <v>127</v>
      </c>
      <c r="O1858" s="12" t="s">
        <v>2822</v>
      </c>
      <c r="P1858" s="88" t="s">
        <v>48</v>
      </c>
      <c r="Q1858" s="13">
        <v>44861</v>
      </c>
      <c r="R1858" s="16">
        <v>0.92</v>
      </c>
      <c r="S1858" s="12" t="s">
        <v>210</v>
      </c>
      <c r="W1858" s="11"/>
      <c r="AU1858" s="12" t="s">
        <v>164</v>
      </c>
    </row>
    <row r="1859" spans="1:47" s="12" customFormat="1" ht="14.4" hidden="1" x14ac:dyDescent="0.3">
      <c r="A1859" s="12" t="s">
        <v>39</v>
      </c>
      <c r="B1859" s="12" t="s">
        <v>4337</v>
      </c>
      <c r="C1859" s="12">
        <v>70</v>
      </c>
      <c r="D1859" s="12">
        <v>523</v>
      </c>
      <c r="E1859" s="12" t="s">
        <v>5168</v>
      </c>
      <c r="F1859" s="12" t="s">
        <v>5169</v>
      </c>
      <c r="G1859" s="12" t="str">
        <f t="shared" si="42"/>
        <v>70523800167616-6</v>
      </c>
      <c r="H1859" s="12" t="s">
        <v>5162</v>
      </c>
      <c r="I1859" s="12" t="s">
        <v>5011</v>
      </c>
      <c r="J1859" s="12" t="s">
        <v>5170</v>
      </c>
      <c r="K1859" s="12" t="s">
        <v>133</v>
      </c>
      <c r="L1859" s="12" t="s">
        <v>45</v>
      </c>
      <c r="M1859" s="12" t="s">
        <v>45</v>
      </c>
      <c r="N1859" s="12" t="s">
        <v>127</v>
      </c>
      <c r="O1859" s="12" t="s">
        <v>2822</v>
      </c>
      <c r="P1859" s="88" t="s">
        <v>48</v>
      </c>
      <c r="Q1859" s="13">
        <v>44644</v>
      </c>
      <c r="R1859" s="16">
        <v>0.84499999999999997</v>
      </c>
      <c r="S1859" s="12" t="s">
        <v>49</v>
      </c>
      <c r="W1859" s="11"/>
      <c r="AU1859" s="12" t="s">
        <v>164</v>
      </c>
    </row>
    <row r="1860" spans="1:47" s="12" customFormat="1" ht="14.4" hidden="1" x14ac:dyDescent="0.3">
      <c r="A1860" s="12" t="s">
        <v>39</v>
      </c>
      <c r="B1860" s="12" t="s">
        <v>4337</v>
      </c>
      <c r="C1860" s="12">
        <v>70</v>
      </c>
      <c r="D1860" s="12">
        <v>523</v>
      </c>
      <c r="F1860" s="14" t="s">
        <v>5171</v>
      </c>
      <c r="G1860" s="12" t="str">
        <f t="shared" si="42"/>
        <v>7052392671704</v>
      </c>
      <c r="H1860" s="12" t="s">
        <v>5172</v>
      </c>
      <c r="I1860" s="12">
        <v>92671704</v>
      </c>
      <c r="J1860" s="12" t="s">
        <v>5019</v>
      </c>
      <c r="K1860" s="12" t="s">
        <v>230</v>
      </c>
      <c r="L1860" s="12">
        <v>3043483046</v>
      </c>
      <c r="M1860" s="12" t="s">
        <v>45</v>
      </c>
      <c r="N1860" s="12" t="s">
        <v>432</v>
      </c>
      <c r="O1860" s="12" t="s">
        <v>432</v>
      </c>
      <c r="P1860" s="88" t="s">
        <v>261</v>
      </c>
      <c r="Q1860" s="13">
        <v>45618</v>
      </c>
      <c r="R1860" s="12" t="s">
        <v>2148</v>
      </c>
      <c r="S1860" s="12" t="s">
        <v>74</v>
      </c>
      <c r="T1860" s="12" t="s">
        <v>2069</v>
      </c>
      <c r="V1860" s="13">
        <v>44540</v>
      </c>
      <c r="W1860" s="11">
        <v>0.91</v>
      </c>
      <c r="X1860" s="12" t="s">
        <v>210</v>
      </c>
      <c r="AU1860" s="12" t="s">
        <v>53</v>
      </c>
    </row>
    <row r="1861" spans="1:47" s="12" customFormat="1" ht="14.4" hidden="1" x14ac:dyDescent="0.3">
      <c r="A1861" s="12" t="s">
        <v>39</v>
      </c>
      <c r="B1861" s="12" t="s">
        <v>4337</v>
      </c>
      <c r="C1861" s="12">
        <v>70</v>
      </c>
      <c r="D1861" s="12">
        <v>523</v>
      </c>
      <c r="E1861" s="12" t="s">
        <v>7946</v>
      </c>
      <c r="F1861" s="14" t="s">
        <v>7947</v>
      </c>
      <c r="G1861" s="12" t="str">
        <f t="shared" si="42"/>
        <v>705239002996205</v>
      </c>
      <c r="H1861" s="12" t="s">
        <v>7948</v>
      </c>
      <c r="I1861" s="12">
        <v>9002996205</v>
      </c>
      <c r="J1861" s="12" t="s">
        <v>7949</v>
      </c>
      <c r="K1861" s="12" t="s">
        <v>230</v>
      </c>
      <c r="L1861" s="12">
        <v>3004585881</v>
      </c>
      <c r="M1861" s="17" t="s">
        <v>7950</v>
      </c>
      <c r="N1861" s="12" t="s">
        <v>46</v>
      </c>
      <c r="O1861" s="12" t="s">
        <v>2822</v>
      </c>
      <c r="P1861" s="88" t="s">
        <v>48</v>
      </c>
      <c r="Q1861" s="13">
        <v>45945</v>
      </c>
      <c r="R1861" s="12" t="s">
        <v>167</v>
      </c>
      <c r="S1861" s="12" t="s">
        <v>49</v>
      </c>
      <c r="T1861" s="12" t="s">
        <v>6180</v>
      </c>
      <c r="U1861" s="12" t="s">
        <v>60</v>
      </c>
      <c r="V1861" s="13"/>
      <c r="W1861" s="11"/>
      <c r="AU1861" s="12" t="s">
        <v>53</v>
      </c>
    </row>
    <row r="1862" spans="1:47" s="12" customFormat="1" ht="14.4" hidden="1" x14ac:dyDescent="0.3">
      <c r="A1862" s="12" t="s">
        <v>39</v>
      </c>
      <c r="B1862" s="12" t="s">
        <v>4337</v>
      </c>
      <c r="C1862" s="12">
        <v>70</v>
      </c>
      <c r="D1862" s="12">
        <v>523</v>
      </c>
      <c r="E1862" s="12" t="s">
        <v>5173</v>
      </c>
      <c r="F1862" s="14" t="s">
        <v>5174</v>
      </c>
      <c r="G1862" s="12" t="str">
        <f t="shared" si="42"/>
        <v>705238002498493</v>
      </c>
      <c r="H1862" s="12" t="s">
        <v>5175</v>
      </c>
      <c r="I1862" s="12">
        <v>8002498493</v>
      </c>
      <c r="J1862" s="12" t="s">
        <v>5176</v>
      </c>
      <c r="K1862" s="12" t="s">
        <v>192</v>
      </c>
      <c r="L1862" s="12" t="s">
        <v>5177</v>
      </c>
      <c r="M1862" s="12" t="s">
        <v>193</v>
      </c>
      <c r="N1862" s="12" t="s">
        <v>127</v>
      </c>
      <c r="O1862" s="12" t="s">
        <v>2822</v>
      </c>
      <c r="P1862" s="88" t="s">
        <v>102</v>
      </c>
      <c r="Q1862" s="13">
        <v>45609</v>
      </c>
      <c r="R1862" s="12" t="s">
        <v>1071</v>
      </c>
      <c r="S1862" s="12" t="s">
        <v>74</v>
      </c>
      <c r="T1862" s="12" t="s">
        <v>2069</v>
      </c>
      <c r="W1862" s="11"/>
      <c r="AU1862" s="12" t="s">
        <v>1208</v>
      </c>
    </row>
    <row r="1863" spans="1:47" s="12" customFormat="1" ht="14.4" hidden="1" x14ac:dyDescent="0.3">
      <c r="A1863" s="12" t="s">
        <v>39</v>
      </c>
      <c r="B1863" s="12" t="s">
        <v>4337</v>
      </c>
      <c r="C1863" s="12">
        <v>70</v>
      </c>
      <c r="D1863" s="12">
        <v>523</v>
      </c>
      <c r="E1863" s="12" t="s">
        <v>5173</v>
      </c>
      <c r="F1863" s="14" t="s">
        <v>5178</v>
      </c>
      <c r="G1863" s="12" t="str">
        <f t="shared" si="42"/>
        <v>705238002498493</v>
      </c>
      <c r="H1863" s="12" t="s">
        <v>5175</v>
      </c>
      <c r="I1863" s="12">
        <v>8002498493</v>
      </c>
      <c r="J1863" s="12" t="s">
        <v>5179</v>
      </c>
      <c r="K1863" s="12" t="s">
        <v>192</v>
      </c>
      <c r="L1863" s="12">
        <v>3218079365</v>
      </c>
      <c r="M1863" s="12" t="s">
        <v>193</v>
      </c>
      <c r="N1863" s="12" t="s">
        <v>127</v>
      </c>
      <c r="O1863" s="12" t="s">
        <v>2822</v>
      </c>
      <c r="P1863" s="88" t="s">
        <v>102</v>
      </c>
      <c r="Q1863" s="12" t="s">
        <v>5180</v>
      </c>
      <c r="R1863" s="12" t="s">
        <v>186</v>
      </c>
      <c r="S1863" s="12" t="s">
        <v>74</v>
      </c>
      <c r="T1863" s="12" t="s">
        <v>2069</v>
      </c>
      <c r="V1863" s="13">
        <v>45146</v>
      </c>
      <c r="W1863" s="11">
        <v>0.88</v>
      </c>
      <c r="X1863" s="12" t="s">
        <v>49</v>
      </c>
      <c r="Y1863" s="12" t="s">
        <v>4345</v>
      </c>
      <c r="Z1863" s="12" t="s">
        <v>5036</v>
      </c>
      <c r="AU1863" s="12" t="s">
        <v>1208</v>
      </c>
    </row>
    <row r="1864" spans="1:47" s="12" customFormat="1" ht="14.4" hidden="1" x14ac:dyDescent="0.3">
      <c r="A1864" s="12" t="s">
        <v>39</v>
      </c>
      <c r="B1864" s="12" t="s">
        <v>4337</v>
      </c>
      <c r="C1864" s="12">
        <v>70</v>
      </c>
      <c r="D1864" s="12">
        <v>523</v>
      </c>
      <c r="E1864" s="12" t="s">
        <v>5173</v>
      </c>
      <c r="F1864" s="14" t="s">
        <v>5181</v>
      </c>
      <c r="G1864" s="12" t="str">
        <f t="shared" si="42"/>
        <v>705238002498493</v>
      </c>
      <c r="H1864" s="12" t="s">
        <v>5175</v>
      </c>
      <c r="I1864" s="12">
        <v>8002498493</v>
      </c>
      <c r="J1864" s="12" t="s">
        <v>5182</v>
      </c>
      <c r="K1864" s="12" t="s">
        <v>192</v>
      </c>
      <c r="L1864" s="12">
        <v>3208786650</v>
      </c>
      <c r="M1864" s="12" t="s">
        <v>193</v>
      </c>
      <c r="N1864" s="12" t="s">
        <v>127</v>
      </c>
      <c r="O1864" s="12" t="s">
        <v>2822</v>
      </c>
      <c r="P1864" s="88" t="s">
        <v>102</v>
      </c>
      <c r="Q1864" s="13">
        <v>45589</v>
      </c>
      <c r="R1864" s="18">
        <v>0.81499999999999995</v>
      </c>
      <c r="S1864" s="12" t="s">
        <v>74</v>
      </c>
      <c r="T1864" s="12" t="s">
        <v>2069</v>
      </c>
      <c r="W1864" s="11"/>
    </row>
    <row r="1865" spans="1:47" s="12" customFormat="1" ht="14.4" x14ac:dyDescent="0.3">
      <c r="A1865" s="12" t="s">
        <v>39</v>
      </c>
      <c r="B1865" s="12" t="s">
        <v>4337</v>
      </c>
      <c r="C1865" s="12">
        <v>70</v>
      </c>
      <c r="D1865" s="12">
        <v>523</v>
      </c>
      <c r="F1865" s="12" t="s">
        <v>5183</v>
      </c>
      <c r="G1865" s="12" t="str">
        <f t="shared" si="42"/>
        <v>7052323029308</v>
      </c>
      <c r="H1865" s="12" t="s">
        <v>5184</v>
      </c>
      <c r="I1865" s="12">
        <v>23029308</v>
      </c>
      <c r="J1865" s="12" t="s">
        <v>2674</v>
      </c>
      <c r="K1865" s="12" t="s">
        <v>230</v>
      </c>
      <c r="L1865" s="12">
        <v>3045504307</v>
      </c>
      <c r="M1865" s="12" t="s">
        <v>45</v>
      </c>
      <c r="N1865" s="12" t="s">
        <v>46</v>
      </c>
      <c r="O1865" s="12" t="s">
        <v>47</v>
      </c>
      <c r="P1865" s="88" t="s">
        <v>102</v>
      </c>
      <c r="Q1865" s="13">
        <v>45552</v>
      </c>
      <c r="R1865" s="12" t="s">
        <v>1906</v>
      </c>
      <c r="S1865" s="12" t="s">
        <v>74</v>
      </c>
      <c r="T1865" s="12" t="s">
        <v>2069</v>
      </c>
      <c r="V1865" s="13">
        <v>44362</v>
      </c>
      <c r="W1865" s="11" t="s">
        <v>1090</v>
      </c>
      <c r="X1865" s="12" t="s">
        <v>49</v>
      </c>
      <c r="Y1865" s="12" t="s">
        <v>4345</v>
      </c>
      <c r="Z1865" s="12" t="s">
        <v>5036</v>
      </c>
      <c r="AU1865" s="12" t="s">
        <v>53</v>
      </c>
    </row>
    <row r="1866" spans="1:47" s="12" customFormat="1" ht="14.4" hidden="1" x14ac:dyDescent="0.3">
      <c r="A1866" s="12" t="s">
        <v>39</v>
      </c>
      <c r="B1866" s="12" t="s">
        <v>4337</v>
      </c>
      <c r="C1866" s="12">
        <v>70</v>
      </c>
      <c r="D1866" s="12">
        <v>523</v>
      </c>
      <c r="E1866" s="12" t="s">
        <v>5173</v>
      </c>
      <c r="F1866" s="14" t="s">
        <v>5185</v>
      </c>
      <c r="G1866" s="12" t="str">
        <f t="shared" si="42"/>
        <v>705238002498493</v>
      </c>
      <c r="H1866" s="12" t="s">
        <v>5175</v>
      </c>
      <c r="I1866" s="12">
        <v>8002498493</v>
      </c>
      <c r="J1866" s="12" t="s">
        <v>5186</v>
      </c>
      <c r="K1866" s="12" t="s">
        <v>192</v>
      </c>
      <c r="L1866" s="12">
        <v>3205669141</v>
      </c>
      <c r="M1866" s="12" t="s">
        <v>45</v>
      </c>
      <c r="N1866" s="12" t="s">
        <v>127</v>
      </c>
      <c r="O1866" s="12" t="s">
        <v>2822</v>
      </c>
      <c r="P1866" s="88" t="s">
        <v>102</v>
      </c>
      <c r="Q1866" s="13">
        <v>45818</v>
      </c>
      <c r="R1866" s="18">
        <v>0.82499999999999996</v>
      </c>
      <c r="S1866" s="12" t="s">
        <v>49</v>
      </c>
      <c r="T1866" s="12" t="s">
        <v>2069</v>
      </c>
      <c r="V1866" s="13">
        <v>45524</v>
      </c>
      <c r="W1866" s="12" t="s">
        <v>146</v>
      </c>
      <c r="X1866" s="12" t="s">
        <v>74</v>
      </c>
      <c r="Y1866" s="12" t="s">
        <v>4345</v>
      </c>
      <c r="Z1866" s="12" t="s">
        <v>50</v>
      </c>
      <c r="AC1866" s="12" t="s">
        <v>5187</v>
      </c>
      <c r="AD1866" s="11">
        <v>0.88</v>
      </c>
      <c r="AE1866" s="12" t="s">
        <v>49</v>
      </c>
    </row>
    <row r="1867" spans="1:47" s="12" customFormat="1" ht="14.4" hidden="1" x14ac:dyDescent="0.3">
      <c r="A1867" s="12" t="s">
        <v>39</v>
      </c>
      <c r="B1867" s="12" t="s">
        <v>5223</v>
      </c>
      <c r="C1867" s="12">
        <v>70</v>
      </c>
      <c r="D1867" s="12">
        <v>678</v>
      </c>
      <c r="E1867" s="12" t="s">
        <v>8607</v>
      </c>
      <c r="F1867" s="276" t="s">
        <v>8608</v>
      </c>
      <c r="G1867" s="12" t="str">
        <f t="shared" ref="G1867:G1902" si="43">C1867&amp;D1867&amp;I1867</f>
        <v>706789020247794</v>
      </c>
      <c r="H1867" s="12" t="s">
        <v>710</v>
      </c>
      <c r="I1867" s="12">
        <v>9020247794</v>
      </c>
      <c r="J1867" s="12" t="s">
        <v>8609</v>
      </c>
      <c r="K1867" s="12" t="s">
        <v>133</v>
      </c>
      <c r="L1867" s="12">
        <v>31003155698</v>
      </c>
      <c r="M1867" s="12" t="s">
        <v>8407</v>
      </c>
      <c r="N1867" s="12" t="s">
        <v>127</v>
      </c>
      <c r="O1867" s="12" t="s">
        <v>2822</v>
      </c>
      <c r="P1867" s="88" t="s">
        <v>48</v>
      </c>
      <c r="Q1867" s="13">
        <v>46071</v>
      </c>
      <c r="R1867" s="12" t="s">
        <v>7837</v>
      </c>
      <c r="S1867" s="12" t="s">
        <v>49</v>
      </c>
      <c r="T1867" s="12" t="s">
        <v>1204</v>
      </c>
      <c r="U1867" s="12" t="s">
        <v>60</v>
      </c>
      <c r="V1867" s="13"/>
      <c r="AD1867" s="11"/>
      <c r="AU1867" s="12" t="s">
        <v>53</v>
      </c>
    </row>
    <row r="1868" spans="1:47" s="12" customFormat="1" ht="14.4" hidden="1" x14ac:dyDescent="0.3">
      <c r="A1868" s="12" t="s">
        <v>39</v>
      </c>
      <c r="B1868" s="12" t="s">
        <v>5223</v>
      </c>
      <c r="C1868" s="12">
        <v>70</v>
      </c>
      <c r="D1868" s="12">
        <v>678</v>
      </c>
      <c r="E1868" s="12" t="s">
        <v>8551</v>
      </c>
      <c r="F1868" s="276" t="s">
        <v>8610</v>
      </c>
      <c r="G1868" s="12" t="str">
        <f t="shared" si="43"/>
        <v>706789020247794</v>
      </c>
      <c r="H1868" s="12" t="s">
        <v>710</v>
      </c>
      <c r="I1868" s="12">
        <v>9020247794</v>
      </c>
      <c r="J1868" s="12" t="s">
        <v>8611</v>
      </c>
      <c r="K1868" s="12" t="s">
        <v>133</v>
      </c>
      <c r="L1868" s="12">
        <v>3103155698</v>
      </c>
      <c r="M1868" s="12" t="s">
        <v>8407</v>
      </c>
      <c r="N1868" s="12" t="s">
        <v>127</v>
      </c>
      <c r="O1868" s="12" t="s">
        <v>2822</v>
      </c>
      <c r="P1868" s="88" t="s">
        <v>48</v>
      </c>
      <c r="Q1868" s="13">
        <v>46077</v>
      </c>
      <c r="R1868" s="12" t="s">
        <v>8421</v>
      </c>
      <c r="S1868" s="12" t="s">
        <v>49</v>
      </c>
      <c r="T1868" s="12" t="s">
        <v>1204</v>
      </c>
      <c r="U1868" s="12" t="s">
        <v>60</v>
      </c>
      <c r="V1868" s="13"/>
      <c r="AD1868" s="11"/>
      <c r="AU1868" s="12" t="s">
        <v>53</v>
      </c>
    </row>
    <row r="1869" spans="1:47" s="12" customFormat="1" ht="14.4" hidden="1" x14ac:dyDescent="0.3">
      <c r="A1869" s="12" t="s">
        <v>39</v>
      </c>
      <c r="B1869" s="12" t="s">
        <v>5223</v>
      </c>
      <c r="C1869" s="12">
        <v>70</v>
      </c>
      <c r="D1869" s="12">
        <v>678</v>
      </c>
      <c r="F1869" s="276" t="s">
        <v>9373</v>
      </c>
      <c r="G1869" s="12" t="str">
        <f t="shared" si="43"/>
        <v>706789015079318</v>
      </c>
      <c r="H1869" s="12" t="s">
        <v>9374</v>
      </c>
      <c r="I1869" s="12">
        <v>9015079318</v>
      </c>
      <c r="J1869" s="12" t="s">
        <v>9375</v>
      </c>
      <c r="K1869" s="12" t="s">
        <v>230</v>
      </c>
      <c r="L1869" s="12">
        <v>3243381934</v>
      </c>
      <c r="M1869" s="12" t="s">
        <v>9376</v>
      </c>
      <c r="N1869" s="12" t="s">
        <v>127</v>
      </c>
      <c r="O1869" s="12" t="s">
        <v>2822</v>
      </c>
      <c r="P1869" s="88" t="s">
        <v>48</v>
      </c>
      <c r="Q1869" s="13">
        <v>46133</v>
      </c>
      <c r="R1869" s="12">
        <v>86</v>
      </c>
      <c r="S1869" s="12" t="s">
        <v>49</v>
      </c>
      <c r="T1869" s="12" t="s">
        <v>1204</v>
      </c>
      <c r="U1869" s="12" t="s">
        <v>60</v>
      </c>
      <c r="V1869" s="13"/>
      <c r="AD1869" s="11"/>
      <c r="AU1869" s="12" t="s">
        <v>53</v>
      </c>
    </row>
    <row r="1870" spans="1:47" s="12" customFormat="1" ht="14.4" hidden="1" x14ac:dyDescent="0.3">
      <c r="A1870" s="12" t="s">
        <v>39</v>
      </c>
      <c r="B1870" s="12" t="s">
        <v>5223</v>
      </c>
      <c r="C1870" s="12">
        <v>70</v>
      </c>
      <c r="D1870" s="12">
        <v>678</v>
      </c>
      <c r="F1870" s="276" t="s">
        <v>8445</v>
      </c>
      <c r="G1870" s="12" t="str">
        <f>C1870&amp;D1870&amp;I1870</f>
        <v>7067823063918</v>
      </c>
      <c r="H1870" s="12" t="s">
        <v>9377</v>
      </c>
      <c r="I1870" s="12">
        <v>23063918</v>
      </c>
      <c r="J1870" s="12" t="s">
        <v>8446</v>
      </c>
      <c r="K1870" s="12" t="s">
        <v>230</v>
      </c>
      <c r="L1870" s="12">
        <v>3116541424</v>
      </c>
      <c r="N1870" s="12" t="s">
        <v>259</v>
      </c>
      <c r="O1870" s="12" t="s">
        <v>260</v>
      </c>
      <c r="P1870" s="88" t="s">
        <v>261</v>
      </c>
      <c r="Q1870" s="13">
        <v>46028</v>
      </c>
      <c r="R1870" s="12" t="s">
        <v>8447</v>
      </c>
      <c r="S1870" s="12" t="s">
        <v>49</v>
      </c>
      <c r="V1870" s="13"/>
      <c r="AD1870" s="11"/>
      <c r="AU1870" s="12" t="s">
        <v>53</v>
      </c>
    </row>
    <row r="1871" spans="1:47" s="12" customFormat="1" ht="14.4" hidden="1" x14ac:dyDescent="0.3">
      <c r="A1871" s="12" t="s">
        <v>39</v>
      </c>
      <c r="B1871" s="12" t="s">
        <v>5223</v>
      </c>
      <c r="C1871" s="12">
        <v>70</v>
      </c>
      <c r="D1871" s="12">
        <v>678</v>
      </c>
      <c r="F1871" s="12" t="s">
        <v>5188</v>
      </c>
      <c r="G1871" s="12" t="str">
        <f t="shared" si="43"/>
        <v>7067864749581</v>
      </c>
      <c r="H1871" s="12" t="s">
        <v>5189</v>
      </c>
      <c r="I1871" s="15">
        <v>64749581</v>
      </c>
      <c r="J1871" s="12" t="s">
        <v>5190</v>
      </c>
      <c r="K1871" s="12" t="s">
        <v>230</v>
      </c>
      <c r="N1871" s="12" t="s">
        <v>432</v>
      </c>
      <c r="O1871" s="12" t="s">
        <v>432</v>
      </c>
      <c r="P1871" s="88" t="s">
        <v>261</v>
      </c>
      <c r="W1871" s="11"/>
      <c r="AU1871" s="12" t="s">
        <v>53</v>
      </c>
    </row>
    <row r="1872" spans="1:47" s="12" customFormat="1" ht="14.4" hidden="1" x14ac:dyDescent="0.3">
      <c r="A1872" s="12" t="s">
        <v>505</v>
      </c>
      <c r="B1872" s="12" t="s">
        <v>5223</v>
      </c>
      <c r="C1872" s="12">
        <v>70</v>
      </c>
      <c r="D1872" s="12">
        <v>678</v>
      </c>
      <c r="F1872" s="12" t="s">
        <v>5191</v>
      </c>
      <c r="G1872" s="12" t="str">
        <f t="shared" si="43"/>
        <v>706781102232613</v>
      </c>
      <c r="H1872" s="12" t="s">
        <v>5192</v>
      </c>
      <c r="I1872" s="15">
        <v>1102232613</v>
      </c>
      <c r="J1872" s="12" t="s">
        <v>5193</v>
      </c>
      <c r="K1872" s="12" t="s">
        <v>230</v>
      </c>
      <c r="L1872" s="12">
        <v>3218867381</v>
      </c>
      <c r="M1872" s="12" t="s">
        <v>45</v>
      </c>
      <c r="N1872" s="12" t="s">
        <v>259</v>
      </c>
      <c r="O1872" s="12" t="s">
        <v>260</v>
      </c>
      <c r="P1872" s="88" t="s">
        <v>261</v>
      </c>
      <c r="W1872" s="11"/>
      <c r="AU1872" s="12" t="s">
        <v>53</v>
      </c>
    </row>
    <row r="1873" spans="1:47" s="12" customFormat="1" ht="14.4" hidden="1" x14ac:dyDescent="0.3">
      <c r="A1873" s="12" t="s">
        <v>39</v>
      </c>
      <c r="B1873" s="12" t="s">
        <v>5223</v>
      </c>
      <c r="C1873" s="12">
        <v>70</v>
      </c>
      <c r="D1873" s="12">
        <v>678</v>
      </c>
      <c r="F1873" s="14" t="s">
        <v>5194</v>
      </c>
      <c r="G1873" s="12" t="str">
        <f t="shared" si="43"/>
        <v>7067823062975</v>
      </c>
      <c r="H1873" s="12" t="s">
        <v>5195</v>
      </c>
      <c r="I1873" s="15">
        <v>23062975</v>
      </c>
      <c r="J1873" s="12" t="s">
        <v>5196</v>
      </c>
      <c r="K1873" s="12" t="s">
        <v>230</v>
      </c>
      <c r="N1873" s="12" t="s">
        <v>432</v>
      </c>
      <c r="O1873" s="12" t="s">
        <v>432</v>
      </c>
      <c r="P1873" s="88" t="s">
        <v>261</v>
      </c>
      <c r="W1873" s="11"/>
      <c r="AU1873" s="12" t="s">
        <v>53</v>
      </c>
    </row>
    <row r="1874" spans="1:47" s="12" customFormat="1" ht="14.4" hidden="1" x14ac:dyDescent="0.3">
      <c r="A1874" s="12" t="s">
        <v>505</v>
      </c>
      <c r="B1874" s="12" t="s">
        <v>5223</v>
      </c>
      <c r="C1874" s="12">
        <v>70</v>
      </c>
      <c r="D1874" s="12">
        <v>678</v>
      </c>
      <c r="F1874" s="14" t="s">
        <v>5197</v>
      </c>
      <c r="G1874" s="12" t="str">
        <f t="shared" si="43"/>
        <v>70678901208446</v>
      </c>
      <c r="H1874" s="12" t="s">
        <v>5198</v>
      </c>
      <c r="I1874" s="15">
        <v>901208446</v>
      </c>
      <c r="J1874" s="12" t="s">
        <v>5199</v>
      </c>
      <c r="K1874" s="12" t="s">
        <v>230</v>
      </c>
      <c r="N1874" s="12" t="s">
        <v>127</v>
      </c>
      <c r="O1874" s="12" t="s">
        <v>2822</v>
      </c>
      <c r="P1874" s="88" t="s">
        <v>48</v>
      </c>
      <c r="W1874" s="11"/>
      <c r="AU1874" s="12" t="s">
        <v>53</v>
      </c>
    </row>
    <row r="1875" spans="1:47" s="12" customFormat="1" ht="14.4" hidden="1" x14ac:dyDescent="0.3">
      <c r="A1875" s="12" t="s">
        <v>39</v>
      </c>
      <c r="B1875" s="12" t="s">
        <v>5223</v>
      </c>
      <c r="C1875" s="12">
        <v>70</v>
      </c>
      <c r="D1875" s="12">
        <v>678</v>
      </c>
      <c r="F1875" s="14" t="s">
        <v>5200</v>
      </c>
      <c r="G1875" s="12" t="str">
        <f t="shared" si="43"/>
        <v>7067823836757</v>
      </c>
      <c r="H1875" s="12" t="s">
        <v>5201</v>
      </c>
      <c r="I1875" s="15">
        <v>23836757</v>
      </c>
      <c r="J1875" s="12" t="s">
        <v>5202</v>
      </c>
      <c r="K1875" s="12" t="s">
        <v>230</v>
      </c>
      <c r="L1875" s="12">
        <v>3135018295</v>
      </c>
      <c r="M1875" s="12" t="s">
        <v>45</v>
      </c>
      <c r="N1875" s="12" t="s">
        <v>432</v>
      </c>
      <c r="O1875" s="12" t="s">
        <v>432</v>
      </c>
      <c r="P1875" s="88" t="s">
        <v>261</v>
      </c>
      <c r="W1875" s="11"/>
      <c r="AU1875" s="12" t="s">
        <v>53</v>
      </c>
    </row>
    <row r="1876" spans="1:47" s="12" customFormat="1" ht="14.4" hidden="1" x14ac:dyDescent="0.3">
      <c r="A1876" s="12" t="s">
        <v>505</v>
      </c>
      <c r="B1876" s="12" t="s">
        <v>5223</v>
      </c>
      <c r="C1876" s="12">
        <v>70</v>
      </c>
      <c r="D1876" s="12">
        <v>678</v>
      </c>
      <c r="F1876" s="14" t="s">
        <v>5203</v>
      </c>
      <c r="G1876" s="12" t="str">
        <f t="shared" si="43"/>
        <v>70678900090966</v>
      </c>
      <c r="H1876" s="12" t="s">
        <v>5204</v>
      </c>
      <c r="I1876" s="15">
        <v>900090966</v>
      </c>
      <c r="J1876" s="12" t="s">
        <v>5205</v>
      </c>
      <c r="K1876" s="12" t="s">
        <v>230</v>
      </c>
      <c r="N1876" s="12" t="s">
        <v>127</v>
      </c>
      <c r="O1876" s="12" t="s">
        <v>2822</v>
      </c>
      <c r="P1876" s="88" t="s">
        <v>48</v>
      </c>
      <c r="W1876" s="11"/>
      <c r="AU1876" s="12" t="s">
        <v>53</v>
      </c>
    </row>
    <row r="1877" spans="1:47" s="12" customFormat="1" ht="14.4" hidden="1" x14ac:dyDescent="0.3">
      <c r="A1877" s="12" t="s">
        <v>39</v>
      </c>
      <c r="B1877" s="12" t="s">
        <v>5223</v>
      </c>
      <c r="C1877" s="12">
        <v>70</v>
      </c>
      <c r="D1877" s="12">
        <v>678</v>
      </c>
      <c r="F1877" s="14" t="s">
        <v>5206</v>
      </c>
      <c r="G1877" s="12" t="str">
        <f t="shared" si="43"/>
        <v>7067818856151</v>
      </c>
      <c r="H1877" s="12" t="s">
        <v>5207</v>
      </c>
      <c r="I1877" s="15">
        <v>18856151</v>
      </c>
      <c r="J1877" s="12" t="s">
        <v>5208</v>
      </c>
      <c r="K1877" s="12" t="s">
        <v>230</v>
      </c>
      <c r="N1877" s="12" t="s">
        <v>432</v>
      </c>
      <c r="O1877" s="12" t="s">
        <v>432</v>
      </c>
      <c r="P1877" s="88" t="s">
        <v>261</v>
      </c>
      <c r="W1877" s="11"/>
      <c r="AU1877" s="12" t="s">
        <v>53</v>
      </c>
    </row>
    <row r="1878" spans="1:47" s="12" customFormat="1" ht="14.4" hidden="1" x14ac:dyDescent="0.3">
      <c r="A1878" s="12" t="s">
        <v>39</v>
      </c>
      <c r="B1878" s="12" t="s">
        <v>5223</v>
      </c>
      <c r="C1878" s="12">
        <v>70</v>
      </c>
      <c r="D1878" s="12">
        <v>678</v>
      </c>
      <c r="F1878" s="14" t="s">
        <v>5209</v>
      </c>
      <c r="G1878" s="12" t="str">
        <f t="shared" si="43"/>
        <v>706781005523613</v>
      </c>
      <c r="H1878" s="12" t="s">
        <v>5210</v>
      </c>
      <c r="I1878" s="15">
        <v>1005523613</v>
      </c>
      <c r="J1878" s="12" t="s">
        <v>5211</v>
      </c>
      <c r="K1878" s="12" t="s">
        <v>230</v>
      </c>
      <c r="L1878" s="12" t="s">
        <v>45</v>
      </c>
      <c r="M1878" s="12" t="s">
        <v>45</v>
      </c>
      <c r="N1878" s="12" t="s">
        <v>432</v>
      </c>
      <c r="O1878" s="12" t="s">
        <v>432</v>
      </c>
      <c r="P1878" s="88" t="s">
        <v>261</v>
      </c>
      <c r="W1878" s="11"/>
      <c r="AU1878" s="12" t="s">
        <v>53</v>
      </c>
    </row>
    <row r="1879" spans="1:47" s="12" customFormat="1" ht="14.4" hidden="1" x14ac:dyDescent="0.3">
      <c r="A1879" s="12" t="s">
        <v>39</v>
      </c>
      <c r="B1879" s="12" t="s">
        <v>5223</v>
      </c>
      <c r="C1879" s="12">
        <v>70</v>
      </c>
      <c r="D1879" s="12">
        <v>678</v>
      </c>
      <c r="F1879" s="14" t="s">
        <v>5212</v>
      </c>
      <c r="G1879" s="12" t="str">
        <f t="shared" si="43"/>
        <v>7067864749669</v>
      </c>
      <c r="H1879" s="12" t="s">
        <v>5207</v>
      </c>
      <c r="I1879" s="15">
        <v>64749669</v>
      </c>
      <c r="J1879" s="12" t="s">
        <v>5213</v>
      </c>
      <c r="K1879" s="12" t="s">
        <v>230</v>
      </c>
      <c r="N1879" s="12" t="s">
        <v>432</v>
      </c>
      <c r="O1879" s="12" t="s">
        <v>432</v>
      </c>
      <c r="P1879" s="88" t="s">
        <v>261</v>
      </c>
      <c r="W1879" s="11"/>
      <c r="AU1879" s="12" t="s">
        <v>53</v>
      </c>
    </row>
    <row r="1880" spans="1:47" s="12" customFormat="1" ht="14.4" x14ac:dyDescent="0.3">
      <c r="A1880" s="12" t="s">
        <v>39</v>
      </c>
      <c r="B1880" s="12" t="s">
        <v>5223</v>
      </c>
      <c r="C1880" s="12">
        <v>70</v>
      </c>
      <c r="D1880" s="12">
        <v>678</v>
      </c>
      <c r="F1880" s="14" t="s">
        <v>5214</v>
      </c>
      <c r="G1880" s="12" t="str">
        <f t="shared" si="43"/>
        <v>706781102228204</v>
      </c>
      <c r="H1880" s="12" t="s">
        <v>5215</v>
      </c>
      <c r="I1880" s="15">
        <v>1102228204</v>
      </c>
      <c r="J1880" s="12" t="s">
        <v>5216</v>
      </c>
      <c r="K1880" s="12" t="s">
        <v>230</v>
      </c>
      <c r="L1880" s="12">
        <v>3003013351</v>
      </c>
      <c r="N1880" s="12" t="s">
        <v>46</v>
      </c>
      <c r="O1880" s="12" t="s">
        <v>47</v>
      </c>
      <c r="P1880" s="88" t="s">
        <v>48</v>
      </c>
      <c r="Q1880" s="13">
        <v>44210</v>
      </c>
      <c r="R1880" s="16">
        <v>0.76</v>
      </c>
      <c r="S1880" s="12" t="s">
        <v>69</v>
      </c>
      <c r="W1880" s="11"/>
      <c r="AU1880" s="12" t="s">
        <v>53</v>
      </c>
    </row>
    <row r="1881" spans="1:47" s="12" customFormat="1" ht="14.4" hidden="1" x14ac:dyDescent="0.3">
      <c r="A1881" s="12" t="s">
        <v>39</v>
      </c>
      <c r="B1881" s="12" t="s">
        <v>5223</v>
      </c>
      <c r="C1881" s="12">
        <v>70</v>
      </c>
      <c r="D1881" s="12">
        <v>678</v>
      </c>
      <c r="F1881" s="14" t="s">
        <v>5217</v>
      </c>
      <c r="G1881" s="12" t="str">
        <f t="shared" si="43"/>
        <v>70678900266993-5</v>
      </c>
      <c r="H1881" s="12" t="s">
        <v>5218</v>
      </c>
      <c r="I1881" s="15" t="s">
        <v>5219</v>
      </c>
      <c r="J1881" s="12" t="s">
        <v>5220</v>
      </c>
      <c r="K1881" s="12" t="s">
        <v>230</v>
      </c>
      <c r="L1881" s="12" t="s">
        <v>45</v>
      </c>
      <c r="M1881" s="12" t="s">
        <v>45</v>
      </c>
      <c r="N1881" s="12" t="s">
        <v>127</v>
      </c>
      <c r="O1881" s="12" t="s">
        <v>2822</v>
      </c>
      <c r="P1881" s="88" t="s">
        <v>48</v>
      </c>
      <c r="W1881" s="11"/>
      <c r="AU1881" s="12" t="s">
        <v>53</v>
      </c>
    </row>
    <row r="1882" spans="1:47" s="12" customFormat="1" ht="14.4" hidden="1" x14ac:dyDescent="0.3">
      <c r="A1882" s="12" t="s">
        <v>39</v>
      </c>
      <c r="B1882" s="12" t="s">
        <v>5223</v>
      </c>
      <c r="C1882" s="12">
        <v>70</v>
      </c>
      <c r="D1882" s="12">
        <v>678</v>
      </c>
      <c r="F1882" s="14" t="s">
        <v>479</v>
      </c>
      <c r="G1882" s="12" t="str">
        <f t="shared" si="43"/>
        <v>7067864748709</v>
      </c>
      <c r="H1882" s="12" t="s">
        <v>5221</v>
      </c>
      <c r="I1882" s="15">
        <v>64748709</v>
      </c>
      <c r="J1882" s="12" t="s">
        <v>5222</v>
      </c>
      <c r="K1882" s="12" t="s">
        <v>133</v>
      </c>
      <c r="L1882" s="12" t="s">
        <v>45</v>
      </c>
      <c r="M1882" s="12" t="s">
        <v>45</v>
      </c>
      <c r="N1882" s="12" t="s">
        <v>432</v>
      </c>
      <c r="O1882" s="12" t="s">
        <v>432</v>
      </c>
      <c r="P1882" s="88" t="s">
        <v>261</v>
      </c>
      <c r="W1882" s="11"/>
      <c r="AU1882" s="12" t="s">
        <v>53</v>
      </c>
    </row>
    <row r="1883" spans="1:47" s="12" customFormat="1" ht="14.4" hidden="1" x14ac:dyDescent="0.3">
      <c r="A1883" s="12" t="s">
        <v>39</v>
      </c>
      <c r="B1883" s="12" t="s">
        <v>5223</v>
      </c>
      <c r="C1883" s="12">
        <v>70</v>
      </c>
      <c r="D1883" s="12">
        <v>678</v>
      </c>
      <c r="F1883" s="14" t="s">
        <v>5224</v>
      </c>
      <c r="G1883" s="12" t="str">
        <f t="shared" si="43"/>
        <v>706781102119247</v>
      </c>
      <c r="H1883" s="12" t="s">
        <v>5225</v>
      </c>
      <c r="I1883" s="15">
        <v>1102119247</v>
      </c>
      <c r="J1883" s="12" t="s">
        <v>5208</v>
      </c>
      <c r="K1883" s="12" t="s">
        <v>230</v>
      </c>
      <c r="N1883" s="12" t="s">
        <v>432</v>
      </c>
      <c r="O1883" s="12" t="s">
        <v>432</v>
      </c>
      <c r="P1883" s="88" t="s">
        <v>261</v>
      </c>
      <c r="W1883" s="11"/>
      <c r="AU1883" s="12" t="s">
        <v>53</v>
      </c>
    </row>
    <row r="1884" spans="1:47" s="12" customFormat="1" ht="14.4" hidden="1" x14ac:dyDescent="0.3">
      <c r="A1884" s="12" t="s">
        <v>39</v>
      </c>
      <c r="B1884" s="12" t="s">
        <v>5223</v>
      </c>
      <c r="C1884" s="12">
        <v>70</v>
      </c>
      <c r="D1884" s="12">
        <v>678</v>
      </c>
      <c r="F1884" s="14" t="s">
        <v>5226</v>
      </c>
      <c r="G1884" s="12" t="str">
        <f t="shared" si="43"/>
        <v>7067870907662</v>
      </c>
      <c r="H1884" s="12" t="s">
        <v>5227</v>
      </c>
      <c r="I1884" s="15">
        <v>70907662</v>
      </c>
      <c r="J1884" s="12" t="s">
        <v>5228</v>
      </c>
      <c r="K1884" s="12" t="s">
        <v>230</v>
      </c>
      <c r="L1884" s="12">
        <v>3218919435</v>
      </c>
      <c r="M1884" s="12" t="s">
        <v>45</v>
      </c>
      <c r="N1884" s="12" t="s">
        <v>259</v>
      </c>
      <c r="O1884" s="12" t="s">
        <v>260</v>
      </c>
      <c r="P1884" s="88" t="s">
        <v>261</v>
      </c>
      <c r="W1884" s="11"/>
      <c r="AU1884" s="12" t="s">
        <v>53</v>
      </c>
    </row>
    <row r="1885" spans="1:47" s="12" customFormat="1" ht="14.4" hidden="1" x14ac:dyDescent="0.3">
      <c r="A1885" s="12" t="s">
        <v>39</v>
      </c>
      <c r="B1885" s="12" t="s">
        <v>5223</v>
      </c>
      <c r="C1885" s="12">
        <v>70</v>
      </c>
      <c r="D1885" s="12">
        <v>678</v>
      </c>
      <c r="F1885" s="14" t="s">
        <v>5229</v>
      </c>
      <c r="G1885" s="12" t="str">
        <f t="shared" si="43"/>
        <v>7067818858491</v>
      </c>
      <c r="H1885" s="12" t="s">
        <v>5230</v>
      </c>
      <c r="I1885" s="15">
        <v>18858491</v>
      </c>
      <c r="J1885" s="12" t="s">
        <v>5231</v>
      </c>
      <c r="K1885" s="12" t="s">
        <v>230</v>
      </c>
      <c r="N1885" s="12" t="s">
        <v>259</v>
      </c>
      <c r="O1885" s="12" t="s">
        <v>260</v>
      </c>
      <c r="P1885" s="88" t="s">
        <v>261</v>
      </c>
      <c r="W1885" s="11"/>
      <c r="AU1885" s="12" t="s">
        <v>53</v>
      </c>
    </row>
    <row r="1886" spans="1:47" s="12" customFormat="1" ht="14.4" hidden="1" x14ac:dyDescent="0.3">
      <c r="A1886" s="12" t="s">
        <v>39</v>
      </c>
      <c r="B1886" s="12" t="s">
        <v>5223</v>
      </c>
      <c r="C1886" s="12">
        <v>70</v>
      </c>
      <c r="D1886" s="12">
        <v>678</v>
      </c>
      <c r="F1886" s="12" t="s">
        <v>5232</v>
      </c>
      <c r="G1886" s="12" t="str">
        <f t="shared" si="43"/>
        <v>7067818858756</v>
      </c>
      <c r="H1886" s="12" t="s">
        <v>5233</v>
      </c>
      <c r="I1886" s="15">
        <v>18858756</v>
      </c>
      <c r="J1886" s="12" t="s">
        <v>5234</v>
      </c>
      <c r="K1886" s="12" t="s">
        <v>230</v>
      </c>
      <c r="L1886" s="12" t="s">
        <v>45</v>
      </c>
      <c r="M1886" s="12" t="s">
        <v>45</v>
      </c>
      <c r="N1886" s="12" t="s">
        <v>259</v>
      </c>
      <c r="O1886" s="12" t="s">
        <v>260</v>
      </c>
      <c r="P1886" s="88" t="s">
        <v>261</v>
      </c>
      <c r="W1886" s="11"/>
      <c r="AU1886" s="12" t="s">
        <v>53</v>
      </c>
    </row>
    <row r="1887" spans="1:47" s="12" customFormat="1" ht="14.4" hidden="1" x14ac:dyDescent="0.3">
      <c r="A1887" s="12" t="s">
        <v>39</v>
      </c>
      <c r="B1887" s="12" t="s">
        <v>5223</v>
      </c>
      <c r="C1887" s="12">
        <v>70</v>
      </c>
      <c r="D1887" s="12">
        <v>678</v>
      </c>
      <c r="F1887" s="12" t="s">
        <v>5235</v>
      </c>
      <c r="G1887" s="12" t="str">
        <f t="shared" si="43"/>
        <v>7067864742926</v>
      </c>
      <c r="H1887" s="12" t="s">
        <v>5236</v>
      </c>
      <c r="I1887" s="15">
        <v>64742926</v>
      </c>
      <c r="J1887" s="12" t="s">
        <v>5237</v>
      </c>
      <c r="K1887" s="12" t="s">
        <v>133</v>
      </c>
      <c r="L1887" s="12" t="s">
        <v>45</v>
      </c>
      <c r="M1887" s="12" t="s">
        <v>45</v>
      </c>
      <c r="N1887" s="12" t="s">
        <v>127</v>
      </c>
      <c r="O1887" s="12" t="s">
        <v>2822</v>
      </c>
      <c r="P1887" s="88" t="s">
        <v>48</v>
      </c>
      <c r="W1887" s="11"/>
      <c r="AU1887" s="12" t="s">
        <v>53</v>
      </c>
    </row>
    <row r="1888" spans="1:47" s="12" customFormat="1" ht="14.4" hidden="1" x14ac:dyDescent="0.3">
      <c r="A1888" s="12" t="s">
        <v>39</v>
      </c>
      <c r="B1888" s="12" t="s">
        <v>5223</v>
      </c>
      <c r="C1888" s="12">
        <v>70</v>
      </c>
      <c r="D1888" s="12">
        <v>678</v>
      </c>
      <c r="F1888" s="12" t="s">
        <v>5159</v>
      </c>
      <c r="G1888" s="12" t="str">
        <f t="shared" si="43"/>
        <v>7067818856310</v>
      </c>
      <c r="H1888" s="12" t="s">
        <v>5238</v>
      </c>
      <c r="I1888" s="15">
        <v>18856310</v>
      </c>
      <c r="J1888" s="12" t="s">
        <v>5239</v>
      </c>
      <c r="K1888" s="12" t="s">
        <v>230</v>
      </c>
      <c r="L1888" s="12">
        <v>3145140882</v>
      </c>
      <c r="M1888" s="12" t="s">
        <v>45</v>
      </c>
      <c r="N1888" s="12" t="s">
        <v>259</v>
      </c>
      <c r="O1888" s="12" t="s">
        <v>260</v>
      </c>
      <c r="P1888" s="88" t="s">
        <v>261</v>
      </c>
      <c r="W1888" s="11"/>
      <c r="AU1888" s="12" t="s">
        <v>53</v>
      </c>
    </row>
    <row r="1889" spans="1:47" s="12" customFormat="1" ht="14.4" hidden="1" x14ac:dyDescent="0.3">
      <c r="A1889" s="12" t="s">
        <v>39</v>
      </c>
      <c r="B1889" s="12" t="s">
        <v>5223</v>
      </c>
      <c r="C1889" s="12">
        <v>70</v>
      </c>
      <c r="D1889" s="12">
        <v>678</v>
      </c>
      <c r="F1889" s="12" t="s">
        <v>5240</v>
      </c>
      <c r="G1889" s="12" t="str">
        <f t="shared" si="43"/>
        <v>7067818858758</v>
      </c>
      <c r="H1889" s="12" t="s">
        <v>5233</v>
      </c>
      <c r="I1889" s="15">
        <v>18858758</v>
      </c>
      <c r="J1889" s="12" t="s">
        <v>5208</v>
      </c>
      <c r="K1889" s="12" t="s">
        <v>230</v>
      </c>
      <c r="N1889" s="12" t="s">
        <v>259</v>
      </c>
      <c r="O1889" s="12" t="s">
        <v>260</v>
      </c>
      <c r="P1889" s="88" t="s">
        <v>261</v>
      </c>
      <c r="W1889" s="11"/>
      <c r="AU1889" s="12" t="s">
        <v>53</v>
      </c>
    </row>
    <row r="1890" spans="1:47" s="12" customFormat="1" ht="14.4" hidden="1" x14ac:dyDescent="0.3">
      <c r="A1890" s="12" t="s">
        <v>39</v>
      </c>
      <c r="B1890" s="12" t="s">
        <v>5223</v>
      </c>
      <c r="C1890" s="12">
        <v>70</v>
      </c>
      <c r="D1890" s="12">
        <v>678</v>
      </c>
      <c r="F1890" s="12" t="s">
        <v>5241</v>
      </c>
      <c r="G1890" s="12" t="str">
        <f t="shared" si="43"/>
        <v>7067818859222</v>
      </c>
      <c r="H1890" s="12" t="s">
        <v>5242</v>
      </c>
      <c r="I1890" s="15">
        <v>18859222</v>
      </c>
      <c r="J1890" s="12" t="s">
        <v>5243</v>
      </c>
      <c r="K1890" s="12" t="s">
        <v>230</v>
      </c>
      <c r="N1890" s="12" t="s">
        <v>432</v>
      </c>
      <c r="O1890" s="12" t="s">
        <v>432</v>
      </c>
      <c r="P1890" s="88" t="s">
        <v>261</v>
      </c>
      <c r="W1890" s="11"/>
      <c r="AU1890" s="12" t="s">
        <v>53</v>
      </c>
    </row>
    <row r="1891" spans="1:47" s="12" customFormat="1" ht="14.4" hidden="1" x14ac:dyDescent="0.3">
      <c r="A1891" s="12" t="s">
        <v>39</v>
      </c>
      <c r="B1891" s="12" t="s">
        <v>5223</v>
      </c>
      <c r="C1891" s="12">
        <v>70</v>
      </c>
      <c r="D1891" s="12">
        <v>678</v>
      </c>
      <c r="F1891" s="12" t="s">
        <v>5244</v>
      </c>
      <c r="G1891" s="12" t="str">
        <f t="shared" si="43"/>
        <v>7067823063755</v>
      </c>
      <c r="H1891" s="12" t="s">
        <v>5245</v>
      </c>
      <c r="I1891" s="15">
        <v>23063755</v>
      </c>
      <c r="J1891" s="12" t="s">
        <v>5246</v>
      </c>
      <c r="K1891" s="12" t="s">
        <v>230</v>
      </c>
      <c r="N1891" s="12" t="s">
        <v>259</v>
      </c>
      <c r="O1891" s="12" t="s">
        <v>260</v>
      </c>
      <c r="P1891" s="88" t="s">
        <v>261</v>
      </c>
      <c r="W1891" s="11"/>
      <c r="AU1891" s="12" t="s">
        <v>53</v>
      </c>
    </row>
    <row r="1892" spans="1:47" s="12" customFormat="1" ht="14.4" hidden="1" x14ac:dyDescent="0.3">
      <c r="A1892" s="12" t="s">
        <v>39</v>
      </c>
      <c r="B1892" s="12" t="s">
        <v>5223</v>
      </c>
      <c r="C1892" s="12">
        <v>70</v>
      </c>
      <c r="D1892" s="12">
        <v>678</v>
      </c>
      <c r="F1892" s="12" t="s">
        <v>5247</v>
      </c>
      <c r="G1892" s="12" t="str">
        <f t="shared" si="43"/>
        <v>7067818856116</v>
      </c>
      <c r="H1892" s="12" t="s">
        <v>5248</v>
      </c>
      <c r="I1892" s="15">
        <v>18856116</v>
      </c>
      <c r="J1892" s="12" t="s">
        <v>5249</v>
      </c>
      <c r="K1892" s="12" t="s">
        <v>230</v>
      </c>
      <c r="N1892" s="12" t="s">
        <v>259</v>
      </c>
      <c r="O1892" s="12" t="s">
        <v>260</v>
      </c>
      <c r="P1892" s="88" t="s">
        <v>261</v>
      </c>
      <c r="W1892" s="11"/>
      <c r="AU1892" s="12" t="s">
        <v>53</v>
      </c>
    </row>
    <row r="1893" spans="1:47" s="12" customFormat="1" ht="14.4" hidden="1" x14ac:dyDescent="0.3">
      <c r="A1893" s="12" t="s">
        <v>39</v>
      </c>
      <c r="B1893" s="12" t="s">
        <v>5223</v>
      </c>
      <c r="C1893" s="12">
        <v>70</v>
      </c>
      <c r="D1893" s="12">
        <v>678</v>
      </c>
      <c r="F1893" s="12" t="s">
        <v>5250</v>
      </c>
      <c r="G1893" s="12" t="str">
        <f t="shared" si="43"/>
        <v>706781102228297</v>
      </c>
      <c r="H1893" s="12" t="s">
        <v>5251</v>
      </c>
      <c r="I1893" s="15">
        <v>1102228297</v>
      </c>
      <c r="J1893" s="12" t="s">
        <v>5252</v>
      </c>
      <c r="K1893" s="12" t="s">
        <v>230</v>
      </c>
      <c r="L1893" s="12" t="s">
        <v>45</v>
      </c>
      <c r="M1893" s="12" t="s">
        <v>45</v>
      </c>
      <c r="N1893" s="12" t="s">
        <v>259</v>
      </c>
      <c r="O1893" s="12" t="s">
        <v>260</v>
      </c>
      <c r="P1893" s="88" t="s">
        <v>261</v>
      </c>
      <c r="Q1893" s="13">
        <v>44635</v>
      </c>
      <c r="R1893" s="16">
        <v>0.75</v>
      </c>
      <c r="S1893" s="12" t="s">
        <v>69</v>
      </c>
      <c r="W1893" s="11"/>
      <c r="AU1893" s="12" t="s">
        <v>53</v>
      </c>
    </row>
    <row r="1894" spans="1:47" s="12" customFormat="1" ht="14.4" hidden="1" x14ac:dyDescent="0.3">
      <c r="A1894" s="12" t="s">
        <v>39</v>
      </c>
      <c r="B1894" s="12" t="s">
        <v>5223</v>
      </c>
      <c r="C1894" s="12">
        <v>70</v>
      </c>
      <c r="D1894" s="12">
        <v>678</v>
      </c>
      <c r="F1894" s="12" t="s">
        <v>5253</v>
      </c>
      <c r="G1894" s="12" t="str">
        <f t="shared" si="43"/>
        <v>7067818855672</v>
      </c>
      <c r="H1894" s="12" t="s">
        <v>5254</v>
      </c>
      <c r="I1894" s="15">
        <v>18855672</v>
      </c>
      <c r="J1894" s="12" t="s">
        <v>5255</v>
      </c>
      <c r="K1894" s="12" t="s">
        <v>230</v>
      </c>
      <c r="L1894" s="12">
        <v>3108555168</v>
      </c>
      <c r="M1894" s="12" t="s">
        <v>45</v>
      </c>
      <c r="N1894" s="12" t="s">
        <v>259</v>
      </c>
      <c r="O1894" s="12" t="s">
        <v>260</v>
      </c>
      <c r="P1894" s="88" t="s">
        <v>261</v>
      </c>
      <c r="Q1894" s="13">
        <v>45512</v>
      </c>
      <c r="R1894" s="12">
        <v>72.75</v>
      </c>
      <c r="S1894" s="12" t="s">
        <v>49</v>
      </c>
      <c r="W1894" s="11"/>
      <c r="AU1894" s="12" t="s">
        <v>53</v>
      </c>
    </row>
    <row r="1895" spans="1:47" s="12" customFormat="1" ht="14.4" hidden="1" x14ac:dyDescent="0.3">
      <c r="A1895" s="12" t="s">
        <v>39</v>
      </c>
      <c r="B1895" s="12" t="s">
        <v>5223</v>
      </c>
      <c r="C1895" s="12">
        <v>70</v>
      </c>
      <c r="D1895" s="12">
        <v>678</v>
      </c>
      <c r="F1895" s="12" t="s">
        <v>5256</v>
      </c>
      <c r="G1895" s="12" t="str">
        <f t="shared" si="43"/>
        <v>7067818857905</v>
      </c>
      <c r="H1895" s="12" t="s">
        <v>5257</v>
      </c>
      <c r="I1895" s="15">
        <v>18857905</v>
      </c>
      <c r="J1895" s="12" t="s">
        <v>5258</v>
      </c>
      <c r="K1895" s="12" t="s">
        <v>230</v>
      </c>
      <c r="L1895" s="12" t="s">
        <v>45</v>
      </c>
      <c r="M1895" s="12" t="s">
        <v>45</v>
      </c>
      <c r="N1895" s="12" t="s">
        <v>259</v>
      </c>
      <c r="O1895" s="12" t="s">
        <v>260</v>
      </c>
      <c r="P1895" s="88" t="s">
        <v>261</v>
      </c>
      <c r="W1895" s="11"/>
      <c r="AU1895" s="12" t="s">
        <v>53</v>
      </c>
    </row>
    <row r="1896" spans="1:47" s="12" customFormat="1" ht="14.4" hidden="1" x14ac:dyDescent="0.3">
      <c r="A1896" s="12" t="s">
        <v>39</v>
      </c>
      <c r="B1896" s="12" t="s">
        <v>5223</v>
      </c>
      <c r="C1896" s="12">
        <v>70</v>
      </c>
      <c r="D1896" s="12">
        <v>678</v>
      </c>
      <c r="F1896" s="12" t="s">
        <v>5259</v>
      </c>
      <c r="G1896" s="12" t="str">
        <f t="shared" si="43"/>
        <v>7067823062751</v>
      </c>
      <c r="H1896" s="12" t="s">
        <v>5260</v>
      </c>
      <c r="I1896" s="15">
        <v>23062751</v>
      </c>
      <c r="J1896" s="12" t="s">
        <v>5261</v>
      </c>
      <c r="K1896" s="12" t="s">
        <v>230</v>
      </c>
      <c r="L1896" s="12" t="s">
        <v>45</v>
      </c>
      <c r="M1896" s="12" t="s">
        <v>45</v>
      </c>
      <c r="N1896" s="12" t="s">
        <v>259</v>
      </c>
      <c r="O1896" s="12" t="s">
        <v>260</v>
      </c>
      <c r="P1896" s="88" t="s">
        <v>261</v>
      </c>
      <c r="W1896" s="11"/>
      <c r="AU1896" s="12" t="s">
        <v>53</v>
      </c>
    </row>
    <row r="1897" spans="1:47" s="12" customFormat="1" ht="14.4" hidden="1" x14ac:dyDescent="0.3">
      <c r="A1897" s="12" t="s">
        <v>39</v>
      </c>
      <c r="B1897" s="12" t="s">
        <v>5223</v>
      </c>
      <c r="C1897" s="12">
        <v>70</v>
      </c>
      <c r="D1897" s="12">
        <v>678</v>
      </c>
      <c r="F1897" s="12" t="s">
        <v>5262</v>
      </c>
      <c r="G1897" s="12" t="str">
        <f t="shared" si="43"/>
        <v>706781193141221</v>
      </c>
      <c r="H1897" s="12" t="s">
        <v>5263</v>
      </c>
      <c r="I1897" s="15">
        <v>1193141221</v>
      </c>
      <c r="J1897" s="12" t="s">
        <v>5264</v>
      </c>
      <c r="K1897" s="12" t="s">
        <v>230</v>
      </c>
      <c r="L1897" s="12" t="s">
        <v>45</v>
      </c>
      <c r="M1897" s="12" t="s">
        <v>45</v>
      </c>
      <c r="N1897" s="12" t="s">
        <v>259</v>
      </c>
      <c r="O1897" s="12" t="s">
        <v>260</v>
      </c>
      <c r="P1897" s="88" t="s">
        <v>261</v>
      </c>
      <c r="W1897" s="11"/>
      <c r="AU1897" s="12" t="s">
        <v>53</v>
      </c>
    </row>
    <row r="1898" spans="1:47" s="12" customFormat="1" ht="14.4" hidden="1" x14ac:dyDescent="0.3">
      <c r="A1898" s="12" t="s">
        <v>39</v>
      </c>
      <c r="B1898" s="12" t="s">
        <v>5265</v>
      </c>
      <c r="C1898" s="12">
        <v>70</v>
      </c>
      <c r="D1898" s="12">
        <v>678</v>
      </c>
      <c r="F1898" s="12" t="s">
        <v>5266</v>
      </c>
      <c r="G1898" s="12" t="str">
        <f t="shared" si="43"/>
        <v>7067823063107</v>
      </c>
      <c r="H1898" s="12" t="s">
        <v>5267</v>
      </c>
      <c r="I1898" s="15">
        <v>23063107</v>
      </c>
      <c r="J1898" s="12" t="s">
        <v>5268</v>
      </c>
      <c r="K1898" s="12" t="s">
        <v>230</v>
      </c>
      <c r="N1898" s="12" t="s">
        <v>259</v>
      </c>
      <c r="O1898" s="12" t="s">
        <v>260</v>
      </c>
      <c r="P1898" s="88" t="s">
        <v>261</v>
      </c>
      <c r="W1898" s="11"/>
      <c r="AU1898" s="12" t="s">
        <v>53</v>
      </c>
    </row>
    <row r="1899" spans="1:47" s="12" customFormat="1" ht="14.4" x14ac:dyDescent="0.3">
      <c r="A1899" s="12" t="s">
        <v>39</v>
      </c>
      <c r="B1899" s="12" t="s">
        <v>5265</v>
      </c>
      <c r="C1899" s="12">
        <v>70</v>
      </c>
      <c r="D1899" s="12">
        <v>678</v>
      </c>
      <c r="F1899" s="12" t="s">
        <v>5269</v>
      </c>
      <c r="G1899" s="12" t="str">
        <f t="shared" si="43"/>
        <v>7067810879512</v>
      </c>
      <c r="H1899" s="12" t="s">
        <v>5270</v>
      </c>
      <c r="I1899" s="15">
        <v>10879512</v>
      </c>
      <c r="J1899" s="12" t="s">
        <v>5271</v>
      </c>
      <c r="K1899" s="12" t="s">
        <v>230</v>
      </c>
      <c r="N1899" s="12" t="s">
        <v>46</v>
      </c>
      <c r="O1899" s="12" t="s">
        <v>47</v>
      </c>
      <c r="P1899" s="88" t="s">
        <v>48</v>
      </c>
      <c r="W1899" s="11"/>
      <c r="AU1899" s="12" t="s">
        <v>53</v>
      </c>
    </row>
    <row r="1900" spans="1:47" s="12" customFormat="1" ht="14.4" hidden="1" x14ac:dyDescent="0.3">
      <c r="A1900" s="12" t="s">
        <v>39</v>
      </c>
      <c r="B1900" s="12" t="s">
        <v>5265</v>
      </c>
      <c r="C1900" s="12">
        <v>70</v>
      </c>
      <c r="D1900" s="12">
        <v>678</v>
      </c>
      <c r="F1900" s="12" t="s">
        <v>5272</v>
      </c>
      <c r="G1900" s="12" t="str">
        <f t="shared" si="43"/>
        <v>7067818858758</v>
      </c>
      <c r="H1900" s="12" t="s">
        <v>5233</v>
      </c>
      <c r="I1900" s="15">
        <v>18858758</v>
      </c>
      <c r="J1900" s="12" t="s">
        <v>5273</v>
      </c>
      <c r="K1900" s="12" t="s">
        <v>230</v>
      </c>
      <c r="N1900" s="12" t="s">
        <v>259</v>
      </c>
      <c r="O1900" s="12" t="s">
        <v>260</v>
      </c>
      <c r="P1900" s="88" t="s">
        <v>261</v>
      </c>
      <c r="W1900" s="11"/>
      <c r="AU1900" s="12" t="s">
        <v>53</v>
      </c>
    </row>
    <row r="1901" spans="1:47" s="12" customFormat="1" ht="14.4" hidden="1" x14ac:dyDescent="0.3">
      <c r="A1901" s="12" t="s">
        <v>39</v>
      </c>
      <c r="B1901" s="12" t="s">
        <v>5265</v>
      </c>
      <c r="C1901" s="12">
        <v>70</v>
      </c>
      <c r="D1901" s="12">
        <v>678</v>
      </c>
      <c r="F1901" s="12" t="s">
        <v>5274</v>
      </c>
      <c r="G1901" s="12" t="str">
        <f t="shared" si="43"/>
        <v>7067878739540</v>
      </c>
      <c r="H1901" s="12" t="s">
        <v>5275</v>
      </c>
      <c r="I1901" s="15">
        <v>78739540</v>
      </c>
      <c r="J1901" s="12" t="s">
        <v>5276</v>
      </c>
      <c r="K1901" s="12" t="s">
        <v>230</v>
      </c>
      <c r="N1901" s="12" t="s">
        <v>432</v>
      </c>
      <c r="O1901" s="12" t="s">
        <v>432</v>
      </c>
      <c r="P1901" s="88" t="s">
        <v>261</v>
      </c>
      <c r="W1901" s="11"/>
      <c r="AU1901" s="12" t="s">
        <v>53</v>
      </c>
    </row>
    <row r="1902" spans="1:47" s="12" customFormat="1" ht="14.4" hidden="1" x14ac:dyDescent="0.3">
      <c r="A1902" s="12" t="s">
        <v>39</v>
      </c>
      <c r="B1902" s="12" t="s">
        <v>5265</v>
      </c>
      <c r="C1902" s="12">
        <v>70</v>
      </c>
      <c r="D1902" s="12">
        <v>678</v>
      </c>
      <c r="F1902" s="12" t="s">
        <v>3482</v>
      </c>
      <c r="G1902" s="12" t="str">
        <f t="shared" si="43"/>
        <v>706788846580</v>
      </c>
      <c r="H1902" s="12" t="s">
        <v>5277</v>
      </c>
      <c r="I1902" s="15">
        <v>8846580</v>
      </c>
      <c r="J1902" s="12" t="s">
        <v>5278</v>
      </c>
      <c r="K1902" s="12" t="s">
        <v>230</v>
      </c>
      <c r="N1902" s="12" t="s">
        <v>432</v>
      </c>
      <c r="O1902" s="12" t="s">
        <v>432</v>
      </c>
      <c r="P1902" s="88" t="s">
        <v>261</v>
      </c>
      <c r="W1902" s="11"/>
      <c r="AU1902" s="12" t="s">
        <v>53</v>
      </c>
    </row>
    <row r="1903" spans="1:47" s="12" customFormat="1" ht="14.4" x14ac:dyDescent="0.3">
      <c r="A1903" s="12" t="s">
        <v>39</v>
      </c>
      <c r="B1903" s="12" t="s">
        <v>5265</v>
      </c>
      <c r="C1903" s="12">
        <v>70</v>
      </c>
      <c r="D1903" s="12">
        <v>678</v>
      </c>
      <c r="F1903" s="12" t="s">
        <v>5279</v>
      </c>
      <c r="G1903" s="12" t="str">
        <f t="shared" ref="G1903:G1934" si="44">C1903&amp;D1903&amp;I1903</f>
        <v>7067864748195</v>
      </c>
      <c r="H1903" s="12" t="s">
        <v>5280</v>
      </c>
      <c r="I1903" s="15">
        <v>64748195</v>
      </c>
      <c r="J1903" s="12" t="s">
        <v>5281</v>
      </c>
      <c r="K1903" s="12" t="s">
        <v>230</v>
      </c>
      <c r="N1903" s="12" t="s">
        <v>46</v>
      </c>
      <c r="O1903" s="12" t="s">
        <v>47</v>
      </c>
      <c r="P1903" s="88" t="s">
        <v>48</v>
      </c>
      <c r="W1903" s="11"/>
      <c r="AU1903" s="12" t="s">
        <v>53</v>
      </c>
    </row>
    <row r="1904" spans="1:47" s="12" customFormat="1" ht="14.4" hidden="1" x14ac:dyDescent="0.3">
      <c r="A1904" s="12" t="s">
        <v>39</v>
      </c>
      <c r="B1904" s="12" t="s">
        <v>5265</v>
      </c>
      <c r="C1904" s="12">
        <v>70</v>
      </c>
      <c r="D1904" s="12">
        <v>678</v>
      </c>
      <c r="F1904" s="12" t="s">
        <v>5282</v>
      </c>
      <c r="G1904" s="12" t="str">
        <f t="shared" si="44"/>
        <v>706781102230911</v>
      </c>
      <c r="H1904" s="12" t="s">
        <v>5283</v>
      </c>
      <c r="I1904" s="15">
        <v>1102230911</v>
      </c>
      <c r="J1904" s="12" t="s">
        <v>5284</v>
      </c>
      <c r="K1904" s="12" t="s">
        <v>230</v>
      </c>
      <c r="L1904" s="12" t="s">
        <v>45</v>
      </c>
      <c r="M1904" s="12" t="s">
        <v>45</v>
      </c>
      <c r="N1904" s="12" t="s">
        <v>432</v>
      </c>
      <c r="O1904" s="12" t="s">
        <v>432</v>
      </c>
      <c r="P1904" s="88" t="s">
        <v>261</v>
      </c>
      <c r="W1904" s="11"/>
      <c r="AU1904" s="12" t="s">
        <v>53</v>
      </c>
    </row>
    <row r="1905" spans="1:47" s="12" customFormat="1" ht="14.4" hidden="1" x14ac:dyDescent="0.3">
      <c r="A1905" s="12" t="s">
        <v>39</v>
      </c>
      <c r="B1905" s="12" t="s">
        <v>5265</v>
      </c>
      <c r="C1905" s="12">
        <v>70</v>
      </c>
      <c r="D1905" s="12">
        <v>678</v>
      </c>
      <c r="F1905" s="12" t="s">
        <v>5285</v>
      </c>
      <c r="G1905" s="12" t="str">
        <f t="shared" si="44"/>
        <v>7067823063571</v>
      </c>
      <c r="H1905" s="12" t="s">
        <v>5286</v>
      </c>
      <c r="I1905" s="15">
        <v>23063571</v>
      </c>
      <c r="J1905" s="12" t="s">
        <v>5287</v>
      </c>
      <c r="K1905" s="12" t="s">
        <v>230</v>
      </c>
      <c r="N1905" s="12" t="s">
        <v>259</v>
      </c>
      <c r="O1905" s="12" t="s">
        <v>260</v>
      </c>
      <c r="P1905" s="88" t="s">
        <v>261</v>
      </c>
      <c r="W1905" s="11"/>
      <c r="AU1905" s="12" t="s">
        <v>53</v>
      </c>
    </row>
    <row r="1906" spans="1:47" s="12" customFormat="1" ht="14.4" hidden="1" x14ac:dyDescent="0.3">
      <c r="A1906" s="12" t="s">
        <v>39</v>
      </c>
      <c r="B1906" s="12" t="s">
        <v>5265</v>
      </c>
      <c r="C1906" s="12">
        <v>70</v>
      </c>
      <c r="D1906" s="12">
        <v>678</v>
      </c>
      <c r="F1906" s="12" t="s">
        <v>5288</v>
      </c>
      <c r="G1906" s="12" t="str">
        <f t="shared" si="44"/>
        <v>706781037974776</v>
      </c>
      <c r="H1906" s="12" t="s">
        <v>5289</v>
      </c>
      <c r="I1906" s="15">
        <v>1037974776</v>
      </c>
      <c r="J1906" s="12" t="s">
        <v>5290</v>
      </c>
      <c r="K1906" s="12" t="s">
        <v>230</v>
      </c>
      <c r="L1906" s="12">
        <v>3207581288</v>
      </c>
      <c r="M1906" s="12" t="s">
        <v>45</v>
      </c>
      <c r="N1906" s="12" t="s">
        <v>46</v>
      </c>
      <c r="O1906" s="12" t="s">
        <v>2797</v>
      </c>
      <c r="P1906" s="88" t="s">
        <v>80</v>
      </c>
      <c r="W1906" s="11"/>
      <c r="AU1906" s="12" t="s">
        <v>53</v>
      </c>
    </row>
    <row r="1907" spans="1:47" s="12" customFormat="1" ht="14.4" hidden="1" x14ac:dyDescent="0.3">
      <c r="A1907" s="12" t="s">
        <v>39</v>
      </c>
      <c r="B1907" s="12" t="s">
        <v>5265</v>
      </c>
      <c r="C1907" s="12">
        <v>70</v>
      </c>
      <c r="D1907" s="12">
        <v>678</v>
      </c>
      <c r="F1907" s="12" t="s">
        <v>5291</v>
      </c>
      <c r="G1907" s="12" t="str">
        <f t="shared" si="44"/>
        <v>7067823063918</v>
      </c>
      <c r="H1907" s="12" t="s">
        <v>5292</v>
      </c>
      <c r="I1907" s="15">
        <v>23063918</v>
      </c>
      <c r="J1907" s="12" t="s">
        <v>5293</v>
      </c>
      <c r="K1907" s="12" t="s">
        <v>230</v>
      </c>
      <c r="N1907" s="12" t="s">
        <v>259</v>
      </c>
      <c r="O1907" s="12" t="s">
        <v>260</v>
      </c>
      <c r="P1907" s="88" t="s">
        <v>261</v>
      </c>
      <c r="W1907" s="11"/>
      <c r="AU1907" s="12" t="s">
        <v>53</v>
      </c>
    </row>
    <row r="1908" spans="1:47" s="12" customFormat="1" ht="14.4" x14ac:dyDescent="0.3">
      <c r="A1908" s="12" t="s">
        <v>505</v>
      </c>
      <c r="B1908" s="12" t="s">
        <v>5265</v>
      </c>
      <c r="C1908" s="12">
        <v>70</v>
      </c>
      <c r="D1908" s="12">
        <v>678</v>
      </c>
      <c r="F1908" s="12" t="s">
        <v>5294</v>
      </c>
      <c r="G1908" s="12" t="str">
        <f t="shared" si="44"/>
        <v>7067864725863</v>
      </c>
      <c r="H1908" s="12" t="s">
        <v>5295</v>
      </c>
      <c r="I1908" s="15">
        <v>64725863</v>
      </c>
      <c r="J1908" s="12" t="s">
        <v>5296</v>
      </c>
      <c r="K1908" s="12" t="s">
        <v>230</v>
      </c>
      <c r="N1908" s="12" t="s">
        <v>46</v>
      </c>
      <c r="O1908" s="12" t="s">
        <v>47</v>
      </c>
      <c r="P1908" s="88" t="s">
        <v>48</v>
      </c>
      <c r="W1908" s="11"/>
      <c r="AU1908" s="12" t="s">
        <v>53</v>
      </c>
    </row>
    <row r="1909" spans="1:47" s="12" customFormat="1" ht="14.4" hidden="1" x14ac:dyDescent="0.3">
      <c r="A1909" s="12" t="s">
        <v>39</v>
      </c>
      <c r="B1909" s="12" t="s">
        <v>5265</v>
      </c>
      <c r="C1909" s="12">
        <v>70</v>
      </c>
      <c r="D1909" s="12">
        <v>678</v>
      </c>
      <c r="F1909" s="12" t="s">
        <v>5297</v>
      </c>
      <c r="G1909" s="12" t="str">
        <f t="shared" si="44"/>
        <v>7067892559148</v>
      </c>
      <c r="H1909" s="12" t="s">
        <v>5298</v>
      </c>
      <c r="I1909" s="15">
        <v>92559148</v>
      </c>
      <c r="J1909" s="12" t="s">
        <v>5299</v>
      </c>
      <c r="K1909" s="12" t="s">
        <v>230</v>
      </c>
      <c r="L1909" s="12" t="s">
        <v>45</v>
      </c>
      <c r="M1909" s="12" t="s">
        <v>45</v>
      </c>
      <c r="N1909" s="12" t="s">
        <v>432</v>
      </c>
      <c r="O1909" s="12" t="s">
        <v>432</v>
      </c>
      <c r="P1909" s="88" t="s">
        <v>261</v>
      </c>
      <c r="W1909" s="11"/>
      <c r="AU1909" s="12" t="s">
        <v>53</v>
      </c>
    </row>
    <row r="1910" spans="1:47" s="12" customFormat="1" ht="14.4" x14ac:dyDescent="0.3">
      <c r="A1910" s="12" t="s">
        <v>505</v>
      </c>
      <c r="B1910" s="12" t="s">
        <v>5265</v>
      </c>
      <c r="C1910" s="12">
        <v>70</v>
      </c>
      <c r="D1910" s="12">
        <v>678</v>
      </c>
      <c r="F1910" s="12" t="s">
        <v>5300</v>
      </c>
      <c r="G1910" s="12" t="str">
        <f t="shared" si="44"/>
        <v>7067864572874</v>
      </c>
      <c r="H1910" s="12" t="s">
        <v>5301</v>
      </c>
      <c r="I1910" s="15">
        <v>64572874</v>
      </c>
      <c r="J1910" s="12" t="s">
        <v>5302</v>
      </c>
      <c r="K1910" s="12" t="s">
        <v>230</v>
      </c>
      <c r="N1910" s="12" t="s">
        <v>46</v>
      </c>
      <c r="O1910" s="12" t="s">
        <v>47</v>
      </c>
      <c r="P1910" s="88" t="s">
        <v>48</v>
      </c>
      <c r="W1910" s="11"/>
      <c r="AU1910" s="12" t="s">
        <v>53</v>
      </c>
    </row>
    <row r="1911" spans="1:47" s="12" customFormat="1" ht="14.4" hidden="1" x14ac:dyDescent="0.3">
      <c r="A1911" s="12" t="s">
        <v>39</v>
      </c>
      <c r="B1911" s="12" t="s">
        <v>5265</v>
      </c>
      <c r="C1911" s="12">
        <v>70</v>
      </c>
      <c r="D1911" s="12">
        <v>678</v>
      </c>
      <c r="F1911" s="12" t="s">
        <v>5303</v>
      </c>
      <c r="G1911" s="12" t="str">
        <f t="shared" si="44"/>
        <v>7067823063107</v>
      </c>
      <c r="H1911" s="12" t="s">
        <v>5267</v>
      </c>
      <c r="I1911" s="15">
        <v>23063107</v>
      </c>
      <c r="J1911" s="12" t="s">
        <v>5268</v>
      </c>
      <c r="K1911" s="12" t="s">
        <v>230</v>
      </c>
      <c r="L1911" s="12">
        <v>3101169856</v>
      </c>
      <c r="M1911" s="12" t="s">
        <v>45</v>
      </c>
      <c r="N1911" s="12" t="s">
        <v>432</v>
      </c>
      <c r="O1911" s="12" t="s">
        <v>432</v>
      </c>
      <c r="P1911" s="88" t="s">
        <v>261</v>
      </c>
      <c r="Q1911" s="13">
        <v>45517</v>
      </c>
      <c r="R1911" s="12">
        <v>78.5</v>
      </c>
      <c r="S1911" s="12" t="s">
        <v>49</v>
      </c>
      <c r="W1911" s="11"/>
      <c r="AU1911" s="12" t="s">
        <v>53</v>
      </c>
    </row>
    <row r="1912" spans="1:47" s="12" customFormat="1" ht="14.4" hidden="1" x14ac:dyDescent="0.3">
      <c r="A1912" s="12" t="s">
        <v>39</v>
      </c>
      <c r="B1912" s="12" t="s">
        <v>5265</v>
      </c>
      <c r="C1912" s="12">
        <v>70</v>
      </c>
      <c r="D1912" s="12">
        <v>678</v>
      </c>
      <c r="F1912" s="12" t="s">
        <v>5304</v>
      </c>
      <c r="G1912" s="12" t="str">
        <f t="shared" si="44"/>
        <v>7067818856953</v>
      </c>
      <c r="H1912" s="12" t="s">
        <v>5305</v>
      </c>
      <c r="I1912" s="15">
        <v>18856953</v>
      </c>
      <c r="J1912" s="12" t="s">
        <v>5306</v>
      </c>
      <c r="K1912" s="12" t="s">
        <v>230</v>
      </c>
      <c r="N1912" s="12" t="s">
        <v>259</v>
      </c>
      <c r="O1912" s="12" t="s">
        <v>260</v>
      </c>
      <c r="P1912" s="88" t="s">
        <v>261</v>
      </c>
      <c r="W1912" s="11"/>
      <c r="AU1912" s="12" t="s">
        <v>53</v>
      </c>
    </row>
    <row r="1913" spans="1:47" s="12" customFormat="1" ht="14.4" hidden="1" x14ac:dyDescent="0.3">
      <c r="A1913" s="12" t="s">
        <v>39</v>
      </c>
      <c r="B1913" s="12" t="s">
        <v>5265</v>
      </c>
      <c r="C1913" s="12">
        <v>70</v>
      </c>
      <c r="D1913" s="12">
        <v>678</v>
      </c>
      <c r="F1913" s="12" t="s">
        <v>5307</v>
      </c>
      <c r="G1913" s="12" t="str">
        <f t="shared" si="44"/>
        <v>706783948658</v>
      </c>
      <c r="H1913" s="12" t="s">
        <v>5308</v>
      </c>
      <c r="I1913" s="15">
        <v>3948658</v>
      </c>
      <c r="J1913" s="12" t="s">
        <v>5309</v>
      </c>
      <c r="K1913" s="12" t="s">
        <v>230</v>
      </c>
      <c r="N1913" s="12" t="s">
        <v>259</v>
      </c>
      <c r="O1913" s="12" t="s">
        <v>260</v>
      </c>
      <c r="P1913" s="88" t="s">
        <v>261</v>
      </c>
      <c r="W1913" s="11"/>
      <c r="AU1913" s="12" t="s">
        <v>53</v>
      </c>
    </row>
    <row r="1914" spans="1:47" s="12" customFormat="1" ht="14.4" x14ac:dyDescent="0.3">
      <c r="A1914" s="12" t="s">
        <v>39</v>
      </c>
      <c r="B1914" s="12" t="s">
        <v>5265</v>
      </c>
      <c r="C1914" s="12">
        <v>70</v>
      </c>
      <c r="D1914" s="12">
        <v>678</v>
      </c>
      <c r="F1914" s="275" t="s">
        <v>5310</v>
      </c>
      <c r="G1914" s="12" t="str">
        <f t="shared" si="44"/>
        <v>7067818855960</v>
      </c>
      <c r="H1914" s="12" t="s">
        <v>5311</v>
      </c>
      <c r="I1914" s="15">
        <v>18855960</v>
      </c>
      <c r="J1914" s="12" t="s">
        <v>5312</v>
      </c>
      <c r="K1914" s="12" t="s">
        <v>230</v>
      </c>
      <c r="L1914" s="12">
        <v>3235895714</v>
      </c>
      <c r="N1914" s="12" t="s">
        <v>46</v>
      </c>
      <c r="O1914" s="12" t="s">
        <v>47</v>
      </c>
      <c r="P1914" s="88" t="s">
        <v>48</v>
      </c>
      <c r="Q1914" s="13">
        <v>46042</v>
      </c>
      <c r="R1914" s="16">
        <v>0.71</v>
      </c>
      <c r="S1914" s="12" t="s">
        <v>139</v>
      </c>
      <c r="U1914" s="12" t="s">
        <v>60</v>
      </c>
      <c r="V1914" s="13">
        <v>44341</v>
      </c>
      <c r="W1914" s="16">
        <v>0.75</v>
      </c>
      <c r="X1914" s="12" t="s">
        <v>74</v>
      </c>
      <c r="AU1914" s="12" t="s">
        <v>53</v>
      </c>
    </row>
    <row r="1915" spans="1:47" s="12" customFormat="1" ht="14.4" hidden="1" x14ac:dyDescent="0.3">
      <c r="A1915" s="12" t="s">
        <v>39</v>
      </c>
      <c r="B1915" s="12" t="s">
        <v>5265</v>
      </c>
      <c r="C1915" s="12">
        <v>70</v>
      </c>
      <c r="D1915" s="12">
        <v>678</v>
      </c>
      <c r="F1915" s="12" t="s">
        <v>5313</v>
      </c>
      <c r="G1915" s="12" t="str">
        <f t="shared" si="44"/>
        <v>7067864748678</v>
      </c>
      <c r="H1915" s="12" t="s">
        <v>5314</v>
      </c>
      <c r="I1915" s="15">
        <v>64748678</v>
      </c>
      <c r="J1915" s="12" t="s">
        <v>5315</v>
      </c>
      <c r="K1915" s="12" t="s">
        <v>230</v>
      </c>
      <c r="L1915" s="12">
        <v>3107264723</v>
      </c>
      <c r="M1915" s="12" t="s">
        <v>45</v>
      </c>
      <c r="N1915" s="12" t="s">
        <v>432</v>
      </c>
      <c r="O1915" s="12" t="s">
        <v>432</v>
      </c>
      <c r="P1915" s="88" t="s">
        <v>261</v>
      </c>
      <c r="W1915" s="11"/>
      <c r="AU1915" s="12" t="s">
        <v>53</v>
      </c>
    </row>
    <row r="1916" spans="1:47" s="12" customFormat="1" ht="14.4" x14ac:dyDescent="0.3">
      <c r="A1916" s="12" t="s">
        <v>39</v>
      </c>
      <c r="B1916" s="12" t="s">
        <v>5265</v>
      </c>
      <c r="C1916" s="12">
        <v>70</v>
      </c>
      <c r="D1916" s="12">
        <v>678</v>
      </c>
      <c r="F1916" s="12" t="s">
        <v>5316</v>
      </c>
      <c r="G1916" s="12" t="str">
        <f t="shared" si="44"/>
        <v>7067823062344</v>
      </c>
      <c r="H1916" s="12" t="s">
        <v>5317</v>
      </c>
      <c r="I1916" s="15">
        <v>23062344</v>
      </c>
      <c r="J1916" s="12" t="s">
        <v>5318</v>
      </c>
      <c r="K1916" s="12" t="s">
        <v>230</v>
      </c>
      <c r="N1916" s="12" t="s">
        <v>46</v>
      </c>
      <c r="O1916" s="12" t="s">
        <v>47</v>
      </c>
      <c r="P1916" s="88" t="s">
        <v>48</v>
      </c>
      <c r="W1916" s="11"/>
      <c r="AU1916" s="12" t="s">
        <v>53</v>
      </c>
    </row>
    <row r="1917" spans="1:47" s="12" customFormat="1" ht="14.4" hidden="1" x14ac:dyDescent="0.3">
      <c r="A1917" s="12" t="s">
        <v>39</v>
      </c>
      <c r="B1917" s="12" t="s">
        <v>5265</v>
      </c>
      <c r="C1917" s="12">
        <v>70</v>
      </c>
      <c r="D1917" s="12">
        <v>678</v>
      </c>
      <c r="F1917" s="12" t="s">
        <v>5319</v>
      </c>
      <c r="G1917" s="12" t="str">
        <f t="shared" si="44"/>
        <v>7067864750112</v>
      </c>
      <c r="H1917" s="12" t="s">
        <v>5320</v>
      </c>
      <c r="I1917" s="15">
        <v>64750112</v>
      </c>
      <c r="J1917" s="12" t="s">
        <v>5321</v>
      </c>
      <c r="K1917" s="12" t="s">
        <v>230</v>
      </c>
      <c r="L1917" s="12">
        <v>3205030791</v>
      </c>
      <c r="M1917" s="12" t="s">
        <v>45</v>
      </c>
      <c r="N1917" s="12" t="s">
        <v>432</v>
      </c>
      <c r="O1917" s="12" t="s">
        <v>432</v>
      </c>
      <c r="P1917" s="88" t="s">
        <v>261</v>
      </c>
      <c r="W1917" s="11"/>
      <c r="AU1917" s="12" t="s">
        <v>53</v>
      </c>
    </row>
    <row r="1918" spans="1:47" s="12" customFormat="1" ht="14.4" hidden="1" x14ac:dyDescent="0.3">
      <c r="A1918" s="12" t="s">
        <v>39</v>
      </c>
      <c r="B1918" s="12" t="s">
        <v>5265</v>
      </c>
      <c r="C1918" s="12">
        <v>70</v>
      </c>
      <c r="D1918" s="12">
        <v>678</v>
      </c>
      <c r="F1918" s="12" t="s">
        <v>5322</v>
      </c>
      <c r="G1918" s="12" t="str">
        <f t="shared" si="44"/>
        <v>706781102229433</v>
      </c>
      <c r="H1918" s="12" t="s">
        <v>5323</v>
      </c>
      <c r="I1918" s="15">
        <v>1102229433</v>
      </c>
      <c r="J1918" s="12" t="s">
        <v>5324</v>
      </c>
      <c r="K1918" s="12" t="s">
        <v>230</v>
      </c>
      <c r="N1918" s="12" t="s">
        <v>432</v>
      </c>
      <c r="O1918" s="12" t="s">
        <v>432</v>
      </c>
      <c r="P1918" s="88" t="s">
        <v>261</v>
      </c>
      <c r="W1918" s="11"/>
      <c r="AU1918" s="12" t="s">
        <v>53</v>
      </c>
    </row>
    <row r="1919" spans="1:47" s="12" customFormat="1" ht="14.4" hidden="1" x14ac:dyDescent="0.3">
      <c r="A1919" s="12" t="s">
        <v>39</v>
      </c>
      <c r="B1919" s="12" t="s">
        <v>5265</v>
      </c>
      <c r="C1919" s="12">
        <v>70</v>
      </c>
      <c r="D1919" s="12">
        <v>678</v>
      </c>
      <c r="F1919" s="12" t="s">
        <v>5325</v>
      </c>
      <c r="G1919" s="12" t="str">
        <f t="shared" si="44"/>
        <v>7067864749791</v>
      </c>
      <c r="H1919" s="12" t="s">
        <v>5326</v>
      </c>
      <c r="I1919" s="15">
        <v>64749791</v>
      </c>
      <c r="J1919" s="12" t="s">
        <v>5327</v>
      </c>
      <c r="K1919" s="12" t="s">
        <v>230</v>
      </c>
      <c r="L1919" s="12">
        <v>3145791799</v>
      </c>
      <c r="M1919" s="12" t="s">
        <v>45</v>
      </c>
      <c r="N1919" s="12" t="s">
        <v>259</v>
      </c>
      <c r="O1919" s="12" t="s">
        <v>260</v>
      </c>
      <c r="P1919" s="88" t="s">
        <v>261</v>
      </c>
      <c r="W1919" s="11"/>
      <c r="AU1919" s="12" t="s">
        <v>53</v>
      </c>
    </row>
    <row r="1920" spans="1:47" s="12" customFormat="1" ht="14.4" hidden="1" x14ac:dyDescent="0.3">
      <c r="A1920" s="12" t="s">
        <v>39</v>
      </c>
      <c r="B1920" s="12" t="s">
        <v>5265</v>
      </c>
      <c r="C1920" s="12">
        <v>70</v>
      </c>
      <c r="D1920" s="12">
        <v>678</v>
      </c>
      <c r="F1920" s="12" t="s">
        <v>5328</v>
      </c>
      <c r="G1920" s="12" t="str">
        <f t="shared" si="44"/>
        <v>7067870466307</v>
      </c>
      <c r="H1920" s="12" t="s">
        <v>5329</v>
      </c>
      <c r="I1920" s="15">
        <v>70466307</v>
      </c>
      <c r="J1920" s="12" t="s">
        <v>5330</v>
      </c>
      <c r="K1920" s="12" t="s">
        <v>230</v>
      </c>
      <c r="L1920" s="12" t="s">
        <v>45</v>
      </c>
      <c r="M1920" s="12" t="s">
        <v>45</v>
      </c>
      <c r="N1920" s="12" t="s">
        <v>259</v>
      </c>
      <c r="O1920" s="12" t="s">
        <v>260</v>
      </c>
      <c r="P1920" s="88" t="s">
        <v>261</v>
      </c>
      <c r="W1920" s="11"/>
      <c r="AU1920" s="12" t="s">
        <v>53</v>
      </c>
    </row>
    <row r="1921" spans="1:47" s="12" customFormat="1" ht="14.4" hidden="1" x14ac:dyDescent="0.3">
      <c r="A1921" s="12" t="s">
        <v>505</v>
      </c>
      <c r="B1921" s="12" t="s">
        <v>5265</v>
      </c>
      <c r="C1921" s="12">
        <v>70</v>
      </c>
      <c r="D1921" s="12">
        <v>678</v>
      </c>
      <c r="F1921" s="12" t="s">
        <v>5331</v>
      </c>
      <c r="G1921" s="12" t="str">
        <f t="shared" si="44"/>
        <v>70678900090966</v>
      </c>
      <c r="H1921" s="12" t="s">
        <v>5332</v>
      </c>
      <c r="I1921" s="15">
        <v>900090966</v>
      </c>
      <c r="J1921" s="12" t="s">
        <v>5333</v>
      </c>
      <c r="K1921" s="12" t="s">
        <v>230</v>
      </c>
      <c r="L1921" s="12">
        <v>3015258638</v>
      </c>
      <c r="M1921" s="12" t="s">
        <v>45</v>
      </c>
      <c r="N1921" s="12" t="s">
        <v>127</v>
      </c>
      <c r="O1921" s="12" t="s">
        <v>2822</v>
      </c>
      <c r="P1921" s="88" t="s">
        <v>48</v>
      </c>
      <c r="W1921" s="11"/>
      <c r="AU1921" s="12" t="s">
        <v>53</v>
      </c>
    </row>
    <row r="1922" spans="1:47" s="12" customFormat="1" ht="14.4" hidden="1" x14ac:dyDescent="0.3">
      <c r="A1922" s="12" t="s">
        <v>505</v>
      </c>
      <c r="B1922" s="12" t="s">
        <v>5265</v>
      </c>
      <c r="C1922" s="12">
        <v>70</v>
      </c>
      <c r="D1922" s="12">
        <v>678</v>
      </c>
      <c r="F1922" s="12" t="s">
        <v>5334</v>
      </c>
      <c r="G1922" s="12" t="str">
        <f t="shared" si="44"/>
        <v>7067823062748</v>
      </c>
      <c r="H1922" s="12" t="s">
        <v>5335</v>
      </c>
      <c r="I1922" s="15">
        <v>23062748</v>
      </c>
      <c r="J1922" s="12" t="s">
        <v>5336</v>
      </c>
      <c r="K1922" s="12" t="s">
        <v>230</v>
      </c>
      <c r="L1922" s="12">
        <v>3155919614</v>
      </c>
      <c r="M1922" s="12" t="s">
        <v>45</v>
      </c>
      <c r="N1922" s="12" t="s">
        <v>127</v>
      </c>
      <c r="O1922" s="12" t="s">
        <v>2822</v>
      </c>
      <c r="P1922" s="88" t="s">
        <v>48</v>
      </c>
      <c r="W1922" s="11"/>
      <c r="AU1922" s="12" t="s">
        <v>53</v>
      </c>
    </row>
    <row r="1923" spans="1:47" s="12" customFormat="1" ht="14.4" x14ac:dyDescent="0.3">
      <c r="A1923" s="12" t="s">
        <v>505</v>
      </c>
      <c r="B1923" s="12" t="s">
        <v>5265</v>
      </c>
      <c r="C1923" s="12">
        <v>70</v>
      </c>
      <c r="D1923" s="12">
        <v>678</v>
      </c>
      <c r="F1923" s="12" t="s">
        <v>5337</v>
      </c>
      <c r="G1923" s="12" t="str">
        <f t="shared" si="44"/>
        <v>7067823171623</v>
      </c>
      <c r="H1923" s="12" t="s">
        <v>5338</v>
      </c>
      <c r="I1923" s="15">
        <v>23171623</v>
      </c>
      <c r="J1923" s="12" t="s">
        <v>5339</v>
      </c>
      <c r="K1923" s="12" t="s">
        <v>230</v>
      </c>
      <c r="N1923" s="12" t="s">
        <v>46</v>
      </c>
      <c r="O1923" s="12" t="s">
        <v>47</v>
      </c>
      <c r="P1923" s="88" t="s">
        <v>48</v>
      </c>
      <c r="W1923" s="11"/>
      <c r="AU1923" s="12" t="s">
        <v>53</v>
      </c>
    </row>
    <row r="1924" spans="1:47" s="12" customFormat="1" ht="14.4" hidden="1" x14ac:dyDescent="0.3">
      <c r="A1924" s="12" t="s">
        <v>505</v>
      </c>
      <c r="B1924" s="12" t="s">
        <v>5265</v>
      </c>
      <c r="C1924" s="12">
        <v>70</v>
      </c>
      <c r="D1924" s="12">
        <v>678</v>
      </c>
      <c r="F1924" s="12" t="s">
        <v>5340</v>
      </c>
      <c r="G1924" s="12" t="str">
        <f t="shared" si="44"/>
        <v>706781102229569</v>
      </c>
      <c r="H1924" s="12" t="s">
        <v>5341</v>
      </c>
      <c r="I1924" s="15">
        <v>1102229569</v>
      </c>
      <c r="J1924" s="12" t="s">
        <v>5342</v>
      </c>
      <c r="K1924" s="12" t="s">
        <v>230</v>
      </c>
      <c r="N1924" s="12" t="s">
        <v>432</v>
      </c>
      <c r="O1924" s="12" t="s">
        <v>432</v>
      </c>
      <c r="P1924" s="88" t="s">
        <v>261</v>
      </c>
      <c r="W1924" s="11"/>
      <c r="AU1924" s="12" t="s">
        <v>53</v>
      </c>
    </row>
    <row r="1925" spans="1:47" s="12" customFormat="1" ht="14.4" hidden="1" x14ac:dyDescent="0.3">
      <c r="A1925" s="12" t="s">
        <v>505</v>
      </c>
      <c r="B1925" s="12" t="s">
        <v>5265</v>
      </c>
      <c r="C1925" s="12">
        <v>70</v>
      </c>
      <c r="D1925" s="12">
        <v>678</v>
      </c>
      <c r="F1925" s="12" t="s">
        <v>5343</v>
      </c>
      <c r="G1925" s="12" t="str">
        <f t="shared" si="44"/>
        <v>7067818856058</v>
      </c>
      <c r="H1925" s="12" t="s">
        <v>5344</v>
      </c>
      <c r="I1925" s="15">
        <v>18856058</v>
      </c>
      <c r="J1925" s="12" t="s">
        <v>5345</v>
      </c>
      <c r="K1925" s="12" t="s">
        <v>230</v>
      </c>
      <c r="L1925" s="12">
        <v>3114172722</v>
      </c>
      <c r="M1925" s="12" t="s">
        <v>45</v>
      </c>
      <c r="N1925" s="12" t="s">
        <v>432</v>
      </c>
      <c r="O1925" s="12" t="s">
        <v>432</v>
      </c>
      <c r="P1925" s="88" t="s">
        <v>261</v>
      </c>
      <c r="W1925" s="11"/>
      <c r="AU1925" s="12" t="s">
        <v>53</v>
      </c>
    </row>
    <row r="1926" spans="1:47" s="12" customFormat="1" ht="14.4" hidden="1" x14ac:dyDescent="0.3">
      <c r="A1926" s="12" t="s">
        <v>505</v>
      </c>
      <c r="B1926" s="12" t="s">
        <v>5265</v>
      </c>
      <c r="C1926" s="12">
        <v>70</v>
      </c>
      <c r="D1926" s="12">
        <v>678</v>
      </c>
      <c r="F1926" s="12" t="s">
        <v>5346</v>
      </c>
      <c r="G1926" s="12" t="str">
        <f t="shared" si="44"/>
        <v>706781005576088</v>
      </c>
      <c r="H1926" s="12" t="s">
        <v>5347</v>
      </c>
      <c r="I1926" s="15">
        <v>1005576088</v>
      </c>
      <c r="J1926" s="12" t="s">
        <v>5348</v>
      </c>
      <c r="K1926" s="12" t="s">
        <v>230</v>
      </c>
      <c r="L1926" s="12">
        <v>3128032962</v>
      </c>
      <c r="N1926" s="12" t="s">
        <v>432</v>
      </c>
      <c r="O1926" s="12" t="s">
        <v>432</v>
      </c>
      <c r="P1926" s="88" t="s">
        <v>261</v>
      </c>
      <c r="Q1926" s="13">
        <v>44306</v>
      </c>
      <c r="R1926" s="16" t="s">
        <v>201</v>
      </c>
      <c r="S1926" s="12" t="s">
        <v>69</v>
      </c>
      <c r="W1926" s="11"/>
      <c r="AU1926" s="12" t="s">
        <v>53</v>
      </c>
    </row>
    <row r="1927" spans="1:47" s="12" customFormat="1" ht="14.4" x14ac:dyDescent="0.3">
      <c r="A1927" s="12" t="s">
        <v>505</v>
      </c>
      <c r="B1927" s="12" t="s">
        <v>5265</v>
      </c>
      <c r="C1927" s="12">
        <v>70</v>
      </c>
      <c r="D1927" s="12">
        <v>678</v>
      </c>
      <c r="F1927" s="12" t="s">
        <v>5349</v>
      </c>
      <c r="G1927" s="12" t="str">
        <f t="shared" si="44"/>
        <v>706789210059</v>
      </c>
      <c r="H1927" s="12" t="s">
        <v>5350</v>
      </c>
      <c r="I1927" s="15">
        <v>9210059</v>
      </c>
      <c r="J1927" s="12" t="s">
        <v>5351</v>
      </c>
      <c r="K1927" s="12" t="s">
        <v>230</v>
      </c>
      <c r="N1927" s="12" t="s">
        <v>46</v>
      </c>
      <c r="O1927" s="12" t="s">
        <v>47</v>
      </c>
      <c r="P1927" s="88" t="s">
        <v>48</v>
      </c>
      <c r="W1927" s="11"/>
      <c r="AU1927" s="12" t="s">
        <v>53</v>
      </c>
    </row>
    <row r="1928" spans="1:47" s="12" customFormat="1" ht="14.4" hidden="1" x14ac:dyDescent="0.3">
      <c r="A1928" s="12" t="s">
        <v>39</v>
      </c>
      <c r="B1928" s="12" t="s">
        <v>5265</v>
      </c>
      <c r="C1928" s="12">
        <v>70</v>
      </c>
      <c r="D1928" s="12">
        <v>678</v>
      </c>
      <c r="F1928" s="12" t="s">
        <v>5352</v>
      </c>
      <c r="G1928" s="12" t="str">
        <f t="shared" si="44"/>
        <v>7067823063333</v>
      </c>
      <c r="H1928" s="12" t="s">
        <v>5353</v>
      </c>
      <c r="I1928" s="15">
        <v>23063333</v>
      </c>
      <c r="J1928" s="12" t="s">
        <v>5354</v>
      </c>
      <c r="K1928" s="12" t="s">
        <v>230</v>
      </c>
      <c r="N1928" s="12" t="s">
        <v>432</v>
      </c>
      <c r="O1928" s="12" t="s">
        <v>432</v>
      </c>
      <c r="P1928" s="88" t="s">
        <v>261</v>
      </c>
      <c r="W1928" s="11"/>
      <c r="AU1928" s="12" t="s">
        <v>53</v>
      </c>
    </row>
    <row r="1929" spans="1:47" s="12" customFormat="1" ht="14.4" hidden="1" x14ac:dyDescent="0.3">
      <c r="A1929" s="12" t="s">
        <v>39</v>
      </c>
      <c r="B1929" s="12" t="s">
        <v>5265</v>
      </c>
      <c r="C1929" s="12">
        <v>70</v>
      </c>
      <c r="D1929" s="12">
        <v>678</v>
      </c>
      <c r="F1929" s="12" t="s">
        <v>5355</v>
      </c>
      <c r="G1929" s="12" t="str">
        <f t="shared" si="44"/>
        <v>7067883031099</v>
      </c>
      <c r="H1929" s="12" t="s">
        <v>5356</v>
      </c>
      <c r="I1929" s="15">
        <v>83031099</v>
      </c>
      <c r="J1929" s="12" t="s">
        <v>5357</v>
      </c>
      <c r="K1929" s="12" t="s">
        <v>230</v>
      </c>
      <c r="L1929" s="12" t="s">
        <v>45</v>
      </c>
      <c r="M1929" s="12" t="s">
        <v>45</v>
      </c>
      <c r="N1929" s="12" t="s">
        <v>127</v>
      </c>
      <c r="O1929" s="12" t="s">
        <v>2822</v>
      </c>
      <c r="P1929" s="88" t="s">
        <v>48</v>
      </c>
      <c r="W1929" s="11"/>
      <c r="AU1929" s="12" t="s">
        <v>53</v>
      </c>
    </row>
    <row r="1930" spans="1:47" s="12" customFormat="1" ht="14.4" hidden="1" x14ac:dyDescent="0.3">
      <c r="A1930" s="12" t="s">
        <v>39</v>
      </c>
      <c r="B1930" s="12" t="s">
        <v>5265</v>
      </c>
      <c r="C1930" s="12">
        <v>70</v>
      </c>
      <c r="D1930" s="12">
        <v>678</v>
      </c>
      <c r="F1930" s="12" t="s">
        <v>5358</v>
      </c>
      <c r="G1930" s="12" t="str">
        <f t="shared" si="44"/>
        <v>7067883031099</v>
      </c>
      <c r="H1930" s="12" t="s">
        <v>5359</v>
      </c>
      <c r="I1930" s="15">
        <v>83031099</v>
      </c>
      <c r="J1930" s="12" t="s">
        <v>5360</v>
      </c>
      <c r="K1930" s="12" t="s">
        <v>230</v>
      </c>
      <c r="L1930" s="12" t="s">
        <v>45</v>
      </c>
      <c r="M1930" s="12" t="s">
        <v>45</v>
      </c>
      <c r="N1930" s="12" t="s">
        <v>127</v>
      </c>
      <c r="O1930" s="12" t="s">
        <v>2822</v>
      </c>
      <c r="P1930" s="88" t="s">
        <v>48</v>
      </c>
      <c r="W1930" s="11"/>
      <c r="AU1930" s="12" t="s">
        <v>53</v>
      </c>
    </row>
    <row r="1931" spans="1:47" s="12" customFormat="1" ht="14.4" hidden="1" x14ac:dyDescent="0.3">
      <c r="A1931" s="12" t="s">
        <v>39</v>
      </c>
      <c r="B1931" s="12" t="s">
        <v>5265</v>
      </c>
      <c r="C1931" s="12">
        <v>70</v>
      </c>
      <c r="D1931" s="12">
        <v>678</v>
      </c>
      <c r="F1931" s="12" t="s">
        <v>5361</v>
      </c>
      <c r="G1931" s="12" t="str">
        <f t="shared" si="44"/>
        <v>706781102828451</v>
      </c>
      <c r="H1931" s="12" t="s">
        <v>5362</v>
      </c>
      <c r="I1931" s="15">
        <v>1102828451</v>
      </c>
      <c r="J1931" s="12" t="s">
        <v>5363</v>
      </c>
      <c r="K1931" s="12" t="s">
        <v>230</v>
      </c>
      <c r="N1931" s="12" t="s">
        <v>127</v>
      </c>
      <c r="O1931" s="12" t="s">
        <v>2822</v>
      </c>
      <c r="P1931" s="88" t="s">
        <v>48</v>
      </c>
      <c r="W1931" s="11"/>
      <c r="AU1931" s="12" t="s">
        <v>53</v>
      </c>
    </row>
    <row r="1932" spans="1:47" s="12" customFormat="1" ht="14.4" hidden="1" x14ac:dyDescent="0.3">
      <c r="A1932" s="12" t="s">
        <v>39</v>
      </c>
      <c r="B1932" s="12" t="s">
        <v>5265</v>
      </c>
      <c r="C1932" s="12">
        <v>70</v>
      </c>
      <c r="D1932" s="12">
        <v>678</v>
      </c>
      <c r="F1932" s="12" t="s">
        <v>5364</v>
      </c>
      <c r="G1932" s="12" t="str">
        <f t="shared" si="44"/>
        <v>7067883031099-2</v>
      </c>
      <c r="H1932" s="12" t="s">
        <v>5365</v>
      </c>
      <c r="I1932" s="15" t="s">
        <v>5366</v>
      </c>
      <c r="J1932" s="12" t="s">
        <v>5367</v>
      </c>
      <c r="K1932" s="12" t="s">
        <v>230</v>
      </c>
      <c r="N1932" s="12" t="s">
        <v>127</v>
      </c>
      <c r="O1932" s="12" t="s">
        <v>2822</v>
      </c>
      <c r="P1932" s="88" t="s">
        <v>48</v>
      </c>
      <c r="W1932" s="11"/>
      <c r="AU1932" s="12" t="s">
        <v>53</v>
      </c>
    </row>
    <row r="1933" spans="1:47" s="12" customFormat="1" ht="14.4" hidden="1" x14ac:dyDescent="0.3">
      <c r="A1933" s="12" t="s">
        <v>39</v>
      </c>
      <c r="B1933" s="12" t="s">
        <v>5265</v>
      </c>
      <c r="C1933" s="12">
        <v>70</v>
      </c>
      <c r="D1933" s="12">
        <v>678</v>
      </c>
      <c r="F1933" s="12" t="s">
        <v>5368</v>
      </c>
      <c r="G1933" s="12" t="str">
        <f t="shared" si="44"/>
        <v>7067818858758</v>
      </c>
      <c r="H1933" s="12" t="s">
        <v>5233</v>
      </c>
      <c r="I1933" s="15">
        <v>18858758</v>
      </c>
      <c r="J1933" s="12" t="s">
        <v>5369</v>
      </c>
      <c r="K1933" s="12" t="s">
        <v>230</v>
      </c>
      <c r="N1933" s="12" t="s">
        <v>259</v>
      </c>
      <c r="O1933" s="12" t="s">
        <v>260</v>
      </c>
      <c r="P1933" s="88" t="s">
        <v>261</v>
      </c>
      <c r="W1933" s="11"/>
      <c r="AU1933" s="12" t="s">
        <v>53</v>
      </c>
    </row>
    <row r="1934" spans="1:47" s="12" customFormat="1" ht="14.4" hidden="1" x14ac:dyDescent="0.3">
      <c r="A1934" s="12" t="s">
        <v>39</v>
      </c>
      <c r="B1934" s="12" t="s">
        <v>5265</v>
      </c>
      <c r="C1934" s="12">
        <v>70</v>
      </c>
      <c r="D1934" s="12">
        <v>678</v>
      </c>
      <c r="F1934" s="12" t="s">
        <v>5370</v>
      </c>
      <c r="G1934" s="12" t="str">
        <f t="shared" si="44"/>
        <v>7067818855676</v>
      </c>
      <c r="H1934" s="12" t="s">
        <v>5371</v>
      </c>
      <c r="I1934" s="15">
        <v>18855676</v>
      </c>
      <c r="J1934" s="12" t="s">
        <v>5372</v>
      </c>
      <c r="K1934" s="12" t="s">
        <v>230</v>
      </c>
      <c r="N1934" s="12" t="s">
        <v>259</v>
      </c>
      <c r="O1934" s="12" t="s">
        <v>260</v>
      </c>
      <c r="P1934" s="88" t="s">
        <v>261</v>
      </c>
      <c r="W1934" s="11"/>
      <c r="AU1934" s="12" t="s">
        <v>53</v>
      </c>
    </row>
    <row r="1935" spans="1:47" s="12" customFormat="1" ht="14.4" hidden="1" x14ac:dyDescent="0.3">
      <c r="A1935" s="12" t="s">
        <v>505</v>
      </c>
      <c r="B1935" s="12" t="s">
        <v>5265</v>
      </c>
      <c r="C1935" s="12">
        <v>70</v>
      </c>
      <c r="D1935" s="12">
        <v>678</v>
      </c>
      <c r="F1935" s="275" t="s">
        <v>5373</v>
      </c>
      <c r="G1935" s="12" t="str">
        <f t="shared" ref="G1935:G1966" si="45">C1935&amp;D1935&amp;I1935</f>
        <v>7067892096050</v>
      </c>
      <c r="H1935" s="12" t="s">
        <v>5374</v>
      </c>
      <c r="I1935" s="15">
        <v>92096050</v>
      </c>
      <c r="J1935" s="12" t="s">
        <v>8448</v>
      </c>
      <c r="K1935" s="12" t="s">
        <v>230</v>
      </c>
      <c r="L1935" s="12">
        <v>3117448614</v>
      </c>
      <c r="M1935" s="12" t="s">
        <v>45</v>
      </c>
      <c r="N1935" s="12" t="s">
        <v>432</v>
      </c>
      <c r="O1935" s="12" t="s">
        <v>432</v>
      </c>
      <c r="P1935" s="88" t="s">
        <v>261</v>
      </c>
      <c r="Q1935" s="13">
        <v>46036</v>
      </c>
      <c r="R1935" s="16">
        <v>0.73</v>
      </c>
      <c r="S1935" s="12" t="s">
        <v>49</v>
      </c>
      <c r="W1935" s="11"/>
      <c r="AU1935" s="12" t="s">
        <v>53</v>
      </c>
    </row>
    <row r="1936" spans="1:47" s="12" customFormat="1" ht="14.4" hidden="1" x14ac:dyDescent="0.3">
      <c r="A1936" s="12" t="s">
        <v>39</v>
      </c>
      <c r="B1936" s="12" t="s">
        <v>5265</v>
      </c>
      <c r="C1936" s="12">
        <v>70</v>
      </c>
      <c r="D1936" s="12">
        <v>678</v>
      </c>
      <c r="F1936" s="12" t="s">
        <v>5375</v>
      </c>
      <c r="G1936" s="12" t="str">
        <f t="shared" si="45"/>
        <v>706781022328845</v>
      </c>
      <c r="H1936" s="12" t="s">
        <v>5376</v>
      </c>
      <c r="I1936" s="15">
        <v>1022328845</v>
      </c>
      <c r="J1936" s="12" t="s">
        <v>5377</v>
      </c>
      <c r="K1936" s="12" t="s">
        <v>230</v>
      </c>
      <c r="N1936" s="12" t="s">
        <v>259</v>
      </c>
      <c r="O1936" s="12" t="s">
        <v>260</v>
      </c>
      <c r="P1936" s="88" t="s">
        <v>261</v>
      </c>
      <c r="W1936" s="11"/>
      <c r="AU1936" s="12" t="s">
        <v>53</v>
      </c>
    </row>
    <row r="1937" spans="1:47" s="12" customFormat="1" ht="14.4" hidden="1" x14ac:dyDescent="0.3">
      <c r="A1937" s="12" t="s">
        <v>39</v>
      </c>
      <c r="B1937" s="12" t="s">
        <v>5265</v>
      </c>
      <c r="C1937" s="12">
        <v>70</v>
      </c>
      <c r="D1937" s="12">
        <v>678</v>
      </c>
      <c r="F1937" s="12" t="s">
        <v>5378</v>
      </c>
      <c r="G1937" s="12" t="str">
        <f t="shared" si="45"/>
        <v>7067818855902</v>
      </c>
      <c r="H1937" s="12" t="s">
        <v>5379</v>
      </c>
      <c r="I1937" s="15">
        <v>18855902</v>
      </c>
      <c r="J1937" s="12" t="s">
        <v>5380</v>
      </c>
      <c r="K1937" s="12" t="s">
        <v>230</v>
      </c>
      <c r="N1937" s="12" t="s">
        <v>432</v>
      </c>
      <c r="O1937" s="12" t="s">
        <v>432</v>
      </c>
      <c r="P1937" s="88" t="s">
        <v>261</v>
      </c>
      <c r="W1937" s="11"/>
      <c r="AU1937" s="12" t="s">
        <v>53</v>
      </c>
    </row>
    <row r="1938" spans="1:47" s="12" customFormat="1" ht="14.4" hidden="1" x14ac:dyDescent="0.3">
      <c r="A1938" s="12" t="s">
        <v>39</v>
      </c>
      <c r="B1938" s="12" t="s">
        <v>5265</v>
      </c>
      <c r="C1938" s="12">
        <v>70</v>
      </c>
      <c r="D1938" s="12">
        <v>678</v>
      </c>
      <c r="F1938" s="12" t="s">
        <v>5381</v>
      </c>
      <c r="G1938" s="12" t="str">
        <f t="shared" si="45"/>
        <v>7067891594043</v>
      </c>
      <c r="H1938" s="12" t="s">
        <v>5382</v>
      </c>
      <c r="I1938" s="15">
        <v>91594043</v>
      </c>
      <c r="J1938" s="12" t="s">
        <v>5383</v>
      </c>
      <c r="K1938" s="12" t="s">
        <v>230</v>
      </c>
      <c r="N1938" s="12" t="s">
        <v>259</v>
      </c>
      <c r="O1938" s="12" t="s">
        <v>260</v>
      </c>
      <c r="P1938" s="88" t="s">
        <v>261</v>
      </c>
      <c r="Q1938" s="13">
        <v>45527</v>
      </c>
      <c r="R1938" s="12">
        <v>74</v>
      </c>
      <c r="S1938" s="12" t="s">
        <v>49</v>
      </c>
      <c r="W1938" s="11"/>
      <c r="AU1938" s="12" t="s">
        <v>53</v>
      </c>
    </row>
    <row r="1939" spans="1:47" s="12" customFormat="1" ht="14.4" hidden="1" x14ac:dyDescent="0.3">
      <c r="A1939" s="12" t="s">
        <v>39</v>
      </c>
      <c r="B1939" s="12" t="s">
        <v>5265</v>
      </c>
      <c r="C1939" s="12">
        <v>70</v>
      </c>
      <c r="D1939" s="12">
        <v>678</v>
      </c>
      <c r="F1939" s="12" t="s">
        <v>5384</v>
      </c>
      <c r="G1939" s="12" t="str">
        <f t="shared" si="45"/>
        <v>7067823063315</v>
      </c>
      <c r="H1939" s="12" t="s">
        <v>5385</v>
      </c>
      <c r="I1939" s="15">
        <v>23063315</v>
      </c>
      <c r="J1939" s="12" t="s">
        <v>5386</v>
      </c>
      <c r="K1939" s="12" t="s">
        <v>230</v>
      </c>
      <c r="N1939" s="12" t="s">
        <v>259</v>
      </c>
      <c r="O1939" s="12" t="s">
        <v>260</v>
      </c>
      <c r="P1939" s="88" t="s">
        <v>261</v>
      </c>
      <c r="W1939" s="11"/>
      <c r="AU1939" s="12" t="s">
        <v>53</v>
      </c>
    </row>
    <row r="1940" spans="1:47" s="12" customFormat="1" ht="14.4" hidden="1" x14ac:dyDescent="0.3">
      <c r="A1940" s="12" t="s">
        <v>39</v>
      </c>
      <c r="B1940" s="12" t="s">
        <v>5265</v>
      </c>
      <c r="C1940" s="12">
        <v>70</v>
      </c>
      <c r="D1940" s="12">
        <v>678</v>
      </c>
      <c r="F1940" s="12" t="s">
        <v>5387</v>
      </c>
      <c r="G1940" s="12" t="str">
        <f t="shared" si="45"/>
        <v>7067892554429</v>
      </c>
      <c r="H1940" s="12" t="s">
        <v>5388</v>
      </c>
      <c r="I1940" s="15">
        <v>92554429</v>
      </c>
      <c r="J1940" s="12" t="s">
        <v>5389</v>
      </c>
      <c r="K1940" s="12" t="s">
        <v>230</v>
      </c>
      <c r="N1940" s="12" t="s">
        <v>259</v>
      </c>
      <c r="O1940" s="12" t="s">
        <v>260</v>
      </c>
      <c r="P1940" s="88" t="s">
        <v>261</v>
      </c>
      <c r="W1940" s="11"/>
      <c r="AU1940" s="12" t="s">
        <v>53</v>
      </c>
    </row>
    <row r="1941" spans="1:47" s="12" customFormat="1" ht="14.4" hidden="1" x14ac:dyDescent="0.3">
      <c r="A1941" s="12" t="s">
        <v>39</v>
      </c>
      <c r="B1941" s="12" t="s">
        <v>5265</v>
      </c>
      <c r="C1941" s="12">
        <v>70</v>
      </c>
      <c r="D1941" s="12">
        <v>678</v>
      </c>
      <c r="F1941" s="12" t="s">
        <v>5390</v>
      </c>
      <c r="G1941" s="12" t="str">
        <f t="shared" si="45"/>
        <v>7067823063623</v>
      </c>
      <c r="H1941" s="12" t="s">
        <v>5391</v>
      </c>
      <c r="I1941" s="15">
        <v>23063623</v>
      </c>
      <c r="J1941" s="12" t="s">
        <v>5392</v>
      </c>
      <c r="K1941" s="12" t="s">
        <v>230</v>
      </c>
      <c r="N1941" s="12" t="s">
        <v>259</v>
      </c>
      <c r="O1941" s="12" t="s">
        <v>260</v>
      </c>
      <c r="P1941" s="88" t="s">
        <v>261</v>
      </c>
      <c r="W1941" s="11"/>
      <c r="AU1941" s="12" t="s">
        <v>53</v>
      </c>
    </row>
    <row r="1942" spans="1:47" s="12" customFormat="1" ht="14.4" x14ac:dyDescent="0.3">
      <c r="A1942" s="12" t="s">
        <v>39</v>
      </c>
      <c r="B1942" s="12" t="s">
        <v>5265</v>
      </c>
      <c r="C1942" s="12">
        <v>70</v>
      </c>
      <c r="D1942" s="12">
        <v>678</v>
      </c>
      <c r="F1942" s="12" t="s">
        <v>5393</v>
      </c>
      <c r="G1942" s="12" t="str">
        <f t="shared" si="45"/>
        <v>7067864749299</v>
      </c>
      <c r="H1942" s="12" t="s">
        <v>5394</v>
      </c>
      <c r="I1942" s="15">
        <v>64749299</v>
      </c>
      <c r="J1942" s="12" t="s">
        <v>5395</v>
      </c>
      <c r="K1942" s="12" t="s">
        <v>230</v>
      </c>
      <c r="L1942" s="12">
        <v>3235291628</v>
      </c>
      <c r="N1942" s="12" t="s">
        <v>46</v>
      </c>
      <c r="O1942" s="12" t="s">
        <v>47</v>
      </c>
      <c r="P1942" s="88" t="s">
        <v>48</v>
      </c>
      <c r="Q1942" s="13">
        <v>44461</v>
      </c>
      <c r="R1942" s="16" t="s">
        <v>5396</v>
      </c>
      <c r="S1942" s="12" t="s">
        <v>69</v>
      </c>
      <c r="W1942" s="11"/>
      <c r="AU1942" s="12" t="s">
        <v>53</v>
      </c>
    </row>
    <row r="1943" spans="1:47" s="12" customFormat="1" ht="14.4" hidden="1" x14ac:dyDescent="0.3">
      <c r="A1943" s="12" t="s">
        <v>39</v>
      </c>
      <c r="B1943" s="12" t="s">
        <v>5265</v>
      </c>
      <c r="C1943" s="12">
        <v>70</v>
      </c>
      <c r="D1943" s="12">
        <v>678</v>
      </c>
      <c r="F1943" s="12" t="s">
        <v>5397</v>
      </c>
      <c r="G1943" s="12" t="str">
        <f t="shared" si="45"/>
        <v>7067823062975</v>
      </c>
      <c r="H1943" s="12" t="s">
        <v>5195</v>
      </c>
      <c r="I1943" s="15">
        <v>23062975</v>
      </c>
      <c r="J1943" s="12" t="s">
        <v>5398</v>
      </c>
      <c r="K1943" s="12" t="s">
        <v>230</v>
      </c>
      <c r="N1943" s="12" t="s">
        <v>432</v>
      </c>
      <c r="O1943" s="12" t="s">
        <v>432</v>
      </c>
      <c r="P1943" s="88" t="s">
        <v>261</v>
      </c>
      <c r="W1943" s="11"/>
      <c r="AU1943" s="12" t="s">
        <v>53</v>
      </c>
    </row>
    <row r="1944" spans="1:47" s="12" customFormat="1" ht="14.4" hidden="1" x14ac:dyDescent="0.3">
      <c r="A1944" s="12" t="s">
        <v>39</v>
      </c>
      <c r="B1944" s="12" t="s">
        <v>5265</v>
      </c>
      <c r="C1944" s="12">
        <v>70</v>
      </c>
      <c r="D1944" s="12">
        <v>678</v>
      </c>
      <c r="F1944" s="12" t="s">
        <v>5399</v>
      </c>
      <c r="G1944" s="12" t="str">
        <f t="shared" si="45"/>
        <v>706781102232770</v>
      </c>
      <c r="H1944" s="12" t="s">
        <v>5400</v>
      </c>
      <c r="I1944" s="15">
        <v>1102232770</v>
      </c>
      <c r="J1944" s="12" t="s">
        <v>5401</v>
      </c>
      <c r="K1944" s="12" t="s">
        <v>230</v>
      </c>
      <c r="L1944" s="12">
        <v>3246603150</v>
      </c>
      <c r="M1944" s="12" t="s">
        <v>45</v>
      </c>
      <c r="N1944" s="12" t="s">
        <v>432</v>
      </c>
      <c r="O1944" s="12" t="s">
        <v>432</v>
      </c>
      <c r="P1944" s="88" t="s">
        <v>261</v>
      </c>
      <c r="W1944" s="11"/>
      <c r="AU1944" s="12" t="s">
        <v>53</v>
      </c>
    </row>
    <row r="1945" spans="1:47" s="12" customFormat="1" ht="14.4" x14ac:dyDescent="0.3">
      <c r="A1945" s="12" t="s">
        <v>39</v>
      </c>
      <c r="B1945" s="12" t="s">
        <v>5265</v>
      </c>
      <c r="C1945" s="12">
        <v>70</v>
      </c>
      <c r="D1945" s="12">
        <v>678</v>
      </c>
      <c r="F1945" s="12" t="s">
        <v>5402</v>
      </c>
      <c r="G1945" s="12" t="str">
        <f t="shared" si="45"/>
        <v>7067823063170</v>
      </c>
      <c r="H1945" s="12" t="s">
        <v>5403</v>
      </c>
      <c r="I1945" s="15">
        <v>23063170</v>
      </c>
      <c r="J1945" s="12" t="s">
        <v>5321</v>
      </c>
      <c r="K1945" s="12" t="s">
        <v>230</v>
      </c>
      <c r="L1945" s="12" t="s">
        <v>45</v>
      </c>
      <c r="M1945" s="12" t="s">
        <v>45</v>
      </c>
      <c r="N1945" s="12" t="s">
        <v>46</v>
      </c>
      <c r="O1945" s="12" t="s">
        <v>47</v>
      </c>
      <c r="P1945" s="88" t="s">
        <v>48</v>
      </c>
      <c r="W1945" s="11"/>
      <c r="AU1945" s="12" t="s">
        <v>53</v>
      </c>
    </row>
    <row r="1946" spans="1:47" s="12" customFormat="1" ht="14.4" x14ac:dyDescent="0.3">
      <c r="A1946" s="12" t="s">
        <v>39</v>
      </c>
      <c r="B1946" s="12" t="s">
        <v>5265</v>
      </c>
      <c r="C1946" s="12">
        <v>70</v>
      </c>
      <c r="D1946" s="12">
        <v>678</v>
      </c>
      <c r="F1946" s="12" t="s">
        <v>5404</v>
      </c>
      <c r="G1946" s="12" t="str">
        <f t="shared" si="45"/>
        <v>7067823023237</v>
      </c>
      <c r="H1946" s="12" t="s">
        <v>5405</v>
      </c>
      <c r="I1946" s="15">
        <v>23023237</v>
      </c>
      <c r="J1946" s="12" t="s">
        <v>5406</v>
      </c>
      <c r="K1946" s="12" t="s">
        <v>230</v>
      </c>
      <c r="L1946" s="12">
        <v>3106432818</v>
      </c>
      <c r="M1946" s="12" t="s">
        <v>45</v>
      </c>
      <c r="N1946" s="12" t="s">
        <v>46</v>
      </c>
      <c r="O1946" s="12" t="s">
        <v>47</v>
      </c>
      <c r="P1946" s="88" t="s">
        <v>48</v>
      </c>
      <c r="W1946" s="11"/>
      <c r="AU1946" s="12" t="s">
        <v>53</v>
      </c>
    </row>
    <row r="1947" spans="1:47" s="12" customFormat="1" ht="14.4" hidden="1" x14ac:dyDescent="0.3">
      <c r="A1947" s="12" t="s">
        <v>39</v>
      </c>
      <c r="B1947" s="12" t="s">
        <v>5265</v>
      </c>
      <c r="C1947" s="12">
        <v>70</v>
      </c>
      <c r="D1947" s="12">
        <v>678</v>
      </c>
      <c r="F1947" s="12" t="s">
        <v>5407</v>
      </c>
      <c r="G1947" s="12" t="str">
        <f t="shared" si="45"/>
        <v>70678901677501-2</v>
      </c>
      <c r="H1947" s="12" t="s">
        <v>5408</v>
      </c>
      <c r="I1947" s="15" t="s">
        <v>5409</v>
      </c>
      <c r="J1947" s="12" t="s">
        <v>5363</v>
      </c>
      <c r="K1947" s="12" t="s">
        <v>230</v>
      </c>
      <c r="L1947" s="12">
        <v>3012255766</v>
      </c>
      <c r="M1947" s="12" t="s">
        <v>45</v>
      </c>
      <c r="N1947" s="12" t="s">
        <v>127</v>
      </c>
      <c r="O1947" s="12" t="s">
        <v>2822</v>
      </c>
      <c r="P1947" s="88" t="s">
        <v>48</v>
      </c>
      <c r="W1947" s="11"/>
      <c r="AU1947" s="12" t="s">
        <v>53</v>
      </c>
    </row>
    <row r="1948" spans="1:47" s="12" customFormat="1" ht="14.4" hidden="1" x14ac:dyDescent="0.3">
      <c r="A1948" s="12" t="s">
        <v>39</v>
      </c>
      <c r="B1948" s="12" t="s">
        <v>5265</v>
      </c>
      <c r="C1948" s="12">
        <v>70</v>
      </c>
      <c r="D1948" s="12">
        <v>678</v>
      </c>
      <c r="F1948" s="12" t="s">
        <v>5410</v>
      </c>
      <c r="G1948" s="12" t="str">
        <f t="shared" si="45"/>
        <v>70678830520399-2</v>
      </c>
      <c r="H1948" s="12" t="s">
        <v>5411</v>
      </c>
      <c r="I1948" s="15" t="s">
        <v>5412</v>
      </c>
      <c r="J1948" s="12" t="s">
        <v>5413</v>
      </c>
      <c r="K1948" s="12" t="s">
        <v>230</v>
      </c>
      <c r="L1948" s="12">
        <v>3125120228</v>
      </c>
      <c r="M1948" s="12" t="s">
        <v>45</v>
      </c>
      <c r="N1948" s="12" t="s">
        <v>127</v>
      </c>
      <c r="O1948" s="12" t="s">
        <v>2822</v>
      </c>
      <c r="P1948" s="88" t="s">
        <v>48</v>
      </c>
      <c r="W1948" s="11"/>
      <c r="AU1948" s="12" t="s">
        <v>53</v>
      </c>
    </row>
    <row r="1949" spans="1:47" s="12" customFormat="1" ht="14.4" hidden="1" x14ac:dyDescent="0.3">
      <c r="A1949" s="12" t="s">
        <v>39</v>
      </c>
      <c r="B1949" s="12" t="s">
        <v>5265</v>
      </c>
      <c r="C1949" s="12">
        <v>70</v>
      </c>
      <c r="D1949" s="12">
        <v>678</v>
      </c>
      <c r="F1949" s="12" t="s">
        <v>5414</v>
      </c>
      <c r="G1949" s="12" t="str">
        <f t="shared" si="45"/>
        <v>7067839299669</v>
      </c>
      <c r="H1949" s="12" t="s">
        <v>5415</v>
      </c>
      <c r="I1949" s="15">
        <v>39299669</v>
      </c>
      <c r="J1949" s="12" t="s">
        <v>5416</v>
      </c>
      <c r="K1949" s="12" t="s">
        <v>230</v>
      </c>
      <c r="N1949" s="12" t="s">
        <v>432</v>
      </c>
      <c r="O1949" s="12" t="s">
        <v>432</v>
      </c>
      <c r="P1949" s="88" t="s">
        <v>261</v>
      </c>
      <c r="W1949" s="11"/>
      <c r="AU1949" s="12" t="s">
        <v>53</v>
      </c>
    </row>
    <row r="1950" spans="1:47" s="12" customFormat="1" ht="14.4" hidden="1" x14ac:dyDescent="0.3">
      <c r="A1950" s="12" t="s">
        <v>39</v>
      </c>
      <c r="B1950" s="12" t="s">
        <v>5265</v>
      </c>
      <c r="C1950" s="12">
        <v>70</v>
      </c>
      <c r="D1950" s="12">
        <v>678</v>
      </c>
      <c r="F1950" s="12" t="s">
        <v>5417</v>
      </c>
      <c r="G1950" s="12" t="str">
        <f t="shared" si="45"/>
        <v>7067818856028</v>
      </c>
      <c r="H1950" s="12" t="s">
        <v>5418</v>
      </c>
      <c r="I1950" s="15">
        <v>18856028</v>
      </c>
      <c r="J1950" s="12" t="s">
        <v>5419</v>
      </c>
      <c r="K1950" s="12" t="s">
        <v>230</v>
      </c>
      <c r="N1950" s="12" t="s">
        <v>432</v>
      </c>
      <c r="O1950" s="12" t="s">
        <v>432</v>
      </c>
      <c r="P1950" s="88" t="s">
        <v>261</v>
      </c>
      <c r="W1950" s="11"/>
      <c r="AU1950" s="12" t="s">
        <v>53</v>
      </c>
    </row>
    <row r="1951" spans="1:47" s="12" customFormat="1" ht="14.4" hidden="1" x14ac:dyDescent="0.3">
      <c r="A1951" s="12" t="s">
        <v>39</v>
      </c>
      <c r="B1951" s="12" t="s">
        <v>5265</v>
      </c>
      <c r="C1951" s="12">
        <v>70</v>
      </c>
      <c r="D1951" s="12">
        <v>678</v>
      </c>
      <c r="F1951" s="12" t="s">
        <v>5420</v>
      </c>
      <c r="G1951" s="12" t="str">
        <f t="shared" si="45"/>
        <v>7067839299669</v>
      </c>
      <c r="H1951" s="12" t="s">
        <v>5415</v>
      </c>
      <c r="I1951" s="15">
        <v>39299669</v>
      </c>
      <c r="J1951" s="12" t="s">
        <v>5421</v>
      </c>
      <c r="K1951" s="12" t="s">
        <v>230</v>
      </c>
      <c r="N1951" s="12" t="s">
        <v>432</v>
      </c>
      <c r="O1951" s="12" t="s">
        <v>432</v>
      </c>
      <c r="P1951" s="88" t="s">
        <v>261</v>
      </c>
      <c r="W1951" s="11"/>
      <c r="AU1951" s="12" t="s">
        <v>53</v>
      </c>
    </row>
    <row r="1952" spans="1:47" s="12" customFormat="1" ht="14.4" hidden="1" x14ac:dyDescent="0.3">
      <c r="A1952" s="12" t="s">
        <v>39</v>
      </c>
      <c r="B1952" s="12" t="s">
        <v>5265</v>
      </c>
      <c r="C1952" s="12">
        <v>70</v>
      </c>
      <c r="D1952" s="12">
        <v>678</v>
      </c>
      <c r="F1952" s="12" t="s">
        <v>5422</v>
      </c>
      <c r="G1952" s="12" t="str">
        <f t="shared" si="45"/>
        <v>7067823062414</v>
      </c>
      <c r="H1952" s="12" t="s">
        <v>5423</v>
      </c>
      <c r="I1952" s="15">
        <v>23062414</v>
      </c>
      <c r="J1952" s="12" t="s">
        <v>5424</v>
      </c>
      <c r="K1952" s="12" t="s">
        <v>230</v>
      </c>
      <c r="L1952" s="12">
        <v>3106688443</v>
      </c>
      <c r="M1952" s="12" t="s">
        <v>45</v>
      </c>
      <c r="N1952" s="12" t="s">
        <v>259</v>
      </c>
      <c r="O1952" s="12" t="s">
        <v>260</v>
      </c>
      <c r="P1952" s="88" t="s">
        <v>261</v>
      </c>
      <c r="W1952" s="11"/>
      <c r="AU1952" s="12" t="s">
        <v>53</v>
      </c>
    </row>
    <row r="1953" spans="1:47" s="12" customFormat="1" ht="14.4" hidden="1" x14ac:dyDescent="0.3">
      <c r="A1953" s="12" t="s">
        <v>39</v>
      </c>
      <c r="B1953" s="12" t="s">
        <v>5265</v>
      </c>
      <c r="C1953" s="12">
        <v>70</v>
      </c>
      <c r="D1953" s="12">
        <v>678</v>
      </c>
      <c r="F1953" s="12" t="s">
        <v>2532</v>
      </c>
      <c r="G1953" s="12" t="str">
        <f t="shared" si="45"/>
        <v>706783941879</v>
      </c>
      <c r="H1953" s="12" t="s">
        <v>5425</v>
      </c>
      <c r="I1953" s="15">
        <v>3941879</v>
      </c>
      <c r="J1953" s="12" t="s">
        <v>5426</v>
      </c>
      <c r="K1953" s="12" t="s">
        <v>230</v>
      </c>
      <c r="L1953" s="12" t="s">
        <v>45</v>
      </c>
      <c r="M1953" s="12" t="s">
        <v>45</v>
      </c>
      <c r="N1953" s="12" t="s">
        <v>259</v>
      </c>
      <c r="O1953" s="12" t="s">
        <v>260</v>
      </c>
      <c r="P1953" s="88" t="s">
        <v>261</v>
      </c>
      <c r="W1953" s="11"/>
      <c r="AU1953" s="12" t="s">
        <v>53</v>
      </c>
    </row>
    <row r="1954" spans="1:47" s="12" customFormat="1" ht="14.4" hidden="1" x14ac:dyDescent="0.3">
      <c r="A1954" s="12" t="s">
        <v>39</v>
      </c>
      <c r="B1954" s="12" t="s">
        <v>5265</v>
      </c>
      <c r="C1954" s="12">
        <v>70</v>
      </c>
      <c r="D1954" s="12">
        <v>678</v>
      </c>
      <c r="F1954" s="12" t="s">
        <v>5427</v>
      </c>
      <c r="G1954" s="12" t="str">
        <f t="shared" si="45"/>
        <v>706783959475</v>
      </c>
      <c r="H1954" s="12" t="s">
        <v>5428</v>
      </c>
      <c r="I1954" s="15">
        <v>3959475</v>
      </c>
      <c r="J1954" s="12" t="s">
        <v>5429</v>
      </c>
      <c r="K1954" s="12" t="s">
        <v>230</v>
      </c>
      <c r="L1954" s="12" t="s">
        <v>45</v>
      </c>
      <c r="M1954" s="12" t="s">
        <v>45</v>
      </c>
      <c r="N1954" s="12" t="s">
        <v>259</v>
      </c>
      <c r="O1954" s="12" t="s">
        <v>260</v>
      </c>
      <c r="P1954" s="88" t="s">
        <v>261</v>
      </c>
      <c r="W1954" s="11"/>
      <c r="AU1954" s="12" t="s">
        <v>53</v>
      </c>
    </row>
    <row r="1955" spans="1:47" s="12" customFormat="1" ht="14.4" hidden="1" x14ac:dyDescent="0.3">
      <c r="A1955" s="12" t="s">
        <v>39</v>
      </c>
      <c r="B1955" s="12" t="s">
        <v>5265</v>
      </c>
      <c r="C1955" s="12">
        <v>70</v>
      </c>
      <c r="D1955" s="12">
        <v>678</v>
      </c>
      <c r="F1955" s="12" t="s">
        <v>5430</v>
      </c>
      <c r="G1955" s="12" t="str">
        <f t="shared" si="45"/>
        <v>70678830310399</v>
      </c>
      <c r="H1955" s="12" t="s">
        <v>5431</v>
      </c>
      <c r="I1955" s="15">
        <v>830310399</v>
      </c>
      <c r="J1955" s="12" t="s">
        <v>5432</v>
      </c>
      <c r="K1955" s="12" t="s">
        <v>230</v>
      </c>
      <c r="L1955" s="12">
        <v>3113242544</v>
      </c>
      <c r="M1955" s="12" t="s">
        <v>45</v>
      </c>
      <c r="N1955" s="12" t="s">
        <v>127</v>
      </c>
      <c r="O1955" s="12" t="s">
        <v>2822</v>
      </c>
      <c r="P1955" s="88" t="s">
        <v>48</v>
      </c>
      <c r="W1955" s="11"/>
      <c r="AU1955" s="12" t="s">
        <v>53</v>
      </c>
    </row>
    <row r="1956" spans="1:47" s="12" customFormat="1" ht="14.4" hidden="1" x14ac:dyDescent="0.3">
      <c r="A1956" s="12" t="s">
        <v>39</v>
      </c>
      <c r="B1956" s="12" t="s">
        <v>5265</v>
      </c>
      <c r="C1956" s="12">
        <v>70</v>
      </c>
      <c r="D1956" s="12">
        <v>678</v>
      </c>
      <c r="F1956" s="12" t="s">
        <v>5433</v>
      </c>
      <c r="G1956" s="12" t="str">
        <f t="shared" si="45"/>
        <v>7067883031099</v>
      </c>
      <c r="H1956" s="12" t="s">
        <v>5434</v>
      </c>
      <c r="I1956" s="15">
        <v>83031099</v>
      </c>
      <c r="J1956" s="12" t="s">
        <v>5435</v>
      </c>
      <c r="K1956" s="12" t="s">
        <v>230</v>
      </c>
      <c r="L1956" s="12">
        <v>3217878067</v>
      </c>
      <c r="M1956" s="12" t="s">
        <v>45</v>
      </c>
      <c r="N1956" s="12" t="s">
        <v>127</v>
      </c>
      <c r="O1956" s="12" t="s">
        <v>2822</v>
      </c>
      <c r="P1956" s="88" t="s">
        <v>48</v>
      </c>
      <c r="W1956" s="11"/>
      <c r="AU1956" s="12" t="s">
        <v>53</v>
      </c>
    </row>
    <row r="1957" spans="1:47" s="12" customFormat="1" ht="14.4" x14ac:dyDescent="0.3">
      <c r="A1957" s="12" t="s">
        <v>39</v>
      </c>
      <c r="B1957" s="12" t="s">
        <v>5265</v>
      </c>
      <c r="C1957" s="12">
        <v>70</v>
      </c>
      <c r="D1957" s="12">
        <v>678</v>
      </c>
      <c r="F1957" s="12" t="s">
        <v>5436</v>
      </c>
      <c r="G1957" s="12" t="str">
        <f t="shared" si="45"/>
        <v>7067833175098</v>
      </c>
      <c r="H1957" s="12" t="s">
        <v>5437</v>
      </c>
      <c r="I1957" s="15">
        <v>33175098</v>
      </c>
      <c r="J1957" s="12" t="s">
        <v>5438</v>
      </c>
      <c r="K1957" s="12" t="s">
        <v>230</v>
      </c>
      <c r="L1957" s="12" t="s">
        <v>45</v>
      </c>
      <c r="M1957" s="12" t="s">
        <v>45</v>
      </c>
      <c r="N1957" s="12" t="s">
        <v>46</v>
      </c>
      <c r="O1957" s="12" t="s">
        <v>47</v>
      </c>
      <c r="P1957" s="88" t="s">
        <v>48</v>
      </c>
      <c r="Q1957" s="13">
        <v>45352</v>
      </c>
      <c r="R1957" s="12">
        <v>71.5</v>
      </c>
      <c r="S1957" s="12" t="s">
        <v>49</v>
      </c>
      <c r="W1957" s="11"/>
      <c r="AU1957" s="12" t="s">
        <v>53</v>
      </c>
    </row>
    <row r="1958" spans="1:47" s="12" customFormat="1" ht="14.4" x14ac:dyDescent="0.3">
      <c r="A1958" s="12" t="s">
        <v>505</v>
      </c>
      <c r="B1958" s="12" t="s">
        <v>5265</v>
      </c>
      <c r="C1958" s="12">
        <v>70</v>
      </c>
      <c r="D1958" s="12">
        <v>678</v>
      </c>
      <c r="F1958" s="12" t="s">
        <v>5439</v>
      </c>
      <c r="G1958" s="12" t="str">
        <f t="shared" si="45"/>
        <v>7067864749211</v>
      </c>
      <c r="H1958" s="12" t="s">
        <v>5440</v>
      </c>
      <c r="I1958" s="15">
        <v>64749211</v>
      </c>
      <c r="J1958" s="12" t="s">
        <v>5441</v>
      </c>
      <c r="K1958" s="12" t="s">
        <v>230</v>
      </c>
      <c r="L1958" s="12">
        <v>3004801144</v>
      </c>
      <c r="M1958" s="12" t="s">
        <v>45</v>
      </c>
      <c r="N1958" s="12" t="s">
        <v>46</v>
      </c>
      <c r="O1958" s="12" t="s">
        <v>47</v>
      </c>
      <c r="P1958" s="88" t="s">
        <v>48</v>
      </c>
      <c r="Q1958" s="13">
        <v>45355</v>
      </c>
      <c r="R1958" s="12">
        <v>72</v>
      </c>
      <c r="S1958" s="12" t="s">
        <v>49</v>
      </c>
      <c r="W1958" s="11"/>
      <c r="AU1958" s="12" t="s">
        <v>53</v>
      </c>
    </row>
    <row r="1959" spans="1:47" s="12" customFormat="1" ht="14.4" x14ac:dyDescent="0.3">
      <c r="A1959" s="12" t="s">
        <v>39</v>
      </c>
      <c r="B1959" s="12" t="s">
        <v>5265</v>
      </c>
      <c r="C1959" s="12">
        <v>70</v>
      </c>
      <c r="D1959" s="12">
        <v>678</v>
      </c>
      <c r="F1959" s="12" t="s">
        <v>5442</v>
      </c>
      <c r="G1959" s="12" t="str">
        <f t="shared" si="45"/>
        <v>7067864748602</v>
      </c>
      <c r="H1959" s="12" t="s">
        <v>5443</v>
      </c>
      <c r="I1959" s="15">
        <v>64748602</v>
      </c>
      <c r="J1959" s="12" t="s">
        <v>5444</v>
      </c>
      <c r="K1959" s="12" t="s">
        <v>230</v>
      </c>
      <c r="L1959" s="12">
        <v>3124693311</v>
      </c>
      <c r="M1959" s="12" t="s">
        <v>45</v>
      </c>
      <c r="N1959" s="12" t="s">
        <v>46</v>
      </c>
      <c r="O1959" s="12" t="s">
        <v>47</v>
      </c>
      <c r="P1959" s="88" t="s">
        <v>48</v>
      </c>
      <c r="Q1959" s="13">
        <v>45356</v>
      </c>
      <c r="R1959" s="12">
        <v>71.5</v>
      </c>
      <c r="S1959" s="12" t="s">
        <v>49</v>
      </c>
      <c r="W1959" s="11"/>
      <c r="AU1959" s="12" t="s">
        <v>53</v>
      </c>
    </row>
    <row r="1960" spans="1:47" s="12" customFormat="1" ht="14.4" hidden="1" x14ac:dyDescent="0.3">
      <c r="A1960" s="12" t="s">
        <v>39</v>
      </c>
      <c r="B1960" s="12" t="s">
        <v>5265</v>
      </c>
      <c r="C1960" s="12">
        <v>70</v>
      </c>
      <c r="D1960" s="12">
        <v>678</v>
      </c>
      <c r="F1960" s="12" t="s">
        <v>5445</v>
      </c>
      <c r="G1960" s="12" t="str">
        <f t="shared" si="45"/>
        <v>7067818856187</v>
      </c>
      <c r="H1960" s="12" t="s">
        <v>5446</v>
      </c>
      <c r="I1960" s="15">
        <v>18856187</v>
      </c>
      <c r="J1960" s="12" t="s">
        <v>5447</v>
      </c>
      <c r="K1960" s="12" t="s">
        <v>230</v>
      </c>
      <c r="L1960" s="12">
        <v>3113700149</v>
      </c>
      <c r="M1960" s="12" t="s">
        <v>45</v>
      </c>
      <c r="N1960" s="12" t="s">
        <v>432</v>
      </c>
      <c r="O1960" s="12" t="s">
        <v>432</v>
      </c>
      <c r="P1960" s="88" t="s">
        <v>261</v>
      </c>
      <c r="Q1960" s="13">
        <v>45372</v>
      </c>
      <c r="R1960" s="12">
        <v>71.5</v>
      </c>
      <c r="S1960" s="12" t="s">
        <v>49</v>
      </c>
      <c r="W1960" s="11"/>
      <c r="AU1960" s="12" t="s">
        <v>53</v>
      </c>
    </row>
    <row r="1961" spans="1:47" s="12" customFormat="1" ht="14.4" hidden="1" x14ac:dyDescent="0.3">
      <c r="A1961" s="12" t="s">
        <v>39</v>
      </c>
      <c r="B1961" s="12" t="s">
        <v>5265</v>
      </c>
      <c r="C1961" s="12">
        <v>70</v>
      </c>
      <c r="D1961" s="12">
        <v>678</v>
      </c>
      <c r="F1961" s="12" t="s">
        <v>5448</v>
      </c>
      <c r="G1961" s="12" t="str">
        <f t="shared" si="45"/>
        <v>70678181856582</v>
      </c>
      <c r="H1961" s="12" t="s">
        <v>5449</v>
      </c>
      <c r="I1961" s="15">
        <v>181856582</v>
      </c>
      <c r="J1961" s="12" t="s">
        <v>5450</v>
      </c>
      <c r="K1961" s="12" t="s">
        <v>230</v>
      </c>
      <c r="L1961" s="12">
        <v>3113197505</v>
      </c>
      <c r="M1961" s="12" t="s">
        <v>45</v>
      </c>
      <c r="N1961" s="12" t="s">
        <v>432</v>
      </c>
      <c r="O1961" s="12" t="s">
        <v>432</v>
      </c>
      <c r="P1961" s="88" t="s">
        <v>261</v>
      </c>
      <c r="Q1961" s="13">
        <v>45344</v>
      </c>
      <c r="R1961" s="12">
        <v>67</v>
      </c>
      <c r="S1961" s="12" t="s">
        <v>49</v>
      </c>
      <c r="W1961" s="11"/>
      <c r="AU1961" s="12" t="s">
        <v>53</v>
      </c>
    </row>
    <row r="1962" spans="1:47" s="12" customFormat="1" ht="14.4" hidden="1" x14ac:dyDescent="0.3">
      <c r="A1962" s="12" t="s">
        <v>39</v>
      </c>
      <c r="B1962" s="12" t="s">
        <v>5265</v>
      </c>
      <c r="C1962" s="12">
        <v>70</v>
      </c>
      <c r="D1962" s="12">
        <v>678</v>
      </c>
      <c r="F1962" s="12" t="s">
        <v>5451</v>
      </c>
      <c r="G1962" s="12" t="str">
        <f t="shared" si="45"/>
        <v>7067818856590</v>
      </c>
      <c r="H1962" s="12" t="s">
        <v>5452</v>
      </c>
      <c r="I1962" s="15">
        <v>18856590</v>
      </c>
      <c r="J1962" s="12" t="s">
        <v>5453</v>
      </c>
      <c r="K1962" s="12" t="s">
        <v>230</v>
      </c>
      <c r="L1962" s="12" t="s">
        <v>45</v>
      </c>
      <c r="M1962" s="12" t="s">
        <v>45</v>
      </c>
      <c r="N1962" s="12" t="s">
        <v>432</v>
      </c>
      <c r="O1962" s="12" t="s">
        <v>432</v>
      </c>
      <c r="P1962" s="88" t="s">
        <v>261</v>
      </c>
      <c r="Q1962" s="13">
        <v>45295</v>
      </c>
      <c r="R1962" s="12">
        <v>74</v>
      </c>
      <c r="S1962" s="12" t="s">
        <v>49</v>
      </c>
      <c r="W1962" s="11"/>
      <c r="AU1962" s="12" t="s">
        <v>53</v>
      </c>
    </row>
    <row r="1963" spans="1:47" s="12" customFormat="1" ht="14.4" hidden="1" x14ac:dyDescent="0.3">
      <c r="A1963" s="12" t="s">
        <v>39</v>
      </c>
      <c r="B1963" s="12" t="s">
        <v>5265</v>
      </c>
      <c r="C1963" s="12">
        <v>70</v>
      </c>
      <c r="D1963" s="12">
        <v>678</v>
      </c>
      <c r="F1963" s="12" t="s">
        <v>5454</v>
      </c>
      <c r="G1963" s="12" t="str">
        <f t="shared" si="45"/>
        <v>706781102231499</v>
      </c>
      <c r="H1963" s="12" t="s">
        <v>5455</v>
      </c>
      <c r="I1963" s="12">
        <v>1102231499</v>
      </c>
      <c r="J1963" s="12" t="s">
        <v>5456</v>
      </c>
      <c r="K1963" s="12" t="s">
        <v>230</v>
      </c>
      <c r="L1963" s="12">
        <v>3217778391</v>
      </c>
      <c r="N1963" s="12" t="s">
        <v>259</v>
      </c>
      <c r="O1963" s="12" t="s">
        <v>260</v>
      </c>
      <c r="P1963" s="88" t="s">
        <v>261</v>
      </c>
      <c r="Q1963" s="13">
        <v>45530</v>
      </c>
      <c r="R1963" s="12">
        <v>73.75</v>
      </c>
      <c r="S1963" s="12" t="s">
        <v>49</v>
      </c>
      <c r="W1963" s="11"/>
      <c r="AU1963" s="12" t="s">
        <v>53</v>
      </c>
    </row>
    <row r="1964" spans="1:47" s="12" customFormat="1" ht="14.4" hidden="1" x14ac:dyDescent="0.3">
      <c r="A1964" s="12" t="s">
        <v>39</v>
      </c>
      <c r="B1964" s="12" t="s">
        <v>5265</v>
      </c>
      <c r="C1964" s="12">
        <v>70</v>
      </c>
      <c r="D1964" s="12">
        <v>678</v>
      </c>
      <c r="F1964" s="12" t="s">
        <v>5250</v>
      </c>
      <c r="G1964" s="12" t="str">
        <f t="shared" si="45"/>
        <v>706781102228297</v>
      </c>
      <c r="H1964" s="12" t="s">
        <v>5251</v>
      </c>
      <c r="I1964" s="15">
        <v>1102228297</v>
      </c>
      <c r="J1964" s="12" t="s">
        <v>5252</v>
      </c>
      <c r="K1964" s="12" t="s">
        <v>230</v>
      </c>
      <c r="L1964" s="12" t="s">
        <v>45</v>
      </c>
      <c r="M1964" s="12" t="s">
        <v>193</v>
      </c>
      <c r="N1964" s="12" t="s">
        <v>780</v>
      </c>
      <c r="O1964" s="12" t="s">
        <v>260</v>
      </c>
      <c r="P1964" s="88" t="s">
        <v>261</v>
      </c>
      <c r="Q1964" s="13">
        <v>44635</v>
      </c>
      <c r="R1964" s="16">
        <v>0.75</v>
      </c>
      <c r="S1964" s="12" t="s">
        <v>49</v>
      </c>
      <c r="U1964" s="12" t="s">
        <v>60</v>
      </c>
      <c r="V1964" s="13">
        <v>44979</v>
      </c>
      <c r="W1964" s="11">
        <v>0.75</v>
      </c>
      <c r="X1964" s="12" t="s">
        <v>49</v>
      </c>
      <c r="AA1964" s="13"/>
      <c r="AB1964" s="16"/>
      <c r="AF1964" s="13"/>
      <c r="AG1964" s="16"/>
      <c r="AU1964" s="12" t="s">
        <v>53</v>
      </c>
    </row>
    <row r="1965" spans="1:47" s="12" customFormat="1" ht="14.4" hidden="1" x14ac:dyDescent="0.3">
      <c r="A1965" s="12" t="s">
        <v>39</v>
      </c>
      <c r="B1965" s="12" t="s">
        <v>5265</v>
      </c>
      <c r="C1965" s="12">
        <v>70</v>
      </c>
      <c r="D1965" s="12">
        <v>678</v>
      </c>
      <c r="F1965" s="12" t="s">
        <v>5253</v>
      </c>
      <c r="G1965" s="12" t="str">
        <f t="shared" si="45"/>
        <v>7067818855672</v>
      </c>
      <c r="H1965" s="12" t="s">
        <v>5254</v>
      </c>
      <c r="I1965" s="15">
        <v>18855672</v>
      </c>
      <c r="J1965" s="12" t="s">
        <v>5255</v>
      </c>
      <c r="K1965" s="12" t="s">
        <v>230</v>
      </c>
      <c r="L1965" s="12">
        <v>3108555168</v>
      </c>
      <c r="M1965" s="12" t="s">
        <v>193</v>
      </c>
      <c r="N1965" s="12" t="s">
        <v>780</v>
      </c>
      <c r="O1965" s="12" t="s">
        <v>260</v>
      </c>
      <c r="P1965" s="88" t="s">
        <v>261</v>
      </c>
      <c r="Q1965" s="13">
        <v>45512</v>
      </c>
      <c r="R1965" s="18">
        <v>0.72750000000000004</v>
      </c>
      <c r="S1965" s="12" t="s">
        <v>49</v>
      </c>
      <c r="U1965" s="12" t="s">
        <v>60</v>
      </c>
      <c r="W1965" s="9"/>
      <c r="AU1965" s="12" t="s">
        <v>53</v>
      </c>
    </row>
    <row r="1966" spans="1:47" s="12" customFormat="1" ht="14.4" hidden="1" x14ac:dyDescent="0.3">
      <c r="A1966" s="12" t="s">
        <v>39</v>
      </c>
      <c r="B1966" s="12" t="s">
        <v>5265</v>
      </c>
      <c r="C1966" s="12">
        <v>70</v>
      </c>
      <c r="D1966" s="12">
        <v>678</v>
      </c>
      <c r="F1966" s="12" t="s">
        <v>5381</v>
      </c>
      <c r="G1966" s="12" t="str">
        <f t="shared" si="45"/>
        <v>7067891594043</v>
      </c>
      <c r="H1966" s="12" t="s">
        <v>5382</v>
      </c>
      <c r="I1966" s="15">
        <v>91594043</v>
      </c>
      <c r="J1966" s="12" t="s">
        <v>5383</v>
      </c>
      <c r="K1966" s="12" t="s">
        <v>230</v>
      </c>
      <c r="L1966" s="12" t="s">
        <v>45</v>
      </c>
      <c r="M1966" s="12" t="s">
        <v>193</v>
      </c>
      <c r="N1966" s="12" t="s">
        <v>780</v>
      </c>
      <c r="O1966" s="12" t="s">
        <v>260</v>
      </c>
      <c r="P1966" s="88" t="s">
        <v>261</v>
      </c>
      <c r="Q1966" s="13">
        <v>45527</v>
      </c>
      <c r="R1966" s="16">
        <v>0.74</v>
      </c>
      <c r="S1966" s="12" t="s">
        <v>49</v>
      </c>
      <c r="U1966" s="12" t="s">
        <v>60</v>
      </c>
      <c r="W1966" s="9"/>
      <c r="AU1966" s="12" t="s">
        <v>53</v>
      </c>
    </row>
    <row r="1967" spans="1:47" s="12" customFormat="1" ht="14.4" hidden="1" x14ac:dyDescent="0.3">
      <c r="A1967" s="12" t="s">
        <v>39</v>
      </c>
      <c r="B1967" s="12" t="s">
        <v>5265</v>
      </c>
      <c r="C1967" s="12">
        <v>70</v>
      </c>
      <c r="D1967" s="12">
        <v>678</v>
      </c>
      <c r="F1967" s="12" t="s">
        <v>5303</v>
      </c>
      <c r="G1967" s="12" t="str">
        <f t="shared" ref="G1967:G1982" si="46">C1967&amp;D1967&amp;I1967</f>
        <v>7067823063107</v>
      </c>
      <c r="H1967" s="12" t="s">
        <v>5267</v>
      </c>
      <c r="I1967" s="15">
        <v>23063107</v>
      </c>
      <c r="J1967" s="12" t="s">
        <v>5268</v>
      </c>
      <c r="K1967" s="12" t="s">
        <v>230</v>
      </c>
      <c r="L1967" s="12">
        <v>3101169856</v>
      </c>
      <c r="M1967" s="12" t="s">
        <v>193</v>
      </c>
      <c r="N1967" s="12" t="s">
        <v>432</v>
      </c>
      <c r="O1967" s="12" t="s">
        <v>432</v>
      </c>
      <c r="P1967" s="88" t="s">
        <v>261</v>
      </c>
      <c r="Q1967" s="13">
        <v>45517</v>
      </c>
      <c r="R1967" s="18">
        <v>0.78500000000000003</v>
      </c>
      <c r="S1967" s="12" t="s">
        <v>49</v>
      </c>
      <c r="U1967" s="12" t="s">
        <v>60</v>
      </c>
      <c r="W1967" s="11"/>
      <c r="AU1967" s="12" t="s">
        <v>53</v>
      </c>
    </row>
    <row r="1968" spans="1:47" s="12" customFormat="1" ht="14.4" hidden="1" x14ac:dyDescent="0.3">
      <c r="A1968" s="12" t="s">
        <v>39</v>
      </c>
      <c r="B1968" s="12" t="s">
        <v>5265</v>
      </c>
      <c r="C1968" s="12">
        <v>70</v>
      </c>
      <c r="D1968" s="12">
        <v>678</v>
      </c>
      <c r="F1968" s="12" t="s">
        <v>5445</v>
      </c>
      <c r="G1968" s="12" t="str">
        <f t="shared" si="46"/>
        <v>7067818856187</v>
      </c>
      <c r="H1968" s="12" t="s">
        <v>5446</v>
      </c>
      <c r="I1968" s="15">
        <v>18856187</v>
      </c>
      <c r="J1968" s="12" t="s">
        <v>5447</v>
      </c>
      <c r="K1968" s="12" t="s">
        <v>230</v>
      </c>
      <c r="L1968" s="12">
        <v>3113700149</v>
      </c>
      <c r="M1968" s="12" t="s">
        <v>193</v>
      </c>
      <c r="N1968" s="12" t="s">
        <v>432</v>
      </c>
      <c r="O1968" s="12" t="s">
        <v>432</v>
      </c>
      <c r="P1968" s="88" t="s">
        <v>261</v>
      </c>
      <c r="Q1968" s="13">
        <v>45372</v>
      </c>
      <c r="R1968" s="18">
        <v>0.71499999999999997</v>
      </c>
      <c r="S1968" s="12" t="s">
        <v>49</v>
      </c>
      <c r="U1968" s="12" t="s">
        <v>60</v>
      </c>
      <c r="W1968" s="11"/>
      <c r="AU1968" s="12" t="s">
        <v>53</v>
      </c>
    </row>
    <row r="1969" spans="1:54" s="12" customFormat="1" ht="14.4" hidden="1" x14ac:dyDescent="0.3">
      <c r="A1969" s="12" t="s">
        <v>39</v>
      </c>
      <c r="B1969" s="12" t="s">
        <v>5265</v>
      </c>
      <c r="C1969" s="12">
        <v>70</v>
      </c>
      <c r="D1969" s="12">
        <v>678</v>
      </c>
      <c r="F1969" s="12" t="s">
        <v>5448</v>
      </c>
      <c r="G1969" s="12" t="str">
        <f t="shared" si="46"/>
        <v>70678181856582</v>
      </c>
      <c r="H1969" s="12" t="s">
        <v>5449</v>
      </c>
      <c r="I1969" s="15">
        <v>181856582</v>
      </c>
      <c r="J1969" s="12" t="s">
        <v>5450</v>
      </c>
      <c r="K1969" s="12" t="s">
        <v>230</v>
      </c>
      <c r="L1969" s="12">
        <v>3113197505</v>
      </c>
      <c r="M1969" s="12" t="s">
        <v>193</v>
      </c>
      <c r="N1969" s="12" t="s">
        <v>432</v>
      </c>
      <c r="O1969" s="12" t="s">
        <v>432</v>
      </c>
      <c r="P1969" s="88" t="s">
        <v>261</v>
      </c>
      <c r="Q1969" s="13">
        <v>45344</v>
      </c>
      <c r="R1969" s="16">
        <v>0.67</v>
      </c>
      <c r="S1969" s="12" t="s">
        <v>49</v>
      </c>
      <c r="U1969" s="12" t="s">
        <v>60</v>
      </c>
      <c r="W1969" s="11"/>
      <c r="AU1969" s="12" t="s">
        <v>53</v>
      </c>
    </row>
    <row r="1970" spans="1:54" s="12" customFormat="1" ht="14.4" hidden="1" x14ac:dyDescent="0.3">
      <c r="A1970" s="12" t="s">
        <v>39</v>
      </c>
      <c r="B1970" s="12" t="s">
        <v>5265</v>
      </c>
      <c r="C1970" s="12">
        <v>70</v>
      </c>
      <c r="D1970" s="12">
        <v>678</v>
      </c>
      <c r="F1970" s="12" t="s">
        <v>5451</v>
      </c>
      <c r="G1970" s="12" t="str">
        <f t="shared" si="46"/>
        <v>7067818856590</v>
      </c>
      <c r="H1970" s="12" t="s">
        <v>5452</v>
      </c>
      <c r="I1970" s="15">
        <v>18856590</v>
      </c>
      <c r="J1970" s="12" t="s">
        <v>5453</v>
      </c>
      <c r="K1970" s="12" t="s">
        <v>230</v>
      </c>
      <c r="L1970" s="12" t="s">
        <v>45</v>
      </c>
      <c r="M1970" s="12" t="s">
        <v>193</v>
      </c>
      <c r="N1970" s="12" t="s">
        <v>432</v>
      </c>
      <c r="O1970" s="12" t="s">
        <v>432</v>
      </c>
      <c r="P1970" s="88" t="s">
        <v>261</v>
      </c>
      <c r="Q1970" s="13">
        <v>45295</v>
      </c>
      <c r="R1970" s="16">
        <v>0.74</v>
      </c>
      <c r="S1970" s="12" t="s">
        <v>49</v>
      </c>
      <c r="U1970" s="12" t="s">
        <v>60</v>
      </c>
      <c r="W1970" s="11"/>
      <c r="AU1970" s="12" t="s">
        <v>53</v>
      </c>
    </row>
    <row r="1971" spans="1:54" s="12" customFormat="1" ht="14.4" x14ac:dyDescent="0.3">
      <c r="A1971" s="12" t="s">
        <v>39</v>
      </c>
      <c r="B1971" s="12" t="s">
        <v>5265</v>
      </c>
      <c r="C1971" s="12">
        <v>70</v>
      </c>
      <c r="D1971" s="12">
        <v>678</v>
      </c>
      <c r="F1971" s="12" t="s">
        <v>5214</v>
      </c>
      <c r="G1971" s="12" t="str">
        <f t="shared" si="46"/>
        <v>706781102228204</v>
      </c>
      <c r="H1971" s="12" t="s">
        <v>5215</v>
      </c>
      <c r="I1971" s="15">
        <v>1102228204</v>
      </c>
      <c r="J1971" s="12" t="s">
        <v>5216</v>
      </c>
      <c r="K1971" s="12" t="s">
        <v>230</v>
      </c>
      <c r="L1971" s="12">
        <v>3003013351</v>
      </c>
      <c r="M1971" s="12" t="s">
        <v>193</v>
      </c>
      <c r="N1971" s="12" t="s">
        <v>46</v>
      </c>
      <c r="O1971" s="12" t="s">
        <v>47</v>
      </c>
      <c r="P1971" s="88" t="s">
        <v>48</v>
      </c>
      <c r="Q1971" s="13">
        <v>44210</v>
      </c>
      <c r="R1971" s="16">
        <v>0.76</v>
      </c>
      <c r="S1971" s="12" t="s">
        <v>49</v>
      </c>
      <c r="U1971" s="12" t="s">
        <v>60</v>
      </c>
      <c r="W1971" s="11"/>
      <c r="AU1971" s="12" t="s">
        <v>53</v>
      </c>
    </row>
    <row r="1972" spans="1:54" s="12" customFormat="1" ht="14.4" x14ac:dyDescent="0.3">
      <c r="A1972" s="12" t="s">
        <v>39</v>
      </c>
      <c r="B1972" s="12" t="s">
        <v>5265</v>
      </c>
      <c r="C1972" s="12">
        <v>70</v>
      </c>
      <c r="D1972" s="12">
        <v>678</v>
      </c>
      <c r="F1972" s="275" t="s">
        <v>5310</v>
      </c>
      <c r="G1972" s="12" t="str">
        <f t="shared" si="46"/>
        <v>7067818855960</v>
      </c>
      <c r="H1972" s="12" t="s">
        <v>5311</v>
      </c>
      <c r="I1972" s="15">
        <v>18855960</v>
      </c>
      <c r="J1972" s="12" t="s">
        <v>5312</v>
      </c>
      <c r="K1972" s="12" t="s">
        <v>230</v>
      </c>
      <c r="L1972" s="12">
        <v>3235895714</v>
      </c>
      <c r="M1972" s="12" t="s">
        <v>193</v>
      </c>
      <c r="N1972" s="12" t="s">
        <v>46</v>
      </c>
      <c r="O1972" s="12" t="s">
        <v>47</v>
      </c>
      <c r="P1972" s="88" t="s">
        <v>48</v>
      </c>
      <c r="Q1972" s="13">
        <v>46042</v>
      </c>
      <c r="R1972" s="12">
        <v>71</v>
      </c>
      <c r="S1972" s="12" t="s">
        <v>49</v>
      </c>
      <c r="T1972" s="12" t="s">
        <v>9372</v>
      </c>
      <c r="U1972" s="12" t="s">
        <v>60</v>
      </c>
      <c r="V1972" s="13">
        <v>44341</v>
      </c>
      <c r="W1972" s="16">
        <v>0.75</v>
      </c>
      <c r="X1972" s="12" t="s">
        <v>49</v>
      </c>
      <c r="Y1972" s="12" t="s">
        <v>9372</v>
      </c>
      <c r="Z1972" s="12" t="s">
        <v>60</v>
      </c>
      <c r="AU1972" s="12" t="s">
        <v>53</v>
      </c>
    </row>
    <row r="1973" spans="1:54" s="12" customFormat="1" ht="14.4" x14ac:dyDescent="0.3">
      <c r="A1973" s="12" t="s">
        <v>39</v>
      </c>
      <c r="B1973" s="12" t="s">
        <v>5265</v>
      </c>
      <c r="C1973" s="12">
        <v>70</v>
      </c>
      <c r="D1973" s="12">
        <v>678</v>
      </c>
      <c r="F1973" s="12" t="s">
        <v>5393</v>
      </c>
      <c r="G1973" s="12" t="str">
        <f t="shared" si="46"/>
        <v>7067864749299</v>
      </c>
      <c r="H1973" s="12" t="s">
        <v>5394</v>
      </c>
      <c r="I1973" s="15">
        <v>64749299</v>
      </c>
      <c r="J1973" s="12" t="s">
        <v>5395</v>
      </c>
      <c r="K1973" s="12" t="s">
        <v>230</v>
      </c>
      <c r="L1973" s="12">
        <v>3235291628</v>
      </c>
      <c r="M1973" s="12" t="s">
        <v>193</v>
      </c>
      <c r="N1973" s="12" t="s">
        <v>46</v>
      </c>
      <c r="O1973" s="12" t="s">
        <v>47</v>
      </c>
      <c r="P1973" s="88" t="s">
        <v>48</v>
      </c>
      <c r="Q1973" s="13">
        <v>44461</v>
      </c>
      <c r="R1973" s="18">
        <v>0.75749999999999995</v>
      </c>
      <c r="S1973" s="12" t="s">
        <v>49</v>
      </c>
      <c r="U1973" s="12" t="s">
        <v>60</v>
      </c>
      <c r="W1973" s="11"/>
      <c r="AU1973" s="12" t="s">
        <v>53</v>
      </c>
    </row>
    <row r="1974" spans="1:54" s="12" customFormat="1" ht="14.4" x14ac:dyDescent="0.3">
      <c r="A1974" s="12" t="s">
        <v>39</v>
      </c>
      <c r="B1974" s="12" t="s">
        <v>5265</v>
      </c>
      <c r="C1974" s="12">
        <v>70</v>
      </c>
      <c r="D1974" s="12">
        <v>678</v>
      </c>
      <c r="F1974" s="12" t="s">
        <v>5436</v>
      </c>
      <c r="G1974" s="12" t="str">
        <f t="shared" si="46"/>
        <v>7067833175098</v>
      </c>
      <c r="H1974" s="12" t="s">
        <v>5437</v>
      </c>
      <c r="I1974" s="15">
        <v>33175098</v>
      </c>
      <c r="J1974" s="12" t="s">
        <v>5438</v>
      </c>
      <c r="K1974" s="12" t="s">
        <v>230</v>
      </c>
      <c r="L1974" s="12" t="s">
        <v>45</v>
      </c>
      <c r="M1974" s="12" t="s">
        <v>193</v>
      </c>
      <c r="N1974" s="12" t="s">
        <v>46</v>
      </c>
      <c r="O1974" s="12" t="s">
        <v>47</v>
      </c>
      <c r="P1974" s="88" t="s">
        <v>48</v>
      </c>
      <c r="Q1974" s="13">
        <v>45352</v>
      </c>
      <c r="R1974" s="18">
        <v>0.71499999999999997</v>
      </c>
      <c r="S1974" s="12" t="s">
        <v>49</v>
      </c>
      <c r="U1974" s="12" t="s">
        <v>60</v>
      </c>
      <c r="W1974" s="11"/>
      <c r="AU1974" s="12" t="s">
        <v>53</v>
      </c>
    </row>
    <row r="1975" spans="1:54" s="12" customFormat="1" ht="14.4" x14ac:dyDescent="0.3">
      <c r="A1975" s="12" t="s">
        <v>39</v>
      </c>
      <c r="B1975" s="12" t="s">
        <v>5265</v>
      </c>
      <c r="C1975" s="12">
        <v>70</v>
      </c>
      <c r="D1975" s="12">
        <v>678</v>
      </c>
      <c r="F1975" s="12" t="s">
        <v>5439</v>
      </c>
      <c r="G1975" s="12" t="str">
        <f t="shared" si="46"/>
        <v>7067864749211</v>
      </c>
      <c r="H1975" s="12" t="s">
        <v>5440</v>
      </c>
      <c r="I1975" s="15">
        <v>64749211</v>
      </c>
      <c r="J1975" s="12" t="s">
        <v>5441</v>
      </c>
      <c r="K1975" s="12" t="s">
        <v>230</v>
      </c>
      <c r="L1975" s="12">
        <v>3004801144</v>
      </c>
      <c r="M1975" s="12" t="s">
        <v>193</v>
      </c>
      <c r="N1975" s="12" t="s">
        <v>46</v>
      </c>
      <c r="O1975" s="12" t="s">
        <v>47</v>
      </c>
      <c r="P1975" s="88" t="s">
        <v>48</v>
      </c>
      <c r="Q1975" s="13">
        <v>45355</v>
      </c>
      <c r="R1975" s="16">
        <v>0.72</v>
      </c>
      <c r="S1975" s="12" t="s">
        <v>49</v>
      </c>
      <c r="U1975" s="12" t="s">
        <v>60</v>
      </c>
      <c r="W1975" s="11"/>
      <c r="AU1975" s="12" t="s">
        <v>53</v>
      </c>
    </row>
    <row r="1976" spans="1:54" s="12" customFormat="1" ht="14.4" x14ac:dyDescent="0.3">
      <c r="A1976" s="12" t="s">
        <v>39</v>
      </c>
      <c r="B1976" s="12" t="s">
        <v>5265</v>
      </c>
      <c r="C1976" s="12">
        <v>70</v>
      </c>
      <c r="D1976" s="12">
        <v>678</v>
      </c>
      <c r="E1976" s="214"/>
      <c r="F1976" s="371" t="s">
        <v>3677</v>
      </c>
      <c r="G1976" s="12" t="str">
        <f t="shared" si="46"/>
        <v>7067864748145</v>
      </c>
      <c r="H1976" s="214" t="s">
        <v>8449</v>
      </c>
      <c r="I1976" s="214">
        <v>64748145</v>
      </c>
      <c r="J1976" s="214" t="s">
        <v>8450</v>
      </c>
      <c r="K1976" s="214" t="s">
        <v>44</v>
      </c>
      <c r="L1976" s="214">
        <v>3145792626</v>
      </c>
      <c r="M1976" s="214"/>
      <c r="N1976" s="214" t="s">
        <v>46</v>
      </c>
      <c r="O1976" s="214" t="s">
        <v>47</v>
      </c>
      <c r="P1976" s="256" t="s">
        <v>48</v>
      </c>
      <c r="Q1976" s="257">
        <v>46050</v>
      </c>
      <c r="R1976" s="273">
        <v>0.68</v>
      </c>
      <c r="S1976" s="214" t="s">
        <v>49</v>
      </c>
      <c r="T1976" s="214"/>
      <c r="U1976" s="214" t="s">
        <v>60</v>
      </c>
      <c r="V1976" s="214"/>
      <c r="W1976" s="259"/>
      <c r="X1976" s="214"/>
      <c r="Y1976" s="214"/>
      <c r="Z1976" s="214"/>
      <c r="AA1976" s="214"/>
      <c r="AB1976" s="214"/>
      <c r="AC1976" s="214"/>
      <c r="AD1976" s="214"/>
      <c r="AE1976" s="214"/>
      <c r="AF1976" s="214"/>
      <c r="AG1976" s="214"/>
      <c r="AH1976" s="214"/>
      <c r="AI1976" s="214"/>
      <c r="AJ1976" s="214"/>
      <c r="AK1976" s="214"/>
      <c r="AL1976" s="214"/>
      <c r="AM1976" s="214"/>
      <c r="AN1976" s="214"/>
      <c r="AO1976" s="214"/>
      <c r="AP1976" s="214"/>
      <c r="AQ1976" s="214"/>
      <c r="AR1976" s="214"/>
      <c r="AS1976" s="214"/>
      <c r="AT1976" s="214"/>
      <c r="AU1976" s="214" t="s">
        <v>53</v>
      </c>
      <c r="AV1976" s="214"/>
      <c r="AW1976" s="214"/>
      <c r="AX1976" s="214"/>
      <c r="AY1976" s="214"/>
      <c r="AZ1976" s="214"/>
      <c r="BA1976" s="214"/>
    </row>
    <row r="1977" spans="1:54" s="12" customFormat="1" ht="14.4" x14ac:dyDescent="0.3">
      <c r="A1977" s="214" t="s">
        <v>39</v>
      </c>
      <c r="B1977" s="214" t="s">
        <v>5265</v>
      </c>
      <c r="C1977" s="214">
        <v>70</v>
      </c>
      <c r="D1977" s="214">
        <v>678</v>
      </c>
      <c r="E1977" s="214"/>
      <c r="F1977" s="214" t="s">
        <v>5442</v>
      </c>
      <c r="G1977" s="214" t="str">
        <f t="shared" si="46"/>
        <v>7067864748602</v>
      </c>
      <c r="H1977" s="214" t="s">
        <v>5443</v>
      </c>
      <c r="I1977" s="255">
        <v>64748602</v>
      </c>
      <c r="J1977" s="214" t="s">
        <v>5444</v>
      </c>
      <c r="K1977" s="214" t="s">
        <v>230</v>
      </c>
      <c r="L1977" s="214">
        <v>3124693311</v>
      </c>
      <c r="M1977" s="214" t="s">
        <v>193</v>
      </c>
      <c r="N1977" s="214" t="s">
        <v>46</v>
      </c>
      <c r="O1977" s="214" t="s">
        <v>47</v>
      </c>
      <c r="P1977" s="256" t="s">
        <v>48</v>
      </c>
      <c r="Q1977" s="257">
        <v>45356</v>
      </c>
      <c r="R1977" s="258">
        <v>0.71499999999999997</v>
      </c>
      <c r="S1977" s="214" t="s">
        <v>49</v>
      </c>
      <c r="T1977" s="214"/>
      <c r="U1977" s="214" t="s">
        <v>60</v>
      </c>
      <c r="V1977" s="214"/>
      <c r="W1977" s="259"/>
      <c r="X1977" s="214"/>
      <c r="Y1977" s="214"/>
      <c r="Z1977" s="214"/>
      <c r="AA1977" s="214"/>
      <c r="AB1977" s="214"/>
      <c r="AC1977" s="214"/>
      <c r="AD1977" s="214"/>
      <c r="AE1977" s="214"/>
      <c r="AF1977" s="214"/>
      <c r="AG1977" s="214"/>
      <c r="AH1977" s="214"/>
      <c r="AI1977" s="214"/>
      <c r="AJ1977" s="214"/>
      <c r="AK1977" s="214"/>
      <c r="AL1977" s="214"/>
      <c r="AM1977" s="214"/>
      <c r="AN1977" s="214"/>
      <c r="AO1977" s="214"/>
      <c r="AP1977" s="214"/>
      <c r="AQ1977" s="214"/>
      <c r="AR1977" s="214"/>
      <c r="AS1977" s="214"/>
      <c r="AT1977" s="214"/>
      <c r="AU1977" s="214" t="s">
        <v>53</v>
      </c>
      <c r="AV1977" s="214"/>
      <c r="AW1977" s="214"/>
      <c r="AX1977" s="214"/>
      <c r="AY1977" s="214"/>
      <c r="AZ1977" s="214"/>
      <c r="BA1977" s="214"/>
    </row>
    <row r="1978" spans="1:54" s="12" customFormat="1" ht="14.4" hidden="1" x14ac:dyDescent="0.3">
      <c r="A1978" s="216" t="s">
        <v>505</v>
      </c>
      <c r="B1978" s="216" t="s">
        <v>8301</v>
      </c>
      <c r="C1978" s="216">
        <v>70</v>
      </c>
      <c r="D1978" s="216">
        <v>702</v>
      </c>
      <c r="E1978" s="216" t="s">
        <v>8337</v>
      </c>
      <c r="F1978" s="284" t="s">
        <v>8302</v>
      </c>
      <c r="G1978" s="214" t="str">
        <f t="shared" si="46"/>
        <v>707029020247794</v>
      </c>
      <c r="H1978" s="216" t="s">
        <v>710</v>
      </c>
      <c r="I1978" s="261">
        <v>9020247794</v>
      </c>
      <c r="J1978" s="216" t="s">
        <v>8452</v>
      </c>
      <c r="K1978" s="216" t="s">
        <v>133</v>
      </c>
      <c r="L1978" s="216">
        <v>3103155698</v>
      </c>
      <c r="M1978" s="265" t="s">
        <v>8451</v>
      </c>
      <c r="N1978" s="216" t="s">
        <v>127</v>
      </c>
      <c r="O1978" s="216" t="s">
        <v>2822</v>
      </c>
      <c r="P1978" s="266" t="s">
        <v>48</v>
      </c>
      <c r="Q1978" s="13">
        <v>46076</v>
      </c>
      <c r="R1978" s="16">
        <v>0.75</v>
      </c>
      <c r="S1978" s="12" t="s">
        <v>74</v>
      </c>
      <c r="T1978" s="216"/>
      <c r="U1978" s="216" t="s">
        <v>60</v>
      </c>
      <c r="V1978" s="241">
        <v>45742</v>
      </c>
      <c r="W1978" s="263" t="s">
        <v>2148</v>
      </c>
      <c r="X1978" s="216" t="s">
        <v>49</v>
      </c>
      <c r="Y1978" s="216"/>
      <c r="Z1978" s="216" t="s">
        <v>2881</v>
      </c>
      <c r="AA1978" s="216"/>
      <c r="AB1978" s="216"/>
      <c r="AC1978" s="216"/>
      <c r="AD1978" s="216"/>
      <c r="AE1978" s="216"/>
      <c r="AF1978" s="216"/>
      <c r="AG1978" s="216"/>
      <c r="AH1978" s="216"/>
      <c r="AI1978" s="216"/>
      <c r="AJ1978" s="216"/>
      <c r="AK1978" s="216"/>
      <c r="AL1978" s="216"/>
      <c r="AM1978" s="216"/>
      <c r="AN1978" s="216"/>
      <c r="AO1978" s="216"/>
      <c r="AP1978" s="216"/>
      <c r="AQ1978" s="216"/>
      <c r="AR1978" s="216"/>
      <c r="AS1978" s="216"/>
      <c r="AT1978" s="216"/>
      <c r="AU1978" s="325" t="s">
        <v>53</v>
      </c>
      <c r="AV1978" s="216"/>
      <c r="AW1978" s="216"/>
      <c r="AX1978" s="216"/>
      <c r="AY1978" s="216"/>
      <c r="AZ1978" s="216"/>
      <c r="BA1978" s="216"/>
      <c r="BB1978" s="220"/>
    </row>
    <row r="1979" spans="1:54" s="12" customFormat="1" ht="14.4" hidden="1" x14ac:dyDescent="0.3">
      <c r="A1979" s="216" t="s">
        <v>505</v>
      </c>
      <c r="B1979" s="216" t="s">
        <v>8301</v>
      </c>
      <c r="C1979" s="216">
        <v>70</v>
      </c>
      <c r="D1979" s="216">
        <v>702</v>
      </c>
      <c r="E1979" s="216" t="s">
        <v>8337</v>
      </c>
      <c r="F1979" s="284" t="s">
        <v>8303</v>
      </c>
      <c r="G1979" s="214" t="str">
        <f t="shared" si="46"/>
        <v>707029020247794</v>
      </c>
      <c r="H1979" s="216" t="s">
        <v>710</v>
      </c>
      <c r="I1979" s="261">
        <v>9020247794</v>
      </c>
      <c r="J1979" s="216" t="s">
        <v>8304</v>
      </c>
      <c r="K1979" s="216" t="s">
        <v>133</v>
      </c>
      <c r="L1979" s="216">
        <v>3103155698</v>
      </c>
      <c r="M1979" s="265" t="s">
        <v>8335</v>
      </c>
      <c r="N1979" s="216" t="s">
        <v>127</v>
      </c>
      <c r="O1979" s="216" t="s">
        <v>2822</v>
      </c>
      <c r="P1979" s="262" t="s">
        <v>48</v>
      </c>
      <c r="Q1979" s="13">
        <v>46105</v>
      </c>
      <c r="R1979" s="12">
        <v>80</v>
      </c>
      <c r="S1979" s="12" t="s">
        <v>49</v>
      </c>
      <c r="T1979" s="216" t="s">
        <v>8626</v>
      </c>
      <c r="U1979" s="216" t="s">
        <v>50</v>
      </c>
      <c r="V1979" s="241">
        <v>45748</v>
      </c>
      <c r="W1979" s="263" t="s">
        <v>1071</v>
      </c>
      <c r="X1979" s="216" t="s">
        <v>49</v>
      </c>
      <c r="Y1979" s="216"/>
      <c r="Z1979" s="216" t="s">
        <v>2881</v>
      </c>
      <c r="AA1979" s="216"/>
      <c r="AB1979" s="216"/>
      <c r="AC1979" s="216"/>
      <c r="AD1979" s="216"/>
      <c r="AE1979" s="216"/>
      <c r="AF1979" s="216"/>
      <c r="AG1979" s="216"/>
      <c r="AH1979" s="216"/>
      <c r="AI1979" s="216"/>
      <c r="AJ1979" s="216"/>
      <c r="AK1979" s="216"/>
      <c r="AL1979" s="216"/>
      <c r="AM1979" s="216"/>
      <c r="AN1979" s="216"/>
      <c r="AO1979" s="216"/>
      <c r="AP1979" s="216"/>
      <c r="AQ1979" s="216"/>
      <c r="AR1979" s="216"/>
      <c r="AS1979" s="216"/>
      <c r="AT1979" s="216"/>
      <c r="AU1979" s="325" t="s">
        <v>53</v>
      </c>
      <c r="AV1979" s="216"/>
      <c r="AW1979" s="216"/>
      <c r="AX1979" s="216"/>
      <c r="AY1979" s="216"/>
      <c r="AZ1979" s="216"/>
      <c r="BA1979" s="216"/>
      <c r="BB1979" s="220"/>
    </row>
    <row r="1980" spans="1:54" s="12" customFormat="1" ht="14.4" hidden="1" x14ac:dyDescent="0.3">
      <c r="A1980" s="216" t="s">
        <v>505</v>
      </c>
      <c r="B1980" s="216" t="s">
        <v>8301</v>
      </c>
      <c r="C1980" s="216">
        <v>70</v>
      </c>
      <c r="D1980" s="216">
        <v>702</v>
      </c>
      <c r="E1980" s="216" t="s">
        <v>8337</v>
      </c>
      <c r="F1980" s="284" t="s">
        <v>8305</v>
      </c>
      <c r="G1980" s="214" t="str">
        <f t="shared" si="46"/>
        <v>707029020247794</v>
      </c>
      <c r="H1980" s="216" t="s">
        <v>710</v>
      </c>
      <c r="I1980" s="261">
        <v>9020247794</v>
      </c>
      <c r="J1980" s="216" t="s">
        <v>8306</v>
      </c>
      <c r="K1980" s="216" t="s">
        <v>192</v>
      </c>
      <c r="L1980" s="216">
        <v>3024455838</v>
      </c>
      <c r="M1980" s="265" t="s">
        <v>8335</v>
      </c>
      <c r="N1980" s="216" t="s">
        <v>127</v>
      </c>
      <c r="O1980" s="216" t="s">
        <v>2822</v>
      </c>
      <c r="P1980" s="262" t="s">
        <v>48</v>
      </c>
      <c r="Q1980" s="13">
        <v>46094</v>
      </c>
      <c r="R1980" s="12">
        <v>84</v>
      </c>
      <c r="S1980" s="12" t="s">
        <v>49</v>
      </c>
      <c r="T1980" s="216"/>
      <c r="U1980" s="216" t="s">
        <v>60</v>
      </c>
      <c r="V1980" s="241">
        <v>45733</v>
      </c>
      <c r="W1980" s="263" t="s">
        <v>1071</v>
      </c>
      <c r="X1980" s="216" t="s">
        <v>49</v>
      </c>
      <c r="Y1980" s="216"/>
      <c r="Z1980" s="216" t="s">
        <v>2881</v>
      </c>
      <c r="AA1980" s="216"/>
      <c r="AB1980" s="216"/>
      <c r="AC1980" s="216"/>
      <c r="AD1980" s="216"/>
      <c r="AE1980" s="216"/>
      <c r="AF1980" s="216"/>
      <c r="AG1980" s="216"/>
      <c r="AH1980" s="216"/>
      <c r="AI1980" s="216"/>
      <c r="AJ1980" s="216"/>
      <c r="AK1980" s="216"/>
      <c r="AL1980" s="216"/>
      <c r="AM1980" s="216"/>
      <c r="AN1980" s="216"/>
      <c r="AO1980" s="216"/>
      <c r="AP1980" s="216"/>
      <c r="AQ1980" s="216"/>
      <c r="AR1980" s="216"/>
      <c r="AS1980" s="216"/>
      <c r="AT1980" s="216"/>
      <c r="AU1980" s="325" t="s">
        <v>53</v>
      </c>
      <c r="AV1980" s="216"/>
      <c r="AW1980" s="216"/>
      <c r="AX1980" s="216"/>
      <c r="AY1980" s="216"/>
      <c r="AZ1980" s="216"/>
      <c r="BA1980" s="216"/>
      <c r="BB1980" s="220"/>
    </row>
    <row r="1981" spans="1:54" s="12" customFormat="1" ht="14.4" hidden="1" x14ac:dyDescent="0.3">
      <c r="A1981" s="216" t="s">
        <v>505</v>
      </c>
      <c r="B1981" s="216" t="s">
        <v>8301</v>
      </c>
      <c r="C1981" s="216">
        <v>70</v>
      </c>
      <c r="D1981" s="216">
        <v>702</v>
      </c>
      <c r="E1981" s="216" t="s">
        <v>8337</v>
      </c>
      <c r="F1981" s="284" t="s">
        <v>8307</v>
      </c>
      <c r="G1981" s="214" t="str">
        <f t="shared" si="46"/>
        <v>707029020247794</v>
      </c>
      <c r="H1981" s="216" t="s">
        <v>710</v>
      </c>
      <c r="I1981" s="261">
        <v>9020247794</v>
      </c>
      <c r="J1981" s="216" t="s">
        <v>8308</v>
      </c>
      <c r="K1981" s="216" t="s">
        <v>133</v>
      </c>
      <c r="L1981" s="216">
        <v>3103155698</v>
      </c>
      <c r="M1981" s="265" t="s">
        <v>8451</v>
      </c>
      <c r="N1981" s="216" t="s">
        <v>127</v>
      </c>
      <c r="O1981" s="216" t="s">
        <v>2822</v>
      </c>
      <c r="P1981" s="262" t="s">
        <v>48</v>
      </c>
      <c r="Q1981" s="13">
        <v>46073</v>
      </c>
      <c r="R1981" s="12" t="s">
        <v>1937</v>
      </c>
      <c r="S1981" s="12" t="s">
        <v>49</v>
      </c>
      <c r="T1981" s="216"/>
      <c r="U1981" s="216" t="s">
        <v>60</v>
      </c>
      <c r="V1981" s="241">
        <v>45733</v>
      </c>
      <c r="W1981" s="263" t="s">
        <v>5075</v>
      </c>
      <c r="X1981" s="216" t="s">
        <v>210</v>
      </c>
      <c r="Y1981" s="216"/>
      <c r="Z1981" s="216" t="s">
        <v>2881</v>
      </c>
      <c r="AA1981" s="216"/>
      <c r="AB1981" s="216"/>
      <c r="AC1981" s="241">
        <v>44817</v>
      </c>
      <c r="AD1981" s="264">
        <v>0.93</v>
      </c>
      <c r="AE1981" s="216" t="s">
        <v>210</v>
      </c>
      <c r="AF1981" s="216"/>
      <c r="AG1981" s="216"/>
      <c r="AH1981" s="216"/>
      <c r="AI1981" s="216"/>
      <c r="AJ1981" s="216"/>
      <c r="AK1981" s="216"/>
      <c r="AL1981" s="216"/>
      <c r="AM1981" s="216"/>
      <c r="AN1981" s="216"/>
      <c r="AO1981" s="216"/>
      <c r="AP1981" s="216"/>
      <c r="AQ1981" s="216"/>
      <c r="AR1981" s="216"/>
      <c r="AS1981" s="216"/>
      <c r="AT1981" s="216"/>
      <c r="AU1981" s="325" t="s">
        <v>53</v>
      </c>
      <c r="AV1981" s="216"/>
      <c r="AW1981" s="216"/>
      <c r="AX1981" s="216"/>
      <c r="AY1981" s="216"/>
      <c r="AZ1981" s="216"/>
      <c r="BA1981" s="216"/>
      <c r="BB1981" s="220"/>
    </row>
    <row r="1982" spans="1:54" s="12" customFormat="1" ht="14.4" hidden="1" x14ac:dyDescent="0.3">
      <c r="A1982" s="216" t="s">
        <v>505</v>
      </c>
      <c r="B1982" s="216" t="s">
        <v>8301</v>
      </c>
      <c r="C1982" s="216">
        <v>70</v>
      </c>
      <c r="D1982" s="216">
        <v>702</v>
      </c>
      <c r="E1982" s="216" t="s">
        <v>8337</v>
      </c>
      <c r="F1982" s="284" t="s">
        <v>8612</v>
      </c>
      <c r="G1982" s="214" t="str">
        <f t="shared" si="46"/>
        <v>707029020247794</v>
      </c>
      <c r="H1982" s="216" t="s">
        <v>710</v>
      </c>
      <c r="I1982" s="261">
        <v>9020247794</v>
      </c>
      <c r="J1982" s="216" t="s">
        <v>4056</v>
      </c>
      <c r="K1982" s="216" t="s">
        <v>133</v>
      </c>
      <c r="L1982" s="216">
        <v>3103155698</v>
      </c>
      <c r="M1982" s="216" t="s">
        <v>8335</v>
      </c>
      <c r="N1982" s="216" t="s">
        <v>127</v>
      </c>
      <c r="O1982" s="216" t="s">
        <v>2822</v>
      </c>
      <c r="P1982" s="262" t="s">
        <v>48</v>
      </c>
      <c r="Q1982" s="241">
        <v>46097</v>
      </c>
      <c r="R1982" s="216">
        <v>83</v>
      </c>
      <c r="S1982" s="216" t="s">
        <v>49</v>
      </c>
      <c r="T1982" s="216"/>
      <c r="U1982" s="216" t="s">
        <v>60</v>
      </c>
      <c r="V1982" s="216"/>
      <c r="W1982" s="264"/>
      <c r="X1982" s="216"/>
      <c r="Y1982" s="216"/>
      <c r="Z1982" s="216"/>
      <c r="AA1982" s="216"/>
      <c r="AB1982" s="216"/>
      <c r="AC1982" s="216"/>
      <c r="AD1982" s="216"/>
      <c r="AE1982" s="216"/>
      <c r="AF1982" s="216"/>
      <c r="AG1982" s="216"/>
      <c r="AH1982" s="216"/>
      <c r="AI1982" s="216"/>
      <c r="AJ1982" s="216"/>
      <c r="AK1982" s="216"/>
      <c r="AL1982" s="216"/>
      <c r="AM1982" s="216"/>
      <c r="AN1982" s="216"/>
      <c r="AO1982" s="216"/>
      <c r="AP1982" s="216"/>
      <c r="AQ1982" s="216"/>
      <c r="AR1982" s="216"/>
      <c r="AS1982" s="216"/>
      <c r="AT1982" s="216"/>
      <c r="AU1982" s="325" t="s">
        <v>53</v>
      </c>
      <c r="AV1982" s="216"/>
      <c r="AW1982" s="216"/>
      <c r="AX1982" s="216"/>
      <c r="AY1982" s="216"/>
      <c r="AZ1982" s="216"/>
      <c r="BA1982" s="216"/>
      <c r="BB1982" s="220"/>
    </row>
    <row r="1983" spans="1:54" s="12" customFormat="1" ht="14.4" hidden="1" x14ac:dyDescent="0.3">
      <c r="A1983" s="113" t="s">
        <v>505</v>
      </c>
      <c r="B1983" s="260" t="s">
        <v>5510</v>
      </c>
      <c r="C1983" s="114">
        <v>70</v>
      </c>
      <c r="D1983" s="114">
        <v>742</v>
      </c>
      <c r="E1983" s="114"/>
      <c r="F1983" s="118" t="s">
        <v>5457</v>
      </c>
      <c r="G1983" s="138" t="str">
        <f>C1983&amp;D1983&amp;I1983</f>
        <v>7074264781585</v>
      </c>
      <c r="H1983" s="116" t="s">
        <v>5458</v>
      </c>
      <c r="I1983" s="116">
        <v>64781585</v>
      </c>
      <c r="J1983" s="114" t="s">
        <v>5459</v>
      </c>
      <c r="K1983" s="116" t="s">
        <v>230</v>
      </c>
      <c r="L1983" s="114">
        <v>3003539325</v>
      </c>
      <c r="M1983" s="125" t="s">
        <v>5460</v>
      </c>
      <c r="N1983" s="215" t="s">
        <v>46</v>
      </c>
      <c r="O1983" s="215" t="s">
        <v>2797</v>
      </c>
      <c r="P1983" s="209" t="s">
        <v>80</v>
      </c>
      <c r="Q1983" s="116" t="s">
        <v>2699</v>
      </c>
      <c r="R1983" s="114" t="s">
        <v>918</v>
      </c>
      <c r="S1983" s="114" t="s">
        <v>49</v>
      </c>
      <c r="T1983" s="114"/>
      <c r="U1983" s="114" t="s">
        <v>60</v>
      </c>
      <c r="V1983" s="127">
        <v>43840</v>
      </c>
      <c r="W1983" s="126">
        <v>0.92</v>
      </c>
      <c r="X1983" s="114" t="s">
        <v>210</v>
      </c>
      <c r="Y1983" s="114"/>
      <c r="Z1983" s="114" t="s">
        <v>60</v>
      </c>
      <c r="AA1983" s="116" t="s">
        <v>507</v>
      </c>
      <c r="AB1983" s="114" t="s">
        <v>507</v>
      </c>
      <c r="AC1983" s="116" t="s">
        <v>5461</v>
      </c>
      <c r="AD1983" s="126">
        <v>0.86</v>
      </c>
      <c r="AE1983" s="114" t="s">
        <v>49</v>
      </c>
      <c r="AF1983" s="114" t="s">
        <v>60</v>
      </c>
      <c r="AG1983" s="114" t="s">
        <v>507</v>
      </c>
      <c r="AH1983" s="114" t="s">
        <v>507</v>
      </c>
      <c r="AI1983" s="114" t="s">
        <v>507</v>
      </c>
      <c r="AJ1983" s="114" t="s">
        <v>507</v>
      </c>
      <c r="AK1983" s="114" t="s">
        <v>507</v>
      </c>
      <c r="AL1983" s="114" t="s">
        <v>507</v>
      </c>
      <c r="AM1983" s="114" t="s">
        <v>507</v>
      </c>
      <c r="AN1983" s="114" t="s">
        <v>507</v>
      </c>
      <c r="AO1983" s="114" t="s">
        <v>507</v>
      </c>
      <c r="AP1983" s="114" t="s">
        <v>507</v>
      </c>
      <c r="AQ1983" s="114" t="s">
        <v>507</v>
      </c>
      <c r="AR1983" s="114" t="s">
        <v>507</v>
      </c>
      <c r="AS1983" s="114" t="s">
        <v>507</v>
      </c>
      <c r="AT1983" s="114" t="s">
        <v>507</v>
      </c>
      <c r="AU1983" s="114" t="s">
        <v>53</v>
      </c>
      <c r="AV1983" s="114" t="s">
        <v>507</v>
      </c>
      <c r="AW1983" s="114" t="s">
        <v>507</v>
      </c>
      <c r="AX1983" s="114" t="s">
        <v>507</v>
      </c>
      <c r="AY1983" s="114" t="s">
        <v>507</v>
      </c>
      <c r="AZ1983" s="114" t="s">
        <v>507</v>
      </c>
      <c r="BA1983" s="114" t="s">
        <v>507</v>
      </c>
    </row>
    <row r="1984" spans="1:54" s="12" customFormat="1" ht="14.4" x14ac:dyDescent="0.3">
      <c r="A1984" s="113" t="s">
        <v>505</v>
      </c>
      <c r="B1984" s="168" t="s">
        <v>5510</v>
      </c>
      <c r="C1984" s="114">
        <v>70</v>
      </c>
      <c r="D1984" s="114">
        <v>742</v>
      </c>
      <c r="E1984" s="175" t="s">
        <v>9563</v>
      </c>
      <c r="F1984" s="289" t="s">
        <v>5462</v>
      </c>
      <c r="G1984" s="138" t="str">
        <f t="shared" ref="G1984:G1999" si="47">C1984&amp;D1984&amp;I1984</f>
        <v>7074292027709-5</v>
      </c>
      <c r="H1984" s="116" t="s">
        <v>5464</v>
      </c>
      <c r="I1984" s="116" t="s">
        <v>5463</v>
      </c>
      <c r="J1984" s="116" t="s">
        <v>5465</v>
      </c>
      <c r="K1984" s="116" t="s">
        <v>230</v>
      </c>
      <c r="L1984" s="114">
        <v>3228686380</v>
      </c>
      <c r="M1984" s="125" t="s">
        <v>5466</v>
      </c>
      <c r="N1984" s="12" t="s">
        <v>46</v>
      </c>
      <c r="O1984" s="12" t="s">
        <v>47</v>
      </c>
      <c r="P1984" s="183" t="s">
        <v>48</v>
      </c>
      <c r="Q1984" s="13">
        <v>46155</v>
      </c>
      <c r="R1984" s="12" t="s">
        <v>8949</v>
      </c>
      <c r="S1984" s="114" t="s">
        <v>49</v>
      </c>
      <c r="U1984" s="12" t="s">
        <v>50</v>
      </c>
      <c r="V1984" s="114" t="s">
        <v>729</v>
      </c>
      <c r="W1984" s="126">
        <v>0.76</v>
      </c>
      <c r="X1984" s="114" t="s">
        <v>49</v>
      </c>
      <c r="Y1984" s="114"/>
      <c r="Z1984" s="114" t="s">
        <v>60</v>
      </c>
      <c r="AA1984" s="114" t="s">
        <v>507</v>
      </c>
      <c r="AB1984" s="114" t="s">
        <v>507</v>
      </c>
      <c r="AC1984" s="116" t="s">
        <v>1231</v>
      </c>
      <c r="AD1984" s="114" t="s">
        <v>5467</v>
      </c>
      <c r="AE1984" s="114" t="s">
        <v>49</v>
      </c>
      <c r="AF1984" s="12" t="s">
        <v>60</v>
      </c>
      <c r="AG1984" s="114" t="s">
        <v>507</v>
      </c>
      <c r="AH1984" s="114" t="s">
        <v>507</v>
      </c>
      <c r="AI1984" s="114" t="s">
        <v>527</v>
      </c>
      <c r="AJ1984" s="126">
        <v>0.73</v>
      </c>
      <c r="AK1984" s="114" t="s">
        <v>49</v>
      </c>
      <c r="AL1984" s="114" t="s">
        <v>60</v>
      </c>
      <c r="AM1984" s="114" t="s">
        <v>507</v>
      </c>
      <c r="AN1984" s="114" t="s">
        <v>507</v>
      </c>
      <c r="AO1984" s="114" t="s">
        <v>5468</v>
      </c>
      <c r="AP1984" s="126">
        <v>0.77</v>
      </c>
      <c r="AQ1984" s="114" t="s">
        <v>49</v>
      </c>
      <c r="AR1984" s="114" t="s">
        <v>60</v>
      </c>
      <c r="AS1984" s="114" t="s">
        <v>507</v>
      </c>
      <c r="AT1984" s="114" t="s">
        <v>507</v>
      </c>
      <c r="AU1984" s="114" t="s">
        <v>53</v>
      </c>
      <c r="AV1984" s="114" t="s">
        <v>507</v>
      </c>
      <c r="AW1984" s="114" t="s">
        <v>507</v>
      </c>
      <c r="AX1984" s="114" t="s">
        <v>507</v>
      </c>
      <c r="AY1984" s="114" t="s">
        <v>507</v>
      </c>
      <c r="AZ1984" s="114" t="s">
        <v>507</v>
      </c>
      <c r="BA1984" s="114" t="s">
        <v>507</v>
      </c>
    </row>
    <row r="1985" spans="1:53" s="12" customFormat="1" ht="14.4" hidden="1" x14ac:dyDescent="0.3">
      <c r="A1985" s="111" t="s">
        <v>505</v>
      </c>
      <c r="B1985" s="168" t="s">
        <v>5510</v>
      </c>
      <c r="C1985" s="112">
        <v>70</v>
      </c>
      <c r="D1985" s="112">
        <v>742</v>
      </c>
      <c r="E1985" s="112" t="s">
        <v>507</v>
      </c>
      <c r="F1985" s="117" t="s">
        <v>5469</v>
      </c>
      <c r="G1985" s="138" t="str">
        <f t="shared" si="47"/>
        <v>7074292027432</v>
      </c>
      <c r="H1985" s="121" t="s">
        <v>5470</v>
      </c>
      <c r="I1985" s="121">
        <v>92027432</v>
      </c>
      <c r="J1985" s="121" t="s">
        <v>5471</v>
      </c>
      <c r="K1985" s="121" t="s">
        <v>230</v>
      </c>
      <c r="L1985" s="112">
        <v>3148137015</v>
      </c>
      <c r="M1985" s="122" t="s">
        <v>5472</v>
      </c>
      <c r="N1985" s="12" t="s">
        <v>46</v>
      </c>
      <c r="O1985" s="117" t="s">
        <v>521</v>
      </c>
      <c r="P1985" s="182" t="s">
        <v>48</v>
      </c>
      <c r="Q1985" s="123">
        <v>45389</v>
      </c>
      <c r="R1985" s="112" t="s">
        <v>887</v>
      </c>
      <c r="S1985" s="112" t="s">
        <v>49</v>
      </c>
      <c r="T1985" s="112"/>
      <c r="U1985" s="112" t="s">
        <v>60</v>
      </c>
      <c r="V1985" s="123">
        <v>44809</v>
      </c>
      <c r="W1985" s="124">
        <v>0.8</v>
      </c>
      <c r="X1985" s="112" t="s">
        <v>49</v>
      </c>
      <c r="Y1985" s="112"/>
      <c r="Z1985" s="112" t="s">
        <v>60</v>
      </c>
      <c r="AA1985" s="112" t="s">
        <v>507</v>
      </c>
      <c r="AB1985" s="112" t="s">
        <v>507</v>
      </c>
      <c r="AC1985" s="121" t="s">
        <v>5473</v>
      </c>
      <c r="AD1985" s="124">
        <v>0.76</v>
      </c>
      <c r="AE1985" s="112" t="s">
        <v>49</v>
      </c>
      <c r="AF1985" s="112" t="s">
        <v>60</v>
      </c>
      <c r="AG1985" s="112" t="s">
        <v>507</v>
      </c>
      <c r="AH1985" s="112" t="s">
        <v>507</v>
      </c>
      <c r="AI1985" s="112" t="s">
        <v>507</v>
      </c>
      <c r="AJ1985" s="112" t="s">
        <v>507</v>
      </c>
      <c r="AK1985" s="112" t="s">
        <v>507</v>
      </c>
      <c r="AL1985" s="112" t="s">
        <v>507</v>
      </c>
      <c r="AM1985" s="112" t="s">
        <v>507</v>
      </c>
      <c r="AN1985" s="112" t="s">
        <v>507</v>
      </c>
      <c r="AO1985" s="112" t="s">
        <v>507</v>
      </c>
      <c r="AP1985" s="112" t="s">
        <v>507</v>
      </c>
      <c r="AQ1985" s="112" t="s">
        <v>507</v>
      </c>
      <c r="AR1985" s="112" t="s">
        <v>507</v>
      </c>
      <c r="AS1985" s="112" t="s">
        <v>507</v>
      </c>
      <c r="AT1985" s="112" t="s">
        <v>507</v>
      </c>
      <c r="AU1985" s="112" t="s">
        <v>53</v>
      </c>
      <c r="AV1985" s="112" t="s">
        <v>507</v>
      </c>
      <c r="AW1985" s="112" t="s">
        <v>507</v>
      </c>
      <c r="AX1985" s="112" t="s">
        <v>507</v>
      </c>
      <c r="AY1985" s="112" t="s">
        <v>507</v>
      </c>
      <c r="AZ1985" s="112" t="s">
        <v>507</v>
      </c>
      <c r="BA1985" s="112" t="s">
        <v>507</v>
      </c>
    </row>
    <row r="1986" spans="1:53" s="12" customFormat="1" ht="14.4" x14ac:dyDescent="0.3">
      <c r="A1986" s="111" t="s">
        <v>505</v>
      </c>
      <c r="B1986" s="168" t="s">
        <v>5510</v>
      </c>
      <c r="C1986" s="112">
        <v>70</v>
      </c>
      <c r="D1986" s="112">
        <v>742</v>
      </c>
      <c r="E1986" s="175" t="s">
        <v>9564</v>
      </c>
      <c r="F1986" s="289" t="s">
        <v>9565</v>
      </c>
      <c r="G1986" s="138" t="str">
        <f t="shared" si="47"/>
        <v>707429020058752</v>
      </c>
      <c r="H1986" s="116" t="s">
        <v>9566</v>
      </c>
      <c r="I1986" s="116">
        <v>9020058752</v>
      </c>
      <c r="J1986" s="116" t="s">
        <v>9567</v>
      </c>
      <c r="K1986" s="116" t="s">
        <v>44</v>
      </c>
      <c r="L1986" s="114">
        <v>3215731114</v>
      </c>
      <c r="M1986" s="125" t="s">
        <v>9568</v>
      </c>
      <c r="N1986" s="12" t="s">
        <v>46</v>
      </c>
      <c r="O1986" s="387" t="s">
        <v>47</v>
      </c>
      <c r="P1986" s="209" t="s">
        <v>48</v>
      </c>
      <c r="Q1986" s="127">
        <v>46126</v>
      </c>
      <c r="R1986" s="114">
        <v>77</v>
      </c>
      <c r="S1986" s="112" t="s">
        <v>49</v>
      </c>
      <c r="T1986" s="114"/>
      <c r="U1986" s="175" t="s">
        <v>60</v>
      </c>
      <c r="V1986" s="127"/>
      <c r="W1986" s="126"/>
      <c r="X1986" s="114"/>
      <c r="Y1986" s="114"/>
      <c r="Z1986" s="114"/>
      <c r="AA1986" s="114"/>
      <c r="AB1986" s="114"/>
      <c r="AC1986" s="116"/>
      <c r="AD1986" s="126"/>
      <c r="AE1986" s="114"/>
      <c r="AF1986" s="114"/>
      <c r="AG1986" s="114"/>
      <c r="AH1986" s="114"/>
      <c r="AI1986" s="114"/>
      <c r="AJ1986" s="114"/>
      <c r="AK1986" s="114"/>
      <c r="AL1986" s="114"/>
      <c r="AM1986" s="114"/>
      <c r="AN1986" s="114"/>
      <c r="AO1986" s="114"/>
      <c r="AP1986" s="114"/>
      <c r="AQ1986" s="114"/>
      <c r="AR1986" s="114"/>
      <c r="AS1986" s="114"/>
      <c r="AT1986" s="114"/>
      <c r="AU1986" s="175" t="s">
        <v>53</v>
      </c>
      <c r="AV1986" s="114"/>
      <c r="AW1986" s="114"/>
      <c r="AX1986" s="114"/>
      <c r="AY1986" s="114"/>
      <c r="AZ1986" s="114"/>
      <c r="BA1986" s="114"/>
    </row>
    <row r="1987" spans="1:53" s="12" customFormat="1" ht="14.4" hidden="1" x14ac:dyDescent="0.3">
      <c r="A1987" s="113" t="s">
        <v>505</v>
      </c>
      <c r="B1987" s="168" t="s">
        <v>5510</v>
      </c>
      <c r="C1987" s="114">
        <v>70</v>
      </c>
      <c r="D1987" s="114">
        <v>742</v>
      </c>
      <c r="E1987" s="114" t="s">
        <v>507</v>
      </c>
      <c r="F1987" s="118" t="s">
        <v>5474</v>
      </c>
      <c r="G1987" s="138" t="str">
        <f t="shared" si="47"/>
        <v>707423829461</v>
      </c>
      <c r="H1987" s="116" t="s">
        <v>5475</v>
      </c>
      <c r="I1987" s="116">
        <v>3829461</v>
      </c>
      <c r="J1987" s="116" t="s">
        <v>5476</v>
      </c>
      <c r="K1987" s="116" t="s">
        <v>230</v>
      </c>
      <c r="L1987" s="114">
        <v>3116674418</v>
      </c>
      <c r="M1987" s="125" t="s">
        <v>5477</v>
      </c>
      <c r="N1987" s="12" t="s">
        <v>46</v>
      </c>
      <c r="O1987" s="12" t="s">
        <v>2797</v>
      </c>
      <c r="P1987" s="209" t="s">
        <v>80</v>
      </c>
      <c r="Q1987" s="114" t="s">
        <v>5478</v>
      </c>
      <c r="R1987" s="114" t="s">
        <v>5479</v>
      </c>
      <c r="S1987" s="114" t="s">
        <v>49</v>
      </c>
      <c r="T1987" s="114"/>
      <c r="U1987" s="114" t="s">
        <v>60</v>
      </c>
      <c r="V1987" s="127">
        <v>44779</v>
      </c>
      <c r="W1987" s="126">
        <v>0.73</v>
      </c>
      <c r="X1987" s="114" t="s">
        <v>49</v>
      </c>
      <c r="Y1987" s="114"/>
      <c r="Z1987" s="114" t="s">
        <v>60</v>
      </c>
      <c r="AA1987" s="114" t="s">
        <v>507</v>
      </c>
      <c r="AB1987" s="114" t="s">
        <v>507</v>
      </c>
      <c r="AC1987" s="116" t="s">
        <v>5480</v>
      </c>
      <c r="AD1987" s="114" t="s">
        <v>5481</v>
      </c>
      <c r="AE1987" s="114" t="s">
        <v>49</v>
      </c>
      <c r="AF1987" s="114" t="s">
        <v>60</v>
      </c>
      <c r="AG1987" s="114" t="s">
        <v>507</v>
      </c>
      <c r="AH1987" s="114" t="s">
        <v>507</v>
      </c>
      <c r="AI1987" s="116" t="s">
        <v>5482</v>
      </c>
      <c r="AJ1987" s="114" t="s">
        <v>814</v>
      </c>
      <c r="AK1987" s="114" t="s">
        <v>49</v>
      </c>
      <c r="AL1987" s="114" t="s">
        <v>60</v>
      </c>
      <c r="AM1987" s="114" t="s">
        <v>507</v>
      </c>
      <c r="AN1987" s="114" t="s">
        <v>507</v>
      </c>
      <c r="AO1987" s="114" t="s">
        <v>507</v>
      </c>
      <c r="AP1987" s="114" t="s">
        <v>507</v>
      </c>
      <c r="AQ1987" s="114" t="s">
        <v>507</v>
      </c>
      <c r="AR1987" s="114" t="s">
        <v>507</v>
      </c>
      <c r="AS1987" s="114" t="s">
        <v>507</v>
      </c>
      <c r="AT1987" s="114" t="s">
        <v>507</v>
      </c>
      <c r="AU1987" s="114" t="s">
        <v>53</v>
      </c>
      <c r="AV1987" s="114" t="s">
        <v>507</v>
      </c>
      <c r="AW1987" s="114" t="s">
        <v>507</v>
      </c>
      <c r="AX1987" s="114" t="s">
        <v>507</v>
      </c>
      <c r="AY1987" s="114" t="s">
        <v>507</v>
      </c>
      <c r="AZ1987" s="114" t="s">
        <v>507</v>
      </c>
      <c r="BA1987" s="114" t="s">
        <v>507</v>
      </c>
    </row>
    <row r="1988" spans="1:53" s="12" customFormat="1" ht="14.4" hidden="1" x14ac:dyDescent="0.3">
      <c r="A1988" s="113" t="s">
        <v>505</v>
      </c>
      <c r="B1988" s="168" t="s">
        <v>5510</v>
      </c>
      <c r="C1988" s="114">
        <v>70</v>
      </c>
      <c r="D1988" s="114">
        <v>742</v>
      </c>
      <c r="E1988" s="114" t="s">
        <v>507</v>
      </c>
      <c r="F1988" s="289" t="s">
        <v>5483</v>
      </c>
      <c r="G1988" s="138" t="str">
        <f t="shared" si="47"/>
        <v>7074292033251</v>
      </c>
      <c r="H1988" s="116" t="s">
        <v>5484</v>
      </c>
      <c r="I1988" s="116">
        <v>92033251</v>
      </c>
      <c r="J1988" s="116" t="s">
        <v>5485</v>
      </c>
      <c r="K1988" s="116" t="s">
        <v>230</v>
      </c>
      <c r="L1988" s="114">
        <v>3215493736</v>
      </c>
      <c r="M1988" s="125" t="s">
        <v>5486</v>
      </c>
      <c r="N1988" s="12" t="s">
        <v>46</v>
      </c>
      <c r="O1988" s="12" t="s">
        <v>2797</v>
      </c>
      <c r="P1988" s="209" t="s">
        <v>80</v>
      </c>
      <c r="Q1988" s="13">
        <v>46155</v>
      </c>
      <c r="R1988" s="12">
        <v>64</v>
      </c>
      <c r="S1988" s="114" t="s">
        <v>49</v>
      </c>
      <c r="T1988" s="214"/>
      <c r="U1988" s="214" t="s">
        <v>50</v>
      </c>
      <c r="V1988" s="222" t="s">
        <v>5487</v>
      </c>
      <c r="W1988" s="222" t="s">
        <v>5488</v>
      </c>
      <c r="X1988" s="222" t="s">
        <v>49</v>
      </c>
      <c r="Y1988" s="222"/>
      <c r="Z1988" s="222" t="s">
        <v>60</v>
      </c>
      <c r="AA1988" s="222" t="s">
        <v>507</v>
      </c>
      <c r="AB1988" s="222" t="s">
        <v>507</v>
      </c>
      <c r="AC1988" s="389">
        <v>45602</v>
      </c>
      <c r="AD1988" s="222" t="s">
        <v>5489</v>
      </c>
      <c r="AE1988" s="222" t="s">
        <v>49</v>
      </c>
      <c r="AF1988" s="12" t="s">
        <v>60</v>
      </c>
      <c r="AG1988" s="114" t="s">
        <v>507</v>
      </c>
      <c r="AH1988" s="114" t="s">
        <v>507</v>
      </c>
      <c r="AI1988" s="114" t="s">
        <v>824</v>
      </c>
      <c r="AJ1988" s="126">
        <v>0.74</v>
      </c>
      <c r="AK1988" s="114" t="s">
        <v>49</v>
      </c>
      <c r="AL1988" s="114" t="s">
        <v>60</v>
      </c>
      <c r="AM1988" s="114" t="s">
        <v>507</v>
      </c>
      <c r="AN1988" s="114" t="s">
        <v>507</v>
      </c>
      <c r="AO1988" s="114" t="s">
        <v>507</v>
      </c>
      <c r="AP1988" s="114" t="s">
        <v>507</v>
      </c>
      <c r="AQ1988" s="114" t="s">
        <v>507</v>
      </c>
      <c r="AR1988" s="114" t="s">
        <v>507</v>
      </c>
      <c r="AS1988" s="114" t="s">
        <v>507</v>
      </c>
      <c r="AT1988" s="114" t="s">
        <v>507</v>
      </c>
      <c r="AU1988" s="114" t="s">
        <v>53</v>
      </c>
      <c r="AV1988" s="114" t="s">
        <v>507</v>
      </c>
      <c r="AW1988" s="114" t="s">
        <v>507</v>
      </c>
      <c r="AX1988" s="114" t="s">
        <v>507</v>
      </c>
      <c r="AY1988" s="114" t="s">
        <v>507</v>
      </c>
      <c r="AZ1988" s="114" t="s">
        <v>507</v>
      </c>
      <c r="BA1988" s="114" t="s">
        <v>507</v>
      </c>
    </row>
    <row r="1989" spans="1:53" s="12" customFormat="1" ht="14.4" x14ac:dyDescent="0.3">
      <c r="A1989" s="111" t="s">
        <v>505</v>
      </c>
      <c r="B1989" s="168" t="s">
        <v>5510</v>
      </c>
      <c r="C1989" s="112">
        <v>70</v>
      </c>
      <c r="D1989" s="112">
        <v>742</v>
      </c>
      <c r="E1989" s="114"/>
      <c r="F1989" s="289" t="s">
        <v>9572</v>
      </c>
      <c r="G1989" s="138" t="str">
        <f t="shared" si="47"/>
        <v>707421100402266</v>
      </c>
      <c r="H1989" s="116" t="s">
        <v>9573</v>
      </c>
      <c r="I1989" s="116">
        <v>1100402266</v>
      </c>
      <c r="J1989" s="116" t="s">
        <v>9574</v>
      </c>
      <c r="K1989" s="116" t="s">
        <v>44</v>
      </c>
      <c r="L1989" s="114">
        <v>3002015392</v>
      </c>
      <c r="M1989" s="125" t="s">
        <v>9575</v>
      </c>
      <c r="N1989" s="12" t="s">
        <v>46</v>
      </c>
      <c r="O1989" s="12" t="s">
        <v>47</v>
      </c>
      <c r="P1989" s="209" t="s">
        <v>48</v>
      </c>
      <c r="Q1989" s="388">
        <v>46147</v>
      </c>
      <c r="R1989" s="146">
        <v>84</v>
      </c>
      <c r="S1989" s="112" t="s">
        <v>49</v>
      </c>
      <c r="T1989" s="216"/>
      <c r="U1989" s="216" t="s">
        <v>60</v>
      </c>
      <c r="V1989" s="111"/>
      <c r="W1989" s="111"/>
      <c r="X1989" s="111"/>
      <c r="Y1989" s="111"/>
      <c r="Z1989" s="111"/>
      <c r="AA1989" s="111"/>
      <c r="AB1989" s="111"/>
      <c r="AC1989" s="390"/>
      <c r="AD1989" s="111"/>
      <c r="AE1989" s="111"/>
      <c r="AF1989" s="146"/>
      <c r="AG1989" s="114"/>
      <c r="AH1989" s="114"/>
      <c r="AI1989" s="114"/>
      <c r="AJ1989" s="126"/>
      <c r="AK1989" s="114"/>
      <c r="AL1989" s="114"/>
      <c r="AM1989" s="114"/>
      <c r="AN1989" s="114"/>
      <c r="AO1989" s="114"/>
      <c r="AP1989" s="114"/>
      <c r="AQ1989" s="114"/>
      <c r="AR1989" s="114"/>
      <c r="AS1989" s="114"/>
      <c r="AT1989" s="114"/>
      <c r="AU1989" s="175" t="s">
        <v>1208</v>
      </c>
      <c r="AV1989" s="114"/>
      <c r="AW1989" s="114"/>
      <c r="AX1989" s="114"/>
      <c r="AY1989" s="114"/>
      <c r="AZ1989" s="114"/>
      <c r="BA1989" s="114"/>
    </row>
    <row r="1990" spans="1:53" s="12" customFormat="1" ht="14.4" x14ac:dyDescent="0.3">
      <c r="A1990" s="113" t="s">
        <v>505</v>
      </c>
      <c r="B1990" s="168" t="s">
        <v>5510</v>
      </c>
      <c r="C1990" s="114">
        <v>70</v>
      </c>
      <c r="D1990" s="114">
        <v>742</v>
      </c>
      <c r="E1990" s="114" t="s">
        <v>5490</v>
      </c>
      <c r="F1990" s="118" t="s">
        <v>5491</v>
      </c>
      <c r="G1990" s="138" t="str">
        <f t="shared" si="47"/>
        <v>707423014769450</v>
      </c>
      <c r="H1990" s="116" t="s">
        <v>5492</v>
      </c>
      <c r="I1990" s="116">
        <v>3014769450</v>
      </c>
      <c r="J1990" s="116" t="s">
        <v>5493</v>
      </c>
      <c r="K1990" s="116" t="s">
        <v>230</v>
      </c>
      <c r="L1990" s="114">
        <v>3014369450</v>
      </c>
      <c r="M1990" s="128" t="s">
        <v>5494</v>
      </c>
      <c r="N1990" s="12" t="s">
        <v>46</v>
      </c>
      <c r="O1990" s="12" t="s">
        <v>47</v>
      </c>
      <c r="P1990" s="183" t="s">
        <v>48</v>
      </c>
      <c r="Q1990" s="114" t="s">
        <v>1181</v>
      </c>
      <c r="R1990" s="114" t="s">
        <v>5467</v>
      </c>
      <c r="S1990" s="114" t="s">
        <v>49</v>
      </c>
      <c r="T1990" s="114"/>
      <c r="U1990" s="114" t="s">
        <v>60</v>
      </c>
      <c r="V1990" s="127">
        <v>45418</v>
      </c>
      <c r="W1990" s="126">
        <v>0.72</v>
      </c>
      <c r="X1990" s="114" t="s">
        <v>49</v>
      </c>
      <c r="Y1990" s="114"/>
      <c r="Z1990" s="114" t="s">
        <v>60</v>
      </c>
      <c r="AA1990" s="114" t="s">
        <v>507</v>
      </c>
      <c r="AB1990" s="114" t="s">
        <v>507</v>
      </c>
      <c r="AC1990" s="129">
        <v>45266</v>
      </c>
      <c r="AD1990" s="126">
        <v>0.8</v>
      </c>
      <c r="AE1990" s="114" t="s">
        <v>49</v>
      </c>
      <c r="AF1990" s="114" t="s">
        <v>60</v>
      </c>
      <c r="AG1990" s="114" t="s">
        <v>507</v>
      </c>
      <c r="AH1990" s="114" t="s">
        <v>507</v>
      </c>
      <c r="AI1990" s="116" t="s">
        <v>5495</v>
      </c>
      <c r="AJ1990" s="126">
        <v>0.71</v>
      </c>
      <c r="AK1990" s="114" t="s">
        <v>49</v>
      </c>
      <c r="AL1990" s="114" t="s">
        <v>60</v>
      </c>
      <c r="AM1990" s="114" t="s">
        <v>507</v>
      </c>
      <c r="AN1990" s="114" t="s">
        <v>507</v>
      </c>
      <c r="AO1990" s="114" t="s">
        <v>507</v>
      </c>
      <c r="AP1990" s="114" t="s">
        <v>507</v>
      </c>
      <c r="AQ1990" s="114" t="s">
        <v>507</v>
      </c>
      <c r="AR1990" s="114" t="s">
        <v>507</v>
      </c>
      <c r="AS1990" s="114" t="s">
        <v>507</v>
      </c>
      <c r="AT1990" s="114" t="s">
        <v>507</v>
      </c>
      <c r="AU1990" s="114" t="s">
        <v>53</v>
      </c>
      <c r="AV1990" s="114" t="s">
        <v>507</v>
      </c>
      <c r="AW1990" s="114" t="s">
        <v>507</v>
      </c>
      <c r="AX1990" s="114" t="s">
        <v>507</v>
      </c>
      <c r="AY1990" s="114" t="s">
        <v>507</v>
      </c>
      <c r="AZ1990" s="114" t="s">
        <v>507</v>
      </c>
      <c r="BA1990" s="114" t="s">
        <v>507</v>
      </c>
    </row>
    <row r="1991" spans="1:53" s="12" customFormat="1" ht="14.4" hidden="1" x14ac:dyDescent="0.3">
      <c r="A1991" s="113" t="s">
        <v>505</v>
      </c>
      <c r="B1991" s="168" t="s">
        <v>5510</v>
      </c>
      <c r="C1991" s="114">
        <v>70</v>
      </c>
      <c r="D1991" s="114">
        <v>742</v>
      </c>
      <c r="E1991" s="114" t="s">
        <v>507</v>
      </c>
      <c r="F1991" s="118" t="s">
        <v>5496</v>
      </c>
      <c r="G1991" s="138" t="str">
        <f t="shared" si="47"/>
        <v>70742900223291-9</v>
      </c>
      <c r="H1991" s="114" t="s">
        <v>5498</v>
      </c>
      <c r="I1991" s="116" t="s">
        <v>5497</v>
      </c>
      <c r="J1991" s="116" t="s">
        <v>5499</v>
      </c>
      <c r="K1991" s="116" t="s">
        <v>230</v>
      </c>
      <c r="L1991" s="114">
        <v>3117073669</v>
      </c>
      <c r="M1991" s="125" t="s">
        <v>5500</v>
      </c>
      <c r="N1991" s="175" t="s">
        <v>127</v>
      </c>
      <c r="O1991" s="12" t="s">
        <v>2822</v>
      </c>
      <c r="P1991" s="183" t="s">
        <v>48</v>
      </c>
      <c r="Q1991" s="129">
        <v>45635</v>
      </c>
      <c r="R1991" s="126">
        <v>0.98</v>
      </c>
      <c r="S1991" s="114" t="s">
        <v>319</v>
      </c>
      <c r="T1991" s="114"/>
      <c r="U1991" s="114" t="s">
        <v>60</v>
      </c>
      <c r="V1991" s="114" t="s">
        <v>507</v>
      </c>
      <c r="W1991" s="114" t="s">
        <v>507</v>
      </c>
      <c r="X1991" s="114" t="s">
        <v>507</v>
      </c>
      <c r="Y1991" s="114" t="s">
        <v>507</v>
      </c>
      <c r="Z1991" s="114" t="s">
        <v>507</v>
      </c>
      <c r="AA1991" s="114" t="s">
        <v>507</v>
      </c>
      <c r="AB1991" s="114" t="s">
        <v>507</v>
      </c>
      <c r="AC1991" s="114" t="s">
        <v>507</v>
      </c>
      <c r="AD1991" s="114" t="s">
        <v>507</v>
      </c>
      <c r="AE1991" s="114" t="s">
        <v>507</v>
      </c>
      <c r="AF1991" s="114" t="s">
        <v>507</v>
      </c>
      <c r="AG1991" s="114" t="s">
        <v>507</v>
      </c>
      <c r="AH1991" s="114" t="s">
        <v>507</v>
      </c>
      <c r="AI1991" s="114" t="s">
        <v>507</v>
      </c>
      <c r="AJ1991" s="114" t="s">
        <v>507</v>
      </c>
      <c r="AK1991" s="114" t="s">
        <v>507</v>
      </c>
      <c r="AL1991" s="114" t="s">
        <v>507</v>
      </c>
      <c r="AM1991" s="114" t="s">
        <v>507</v>
      </c>
      <c r="AN1991" s="114" t="s">
        <v>507</v>
      </c>
      <c r="AO1991" s="114" t="s">
        <v>507</v>
      </c>
      <c r="AP1991" s="114" t="s">
        <v>507</v>
      </c>
      <c r="AQ1991" s="114" t="s">
        <v>507</v>
      </c>
      <c r="AR1991" s="114" t="s">
        <v>507</v>
      </c>
      <c r="AS1991" s="114" t="s">
        <v>507</v>
      </c>
      <c r="AT1991" s="114" t="s">
        <v>507</v>
      </c>
      <c r="AU1991" s="114" t="s">
        <v>53</v>
      </c>
      <c r="AV1991" s="114" t="s">
        <v>507</v>
      </c>
      <c r="AW1991" s="114" t="s">
        <v>507</v>
      </c>
      <c r="AX1991" s="114" t="s">
        <v>507</v>
      </c>
      <c r="AY1991" s="114" t="s">
        <v>507</v>
      </c>
      <c r="AZ1991" s="114" t="s">
        <v>507</v>
      </c>
      <c r="BA1991" s="114" t="s">
        <v>507</v>
      </c>
    </row>
    <row r="1992" spans="1:53" s="12" customFormat="1" ht="14.4" hidden="1" x14ac:dyDescent="0.3">
      <c r="A1992" s="113" t="s">
        <v>505</v>
      </c>
      <c r="B1992" s="168" t="s">
        <v>5510</v>
      </c>
      <c r="C1992" s="114">
        <v>70</v>
      </c>
      <c r="D1992" s="114">
        <v>742</v>
      </c>
      <c r="E1992" s="175" t="s">
        <v>8337</v>
      </c>
      <c r="F1992" s="289" t="s">
        <v>5501</v>
      </c>
      <c r="G1992" s="138" t="str">
        <f t="shared" si="47"/>
        <v>707429020247794</v>
      </c>
      <c r="H1992" s="114" t="s">
        <v>710</v>
      </c>
      <c r="I1992" s="116">
        <v>9020247794</v>
      </c>
      <c r="J1992" s="206" t="s">
        <v>8669</v>
      </c>
      <c r="K1992" s="206" t="s">
        <v>133</v>
      </c>
      <c r="L1992" s="114">
        <v>3024455838</v>
      </c>
      <c r="M1992" s="298" t="s">
        <v>8668</v>
      </c>
      <c r="N1992" s="175" t="s">
        <v>127</v>
      </c>
      <c r="O1992" s="12" t="s">
        <v>2822</v>
      </c>
      <c r="P1992" s="183" t="s">
        <v>48</v>
      </c>
      <c r="Q1992" s="13">
        <v>46055</v>
      </c>
      <c r="R1992" s="12" t="s">
        <v>7753</v>
      </c>
      <c r="S1992" s="12" t="s">
        <v>49</v>
      </c>
      <c r="U1992" s="12" t="s">
        <v>60</v>
      </c>
      <c r="V1992" s="13">
        <v>45732</v>
      </c>
      <c r="W1992" s="12" t="s">
        <v>1085</v>
      </c>
      <c r="X1992" s="114" t="s">
        <v>319</v>
      </c>
      <c r="Y1992" s="114"/>
      <c r="Z1992" s="114" t="s">
        <v>60</v>
      </c>
      <c r="AA1992" s="114" t="s">
        <v>507</v>
      </c>
      <c r="AB1992" s="114" t="s">
        <v>507</v>
      </c>
      <c r="AC1992" s="114" t="s">
        <v>3232</v>
      </c>
      <c r="AD1992" s="126">
        <v>0.92</v>
      </c>
      <c r="AE1992" s="114" t="s">
        <v>319</v>
      </c>
      <c r="AF1992" s="175" t="s">
        <v>2881</v>
      </c>
      <c r="AG1992" s="114" t="s">
        <v>507</v>
      </c>
      <c r="AH1992" s="114" t="s">
        <v>507</v>
      </c>
      <c r="AI1992" s="114" t="s">
        <v>507</v>
      </c>
      <c r="AJ1992" s="114" t="s">
        <v>507</v>
      </c>
      <c r="AK1992" s="114" t="s">
        <v>507</v>
      </c>
      <c r="AL1992" s="114" t="s">
        <v>507</v>
      </c>
      <c r="AM1992" s="114" t="s">
        <v>507</v>
      </c>
      <c r="AN1992" s="114" t="s">
        <v>507</v>
      </c>
      <c r="AO1992" s="114" t="s">
        <v>507</v>
      </c>
      <c r="AP1992" s="114" t="s">
        <v>507</v>
      </c>
      <c r="AQ1992" s="114" t="s">
        <v>507</v>
      </c>
      <c r="AR1992" s="114" t="s">
        <v>507</v>
      </c>
      <c r="AS1992" s="114" t="s">
        <v>507</v>
      </c>
      <c r="AT1992" s="114" t="s">
        <v>507</v>
      </c>
      <c r="AU1992" s="114" t="s">
        <v>53</v>
      </c>
      <c r="AV1992" s="114" t="s">
        <v>507</v>
      </c>
      <c r="AW1992" s="114" t="s">
        <v>507</v>
      </c>
      <c r="AX1992" s="114" t="s">
        <v>507</v>
      </c>
      <c r="AY1992" s="114" t="s">
        <v>507</v>
      </c>
      <c r="AZ1992" s="114" t="s">
        <v>507</v>
      </c>
      <c r="BA1992" s="114" t="s">
        <v>507</v>
      </c>
    </row>
    <row r="1993" spans="1:53" s="12" customFormat="1" ht="28.8" hidden="1" x14ac:dyDescent="0.3">
      <c r="A1993" s="113" t="s">
        <v>505</v>
      </c>
      <c r="B1993" s="168" t="s">
        <v>5510</v>
      </c>
      <c r="C1993" s="114">
        <v>70</v>
      </c>
      <c r="D1993" s="114">
        <v>742</v>
      </c>
      <c r="E1993" s="175" t="s">
        <v>8337</v>
      </c>
      <c r="F1993" s="289" t="s">
        <v>5502</v>
      </c>
      <c r="G1993" s="138" t="str">
        <f t="shared" si="47"/>
        <v>707429020247794</v>
      </c>
      <c r="H1993" s="114" t="s">
        <v>710</v>
      </c>
      <c r="I1993" s="116">
        <v>9020247794</v>
      </c>
      <c r="J1993" s="206" t="s">
        <v>8671</v>
      </c>
      <c r="K1993" s="206" t="s">
        <v>133</v>
      </c>
      <c r="L1993" s="114">
        <v>3103155698</v>
      </c>
      <c r="M1993" s="298" t="s">
        <v>8668</v>
      </c>
      <c r="N1993" s="175" t="s">
        <v>127</v>
      </c>
      <c r="O1993" s="12" t="s">
        <v>2822</v>
      </c>
      <c r="P1993" s="183" t="s">
        <v>48</v>
      </c>
      <c r="Q1993" s="13">
        <v>46092</v>
      </c>
      <c r="R1993" s="16">
        <v>0.95</v>
      </c>
      <c r="S1993" s="114" t="s">
        <v>319</v>
      </c>
      <c r="T1993" s="114"/>
      <c r="U1993" s="114" t="s">
        <v>60</v>
      </c>
      <c r="V1993" s="114" t="s">
        <v>762</v>
      </c>
      <c r="W1993" s="126">
        <v>0.8</v>
      </c>
      <c r="X1993" s="114" t="s">
        <v>49</v>
      </c>
      <c r="Y1993" s="114"/>
      <c r="Z1993" s="175" t="s">
        <v>2881</v>
      </c>
      <c r="AA1993" s="114" t="s">
        <v>507</v>
      </c>
      <c r="AB1993" s="114" t="s">
        <v>507</v>
      </c>
      <c r="AC1993" s="129">
        <v>45544</v>
      </c>
      <c r="AD1993" s="126">
        <v>0.91</v>
      </c>
      <c r="AE1993" s="114" t="s">
        <v>319</v>
      </c>
      <c r="AF1993" s="175" t="s">
        <v>60</v>
      </c>
      <c r="AG1993" s="114" t="s">
        <v>507</v>
      </c>
      <c r="AH1993" s="114" t="s">
        <v>507</v>
      </c>
      <c r="AI1993" s="114" t="s">
        <v>507</v>
      </c>
      <c r="AJ1993" s="114" t="s">
        <v>507</v>
      </c>
      <c r="AK1993" s="114" t="s">
        <v>507</v>
      </c>
      <c r="AL1993" s="114" t="s">
        <v>507</v>
      </c>
      <c r="AM1993" s="114" t="s">
        <v>507</v>
      </c>
      <c r="AN1993" s="114" t="s">
        <v>507</v>
      </c>
      <c r="AO1993" s="114" t="s">
        <v>507</v>
      </c>
      <c r="AP1993" s="114" t="s">
        <v>507</v>
      </c>
      <c r="AQ1993" s="114" t="s">
        <v>507</v>
      </c>
      <c r="AR1993" s="114" t="s">
        <v>507</v>
      </c>
      <c r="AS1993" s="114" t="s">
        <v>507</v>
      </c>
      <c r="AT1993" s="114" t="s">
        <v>507</v>
      </c>
      <c r="AU1993" s="114" t="s">
        <v>53</v>
      </c>
      <c r="AV1993" s="114" t="s">
        <v>507</v>
      </c>
      <c r="AW1993" s="114" t="s">
        <v>507</v>
      </c>
      <c r="AX1993" s="114" t="s">
        <v>507</v>
      </c>
      <c r="AY1993" s="114" t="s">
        <v>507</v>
      </c>
      <c r="AZ1993" s="114" t="s">
        <v>507</v>
      </c>
      <c r="BA1993" s="114" t="s">
        <v>507</v>
      </c>
    </row>
    <row r="1994" spans="1:53" s="12" customFormat="1" ht="28.8" hidden="1" x14ac:dyDescent="0.3">
      <c r="A1994" s="113" t="s">
        <v>505</v>
      </c>
      <c r="B1994" s="168" t="s">
        <v>5510</v>
      </c>
      <c r="C1994" s="114">
        <v>70</v>
      </c>
      <c r="D1994" s="114">
        <v>742</v>
      </c>
      <c r="E1994" s="114" t="s">
        <v>507</v>
      </c>
      <c r="F1994" s="118" t="s">
        <v>5503</v>
      </c>
      <c r="G1994" s="138" t="str">
        <f t="shared" si="47"/>
        <v>70742900223291-9</v>
      </c>
      <c r="H1994" s="114" t="s">
        <v>5498</v>
      </c>
      <c r="I1994" s="116" t="s">
        <v>5497</v>
      </c>
      <c r="J1994" s="116" t="s">
        <v>5504</v>
      </c>
      <c r="K1994" s="116" t="s">
        <v>230</v>
      </c>
      <c r="L1994" s="114">
        <v>3023388240</v>
      </c>
      <c r="M1994" s="130" t="s">
        <v>507</v>
      </c>
      <c r="N1994" s="175" t="s">
        <v>127</v>
      </c>
      <c r="O1994" s="12" t="s">
        <v>2822</v>
      </c>
      <c r="P1994" s="183" t="s">
        <v>48</v>
      </c>
      <c r="Q1994" s="129">
        <v>45635</v>
      </c>
      <c r="R1994" s="126">
        <v>0.96</v>
      </c>
      <c r="S1994" s="114" t="s">
        <v>319</v>
      </c>
      <c r="T1994" s="114"/>
      <c r="U1994" s="114" t="s">
        <v>60</v>
      </c>
      <c r="V1994" s="114" t="s">
        <v>507</v>
      </c>
      <c r="W1994" s="114" t="s">
        <v>507</v>
      </c>
      <c r="X1994" s="114" t="s">
        <v>507</v>
      </c>
      <c r="Y1994" s="114"/>
      <c r="Z1994" s="114" t="s">
        <v>507</v>
      </c>
      <c r="AA1994" s="114" t="s">
        <v>507</v>
      </c>
      <c r="AB1994" s="114" t="s">
        <v>507</v>
      </c>
      <c r="AC1994" s="114" t="s">
        <v>507</v>
      </c>
      <c r="AD1994" s="114" t="s">
        <v>507</v>
      </c>
      <c r="AE1994" s="114" t="s">
        <v>507</v>
      </c>
      <c r="AF1994" s="114" t="s">
        <v>507</v>
      </c>
      <c r="AG1994" s="114" t="s">
        <v>507</v>
      </c>
      <c r="AH1994" s="114" t="s">
        <v>507</v>
      </c>
      <c r="AI1994" s="114" t="s">
        <v>507</v>
      </c>
      <c r="AJ1994" s="114" t="s">
        <v>507</v>
      </c>
      <c r="AK1994" s="114" t="s">
        <v>507</v>
      </c>
      <c r="AL1994" s="114" t="s">
        <v>507</v>
      </c>
      <c r="AM1994" s="114" t="s">
        <v>507</v>
      </c>
      <c r="AN1994" s="114" t="s">
        <v>507</v>
      </c>
      <c r="AO1994" s="114" t="s">
        <v>507</v>
      </c>
      <c r="AP1994" s="114" t="s">
        <v>507</v>
      </c>
      <c r="AQ1994" s="114" t="s">
        <v>507</v>
      </c>
      <c r="AR1994" s="114" t="s">
        <v>507</v>
      </c>
      <c r="AS1994" s="114" t="s">
        <v>507</v>
      </c>
      <c r="AT1994" s="114" t="s">
        <v>507</v>
      </c>
      <c r="AU1994" s="114" t="s">
        <v>53</v>
      </c>
      <c r="AV1994" s="114" t="s">
        <v>507</v>
      </c>
      <c r="AW1994" s="114" t="s">
        <v>507</v>
      </c>
      <c r="AX1994" s="114" t="s">
        <v>507</v>
      </c>
      <c r="AY1994" s="114" t="s">
        <v>507</v>
      </c>
      <c r="AZ1994" s="114" t="s">
        <v>507</v>
      </c>
      <c r="BA1994" s="114" t="s">
        <v>507</v>
      </c>
    </row>
    <row r="1995" spans="1:53" s="12" customFormat="1" ht="28.8" hidden="1" x14ac:dyDescent="0.3">
      <c r="A1995" s="113" t="s">
        <v>505</v>
      </c>
      <c r="B1995" s="168" t="s">
        <v>5510</v>
      </c>
      <c r="C1995" s="114">
        <v>70</v>
      </c>
      <c r="D1995" s="114">
        <v>742</v>
      </c>
      <c r="E1995" s="114" t="s">
        <v>507</v>
      </c>
      <c r="F1995" s="118" t="s">
        <v>5505</v>
      </c>
      <c r="G1995" s="138" t="str">
        <f t="shared" si="47"/>
        <v>70742900223291-9</v>
      </c>
      <c r="H1995" s="114" t="s">
        <v>5506</v>
      </c>
      <c r="I1995" s="116" t="s">
        <v>5497</v>
      </c>
      <c r="J1995" s="116" t="s">
        <v>5507</v>
      </c>
      <c r="K1995" s="116" t="s">
        <v>230</v>
      </c>
      <c r="L1995" s="114">
        <v>3002445094</v>
      </c>
      <c r="M1995" s="130" t="s">
        <v>507</v>
      </c>
      <c r="N1995" s="175" t="s">
        <v>127</v>
      </c>
      <c r="O1995" s="12" t="s">
        <v>2822</v>
      </c>
      <c r="P1995" s="183" t="s">
        <v>48</v>
      </c>
      <c r="Q1995" s="114" t="s">
        <v>2516</v>
      </c>
      <c r="R1995" s="126">
        <v>0.9</v>
      </c>
      <c r="S1995" s="114" t="s">
        <v>319</v>
      </c>
      <c r="T1995" s="114"/>
      <c r="U1995" s="114" t="s">
        <v>60</v>
      </c>
      <c r="V1995" s="114" t="s">
        <v>507</v>
      </c>
      <c r="W1995" s="114" t="s">
        <v>507</v>
      </c>
      <c r="X1995" s="114" t="s">
        <v>507</v>
      </c>
      <c r="Y1995" s="114"/>
      <c r="Z1995" s="114" t="s">
        <v>507</v>
      </c>
      <c r="AA1995" s="114" t="s">
        <v>507</v>
      </c>
      <c r="AB1995" s="114" t="s">
        <v>507</v>
      </c>
      <c r="AC1995" s="114" t="s">
        <v>507</v>
      </c>
      <c r="AD1995" s="114" t="s">
        <v>507</v>
      </c>
      <c r="AE1995" s="114" t="s">
        <v>507</v>
      </c>
      <c r="AF1995" s="114" t="s">
        <v>507</v>
      </c>
      <c r="AG1995" s="114" t="s">
        <v>507</v>
      </c>
      <c r="AH1995" s="114" t="s">
        <v>507</v>
      </c>
      <c r="AI1995" s="114" t="s">
        <v>507</v>
      </c>
      <c r="AJ1995" s="114" t="s">
        <v>507</v>
      </c>
      <c r="AK1995" s="114" t="s">
        <v>507</v>
      </c>
      <c r="AL1995" s="114" t="s">
        <v>507</v>
      </c>
      <c r="AM1995" s="114" t="s">
        <v>507</v>
      </c>
      <c r="AN1995" s="114" t="s">
        <v>507</v>
      </c>
      <c r="AO1995" s="114" t="s">
        <v>507</v>
      </c>
      <c r="AP1995" s="114" t="s">
        <v>507</v>
      </c>
      <c r="AQ1995" s="114" t="s">
        <v>507</v>
      </c>
      <c r="AR1995" s="114" t="s">
        <v>507</v>
      </c>
      <c r="AS1995" s="114" t="s">
        <v>507</v>
      </c>
      <c r="AT1995" s="114" t="s">
        <v>507</v>
      </c>
      <c r="AU1995" s="114" t="s">
        <v>53</v>
      </c>
      <c r="AV1995" s="114" t="s">
        <v>507</v>
      </c>
      <c r="AW1995" s="114" t="s">
        <v>507</v>
      </c>
      <c r="AX1995" s="114" t="s">
        <v>507</v>
      </c>
      <c r="AY1995" s="114" t="s">
        <v>507</v>
      </c>
      <c r="AZ1995" s="114" t="s">
        <v>507</v>
      </c>
      <c r="BA1995" s="114" t="s">
        <v>507</v>
      </c>
    </row>
    <row r="1996" spans="1:53" s="12" customFormat="1" ht="14.4" hidden="1" x14ac:dyDescent="0.3">
      <c r="A1996" s="113" t="s">
        <v>505</v>
      </c>
      <c r="B1996" s="168" t="s">
        <v>5510</v>
      </c>
      <c r="C1996" s="114">
        <v>70</v>
      </c>
      <c r="D1996" s="114">
        <v>742</v>
      </c>
      <c r="E1996" s="114" t="s">
        <v>507</v>
      </c>
      <c r="F1996" s="118" t="s">
        <v>5508</v>
      </c>
      <c r="G1996" s="138" t="str">
        <f t="shared" si="47"/>
        <v>70742900223291-9</v>
      </c>
      <c r="H1996" s="114" t="s">
        <v>5506</v>
      </c>
      <c r="I1996" s="116" t="s">
        <v>5497</v>
      </c>
      <c r="J1996" s="116" t="s">
        <v>5509</v>
      </c>
      <c r="K1996" s="116" t="s">
        <v>230</v>
      </c>
      <c r="L1996" s="114">
        <v>3002445094</v>
      </c>
      <c r="M1996" s="130" t="s">
        <v>507</v>
      </c>
      <c r="N1996" s="175" t="s">
        <v>127</v>
      </c>
      <c r="O1996" s="12" t="s">
        <v>2822</v>
      </c>
      <c r="P1996" s="183" t="s">
        <v>48</v>
      </c>
      <c r="Q1996" s="129">
        <v>45574</v>
      </c>
      <c r="R1996" s="126">
        <v>0.96</v>
      </c>
      <c r="S1996" s="114" t="s">
        <v>319</v>
      </c>
      <c r="T1996" s="114"/>
      <c r="U1996" s="114" t="s">
        <v>60</v>
      </c>
      <c r="V1996" s="114" t="s">
        <v>507</v>
      </c>
      <c r="W1996" s="114" t="s">
        <v>507</v>
      </c>
      <c r="X1996" s="114" t="s">
        <v>507</v>
      </c>
      <c r="Y1996" s="114"/>
      <c r="Z1996" s="114" t="s">
        <v>507</v>
      </c>
      <c r="AA1996" s="114" t="s">
        <v>507</v>
      </c>
      <c r="AB1996" s="114" t="s">
        <v>507</v>
      </c>
      <c r="AC1996" s="114" t="s">
        <v>507</v>
      </c>
      <c r="AD1996" s="114" t="s">
        <v>507</v>
      </c>
      <c r="AE1996" s="114" t="s">
        <v>507</v>
      </c>
      <c r="AF1996" s="114" t="s">
        <v>507</v>
      </c>
      <c r="AG1996" s="114" t="s">
        <v>507</v>
      </c>
      <c r="AH1996" s="114" t="s">
        <v>507</v>
      </c>
      <c r="AI1996" s="114" t="s">
        <v>507</v>
      </c>
      <c r="AJ1996" s="114" t="s">
        <v>507</v>
      </c>
      <c r="AK1996" s="114" t="s">
        <v>507</v>
      </c>
      <c r="AL1996" s="114" t="s">
        <v>507</v>
      </c>
      <c r="AM1996" s="114" t="s">
        <v>507</v>
      </c>
      <c r="AN1996" s="114" t="s">
        <v>507</v>
      </c>
      <c r="AO1996" s="114" t="s">
        <v>507</v>
      </c>
      <c r="AP1996" s="114" t="s">
        <v>507</v>
      </c>
      <c r="AQ1996" s="114" t="s">
        <v>507</v>
      </c>
      <c r="AR1996" s="114" t="s">
        <v>507</v>
      </c>
      <c r="AS1996" s="114" t="s">
        <v>507</v>
      </c>
      <c r="AT1996" s="114" t="s">
        <v>507</v>
      </c>
      <c r="AU1996" s="114" t="s">
        <v>53</v>
      </c>
      <c r="AV1996" s="114" t="s">
        <v>507</v>
      </c>
      <c r="AW1996" s="114" t="s">
        <v>507</v>
      </c>
      <c r="AX1996" s="114" t="s">
        <v>507</v>
      </c>
      <c r="AY1996" s="114" t="s">
        <v>507</v>
      </c>
      <c r="AZ1996" s="114" t="s">
        <v>507</v>
      </c>
      <c r="BA1996" s="114" t="s">
        <v>507</v>
      </c>
    </row>
    <row r="1997" spans="1:53" s="12" customFormat="1" ht="14.4" hidden="1" x14ac:dyDescent="0.3">
      <c r="A1997" s="113" t="s">
        <v>505</v>
      </c>
      <c r="B1997" s="114" t="s">
        <v>5510</v>
      </c>
      <c r="C1997" s="114">
        <v>70</v>
      </c>
      <c r="D1997" s="114">
        <v>742</v>
      </c>
      <c r="E1997" s="114" t="s">
        <v>507</v>
      </c>
      <c r="F1997" s="118" t="s">
        <v>5511</v>
      </c>
      <c r="G1997" s="138" t="str">
        <f t="shared" si="47"/>
        <v>70742900223291-9</v>
      </c>
      <c r="H1997" s="114" t="s">
        <v>5506</v>
      </c>
      <c r="I1997" s="116" t="s">
        <v>5497</v>
      </c>
      <c r="J1997" s="116" t="s">
        <v>507</v>
      </c>
      <c r="K1997" s="116" t="s">
        <v>230</v>
      </c>
      <c r="L1997" s="114">
        <v>3002445094</v>
      </c>
      <c r="M1997" s="130" t="s">
        <v>507</v>
      </c>
      <c r="N1997" s="175" t="s">
        <v>127</v>
      </c>
      <c r="O1997" s="12" t="s">
        <v>2822</v>
      </c>
      <c r="P1997" s="183" t="s">
        <v>48</v>
      </c>
      <c r="Q1997" s="129">
        <v>45574</v>
      </c>
      <c r="R1997" s="126">
        <v>0.98</v>
      </c>
      <c r="S1997" s="114" t="s">
        <v>319</v>
      </c>
      <c r="T1997" s="114"/>
      <c r="U1997" s="114" t="s">
        <v>60</v>
      </c>
      <c r="V1997" s="114" t="s">
        <v>507</v>
      </c>
      <c r="W1997" s="114" t="s">
        <v>507</v>
      </c>
      <c r="X1997" s="114" t="s">
        <v>507</v>
      </c>
      <c r="Y1997" s="114"/>
      <c r="Z1997" s="114" t="s">
        <v>507</v>
      </c>
      <c r="AA1997" s="114" t="s">
        <v>507</v>
      </c>
      <c r="AB1997" s="114" t="s">
        <v>507</v>
      </c>
      <c r="AC1997" s="114" t="s">
        <v>507</v>
      </c>
      <c r="AD1997" s="114" t="s">
        <v>507</v>
      </c>
      <c r="AE1997" s="114" t="s">
        <v>507</v>
      </c>
      <c r="AF1997" s="114" t="s">
        <v>507</v>
      </c>
      <c r="AG1997" s="114" t="s">
        <v>507</v>
      </c>
      <c r="AH1997" s="114" t="s">
        <v>507</v>
      </c>
      <c r="AI1997" s="114" t="s">
        <v>507</v>
      </c>
      <c r="AJ1997" s="114" t="s">
        <v>507</v>
      </c>
      <c r="AK1997" s="114" t="s">
        <v>507</v>
      </c>
      <c r="AL1997" s="114" t="s">
        <v>507</v>
      </c>
      <c r="AM1997" s="114" t="s">
        <v>507</v>
      </c>
      <c r="AN1997" s="114" t="s">
        <v>507</v>
      </c>
      <c r="AO1997" s="114" t="s">
        <v>507</v>
      </c>
      <c r="AP1997" s="114" t="s">
        <v>507</v>
      </c>
      <c r="AQ1997" s="114" t="s">
        <v>507</v>
      </c>
      <c r="AR1997" s="114" t="s">
        <v>507</v>
      </c>
      <c r="AS1997" s="114" t="s">
        <v>507</v>
      </c>
      <c r="AT1997" s="114" t="s">
        <v>507</v>
      </c>
      <c r="AU1997" s="114" t="s">
        <v>53</v>
      </c>
      <c r="AV1997" s="114" t="s">
        <v>507</v>
      </c>
      <c r="AW1997" s="114" t="s">
        <v>507</v>
      </c>
      <c r="AX1997" s="114" t="s">
        <v>507</v>
      </c>
      <c r="AY1997" s="114" t="s">
        <v>507</v>
      </c>
      <c r="AZ1997" s="114" t="s">
        <v>507</v>
      </c>
      <c r="BA1997" s="114" t="s">
        <v>507</v>
      </c>
    </row>
    <row r="1998" spans="1:53" s="12" customFormat="1" ht="14.4" x14ac:dyDescent="0.3">
      <c r="A1998" s="113" t="s">
        <v>505</v>
      </c>
      <c r="B1998" s="114" t="s">
        <v>5510</v>
      </c>
      <c r="C1998" s="114">
        <v>70</v>
      </c>
      <c r="D1998" s="114">
        <v>742</v>
      </c>
      <c r="E1998" s="114" t="s">
        <v>507</v>
      </c>
      <c r="F1998" s="289" t="s">
        <v>5512</v>
      </c>
      <c r="G1998" s="138" t="str">
        <f t="shared" si="47"/>
        <v>7074292256804</v>
      </c>
      <c r="H1998" s="116" t="s">
        <v>1101</v>
      </c>
      <c r="I1998" s="116">
        <v>92256804</v>
      </c>
      <c r="J1998" s="116" t="s">
        <v>5513</v>
      </c>
      <c r="K1998" s="116" t="s">
        <v>230</v>
      </c>
      <c r="L1998" s="116">
        <v>3128393231</v>
      </c>
      <c r="M1998" s="125" t="s">
        <v>9579</v>
      </c>
      <c r="N1998" s="12" t="s">
        <v>46</v>
      </c>
      <c r="O1998" s="12" t="s">
        <v>47</v>
      </c>
      <c r="P1998" s="183" t="s">
        <v>48</v>
      </c>
      <c r="Q1998" s="13">
        <v>46192</v>
      </c>
      <c r="R1998" s="12">
        <v>72</v>
      </c>
      <c r="S1998" s="114" t="s">
        <v>49</v>
      </c>
      <c r="U1998" s="12" t="s">
        <v>60</v>
      </c>
      <c r="V1998" s="129">
        <v>45993</v>
      </c>
      <c r="W1998" s="114" t="s">
        <v>5481</v>
      </c>
      <c r="X1998" s="114" t="s">
        <v>49</v>
      </c>
      <c r="Y1998" s="114"/>
      <c r="Z1998" s="114" t="s">
        <v>60</v>
      </c>
      <c r="AA1998" s="114" t="s">
        <v>507</v>
      </c>
      <c r="AB1998" s="114" t="s">
        <v>507</v>
      </c>
      <c r="AC1998" s="129">
        <v>45637</v>
      </c>
      <c r="AD1998" s="126">
        <v>0.62</v>
      </c>
      <c r="AE1998" s="114" t="s">
        <v>49</v>
      </c>
      <c r="AF1998" s="175" t="s">
        <v>60</v>
      </c>
      <c r="AG1998" s="114" t="s">
        <v>507</v>
      </c>
      <c r="AH1998" s="114" t="s">
        <v>507</v>
      </c>
      <c r="AI1998" s="114" t="s">
        <v>507</v>
      </c>
      <c r="AJ1998" s="114" t="s">
        <v>507</v>
      </c>
      <c r="AK1998" s="114" t="s">
        <v>507</v>
      </c>
      <c r="AL1998" s="114" t="s">
        <v>507</v>
      </c>
      <c r="AM1998" s="114" t="s">
        <v>507</v>
      </c>
      <c r="AN1998" s="114" t="s">
        <v>507</v>
      </c>
      <c r="AO1998" s="114" t="s">
        <v>507</v>
      </c>
      <c r="AP1998" s="114" t="s">
        <v>507</v>
      </c>
      <c r="AQ1998" s="114" t="s">
        <v>507</v>
      </c>
      <c r="AR1998" s="114" t="s">
        <v>507</v>
      </c>
      <c r="AS1998" s="114" t="s">
        <v>507</v>
      </c>
      <c r="AT1998" s="114" t="s">
        <v>507</v>
      </c>
      <c r="AU1998" s="114" t="s">
        <v>53</v>
      </c>
      <c r="AV1998" s="114" t="s">
        <v>507</v>
      </c>
      <c r="AW1998" s="114" t="s">
        <v>507</v>
      </c>
      <c r="AX1998" s="114" t="s">
        <v>507</v>
      </c>
      <c r="AY1998" s="114" t="s">
        <v>507</v>
      </c>
      <c r="AZ1998" s="114" t="s">
        <v>507</v>
      </c>
      <c r="BA1998" s="114" t="s">
        <v>507</v>
      </c>
    </row>
    <row r="1999" spans="1:53" s="12" customFormat="1" ht="14.4" x14ac:dyDescent="0.3">
      <c r="A1999" s="113" t="s">
        <v>505</v>
      </c>
      <c r="B1999" s="114" t="s">
        <v>5510</v>
      </c>
      <c r="C1999" s="114">
        <v>70</v>
      </c>
      <c r="D1999" s="114">
        <v>742</v>
      </c>
      <c r="E1999" s="114" t="s">
        <v>507</v>
      </c>
      <c r="F1999" s="118" t="s">
        <v>5514</v>
      </c>
      <c r="G1999" s="138" t="str">
        <f t="shared" si="47"/>
        <v>707421005649354</v>
      </c>
      <c r="H1999" s="116" t="s">
        <v>5515</v>
      </c>
      <c r="I1999" s="116">
        <v>1005649354</v>
      </c>
      <c r="J1999" s="116" t="s">
        <v>5516</v>
      </c>
      <c r="K1999" s="116" t="s">
        <v>230</v>
      </c>
      <c r="L1999" s="116">
        <v>3184745575</v>
      </c>
      <c r="M1999" s="131" t="s">
        <v>507</v>
      </c>
      <c r="N1999" s="12" t="s">
        <v>46</v>
      </c>
      <c r="O1999" s="214" t="s">
        <v>47</v>
      </c>
      <c r="P1999" s="183" t="s">
        <v>48</v>
      </c>
      <c r="Q1999" s="114" t="s">
        <v>2556</v>
      </c>
      <c r="R1999" s="126">
        <v>0.87</v>
      </c>
      <c r="S1999" s="114" t="s">
        <v>49</v>
      </c>
      <c r="T1999" s="114"/>
      <c r="U1999" s="114" t="s">
        <v>60</v>
      </c>
      <c r="V1999" s="114" t="s">
        <v>507</v>
      </c>
      <c r="W1999" s="114" t="s">
        <v>507</v>
      </c>
      <c r="X1999" s="114" t="s">
        <v>507</v>
      </c>
      <c r="Y1999" s="114"/>
      <c r="Z1999" s="114" t="s">
        <v>507</v>
      </c>
      <c r="AA1999" s="114" t="s">
        <v>507</v>
      </c>
      <c r="AB1999" s="114" t="s">
        <v>507</v>
      </c>
      <c r="AC1999" s="114" t="s">
        <v>507</v>
      </c>
      <c r="AD1999" s="114" t="s">
        <v>507</v>
      </c>
      <c r="AE1999" s="114" t="s">
        <v>507</v>
      </c>
      <c r="AF1999" s="114" t="s">
        <v>507</v>
      </c>
      <c r="AG1999" s="114" t="s">
        <v>507</v>
      </c>
      <c r="AH1999" s="114" t="s">
        <v>507</v>
      </c>
      <c r="AI1999" s="114" t="s">
        <v>507</v>
      </c>
      <c r="AJ1999" s="114" t="s">
        <v>507</v>
      </c>
      <c r="AK1999" s="114" t="s">
        <v>507</v>
      </c>
      <c r="AL1999" s="114" t="s">
        <v>507</v>
      </c>
      <c r="AM1999" s="114" t="s">
        <v>507</v>
      </c>
      <c r="AN1999" s="114" t="s">
        <v>507</v>
      </c>
      <c r="AO1999" s="114" t="s">
        <v>507</v>
      </c>
      <c r="AP1999" s="114" t="s">
        <v>507</v>
      </c>
      <c r="AQ1999" s="114" t="s">
        <v>507</v>
      </c>
      <c r="AR1999" s="114" t="s">
        <v>507</v>
      </c>
      <c r="AS1999" s="114" t="s">
        <v>507</v>
      </c>
      <c r="AT1999" s="114" t="s">
        <v>507</v>
      </c>
      <c r="AU1999" s="114" t="s">
        <v>53</v>
      </c>
      <c r="AV1999" s="114" t="s">
        <v>507</v>
      </c>
      <c r="AW1999" s="114" t="s">
        <v>507</v>
      </c>
      <c r="AX1999" s="114" t="s">
        <v>507</v>
      </c>
      <c r="AY1999" s="114" t="s">
        <v>507</v>
      </c>
      <c r="AZ1999" s="114" t="s">
        <v>507</v>
      </c>
      <c r="BA1999" s="114" t="s">
        <v>507</v>
      </c>
    </row>
    <row r="2000" spans="1:53" s="12" customFormat="1" ht="28.8" hidden="1" x14ac:dyDescent="0.3">
      <c r="A2000" s="135" t="s">
        <v>505</v>
      </c>
      <c r="B2000" s="136" t="s">
        <v>5510</v>
      </c>
      <c r="C2000" s="136">
        <v>70</v>
      </c>
      <c r="D2000" s="136">
        <v>742</v>
      </c>
      <c r="E2000" s="189" t="s">
        <v>7895</v>
      </c>
      <c r="F2000" s="137" t="s">
        <v>7896</v>
      </c>
      <c r="G2000" s="138" t="str">
        <f>C2000&amp;D2000&amp;I2000</f>
        <v>707429004805691</v>
      </c>
      <c r="H2000" s="192" t="s">
        <v>2038</v>
      </c>
      <c r="I2000" s="134">
        <v>9004805691</v>
      </c>
      <c r="J2000" s="192" t="s">
        <v>7897</v>
      </c>
      <c r="K2000" s="192" t="s">
        <v>230</v>
      </c>
      <c r="L2000" s="134">
        <v>3015958645</v>
      </c>
      <c r="M2000" s="334" t="s">
        <v>2913</v>
      </c>
      <c r="N2000" s="213" t="s">
        <v>1757</v>
      </c>
      <c r="O2000" s="216" t="s">
        <v>1758</v>
      </c>
      <c r="P2000" s="335" t="s">
        <v>48</v>
      </c>
      <c r="Q2000" s="139">
        <v>45856</v>
      </c>
      <c r="R2000" s="140">
        <v>0.75</v>
      </c>
      <c r="S2000" s="189" t="s">
        <v>49</v>
      </c>
      <c r="T2000" s="136"/>
      <c r="U2000" s="189" t="s">
        <v>7620</v>
      </c>
      <c r="V2000" s="139">
        <v>45692</v>
      </c>
      <c r="W2000" s="140">
        <v>0.92</v>
      </c>
      <c r="X2000" s="189" t="s">
        <v>210</v>
      </c>
      <c r="Y2000" s="136"/>
      <c r="Z2000" s="189" t="s">
        <v>60</v>
      </c>
      <c r="AA2000" s="136"/>
      <c r="AB2000" s="136"/>
      <c r="AC2000" s="136"/>
      <c r="AD2000" s="136"/>
      <c r="AE2000" s="136"/>
      <c r="AF2000" s="136"/>
      <c r="AG2000" s="136"/>
      <c r="AH2000" s="136"/>
      <c r="AI2000" s="136"/>
      <c r="AJ2000" s="136"/>
      <c r="AK2000" s="136"/>
      <c r="AL2000" s="136"/>
      <c r="AM2000" s="136"/>
      <c r="AN2000" s="136"/>
      <c r="AO2000" s="136"/>
      <c r="AP2000" s="136"/>
      <c r="AQ2000" s="136"/>
      <c r="AR2000" s="136"/>
      <c r="AS2000" s="136"/>
      <c r="AT2000" s="136"/>
      <c r="AU2000" s="114" t="s">
        <v>53</v>
      </c>
      <c r="AV2000" s="136"/>
      <c r="AW2000" s="136"/>
      <c r="AX2000" s="136"/>
      <c r="AY2000" s="136"/>
      <c r="AZ2000" s="136"/>
      <c r="BA2000" s="136"/>
    </row>
    <row r="2001" spans="1:57" s="12" customFormat="1" ht="14.4" hidden="1" x14ac:dyDescent="0.3">
      <c r="A2001" s="113" t="s">
        <v>505</v>
      </c>
      <c r="B2001" s="114" t="s">
        <v>5510</v>
      </c>
      <c r="C2001" s="114">
        <v>70</v>
      </c>
      <c r="D2001" s="114">
        <v>742</v>
      </c>
      <c r="E2001" s="175" t="s">
        <v>2363</v>
      </c>
      <c r="F2001" s="118" t="s">
        <v>5623</v>
      </c>
      <c r="G2001" s="120" t="str">
        <f>C2001&amp;D2001&amp;I2001</f>
        <v>707429002769621</v>
      </c>
      <c r="H2001" s="206" t="s">
        <v>1309</v>
      </c>
      <c r="I2001" s="116">
        <v>9002769621</v>
      </c>
      <c r="J2001" s="206" t="s">
        <v>7898</v>
      </c>
      <c r="K2001" s="206" t="s">
        <v>230</v>
      </c>
      <c r="L2001" s="116">
        <v>4489140</v>
      </c>
      <c r="M2001" s="212" t="s">
        <v>5624</v>
      </c>
      <c r="N2001" s="213" t="s">
        <v>259</v>
      </c>
      <c r="O2001" s="216" t="s">
        <v>260</v>
      </c>
      <c r="P2001" s="209" t="s">
        <v>261</v>
      </c>
      <c r="Q2001" s="129">
        <v>45856</v>
      </c>
      <c r="R2001" s="210" t="s">
        <v>1906</v>
      </c>
      <c r="S2001" s="175" t="s">
        <v>49</v>
      </c>
      <c r="T2001" s="114"/>
      <c r="U2001" s="175" t="s">
        <v>2881</v>
      </c>
      <c r="V2001" s="129">
        <v>45568</v>
      </c>
      <c r="W2001" s="210" t="s">
        <v>7899</v>
      </c>
      <c r="X2001" s="175" t="s">
        <v>49</v>
      </c>
      <c r="Y2001" s="114"/>
      <c r="Z2001" s="175" t="s">
        <v>60</v>
      </c>
      <c r="AA2001" s="114"/>
      <c r="AB2001" s="114"/>
      <c r="AC2001" s="114"/>
      <c r="AD2001" s="114"/>
      <c r="AE2001" s="114"/>
      <c r="AF2001" s="114"/>
      <c r="AG2001" s="114"/>
      <c r="AH2001" s="114"/>
      <c r="AI2001" s="114"/>
      <c r="AJ2001" s="114"/>
      <c r="AK2001" s="114"/>
      <c r="AL2001" s="114"/>
      <c r="AM2001" s="114"/>
      <c r="AN2001" s="114"/>
      <c r="AO2001" s="114"/>
      <c r="AP2001" s="114"/>
      <c r="AQ2001" s="114"/>
      <c r="AR2001" s="114"/>
      <c r="AS2001" s="114"/>
      <c r="AT2001" s="114"/>
      <c r="AU2001" s="114" t="s">
        <v>53</v>
      </c>
      <c r="AV2001" s="114"/>
      <c r="AW2001" s="114"/>
      <c r="AX2001" s="175" t="s">
        <v>1920</v>
      </c>
      <c r="AY2001" s="114"/>
      <c r="AZ2001" s="175" t="s">
        <v>4668</v>
      </c>
      <c r="BA2001" s="114"/>
    </row>
    <row r="2002" spans="1:57" s="12" customFormat="1" ht="14.4" hidden="1" x14ac:dyDescent="0.3">
      <c r="A2002" s="113" t="s">
        <v>505</v>
      </c>
      <c r="B2002" s="114" t="s">
        <v>5510</v>
      </c>
      <c r="C2002" s="114">
        <v>70</v>
      </c>
      <c r="D2002" s="114">
        <v>742</v>
      </c>
      <c r="E2002" s="175"/>
      <c r="F2002" s="289" t="s">
        <v>9580</v>
      </c>
      <c r="G2002" s="138" t="str">
        <f t="shared" ref="G2002:G2007" si="48">C2002&amp;D2002&amp;I2002</f>
        <v>707421100397799</v>
      </c>
      <c r="H2002" s="206" t="s">
        <v>9581</v>
      </c>
      <c r="I2002" s="116">
        <v>1100397799</v>
      </c>
      <c r="J2002" s="206" t="s">
        <v>9582</v>
      </c>
      <c r="K2002" s="206" t="s">
        <v>44</v>
      </c>
      <c r="L2002" s="116">
        <v>3215996527</v>
      </c>
      <c r="M2002" s="212" t="s">
        <v>9583</v>
      </c>
      <c r="N2002" s="12" t="s">
        <v>46</v>
      </c>
      <c r="O2002" s="216" t="s">
        <v>2797</v>
      </c>
      <c r="P2002" s="209" t="s">
        <v>80</v>
      </c>
      <c r="Q2002" s="129">
        <v>46191</v>
      </c>
      <c r="R2002" s="175">
        <v>96</v>
      </c>
      <c r="S2002" s="175" t="s">
        <v>210</v>
      </c>
      <c r="T2002" s="114"/>
      <c r="U2002" s="114" t="s">
        <v>60</v>
      </c>
      <c r="V2002" s="129"/>
      <c r="W2002" s="210"/>
      <c r="X2002" s="175"/>
      <c r="Y2002" s="114"/>
      <c r="Z2002" s="175"/>
      <c r="AA2002" s="114"/>
      <c r="AB2002" s="114"/>
      <c r="AC2002" s="114"/>
      <c r="AD2002" s="114"/>
      <c r="AE2002" s="114"/>
      <c r="AF2002" s="114"/>
      <c r="AG2002" s="114"/>
      <c r="AH2002" s="114"/>
      <c r="AI2002" s="114"/>
      <c r="AJ2002" s="114"/>
      <c r="AK2002" s="114"/>
      <c r="AL2002" s="114"/>
      <c r="AM2002" s="114"/>
      <c r="AN2002" s="114"/>
      <c r="AO2002" s="114"/>
      <c r="AP2002" s="114"/>
      <c r="AQ2002" s="114"/>
      <c r="AR2002" s="114"/>
      <c r="AS2002" s="114"/>
      <c r="AT2002" s="114"/>
      <c r="AU2002" s="175" t="s">
        <v>53</v>
      </c>
      <c r="AV2002" s="114"/>
      <c r="AW2002" s="114"/>
      <c r="AX2002" s="175"/>
      <c r="AY2002" s="114"/>
      <c r="AZ2002" s="175"/>
      <c r="BA2002" s="114"/>
    </row>
    <row r="2003" spans="1:57" s="12" customFormat="1" ht="14.4" x14ac:dyDescent="0.3">
      <c r="A2003" s="113" t="s">
        <v>505</v>
      </c>
      <c r="B2003" s="114" t="s">
        <v>5510</v>
      </c>
      <c r="C2003" s="114">
        <v>70</v>
      </c>
      <c r="D2003" s="114">
        <v>742</v>
      </c>
      <c r="E2003" s="175"/>
      <c r="F2003" s="289" t="s">
        <v>9584</v>
      </c>
      <c r="G2003" s="138" t="str">
        <f t="shared" si="48"/>
        <v>7074264739905</v>
      </c>
      <c r="H2003" s="206" t="s">
        <v>9585</v>
      </c>
      <c r="I2003" s="116">
        <v>64739905</v>
      </c>
      <c r="J2003" s="206" t="s">
        <v>9586</v>
      </c>
      <c r="K2003" s="206" t="s">
        <v>44</v>
      </c>
      <c r="L2003" s="116">
        <v>3243027708</v>
      </c>
      <c r="M2003" s="212" t="s">
        <v>9587</v>
      </c>
      <c r="N2003" s="213" t="s">
        <v>46</v>
      </c>
      <c r="O2003" s="216" t="s">
        <v>47</v>
      </c>
      <c r="P2003" s="209" t="s">
        <v>48</v>
      </c>
      <c r="Q2003" s="129">
        <v>46190</v>
      </c>
      <c r="R2003" s="175">
        <v>78</v>
      </c>
      <c r="S2003" s="175" t="s">
        <v>49</v>
      </c>
      <c r="T2003" s="114"/>
      <c r="U2003" s="114" t="s">
        <v>60</v>
      </c>
      <c r="V2003" s="129"/>
      <c r="W2003" s="210"/>
      <c r="X2003" s="175"/>
      <c r="Y2003" s="114"/>
      <c r="Z2003" s="175"/>
      <c r="AA2003" s="114"/>
      <c r="AB2003" s="114"/>
      <c r="AC2003" s="114"/>
      <c r="AD2003" s="114"/>
      <c r="AE2003" s="114"/>
      <c r="AF2003" s="114"/>
      <c r="AG2003" s="114"/>
      <c r="AH2003" s="114"/>
      <c r="AI2003" s="114"/>
      <c r="AJ2003" s="114"/>
      <c r="AK2003" s="114"/>
      <c r="AL2003" s="114"/>
      <c r="AM2003" s="114"/>
      <c r="AN2003" s="114"/>
      <c r="AO2003" s="114"/>
      <c r="AP2003" s="114"/>
      <c r="AQ2003" s="114"/>
      <c r="AR2003" s="114"/>
      <c r="AS2003" s="114"/>
      <c r="AT2003" s="114"/>
      <c r="AU2003" s="175" t="s">
        <v>53</v>
      </c>
      <c r="AV2003" s="114"/>
      <c r="AW2003" s="114"/>
      <c r="AX2003" s="175"/>
      <c r="AY2003" s="114"/>
      <c r="AZ2003" s="175"/>
      <c r="BA2003" s="114"/>
    </row>
    <row r="2004" spans="1:57" s="12" customFormat="1" ht="14.4" x14ac:dyDescent="0.3">
      <c r="A2004" s="113" t="s">
        <v>505</v>
      </c>
      <c r="B2004" s="114" t="s">
        <v>5510</v>
      </c>
      <c r="C2004" s="114">
        <v>70</v>
      </c>
      <c r="D2004" s="114">
        <v>742</v>
      </c>
      <c r="E2004" s="175"/>
      <c r="F2004" s="289" t="s">
        <v>9595</v>
      </c>
      <c r="G2004" s="138" t="str">
        <f t="shared" si="48"/>
        <v>7074292031172</v>
      </c>
      <c r="H2004" s="206" t="s">
        <v>9596</v>
      </c>
      <c r="I2004" s="116">
        <v>92031172</v>
      </c>
      <c r="J2004" s="206" t="s">
        <v>9597</v>
      </c>
      <c r="K2004" s="206" t="s">
        <v>44</v>
      </c>
      <c r="L2004" s="116">
        <v>3005085865</v>
      </c>
      <c r="M2004" s="212" t="s">
        <v>9598</v>
      </c>
      <c r="N2004" s="213" t="s">
        <v>46</v>
      </c>
      <c r="O2004" s="216" t="s">
        <v>47</v>
      </c>
      <c r="P2004" s="209" t="s">
        <v>48</v>
      </c>
      <c r="Q2004" s="129">
        <v>46219</v>
      </c>
      <c r="R2004" s="175">
        <v>76</v>
      </c>
      <c r="S2004" s="175" t="s">
        <v>49</v>
      </c>
      <c r="T2004" s="114"/>
      <c r="U2004" s="175" t="s">
        <v>60</v>
      </c>
      <c r="V2004" s="129"/>
      <c r="W2004" s="210"/>
      <c r="X2004" s="175"/>
      <c r="Y2004" s="114"/>
      <c r="Z2004" s="175"/>
      <c r="AA2004" s="114"/>
      <c r="AB2004" s="114"/>
      <c r="AC2004" s="114"/>
      <c r="AD2004" s="114"/>
      <c r="AE2004" s="114"/>
      <c r="AF2004" s="114"/>
      <c r="AG2004" s="114"/>
      <c r="AH2004" s="114"/>
      <c r="AI2004" s="114"/>
      <c r="AJ2004" s="114"/>
      <c r="AK2004" s="114"/>
      <c r="AL2004" s="114"/>
      <c r="AM2004" s="114"/>
      <c r="AN2004" s="114"/>
      <c r="AO2004" s="114"/>
      <c r="AP2004" s="114"/>
      <c r="AQ2004" s="114"/>
      <c r="AR2004" s="114"/>
      <c r="AS2004" s="114"/>
      <c r="AT2004" s="114"/>
      <c r="AU2004" s="175" t="s">
        <v>53</v>
      </c>
      <c r="AV2004" s="114"/>
      <c r="AW2004" s="114"/>
      <c r="AX2004" s="175"/>
      <c r="AY2004" s="114"/>
      <c r="AZ2004" s="175"/>
      <c r="BA2004" s="114"/>
    </row>
    <row r="2005" spans="1:57" s="12" customFormat="1" ht="14.4" x14ac:dyDescent="0.3">
      <c r="A2005" s="113" t="s">
        <v>505</v>
      </c>
      <c r="B2005" s="114" t="s">
        <v>5510</v>
      </c>
      <c r="C2005" s="114">
        <v>70</v>
      </c>
      <c r="D2005" s="114">
        <v>742</v>
      </c>
      <c r="E2005" s="175"/>
      <c r="F2005" s="289" t="s">
        <v>9599</v>
      </c>
      <c r="G2005" s="138" t="str">
        <f t="shared" si="48"/>
        <v>707421100402674</v>
      </c>
      <c r="H2005" s="206" t="s">
        <v>9600</v>
      </c>
      <c r="I2005" s="116">
        <v>1100402674</v>
      </c>
      <c r="J2005" s="206" t="s">
        <v>9601</v>
      </c>
      <c r="K2005" s="206" t="s">
        <v>44</v>
      </c>
      <c r="L2005" s="116">
        <v>3209579082</v>
      </c>
      <c r="M2005" s="212" t="s">
        <v>9602</v>
      </c>
      <c r="N2005" s="213" t="s">
        <v>46</v>
      </c>
      <c r="O2005" s="216" t="s">
        <v>47</v>
      </c>
      <c r="P2005" s="209" t="s">
        <v>48</v>
      </c>
      <c r="Q2005" s="129">
        <v>46212</v>
      </c>
      <c r="R2005" s="175">
        <v>81</v>
      </c>
      <c r="S2005" s="175" t="s">
        <v>49</v>
      </c>
      <c r="T2005" s="114"/>
      <c r="U2005" s="175" t="s">
        <v>60</v>
      </c>
      <c r="V2005" s="129"/>
      <c r="W2005" s="210"/>
      <c r="X2005" s="175"/>
      <c r="Y2005" s="114"/>
      <c r="Z2005" s="175"/>
      <c r="AA2005" s="114"/>
      <c r="AB2005" s="114"/>
      <c r="AC2005" s="114"/>
      <c r="AD2005" s="114"/>
      <c r="AE2005" s="114"/>
      <c r="AF2005" s="114"/>
      <c r="AG2005" s="114"/>
      <c r="AH2005" s="114"/>
      <c r="AI2005" s="114"/>
      <c r="AJ2005" s="114"/>
      <c r="AK2005" s="114"/>
      <c r="AL2005" s="114"/>
      <c r="AM2005" s="114"/>
      <c r="AN2005" s="114"/>
      <c r="AO2005" s="114"/>
      <c r="AP2005" s="114"/>
      <c r="AQ2005" s="114"/>
      <c r="AR2005" s="114"/>
      <c r="AS2005" s="114"/>
      <c r="AT2005" s="114"/>
      <c r="AU2005" s="175" t="s">
        <v>53</v>
      </c>
      <c r="AV2005" s="114"/>
      <c r="AW2005" s="114"/>
      <c r="AX2005" s="175"/>
      <c r="AY2005" s="114"/>
      <c r="AZ2005" s="175"/>
      <c r="BA2005" s="114"/>
    </row>
    <row r="2006" spans="1:57" s="12" customFormat="1" ht="14.4" x14ac:dyDescent="0.3">
      <c r="A2006" s="113" t="s">
        <v>505</v>
      </c>
      <c r="B2006" s="114" t="s">
        <v>5510</v>
      </c>
      <c r="C2006" s="114">
        <v>70</v>
      </c>
      <c r="D2006" s="114">
        <v>742</v>
      </c>
      <c r="E2006" s="175"/>
      <c r="F2006" s="289" t="s">
        <v>9603</v>
      </c>
      <c r="G2006" s="138" t="str">
        <f t="shared" si="48"/>
        <v>7074218858060</v>
      </c>
      <c r="H2006" s="206" t="s">
        <v>9604</v>
      </c>
      <c r="I2006" s="116">
        <v>18858060</v>
      </c>
      <c r="J2006" s="206" t="s">
        <v>9605</v>
      </c>
      <c r="K2006" s="206" t="s">
        <v>44</v>
      </c>
      <c r="L2006" s="116">
        <v>3215704929</v>
      </c>
      <c r="M2006" s="212" t="s">
        <v>9606</v>
      </c>
      <c r="N2006" s="213" t="s">
        <v>46</v>
      </c>
      <c r="O2006" s="216" t="s">
        <v>47</v>
      </c>
      <c r="P2006" s="209" t="s">
        <v>48</v>
      </c>
      <c r="Q2006" s="129">
        <v>46218</v>
      </c>
      <c r="R2006" s="175">
        <v>83</v>
      </c>
      <c r="S2006" s="175" t="s">
        <v>49</v>
      </c>
      <c r="T2006" s="114"/>
      <c r="U2006" s="175" t="s">
        <v>60</v>
      </c>
      <c r="V2006" s="129"/>
      <c r="W2006" s="210"/>
      <c r="X2006" s="175"/>
      <c r="Y2006" s="114"/>
      <c r="Z2006" s="175"/>
      <c r="AA2006" s="114"/>
      <c r="AB2006" s="114"/>
      <c r="AC2006" s="114"/>
      <c r="AD2006" s="114"/>
      <c r="AE2006" s="114"/>
      <c r="AF2006" s="114"/>
      <c r="AG2006" s="114"/>
      <c r="AH2006" s="114"/>
      <c r="AI2006" s="114"/>
      <c r="AJ2006" s="114"/>
      <c r="AK2006" s="114"/>
      <c r="AL2006" s="114"/>
      <c r="AM2006" s="114"/>
      <c r="AN2006" s="114"/>
      <c r="AO2006" s="114"/>
      <c r="AP2006" s="114"/>
      <c r="AQ2006" s="114"/>
      <c r="AR2006" s="114"/>
      <c r="AS2006" s="114"/>
      <c r="AT2006" s="114"/>
      <c r="AU2006" s="175" t="s">
        <v>53</v>
      </c>
      <c r="AV2006" s="114"/>
      <c r="AW2006" s="114"/>
      <c r="AX2006" s="175"/>
      <c r="AY2006" s="114"/>
      <c r="AZ2006" s="175"/>
      <c r="BA2006" s="114"/>
    </row>
    <row r="2007" spans="1:57" s="12" customFormat="1" ht="14.4" x14ac:dyDescent="0.3">
      <c r="A2007" s="113" t="s">
        <v>505</v>
      </c>
      <c r="B2007" s="114" t="s">
        <v>5510</v>
      </c>
      <c r="C2007" s="114">
        <v>70</v>
      </c>
      <c r="D2007" s="114">
        <v>742</v>
      </c>
      <c r="E2007" s="175"/>
      <c r="F2007" s="289" t="s">
        <v>9607</v>
      </c>
      <c r="G2007" s="138" t="str">
        <f t="shared" si="48"/>
        <v>707421193597210</v>
      </c>
      <c r="H2007" s="206" t="s">
        <v>9608</v>
      </c>
      <c r="I2007" s="116">
        <v>1193597210</v>
      </c>
      <c r="J2007" s="206" t="s">
        <v>9609</v>
      </c>
      <c r="K2007" s="206" t="s">
        <v>44</v>
      </c>
      <c r="L2007" s="116">
        <v>3152809234</v>
      </c>
      <c r="M2007" s="212" t="s">
        <v>9610</v>
      </c>
      <c r="N2007" s="213" t="s">
        <v>46</v>
      </c>
      <c r="O2007" s="216" t="s">
        <v>47</v>
      </c>
      <c r="P2007" s="209" t="s">
        <v>48</v>
      </c>
      <c r="Q2007" s="129">
        <v>46213</v>
      </c>
      <c r="R2007" s="175">
        <v>85</v>
      </c>
      <c r="S2007" s="175" t="s">
        <v>49</v>
      </c>
      <c r="T2007" s="114"/>
      <c r="U2007" s="175" t="s">
        <v>60</v>
      </c>
      <c r="V2007" s="129"/>
      <c r="W2007" s="210"/>
      <c r="X2007" s="175"/>
      <c r="Y2007" s="114"/>
      <c r="Z2007" s="175"/>
      <c r="AA2007" s="114"/>
      <c r="AB2007" s="114"/>
      <c r="AC2007" s="114"/>
      <c r="AD2007" s="114"/>
      <c r="AE2007" s="114"/>
      <c r="AF2007" s="114"/>
      <c r="AG2007" s="114"/>
      <c r="AH2007" s="114"/>
      <c r="AI2007" s="114"/>
      <c r="AJ2007" s="114"/>
      <c r="AK2007" s="114"/>
      <c r="AL2007" s="114"/>
      <c r="AM2007" s="114"/>
      <c r="AN2007" s="114"/>
      <c r="AO2007" s="114"/>
      <c r="AP2007" s="114"/>
      <c r="AQ2007" s="114"/>
      <c r="AR2007" s="114"/>
      <c r="AS2007" s="114"/>
      <c r="AT2007" s="114"/>
      <c r="AU2007" s="175" t="s">
        <v>53</v>
      </c>
      <c r="AV2007" s="114"/>
      <c r="AW2007" s="114"/>
      <c r="AX2007" s="175"/>
      <c r="AY2007" s="114"/>
      <c r="AZ2007" s="175"/>
      <c r="BA2007" s="114"/>
    </row>
    <row r="2008" spans="1:57" s="12" customFormat="1" ht="14.4" hidden="1" x14ac:dyDescent="0.3">
      <c r="A2008" s="113" t="s">
        <v>505</v>
      </c>
      <c r="B2008" s="114" t="s">
        <v>5510</v>
      </c>
      <c r="C2008" s="114">
        <v>70</v>
      </c>
      <c r="D2008" s="114">
        <v>742</v>
      </c>
      <c r="E2008" s="114" t="s">
        <v>507</v>
      </c>
      <c r="F2008" s="118" t="s">
        <v>5517</v>
      </c>
      <c r="G2008" s="120" t="str">
        <f t="shared" ref="G2008:G2011" si="49">C2008&amp;D2008&amp;I2008</f>
        <v>70742110349582</v>
      </c>
      <c r="H2008" s="116" t="s">
        <v>5518</v>
      </c>
      <c r="I2008" s="116">
        <v>110349582</v>
      </c>
      <c r="J2008" s="116" t="s">
        <v>5519</v>
      </c>
      <c r="K2008" s="116" t="s">
        <v>230</v>
      </c>
      <c r="L2008" s="116">
        <v>3242636906</v>
      </c>
      <c r="M2008" s="125" t="s">
        <v>5520</v>
      </c>
      <c r="N2008" s="213" t="s">
        <v>46</v>
      </c>
      <c r="O2008" s="217" t="s">
        <v>521</v>
      </c>
      <c r="P2008" s="183" t="s">
        <v>48</v>
      </c>
      <c r="Q2008" s="114" t="s">
        <v>5521</v>
      </c>
      <c r="R2008" s="126">
        <v>0.82</v>
      </c>
      <c r="S2008" s="114" t="s">
        <v>49</v>
      </c>
      <c r="T2008" s="114"/>
      <c r="U2008" s="114" t="s">
        <v>60</v>
      </c>
      <c r="V2008" s="129">
        <v>45515</v>
      </c>
      <c r="W2008" s="126">
        <v>0.76</v>
      </c>
      <c r="X2008" s="114" t="s">
        <v>49</v>
      </c>
      <c r="Y2008" s="114"/>
      <c r="Z2008" s="114" t="s">
        <v>60</v>
      </c>
      <c r="AA2008" s="114" t="s">
        <v>507</v>
      </c>
      <c r="AB2008" s="114" t="s">
        <v>507</v>
      </c>
      <c r="AC2008" s="114" t="s">
        <v>507</v>
      </c>
      <c r="AD2008" s="114" t="s">
        <v>507</v>
      </c>
      <c r="AE2008" s="114" t="s">
        <v>507</v>
      </c>
      <c r="AF2008" s="114" t="s">
        <v>507</v>
      </c>
      <c r="AG2008" s="114" t="s">
        <v>507</v>
      </c>
      <c r="AH2008" s="114" t="s">
        <v>507</v>
      </c>
      <c r="AI2008" s="114" t="s">
        <v>507</v>
      </c>
      <c r="AJ2008" s="114" t="s">
        <v>507</v>
      </c>
      <c r="AK2008" s="114" t="s">
        <v>507</v>
      </c>
      <c r="AL2008" s="114" t="s">
        <v>507</v>
      </c>
      <c r="AM2008" s="114" t="s">
        <v>507</v>
      </c>
      <c r="AN2008" s="114" t="s">
        <v>507</v>
      </c>
      <c r="AO2008" s="114" t="s">
        <v>507</v>
      </c>
      <c r="AP2008" s="114" t="s">
        <v>507</v>
      </c>
      <c r="AQ2008" s="114" t="s">
        <v>507</v>
      </c>
      <c r="AR2008" s="114" t="s">
        <v>507</v>
      </c>
      <c r="AS2008" s="114" t="s">
        <v>507</v>
      </c>
      <c r="AT2008" s="114" t="s">
        <v>507</v>
      </c>
      <c r="AU2008" s="114" t="s">
        <v>53</v>
      </c>
      <c r="AV2008" s="114" t="s">
        <v>507</v>
      </c>
      <c r="AW2008" s="114" t="s">
        <v>507</v>
      </c>
      <c r="AX2008" s="114" t="s">
        <v>507</v>
      </c>
      <c r="AY2008" s="114" t="s">
        <v>507</v>
      </c>
      <c r="AZ2008" s="114" t="s">
        <v>507</v>
      </c>
      <c r="BA2008" s="114" t="s">
        <v>507</v>
      </c>
    </row>
    <row r="2009" spans="1:57" s="12" customFormat="1" ht="28.8" hidden="1" x14ac:dyDescent="0.3">
      <c r="A2009" s="135" t="s">
        <v>505</v>
      </c>
      <c r="B2009" s="136" t="s">
        <v>5510</v>
      </c>
      <c r="C2009" s="136">
        <v>70</v>
      </c>
      <c r="D2009" s="136">
        <v>742</v>
      </c>
      <c r="E2009" s="134" t="s">
        <v>5524</v>
      </c>
      <c r="F2009" s="331" t="s">
        <v>5522</v>
      </c>
      <c r="G2009" s="138" t="str">
        <f t="shared" si="49"/>
        <v>707428001878421</v>
      </c>
      <c r="H2009" s="192" t="s">
        <v>5527</v>
      </c>
      <c r="I2009" s="134">
        <v>8001878421</v>
      </c>
      <c r="J2009" s="134" t="s">
        <v>5523</v>
      </c>
      <c r="K2009" s="134" t="s">
        <v>230</v>
      </c>
      <c r="L2009" s="136">
        <v>3207286350</v>
      </c>
      <c r="M2009" s="332" t="s">
        <v>5529</v>
      </c>
      <c r="N2009" s="136" t="s">
        <v>127</v>
      </c>
      <c r="O2009" s="215" t="s">
        <v>2822</v>
      </c>
      <c r="P2009" s="184" t="s">
        <v>48</v>
      </c>
      <c r="Q2009" s="13">
        <v>46094</v>
      </c>
      <c r="R2009" s="12" t="s">
        <v>167</v>
      </c>
      <c r="S2009" s="136" t="s">
        <v>49</v>
      </c>
      <c r="U2009" s="12" t="s">
        <v>60</v>
      </c>
      <c r="V2009" s="13">
        <v>45735</v>
      </c>
      <c r="W2009" s="16">
        <v>0.93</v>
      </c>
      <c r="X2009" s="12" t="s">
        <v>210</v>
      </c>
      <c r="Y2009" s="136"/>
      <c r="Z2009" s="136" t="s">
        <v>60</v>
      </c>
      <c r="AA2009" s="136" t="s">
        <v>507</v>
      </c>
      <c r="AB2009" s="136" t="s">
        <v>507</v>
      </c>
      <c r="AC2009" s="165">
        <v>45602</v>
      </c>
      <c r="AD2009" s="140">
        <v>0.84</v>
      </c>
      <c r="AE2009" s="136" t="s">
        <v>49</v>
      </c>
      <c r="AF2009" s="189" t="s">
        <v>60</v>
      </c>
      <c r="AG2009" s="136"/>
      <c r="AH2009" s="136" t="s">
        <v>507</v>
      </c>
      <c r="AI2009" s="136" t="s">
        <v>134</v>
      </c>
      <c r="AJ2009" s="140">
        <v>0.79</v>
      </c>
      <c r="AK2009" s="136" t="s">
        <v>49</v>
      </c>
      <c r="AL2009" s="189" t="s">
        <v>60</v>
      </c>
      <c r="AM2009" s="136" t="s">
        <v>507</v>
      </c>
      <c r="AN2009" s="136" t="s">
        <v>507</v>
      </c>
      <c r="AO2009" s="136" t="s">
        <v>507</v>
      </c>
      <c r="AP2009" s="136" t="s">
        <v>507</v>
      </c>
      <c r="AQ2009" s="136" t="s">
        <v>507</v>
      </c>
      <c r="AR2009" s="136" t="s">
        <v>507</v>
      </c>
      <c r="AS2009" s="136" t="s">
        <v>507</v>
      </c>
      <c r="AT2009" s="136" t="s">
        <v>507</v>
      </c>
      <c r="AU2009" s="114" t="s">
        <v>53</v>
      </c>
      <c r="AV2009" s="136" t="s">
        <v>507</v>
      </c>
      <c r="AW2009" s="136" t="s">
        <v>507</v>
      </c>
      <c r="AX2009" s="136" t="s">
        <v>507</v>
      </c>
      <c r="AY2009" s="136" t="s">
        <v>507</v>
      </c>
      <c r="AZ2009" s="136" t="s">
        <v>507</v>
      </c>
      <c r="BA2009" s="136" t="s">
        <v>507</v>
      </c>
    </row>
    <row r="2010" spans="1:57" s="12" customFormat="1" ht="28.8" hidden="1" x14ac:dyDescent="0.3">
      <c r="A2010" s="135" t="s">
        <v>505</v>
      </c>
      <c r="B2010" s="136" t="s">
        <v>5510</v>
      </c>
      <c r="C2010" s="136">
        <v>70</v>
      </c>
      <c r="D2010" s="136">
        <v>742</v>
      </c>
      <c r="E2010" s="134" t="s">
        <v>5524</v>
      </c>
      <c r="F2010" s="331" t="s">
        <v>5525</v>
      </c>
      <c r="G2010" s="138" t="str">
        <f t="shared" si="49"/>
        <v>707428001878421</v>
      </c>
      <c r="H2010" s="134" t="s">
        <v>5527</v>
      </c>
      <c r="I2010" s="134">
        <v>8001878421</v>
      </c>
      <c r="J2010" s="134" t="s">
        <v>5528</v>
      </c>
      <c r="K2010" s="134" t="s">
        <v>230</v>
      </c>
      <c r="L2010" s="136">
        <v>3216782311</v>
      </c>
      <c r="M2010" s="333" t="s">
        <v>5529</v>
      </c>
      <c r="N2010" s="136" t="s">
        <v>127</v>
      </c>
      <c r="O2010" s="12" t="s">
        <v>2822</v>
      </c>
      <c r="P2010" s="184" t="s">
        <v>48</v>
      </c>
      <c r="Q2010" s="13">
        <v>46127</v>
      </c>
      <c r="R2010" s="12" t="s">
        <v>4654</v>
      </c>
      <c r="S2010" s="12" t="s">
        <v>210</v>
      </c>
      <c r="U2010" s="12" t="s">
        <v>60</v>
      </c>
      <c r="V2010" s="136" t="s">
        <v>1186</v>
      </c>
      <c r="W2010" s="140">
        <v>0.93</v>
      </c>
      <c r="X2010" s="136" t="s">
        <v>319</v>
      </c>
      <c r="Y2010" s="136"/>
      <c r="Z2010" s="136" t="s">
        <v>60</v>
      </c>
      <c r="AA2010" s="136" t="s">
        <v>507</v>
      </c>
      <c r="AB2010" s="136" t="s">
        <v>507</v>
      </c>
      <c r="AC2010" s="165">
        <v>45448</v>
      </c>
      <c r="AD2010" s="140">
        <v>0.82</v>
      </c>
      <c r="AE2010" s="136" t="s">
        <v>49</v>
      </c>
      <c r="AF2010" s="136" t="s">
        <v>60</v>
      </c>
      <c r="AG2010" s="136" t="s">
        <v>507</v>
      </c>
      <c r="AH2010" s="136" t="s">
        <v>507</v>
      </c>
      <c r="AI2010" s="136" t="s">
        <v>5530</v>
      </c>
      <c r="AJ2010" s="136" t="s">
        <v>884</v>
      </c>
      <c r="AK2010" s="136" t="s">
        <v>49</v>
      </c>
      <c r="AL2010" s="189" t="s">
        <v>60</v>
      </c>
      <c r="AM2010" s="136" t="s">
        <v>507</v>
      </c>
      <c r="AN2010" s="136" t="s">
        <v>507</v>
      </c>
      <c r="AO2010" s="136" t="s">
        <v>507</v>
      </c>
      <c r="AP2010" s="136" t="s">
        <v>507</v>
      </c>
      <c r="AQ2010" s="136" t="s">
        <v>507</v>
      </c>
      <c r="AR2010" s="136" t="s">
        <v>507</v>
      </c>
      <c r="AS2010" s="136" t="s">
        <v>507</v>
      </c>
      <c r="AT2010" s="136" t="s">
        <v>507</v>
      </c>
      <c r="AU2010" s="114" t="s">
        <v>53</v>
      </c>
      <c r="AV2010" s="136" t="s">
        <v>507</v>
      </c>
      <c r="AW2010" s="136" t="s">
        <v>507</v>
      </c>
      <c r="AX2010" s="136" t="s">
        <v>507</v>
      </c>
      <c r="AY2010" s="136" t="s">
        <v>507</v>
      </c>
      <c r="AZ2010" s="136" t="s">
        <v>507</v>
      </c>
      <c r="BA2010" s="136" t="s">
        <v>507</v>
      </c>
    </row>
    <row r="2011" spans="1:57" s="12" customFormat="1" ht="14.4" hidden="1" x14ac:dyDescent="0.3">
      <c r="A2011" s="113" t="s">
        <v>505</v>
      </c>
      <c r="B2011" s="114" t="s">
        <v>5510</v>
      </c>
      <c r="C2011" s="114">
        <v>70</v>
      </c>
      <c r="D2011" s="114">
        <v>742</v>
      </c>
      <c r="E2011" s="114" t="s">
        <v>507</v>
      </c>
      <c r="F2011" s="118" t="s">
        <v>5531</v>
      </c>
      <c r="G2011" s="120" t="str">
        <f t="shared" si="49"/>
        <v>707428230027650</v>
      </c>
      <c r="H2011" s="116" t="s">
        <v>5532</v>
      </c>
      <c r="I2011" s="116">
        <v>8230027650</v>
      </c>
      <c r="J2011" s="116" t="s">
        <v>4493</v>
      </c>
      <c r="K2011" s="116" t="s">
        <v>230</v>
      </c>
      <c r="L2011" s="114">
        <v>3117409562</v>
      </c>
      <c r="M2011" s="125" t="s">
        <v>5533</v>
      </c>
      <c r="N2011" s="114" t="s">
        <v>127</v>
      </c>
      <c r="O2011" s="12" t="s">
        <v>2822</v>
      </c>
      <c r="P2011" s="183" t="s">
        <v>48</v>
      </c>
      <c r="Q2011" s="129">
        <v>45574</v>
      </c>
      <c r="R2011" s="114" t="s">
        <v>863</v>
      </c>
      <c r="S2011" s="114" t="s">
        <v>49</v>
      </c>
      <c r="T2011" s="114"/>
      <c r="U2011" s="114" t="s">
        <v>60</v>
      </c>
      <c r="V2011" s="114" t="s">
        <v>5534</v>
      </c>
      <c r="W2011" s="114" t="s">
        <v>863</v>
      </c>
      <c r="X2011" s="114" t="s">
        <v>49</v>
      </c>
      <c r="Y2011" s="114"/>
      <c r="Z2011" s="114" t="s">
        <v>60</v>
      </c>
      <c r="AA2011" s="114" t="s">
        <v>507</v>
      </c>
      <c r="AB2011" s="114" t="s">
        <v>507</v>
      </c>
      <c r="AC2011" s="114" t="s">
        <v>507</v>
      </c>
      <c r="AD2011" s="114" t="s">
        <v>507</v>
      </c>
      <c r="AE2011" s="114" t="s">
        <v>507</v>
      </c>
      <c r="AF2011" s="114" t="s">
        <v>507</v>
      </c>
      <c r="AG2011" s="114" t="s">
        <v>507</v>
      </c>
      <c r="AH2011" s="114" t="s">
        <v>507</v>
      </c>
      <c r="AI2011" s="114" t="s">
        <v>507</v>
      </c>
      <c r="AJ2011" s="114" t="s">
        <v>507</v>
      </c>
      <c r="AK2011" s="114" t="s">
        <v>507</v>
      </c>
      <c r="AL2011" s="114" t="s">
        <v>507</v>
      </c>
      <c r="AM2011" s="114" t="s">
        <v>507</v>
      </c>
      <c r="AN2011" s="114" t="s">
        <v>507</v>
      </c>
      <c r="AO2011" s="114" t="s">
        <v>507</v>
      </c>
      <c r="AP2011" s="114" t="s">
        <v>507</v>
      </c>
      <c r="AQ2011" s="114" t="s">
        <v>507</v>
      </c>
      <c r="AR2011" s="114" t="s">
        <v>507</v>
      </c>
      <c r="AS2011" s="114" t="s">
        <v>507</v>
      </c>
      <c r="AT2011" s="114" t="s">
        <v>507</v>
      </c>
      <c r="AU2011" s="114" t="s">
        <v>53</v>
      </c>
      <c r="AV2011" s="114" t="s">
        <v>507</v>
      </c>
      <c r="AW2011" s="114" t="s">
        <v>507</v>
      </c>
      <c r="AX2011" s="114" t="s">
        <v>507</v>
      </c>
      <c r="AY2011" s="114" t="s">
        <v>507</v>
      </c>
      <c r="AZ2011" s="114" t="s">
        <v>507</v>
      </c>
      <c r="BA2011" s="114" t="s">
        <v>507</v>
      </c>
    </row>
    <row r="2012" spans="1:57" s="12" customFormat="1" ht="14.4" hidden="1" x14ac:dyDescent="0.3">
      <c r="A2012" s="135" t="s">
        <v>505</v>
      </c>
      <c r="B2012" s="114" t="s">
        <v>5510</v>
      </c>
      <c r="C2012" s="136">
        <v>70</v>
      </c>
      <c r="D2012" s="136">
        <v>742</v>
      </c>
      <c r="E2012" s="189" t="s">
        <v>5524</v>
      </c>
      <c r="F2012" s="331" t="s">
        <v>5535</v>
      </c>
      <c r="G2012" s="138" t="str">
        <f>C2012&amp;D2012&amp;I2012</f>
        <v>707428001878421</v>
      </c>
      <c r="H2012" s="134" t="s">
        <v>5527</v>
      </c>
      <c r="I2012" s="134">
        <v>8001878421</v>
      </c>
      <c r="J2012" s="134" t="s">
        <v>5536</v>
      </c>
      <c r="K2012" s="134" t="s">
        <v>230</v>
      </c>
      <c r="L2012" s="136">
        <v>3043356167</v>
      </c>
      <c r="M2012" s="141" t="s">
        <v>5537</v>
      </c>
      <c r="N2012" s="136" t="s">
        <v>127</v>
      </c>
      <c r="O2012" s="12" t="s">
        <v>2822</v>
      </c>
      <c r="P2012" s="184" t="s">
        <v>48</v>
      </c>
      <c r="Q2012" s="13">
        <v>46149</v>
      </c>
      <c r="R2012" s="12">
        <v>74</v>
      </c>
      <c r="S2012" s="12" t="s">
        <v>49</v>
      </c>
      <c r="T2012" s="12" t="s">
        <v>9570</v>
      </c>
      <c r="U2012" s="12" t="s">
        <v>60</v>
      </c>
      <c r="V2012" s="139" t="s">
        <v>1811</v>
      </c>
      <c r="W2012" s="140">
        <v>0.68</v>
      </c>
      <c r="X2012" s="136" t="s">
        <v>139</v>
      </c>
      <c r="Y2012" s="136"/>
      <c r="Z2012" s="136" t="s">
        <v>60</v>
      </c>
      <c r="AA2012" s="136" t="s">
        <v>507</v>
      </c>
      <c r="AB2012" s="136" t="s">
        <v>507</v>
      </c>
      <c r="AC2012" s="139">
        <v>45451</v>
      </c>
      <c r="AD2012" s="143">
        <v>0.96499999999999997</v>
      </c>
      <c r="AE2012" s="136" t="s">
        <v>319</v>
      </c>
      <c r="AF2012" s="12" t="s">
        <v>60</v>
      </c>
      <c r="AG2012" s="136" t="s">
        <v>507</v>
      </c>
      <c r="AH2012" s="136" t="s">
        <v>507</v>
      </c>
      <c r="AI2012" s="139">
        <v>44654</v>
      </c>
      <c r="AJ2012" s="140">
        <v>0.76</v>
      </c>
      <c r="AK2012" s="136" t="s">
        <v>49</v>
      </c>
      <c r="AL2012" s="136" t="s">
        <v>60</v>
      </c>
      <c r="AM2012" s="136" t="s">
        <v>507</v>
      </c>
      <c r="AN2012" s="136" t="s">
        <v>507</v>
      </c>
      <c r="AO2012" s="136" t="s">
        <v>5538</v>
      </c>
      <c r="AP2012" s="140">
        <v>0.93</v>
      </c>
      <c r="AQ2012" s="136" t="s">
        <v>319</v>
      </c>
      <c r="AR2012" s="136" t="s">
        <v>60</v>
      </c>
      <c r="AS2012" s="136" t="s">
        <v>507</v>
      </c>
      <c r="AT2012" s="136" t="s">
        <v>507</v>
      </c>
      <c r="AU2012" s="114" t="s">
        <v>53</v>
      </c>
      <c r="AV2012" s="136" t="s">
        <v>507</v>
      </c>
      <c r="AW2012" s="136" t="s">
        <v>507</v>
      </c>
      <c r="AX2012" s="136" t="s">
        <v>1920</v>
      </c>
      <c r="AY2012" s="136" t="s">
        <v>5539</v>
      </c>
      <c r="AZ2012" s="189" t="s">
        <v>1921</v>
      </c>
      <c r="BA2012" s="136" t="s">
        <v>507</v>
      </c>
      <c r="BB2012" s="139">
        <v>43504</v>
      </c>
      <c r="BC2012" s="140">
        <v>0.99</v>
      </c>
      <c r="BD2012" s="136" t="s">
        <v>319</v>
      </c>
      <c r="BE2012" s="136" t="s">
        <v>60</v>
      </c>
    </row>
    <row r="2013" spans="1:57" s="12" customFormat="1" ht="14.4" hidden="1" x14ac:dyDescent="0.3">
      <c r="A2013" s="113" t="s">
        <v>505</v>
      </c>
      <c r="B2013" s="114" t="s">
        <v>5510</v>
      </c>
      <c r="C2013" s="114">
        <v>70</v>
      </c>
      <c r="D2013" s="114">
        <v>742</v>
      </c>
      <c r="E2013" s="189" t="s">
        <v>5524</v>
      </c>
      <c r="F2013" s="289" t="s">
        <v>5540</v>
      </c>
      <c r="G2013" s="138" t="str">
        <f t="shared" ref="G2013:G2077" si="50">C2013&amp;D2013&amp;I2013</f>
        <v>707428001878421</v>
      </c>
      <c r="H2013" s="116" t="s">
        <v>5527</v>
      </c>
      <c r="I2013" s="116">
        <v>8001878421</v>
      </c>
      <c r="J2013" s="114" t="s">
        <v>5541</v>
      </c>
      <c r="K2013" s="116" t="s">
        <v>230</v>
      </c>
      <c r="L2013" s="114">
        <v>3043356167</v>
      </c>
      <c r="M2013" s="142" t="s">
        <v>5529</v>
      </c>
      <c r="N2013" s="114" t="s">
        <v>127</v>
      </c>
      <c r="O2013" s="12" t="s">
        <v>2822</v>
      </c>
      <c r="P2013" s="183" t="s">
        <v>48</v>
      </c>
      <c r="Q2013" s="13">
        <v>46149</v>
      </c>
      <c r="R2013" s="12" t="s">
        <v>9569</v>
      </c>
      <c r="S2013" s="12" t="s">
        <v>210</v>
      </c>
      <c r="T2013" s="12" t="s">
        <v>9570</v>
      </c>
      <c r="U2013" s="12" t="s">
        <v>60</v>
      </c>
      <c r="V2013" s="114" t="s">
        <v>4347</v>
      </c>
      <c r="W2013" s="114" t="s">
        <v>804</v>
      </c>
      <c r="X2013" s="114" t="s">
        <v>210</v>
      </c>
      <c r="Y2013" s="114"/>
      <c r="Z2013" s="114" t="s">
        <v>60</v>
      </c>
      <c r="AA2013" s="114" t="s">
        <v>507</v>
      </c>
      <c r="AB2013" s="114" t="s">
        <v>507</v>
      </c>
      <c r="AC2013" s="129">
        <v>45451</v>
      </c>
      <c r="AD2013" s="114" t="s">
        <v>884</v>
      </c>
      <c r="AE2013" s="114" t="s">
        <v>49</v>
      </c>
      <c r="AF2013" s="12" t="s">
        <v>60</v>
      </c>
      <c r="AG2013" s="114" t="s">
        <v>507</v>
      </c>
      <c r="AH2013" s="114" t="s">
        <v>507</v>
      </c>
      <c r="AI2013" s="129">
        <v>44654</v>
      </c>
      <c r="AJ2013" s="126">
        <v>0.97</v>
      </c>
      <c r="AK2013" s="114" t="s">
        <v>210</v>
      </c>
      <c r="AL2013" s="114" t="s">
        <v>60</v>
      </c>
      <c r="AM2013" s="114" t="s">
        <v>507</v>
      </c>
      <c r="AN2013" s="114" t="s">
        <v>507</v>
      </c>
      <c r="AO2013" s="114" t="s">
        <v>5538</v>
      </c>
      <c r="AP2013" s="126">
        <v>0.93</v>
      </c>
      <c r="AQ2013" s="114" t="s">
        <v>319</v>
      </c>
      <c r="AR2013" s="114" t="s">
        <v>60</v>
      </c>
      <c r="AS2013" s="114" t="s">
        <v>507</v>
      </c>
      <c r="AT2013" s="114" t="s">
        <v>507</v>
      </c>
      <c r="AU2013" s="114" t="s">
        <v>53</v>
      </c>
      <c r="AV2013" s="114" t="s">
        <v>507</v>
      </c>
      <c r="AW2013" s="114" t="s">
        <v>507</v>
      </c>
      <c r="AX2013" s="114" t="s">
        <v>507</v>
      </c>
      <c r="AY2013" s="114" t="s">
        <v>507</v>
      </c>
      <c r="AZ2013" s="114" t="s">
        <v>507</v>
      </c>
      <c r="BA2013" s="114" t="s">
        <v>507</v>
      </c>
      <c r="BB2013" s="129">
        <v>43716</v>
      </c>
      <c r="BC2013" s="126">
        <v>0.92</v>
      </c>
      <c r="BD2013" s="114" t="s">
        <v>319</v>
      </c>
      <c r="BE2013" s="114" t="s">
        <v>60</v>
      </c>
    </row>
    <row r="2014" spans="1:57" s="12" customFormat="1" ht="14.4" hidden="1" x14ac:dyDescent="0.3">
      <c r="A2014" s="113" t="s">
        <v>505</v>
      </c>
      <c r="B2014" s="114" t="s">
        <v>5510</v>
      </c>
      <c r="C2014" s="114">
        <v>70</v>
      </c>
      <c r="D2014" s="114">
        <v>742</v>
      </c>
      <c r="E2014" s="114" t="s">
        <v>8741</v>
      </c>
      <c r="F2014" s="289" t="s">
        <v>8740</v>
      </c>
      <c r="G2014" s="138" t="str">
        <f t="shared" si="50"/>
        <v>70742800187842</v>
      </c>
      <c r="H2014" s="116" t="s">
        <v>5542</v>
      </c>
      <c r="I2014" s="116">
        <v>800187842</v>
      </c>
      <c r="J2014" s="116" t="s">
        <v>5543</v>
      </c>
      <c r="K2014" s="116" t="s">
        <v>230</v>
      </c>
      <c r="L2014" s="114" t="s">
        <v>507</v>
      </c>
      <c r="M2014" s="114" t="s">
        <v>507</v>
      </c>
      <c r="N2014" s="114" t="s">
        <v>127</v>
      </c>
      <c r="O2014" s="12" t="s">
        <v>2822</v>
      </c>
      <c r="P2014" s="183" t="s">
        <v>48</v>
      </c>
      <c r="Q2014" s="116" t="s">
        <v>696</v>
      </c>
      <c r="R2014" s="114" t="s">
        <v>1175</v>
      </c>
      <c r="S2014" s="114" t="s">
        <v>319</v>
      </c>
      <c r="T2014" s="114"/>
      <c r="U2014" s="114" t="s">
        <v>60</v>
      </c>
      <c r="V2014" s="129">
        <v>45118</v>
      </c>
      <c r="W2014" s="114" t="s">
        <v>887</v>
      </c>
      <c r="X2014" s="114" t="s">
        <v>49</v>
      </c>
      <c r="Y2014" s="114"/>
      <c r="Z2014" s="114" t="s">
        <v>60</v>
      </c>
      <c r="AA2014" s="114" t="s">
        <v>507</v>
      </c>
      <c r="AB2014" s="114" t="s">
        <v>507</v>
      </c>
      <c r="AC2014" s="114" t="s">
        <v>507</v>
      </c>
      <c r="AD2014" s="114" t="s">
        <v>507</v>
      </c>
      <c r="AE2014" s="114" t="s">
        <v>507</v>
      </c>
      <c r="AF2014" s="114" t="s">
        <v>507</v>
      </c>
      <c r="AG2014" s="114" t="s">
        <v>507</v>
      </c>
      <c r="AH2014" s="114" t="s">
        <v>507</v>
      </c>
      <c r="AI2014" s="114" t="s">
        <v>507</v>
      </c>
      <c r="AJ2014" s="114" t="s">
        <v>507</v>
      </c>
      <c r="AK2014" s="114" t="s">
        <v>507</v>
      </c>
      <c r="AL2014" s="114" t="s">
        <v>507</v>
      </c>
      <c r="AM2014" s="114" t="s">
        <v>507</v>
      </c>
      <c r="AN2014" s="114" t="s">
        <v>507</v>
      </c>
      <c r="AO2014" s="114" t="s">
        <v>507</v>
      </c>
      <c r="AP2014" s="114" t="s">
        <v>507</v>
      </c>
      <c r="AQ2014" s="114" t="s">
        <v>507</v>
      </c>
      <c r="AR2014" s="114" t="s">
        <v>507</v>
      </c>
      <c r="AS2014" s="114" t="s">
        <v>507</v>
      </c>
      <c r="AT2014" s="114" t="s">
        <v>507</v>
      </c>
      <c r="AU2014" s="114" t="s">
        <v>53</v>
      </c>
      <c r="AV2014" s="114" t="s">
        <v>507</v>
      </c>
      <c r="AW2014" s="114" t="s">
        <v>507</v>
      </c>
      <c r="AX2014" s="114" t="s">
        <v>507</v>
      </c>
      <c r="AY2014" s="114" t="s">
        <v>507</v>
      </c>
      <c r="AZ2014" s="114" t="s">
        <v>507</v>
      </c>
      <c r="BA2014" s="114" t="s">
        <v>507</v>
      </c>
    </row>
    <row r="2015" spans="1:57" s="12" customFormat="1" ht="14.4" hidden="1" x14ac:dyDescent="0.3">
      <c r="A2015" s="113" t="s">
        <v>505</v>
      </c>
      <c r="B2015" s="114" t="s">
        <v>5510</v>
      </c>
      <c r="C2015" s="114">
        <v>70</v>
      </c>
      <c r="D2015" s="114">
        <v>742</v>
      </c>
      <c r="E2015" s="114" t="s">
        <v>507</v>
      </c>
      <c r="F2015" s="118" t="s">
        <v>5544</v>
      </c>
      <c r="G2015" s="138" t="str">
        <f t="shared" si="50"/>
        <v>70742800187842-1</v>
      </c>
      <c r="H2015" s="116" t="s">
        <v>5527</v>
      </c>
      <c r="I2015" s="116" t="s">
        <v>5526</v>
      </c>
      <c r="J2015" s="116" t="s">
        <v>5545</v>
      </c>
      <c r="K2015" s="116" t="s">
        <v>230</v>
      </c>
      <c r="L2015" s="116">
        <v>3147161515</v>
      </c>
      <c r="M2015" s="128" t="s">
        <v>5529</v>
      </c>
      <c r="N2015" s="114" t="s">
        <v>127</v>
      </c>
      <c r="O2015" s="12" t="s">
        <v>2822</v>
      </c>
      <c r="P2015" s="183" t="s">
        <v>48</v>
      </c>
      <c r="Q2015" s="129">
        <v>45905</v>
      </c>
      <c r="R2015" s="126">
        <v>0.86</v>
      </c>
      <c r="S2015" s="114" t="s">
        <v>49</v>
      </c>
      <c r="T2015" s="114"/>
      <c r="U2015" s="114" t="s">
        <v>60</v>
      </c>
      <c r="V2015" s="114" t="s">
        <v>5546</v>
      </c>
      <c r="W2015" s="126">
        <v>0.93</v>
      </c>
      <c r="X2015" s="114" t="s">
        <v>319</v>
      </c>
      <c r="Y2015" s="114"/>
      <c r="Z2015" s="114" t="s">
        <v>60</v>
      </c>
      <c r="AA2015" s="114" t="s">
        <v>507</v>
      </c>
      <c r="AB2015" s="114" t="s">
        <v>507</v>
      </c>
      <c r="AC2015" s="114" t="s">
        <v>507</v>
      </c>
      <c r="AD2015" s="114" t="s">
        <v>507</v>
      </c>
      <c r="AE2015" s="114" t="s">
        <v>507</v>
      </c>
      <c r="AF2015" s="114" t="s">
        <v>507</v>
      </c>
      <c r="AG2015" s="114" t="s">
        <v>507</v>
      </c>
      <c r="AH2015" s="114" t="s">
        <v>507</v>
      </c>
      <c r="AI2015" s="114" t="s">
        <v>507</v>
      </c>
      <c r="AJ2015" s="114" t="s">
        <v>507</v>
      </c>
      <c r="AK2015" s="114" t="s">
        <v>507</v>
      </c>
      <c r="AL2015" s="114" t="s">
        <v>507</v>
      </c>
      <c r="AM2015" s="114" t="s">
        <v>507</v>
      </c>
      <c r="AN2015" s="114" t="s">
        <v>507</v>
      </c>
      <c r="AO2015" s="114" t="s">
        <v>507</v>
      </c>
      <c r="AP2015" s="114" t="s">
        <v>507</v>
      </c>
      <c r="AQ2015" s="114" t="s">
        <v>507</v>
      </c>
      <c r="AR2015" s="114" t="s">
        <v>507</v>
      </c>
      <c r="AS2015" s="114" t="s">
        <v>507</v>
      </c>
      <c r="AT2015" s="114" t="s">
        <v>507</v>
      </c>
      <c r="AU2015" s="114" t="s">
        <v>53</v>
      </c>
      <c r="AV2015" s="114" t="s">
        <v>507</v>
      </c>
      <c r="AW2015" s="114" t="s">
        <v>507</v>
      </c>
      <c r="AX2015" s="114" t="s">
        <v>507</v>
      </c>
      <c r="AY2015" s="114" t="s">
        <v>507</v>
      </c>
      <c r="AZ2015" s="114" t="s">
        <v>507</v>
      </c>
      <c r="BA2015" s="114" t="s">
        <v>507</v>
      </c>
    </row>
    <row r="2016" spans="1:57" s="12" customFormat="1" ht="14.4" hidden="1" x14ac:dyDescent="0.3">
      <c r="A2016" s="113" t="s">
        <v>505</v>
      </c>
      <c r="B2016" s="114" t="s">
        <v>5510</v>
      </c>
      <c r="C2016" s="114">
        <v>70</v>
      </c>
      <c r="D2016" s="114">
        <v>742</v>
      </c>
      <c r="E2016" s="114" t="s">
        <v>507</v>
      </c>
      <c r="F2016" s="118" t="s">
        <v>5547</v>
      </c>
      <c r="G2016" s="138" t="str">
        <f t="shared" si="50"/>
        <v>70742800187842-1</v>
      </c>
      <c r="H2016" s="116" t="s">
        <v>5527</v>
      </c>
      <c r="I2016" s="116" t="s">
        <v>5526</v>
      </c>
      <c r="J2016" s="116" t="s">
        <v>5548</v>
      </c>
      <c r="K2016" s="116" t="s">
        <v>230</v>
      </c>
      <c r="L2016" s="116">
        <v>3116070930</v>
      </c>
      <c r="M2016" s="128" t="s">
        <v>5529</v>
      </c>
      <c r="N2016" s="114" t="s">
        <v>127</v>
      </c>
      <c r="O2016" s="12" t="s">
        <v>2822</v>
      </c>
      <c r="P2016" s="183" t="s">
        <v>48</v>
      </c>
      <c r="Q2016" s="129">
        <v>45996</v>
      </c>
      <c r="R2016" s="114" t="s">
        <v>943</v>
      </c>
      <c r="S2016" s="114" t="s">
        <v>210</v>
      </c>
      <c r="T2016" s="114"/>
      <c r="U2016" s="114" t="s">
        <v>60</v>
      </c>
      <c r="V2016" s="114" t="s">
        <v>5546</v>
      </c>
      <c r="W2016" s="114" t="s">
        <v>5549</v>
      </c>
      <c r="X2016" s="114" t="s">
        <v>210</v>
      </c>
      <c r="Y2016" s="114"/>
      <c r="Z2016" s="114" t="s">
        <v>60</v>
      </c>
      <c r="AA2016" s="114" t="s">
        <v>507</v>
      </c>
      <c r="AB2016" s="114" t="s">
        <v>507</v>
      </c>
      <c r="AC2016" s="114" t="s">
        <v>507</v>
      </c>
      <c r="AD2016" s="114" t="s">
        <v>507</v>
      </c>
      <c r="AE2016" s="114" t="s">
        <v>507</v>
      </c>
      <c r="AF2016" s="114" t="s">
        <v>507</v>
      </c>
      <c r="AG2016" s="114" t="s">
        <v>507</v>
      </c>
      <c r="AH2016" s="114" t="s">
        <v>507</v>
      </c>
      <c r="AI2016" s="114" t="s">
        <v>507</v>
      </c>
      <c r="AJ2016" s="114" t="s">
        <v>507</v>
      </c>
      <c r="AK2016" s="114" t="s">
        <v>507</v>
      </c>
      <c r="AL2016" s="114" t="s">
        <v>507</v>
      </c>
      <c r="AM2016" s="114" t="s">
        <v>507</v>
      </c>
      <c r="AN2016" s="114" t="s">
        <v>507</v>
      </c>
      <c r="AO2016" s="114" t="s">
        <v>507</v>
      </c>
      <c r="AP2016" s="114" t="s">
        <v>507</v>
      </c>
      <c r="AQ2016" s="114" t="s">
        <v>507</v>
      </c>
      <c r="AR2016" s="114" t="s">
        <v>507</v>
      </c>
      <c r="AS2016" s="114" t="s">
        <v>507</v>
      </c>
      <c r="AT2016" s="114" t="s">
        <v>507</v>
      </c>
      <c r="AU2016" s="114" t="s">
        <v>53</v>
      </c>
      <c r="AV2016" s="114" t="s">
        <v>507</v>
      </c>
      <c r="AW2016" s="114" t="s">
        <v>507</v>
      </c>
      <c r="AX2016" s="114" t="s">
        <v>507</v>
      </c>
      <c r="AY2016" s="114" t="s">
        <v>507</v>
      </c>
      <c r="AZ2016" s="114" t="s">
        <v>507</v>
      </c>
      <c r="BA2016" s="114" t="s">
        <v>507</v>
      </c>
    </row>
    <row r="2017" spans="1:53" s="12" customFormat="1" ht="14.4" hidden="1" x14ac:dyDescent="0.3">
      <c r="A2017" s="113" t="s">
        <v>505</v>
      </c>
      <c r="B2017" s="114" t="s">
        <v>5510</v>
      </c>
      <c r="C2017" s="114">
        <v>70</v>
      </c>
      <c r="D2017" s="114">
        <v>742</v>
      </c>
      <c r="E2017" s="114" t="s">
        <v>9571</v>
      </c>
      <c r="F2017" s="289" t="s">
        <v>5550</v>
      </c>
      <c r="G2017" s="138" t="str">
        <f t="shared" si="50"/>
        <v>70742800187842-1</v>
      </c>
      <c r="H2017" s="116" t="s">
        <v>5527</v>
      </c>
      <c r="I2017" s="116" t="s">
        <v>5526</v>
      </c>
      <c r="J2017" s="116" t="s">
        <v>5551</v>
      </c>
      <c r="K2017" s="116" t="s">
        <v>230</v>
      </c>
      <c r="L2017" s="116">
        <v>3116912910</v>
      </c>
      <c r="M2017" s="128" t="s">
        <v>5529</v>
      </c>
      <c r="N2017" s="114" t="s">
        <v>127</v>
      </c>
      <c r="O2017" s="12" t="s">
        <v>2822</v>
      </c>
      <c r="P2017" s="183" t="s">
        <v>48</v>
      </c>
      <c r="Q2017" s="13">
        <v>46167</v>
      </c>
      <c r="R2017" s="12">
        <v>86</v>
      </c>
      <c r="S2017" s="12" t="s">
        <v>49</v>
      </c>
      <c r="U2017" s="12" t="s">
        <v>60</v>
      </c>
      <c r="V2017" s="114" t="s">
        <v>4352</v>
      </c>
      <c r="W2017" s="126">
        <v>0.92</v>
      </c>
      <c r="X2017" s="114" t="s">
        <v>319</v>
      </c>
      <c r="Y2017" s="114"/>
      <c r="Z2017" s="114" t="s">
        <v>60</v>
      </c>
      <c r="AA2017" s="114" t="s">
        <v>507</v>
      </c>
      <c r="AB2017" s="114" t="s">
        <v>507</v>
      </c>
      <c r="AC2017" s="114" t="s">
        <v>5546</v>
      </c>
      <c r="AD2017" s="126">
        <v>0.94</v>
      </c>
      <c r="AE2017" s="114" t="s">
        <v>319</v>
      </c>
      <c r="AF2017" s="175" t="s">
        <v>60</v>
      </c>
      <c r="AG2017" s="114" t="s">
        <v>507</v>
      </c>
      <c r="AH2017" s="114" t="s">
        <v>507</v>
      </c>
      <c r="AI2017" s="114" t="s">
        <v>507</v>
      </c>
      <c r="AJ2017" s="114" t="s">
        <v>507</v>
      </c>
      <c r="AK2017" s="114" t="s">
        <v>507</v>
      </c>
      <c r="AL2017" s="114" t="s">
        <v>507</v>
      </c>
      <c r="AM2017" s="114" t="s">
        <v>507</v>
      </c>
      <c r="AN2017" s="114" t="s">
        <v>507</v>
      </c>
      <c r="AO2017" s="114" t="s">
        <v>507</v>
      </c>
      <c r="AP2017" s="114" t="s">
        <v>507</v>
      </c>
      <c r="AQ2017" s="114" t="s">
        <v>507</v>
      </c>
      <c r="AR2017" s="114" t="s">
        <v>507</v>
      </c>
      <c r="AS2017" s="114" t="s">
        <v>507</v>
      </c>
      <c r="AT2017" s="114" t="s">
        <v>507</v>
      </c>
      <c r="AU2017" s="114" t="s">
        <v>53</v>
      </c>
      <c r="AV2017" s="114" t="s">
        <v>507</v>
      </c>
      <c r="AW2017" s="114" t="s">
        <v>507</v>
      </c>
      <c r="AX2017" s="114" t="s">
        <v>507</v>
      </c>
      <c r="AY2017" s="114" t="s">
        <v>507</v>
      </c>
      <c r="AZ2017" s="114" t="s">
        <v>507</v>
      </c>
      <c r="BA2017" s="114" t="s">
        <v>507</v>
      </c>
    </row>
    <row r="2018" spans="1:53" s="12" customFormat="1" ht="14.4" hidden="1" x14ac:dyDescent="0.3">
      <c r="A2018" s="113" t="s">
        <v>505</v>
      </c>
      <c r="B2018" s="114" t="s">
        <v>5510</v>
      </c>
      <c r="C2018" s="114">
        <v>70</v>
      </c>
      <c r="D2018" s="114">
        <v>742</v>
      </c>
      <c r="E2018" s="114" t="s">
        <v>507</v>
      </c>
      <c r="F2018" s="118" t="s">
        <v>170</v>
      </c>
      <c r="G2018" s="138" t="str">
        <f t="shared" si="50"/>
        <v>707428230011984-2</v>
      </c>
      <c r="H2018" s="116" t="s">
        <v>5553</v>
      </c>
      <c r="I2018" s="116" t="s">
        <v>5552</v>
      </c>
      <c r="J2018" s="116" t="s">
        <v>5554</v>
      </c>
      <c r="K2018" s="116" t="s">
        <v>230</v>
      </c>
      <c r="L2018" s="116">
        <v>3107354971</v>
      </c>
      <c r="M2018" s="114" t="s">
        <v>507</v>
      </c>
      <c r="N2018" s="114" t="s">
        <v>127</v>
      </c>
      <c r="O2018" s="12" t="s">
        <v>2822</v>
      </c>
      <c r="P2018" s="183" t="s">
        <v>48</v>
      </c>
      <c r="Q2018" s="114" t="s">
        <v>5555</v>
      </c>
      <c r="R2018" s="126">
        <v>0.94</v>
      </c>
      <c r="S2018" s="114" t="s">
        <v>319</v>
      </c>
      <c r="T2018" s="114"/>
      <c r="U2018" s="114" t="s">
        <v>60</v>
      </c>
      <c r="V2018" s="114" t="s">
        <v>507</v>
      </c>
      <c r="W2018" s="114" t="s">
        <v>507</v>
      </c>
      <c r="X2018" s="114" t="s">
        <v>507</v>
      </c>
      <c r="Y2018" s="114"/>
      <c r="Z2018" s="114" t="s">
        <v>507</v>
      </c>
      <c r="AA2018" s="114" t="s">
        <v>507</v>
      </c>
      <c r="AB2018" s="114" t="s">
        <v>507</v>
      </c>
      <c r="AC2018" s="114" t="s">
        <v>507</v>
      </c>
      <c r="AD2018" s="114" t="s">
        <v>507</v>
      </c>
      <c r="AE2018" s="114" t="s">
        <v>507</v>
      </c>
      <c r="AF2018" s="114" t="s">
        <v>507</v>
      </c>
      <c r="AG2018" s="114" t="s">
        <v>507</v>
      </c>
      <c r="AH2018" s="114" t="s">
        <v>507</v>
      </c>
      <c r="AI2018" s="114" t="s">
        <v>507</v>
      </c>
      <c r="AJ2018" s="114" t="s">
        <v>507</v>
      </c>
      <c r="AK2018" s="114" t="s">
        <v>507</v>
      </c>
      <c r="AL2018" s="114" t="s">
        <v>507</v>
      </c>
      <c r="AM2018" s="114" t="s">
        <v>507</v>
      </c>
      <c r="AN2018" s="114" t="s">
        <v>507</v>
      </c>
      <c r="AO2018" s="114" t="s">
        <v>507</v>
      </c>
      <c r="AP2018" s="114" t="s">
        <v>507</v>
      </c>
      <c r="AQ2018" s="114" t="s">
        <v>507</v>
      </c>
      <c r="AR2018" s="114" t="s">
        <v>507</v>
      </c>
      <c r="AS2018" s="114" t="s">
        <v>507</v>
      </c>
      <c r="AT2018" s="114" t="s">
        <v>507</v>
      </c>
      <c r="AU2018" s="114" t="s">
        <v>53</v>
      </c>
      <c r="AV2018" s="114" t="s">
        <v>507</v>
      </c>
      <c r="AW2018" s="114" t="s">
        <v>507</v>
      </c>
      <c r="AX2018" s="114" t="s">
        <v>507</v>
      </c>
      <c r="AY2018" s="114" t="s">
        <v>507</v>
      </c>
      <c r="AZ2018" s="114" t="s">
        <v>507</v>
      </c>
      <c r="BA2018" s="114" t="s">
        <v>507</v>
      </c>
    </row>
    <row r="2019" spans="1:53" s="12" customFormat="1" ht="28.8" hidden="1" x14ac:dyDescent="0.3">
      <c r="A2019" s="113" t="s">
        <v>505</v>
      </c>
      <c r="B2019" s="114" t="s">
        <v>5510</v>
      </c>
      <c r="C2019" s="114">
        <v>70</v>
      </c>
      <c r="D2019" s="114">
        <v>742</v>
      </c>
      <c r="E2019" s="206" t="s">
        <v>8733</v>
      </c>
      <c r="F2019" s="289" t="s">
        <v>5556</v>
      </c>
      <c r="G2019" s="138" t="str">
        <f t="shared" si="50"/>
        <v>70742800187842-1</v>
      </c>
      <c r="H2019" s="116" t="s">
        <v>5527</v>
      </c>
      <c r="I2019" s="116" t="s">
        <v>5526</v>
      </c>
      <c r="J2019" s="116" t="s">
        <v>5557</v>
      </c>
      <c r="K2019" s="116" t="s">
        <v>230</v>
      </c>
      <c r="L2019" s="116">
        <v>3127306848</v>
      </c>
      <c r="M2019" s="128" t="s">
        <v>5529</v>
      </c>
      <c r="N2019" s="114" t="s">
        <v>127</v>
      </c>
      <c r="O2019" s="12" t="s">
        <v>2822</v>
      </c>
      <c r="P2019" s="183" t="s">
        <v>48</v>
      </c>
      <c r="Q2019" s="12" t="s">
        <v>8670</v>
      </c>
      <c r="R2019" s="12" t="s">
        <v>247</v>
      </c>
      <c r="S2019" s="12" t="s">
        <v>49</v>
      </c>
      <c r="T2019" s="114"/>
      <c r="U2019" s="114" t="s">
        <v>60</v>
      </c>
      <c r="V2019" s="114" t="s">
        <v>1106</v>
      </c>
      <c r="W2019" s="114" t="s">
        <v>943</v>
      </c>
      <c r="X2019" s="114" t="s">
        <v>210</v>
      </c>
      <c r="Y2019" s="114"/>
      <c r="Z2019" s="114" t="s">
        <v>60</v>
      </c>
      <c r="AA2019" s="114" t="s">
        <v>507</v>
      </c>
      <c r="AB2019" s="114" t="s">
        <v>507</v>
      </c>
      <c r="AC2019" s="129">
        <v>45462</v>
      </c>
      <c r="AD2019" s="114" t="s">
        <v>798</v>
      </c>
      <c r="AE2019" s="114" t="s">
        <v>49</v>
      </c>
      <c r="AF2019" s="12" t="s">
        <v>60</v>
      </c>
      <c r="AG2019" s="114" t="s">
        <v>507</v>
      </c>
      <c r="AH2019" s="114" t="s">
        <v>507</v>
      </c>
      <c r="AI2019" s="129">
        <v>45058</v>
      </c>
      <c r="AJ2019" s="126">
        <v>0.93</v>
      </c>
      <c r="AK2019" s="114" t="s">
        <v>210</v>
      </c>
      <c r="AL2019" s="114" t="s">
        <v>60</v>
      </c>
      <c r="AM2019" s="114" t="s">
        <v>507</v>
      </c>
      <c r="AN2019" s="114" t="s">
        <v>507</v>
      </c>
      <c r="AO2019" s="114" t="s">
        <v>369</v>
      </c>
      <c r="AP2019" s="126">
        <v>0.94</v>
      </c>
      <c r="AQ2019" s="114" t="s">
        <v>319</v>
      </c>
      <c r="AR2019" s="114" t="s">
        <v>60</v>
      </c>
      <c r="AS2019" s="114" t="s">
        <v>507</v>
      </c>
      <c r="AT2019" s="114" t="s">
        <v>507</v>
      </c>
      <c r="AU2019" s="114" t="s">
        <v>53</v>
      </c>
      <c r="AV2019" s="114" t="s">
        <v>507</v>
      </c>
      <c r="AW2019" s="114" t="s">
        <v>507</v>
      </c>
      <c r="AX2019" s="114" t="s">
        <v>507</v>
      </c>
      <c r="AY2019" s="114" t="s">
        <v>507</v>
      </c>
      <c r="AZ2019" s="114" t="s">
        <v>507</v>
      </c>
      <c r="BA2019" s="114" t="s">
        <v>507</v>
      </c>
    </row>
    <row r="2020" spans="1:53" s="12" customFormat="1" ht="28.8" hidden="1" x14ac:dyDescent="0.3">
      <c r="A2020" s="113" t="s">
        <v>505</v>
      </c>
      <c r="B2020" s="114" t="s">
        <v>5510</v>
      </c>
      <c r="C2020" s="114">
        <v>70</v>
      </c>
      <c r="D2020" s="114">
        <v>742</v>
      </c>
      <c r="E2020" s="206" t="s">
        <v>8733</v>
      </c>
      <c r="F2020" s="289" t="s">
        <v>5558</v>
      </c>
      <c r="G2020" s="138" t="str">
        <f t="shared" si="50"/>
        <v>707428001878421</v>
      </c>
      <c r="H2020" s="116" t="s">
        <v>5527</v>
      </c>
      <c r="I2020" s="116">
        <v>8001878421</v>
      </c>
      <c r="J2020" s="116" t="s">
        <v>5559</v>
      </c>
      <c r="K2020" s="116" t="s">
        <v>230</v>
      </c>
      <c r="L2020" s="116">
        <v>3145970994</v>
      </c>
      <c r="M2020" s="128" t="s">
        <v>5529</v>
      </c>
      <c r="N2020" s="114" t="s">
        <v>127</v>
      </c>
      <c r="O2020" s="12" t="s">
        <v>2822</v>
      </c>
      <c r="P2020" s="183" t="s">
        <v>48</v>
      </c>
      <c r="Q2020" s="13">
        <v>46128</v>
      </c>
      <c r="R2020" s="12" t="s">
        <v>4654</v>
      </c>
      <c r="S2020" s="12" t="s">
        <v>210</v>
      </c>
      <c r="U2020" s="12" t="s">
        <v>60</v>
      </c>
      <c r="V2020" s="114" t="s">
        <v>4357</v>
      </c>
      <c r="W2020" s="126">
        <v>0.92</v>
      </c>
      <c r="X2020" s="114" t="s">
        <v>319</v>
      </c>
      <c r="Y2020" s="114"/>
      <c r="Z2020" s="114" t="s">
        <v>60</v>
      </c>
      <c r="AA2020" s="114" t="s">
        <v>507</v>
      </c>
      <c r="AB2020" s="114" t="s">
        <v>507</v>
      </c>
      <c r="AC2020" s="114" t="s">
        <v>507</v>
      </c>
      <c r="AD2020" s="114" t="s">
        <v>507</v>
      </c>
      <c r="AE2020" s="114" t="s">
        <v>507</v>
      </c>
      <c r="AF2020" s="114" t="s">
        <v>507</v>
      </c>
      <c r="AG2020" s="114" t="s">
        <v>507</v>
      </c>
      <c r="AH2020" s="114" t="s">
        <v>507</v>
      </c>
      <c r="AI2020" s="114" t="s">
        <v>507</v>
      </c>
      <c r="AJ2020" s="114" t="s">
        <v>507</v>
      </c>
      <c r="AK2020" s="114" t="s">
        <v>507</v>
      </c>
      <c r="AL2020" s="114" t="s">
        <v>507</v>
      </c>
      <c r="AM2020" s="114" t="s">
        <v>507</v>
      </c>
      <c r="AN2020" s="114" t="s">
        <v>507</v>
      </c>
      <c r="AO2020" s="114" t="s">
        <v>507</v>
      </c>
      <c r="AP2020" s="114" t="s">
        <v>507</v>
      </c>
      <c r="AQ2020" s="114" t="s">
        <v>507</v>
      </c>
      <c r="AR2020" s="114" t="s">
        <v>507</v>
      </c>
      <c r="AS2020" s="114" t="s">
        <v>507</v>
      </c>
      <c r="AT2020" s="114" t="s">
        <v>507</v>
      </c>
      <c r="AU2020" s="114" t="s">
        <v>53</v>
      </c>
      <c r="AV2020" s="114" t="s">
        <v>507</v>
      </c>
      <c r="AW2020" s="114" t="s">
        <v>507</v>
      </c>
      <c r="AX2020" s="114" t="s">
        <v>507</v>
      </c>
      <c r="AY2020" s="114" t="s">
        <v>507</v>
      </c>
      <c r="AZ2020" s="114" t="s">
        <v>507</v>
      </c>
      <c r="BA2020" s="114" t="s">
        <v>507</v>
      </c>
    </row>
    <row r="2021" spans="1:53" s="12" customFormat="1" ht="28.8" hidden="1" x14ac:dyDescent="0.3">
      <c r="A2021" s="113" t="s">
        <v>505</v>
      </c>
      <c r="B2021" s="114" t="s">
        <v>5510</v>
      </c>
      <c r="C2021" s="114">
        <v>70</v>
      </c>
      <c r="D2021" s="114">
        <v>742</v>
      </c>
      <c r="E2021" s="116" t="s">
        <v>5524</v>
      </c>
      <c r="F2021" s="289" t="s">
        <v>5560</v>
      </c>
      <c r="G2021" s="138" t="str">
        <f t="shared" si="50"/>
        <v>70742800187842-1</v>
      </c>
      <c r="H2021" s="116" t="s">
        <v>5527</v>
      </c>
      <c r="I2021" s="116" t="s">
        <v>5526</v>
      </c>
      <c r="J2021" s="116" t="s">
        <v>5561</v>
      </c>
      <c r="K2021" s="116" t="s">
        <v>230</v>
      </c>
      <c r="L2021" s="116">
        <v>3113151965</v>
      </c>
      <c r="M2021" s="128" t="s">
        <v>5529</v>
      </c>
      <c r="N2021" s="114" t="s">
        <v>127</v>
      </c>
      <c r="O2021" s="12" t="s">
        <v>2822</v>
      </c>
      <c r="P2021" s="183" t="s">
        <v>48</v>
      </c>
      <c r="Q2021" s="13">
        <v>46153</v>
      </c>
      <c r="R2021" s="12" t="s">
        <v>4654</v>
      </c>
      <c r="S2021" s="12" t="s">
        <v>210</v>
      </c>
      <c r="U2021" s="12" t="s">
        <v>60</v>
      </c>
      <c r="V2021" s="129">
        <v>45934</v>
      </c>
      <c r="W2021" s="114" t="s">
        <v>943</v>
      </c>
      <c r="X2021" s="114" t="s">
        <v>319</v>
      </c>
      <c r="Y2021" s="114"/>
      <c r="Z2021" s="114" t="s">
        <v>60</v>
      </c>
      <c r="AA2021" s="114" t="s">
        <v>507</v>
      </c>
      <c r="AB2021" s="114" t="s">
        <v>507</v>
      </c>
      <c r="AC2021" s="129">
        <v>45547</v>
      </c>
      <c r="AD2021" s="114" t="s">
        <v>5549</v>
      </c>
      <c r="AE2021" s="114" t="s">
        <v>319</v>
      </c>
      <c r="AF2021" s="175" t="s">
        <v>60</v>
      </c>
      <c r="AG2021" s="114" t="s">
        <v>507</v>
      </c>
      <c r="AH2021" s="114" t="s">
        <v>507</v>
      </c>
      <c r="AI2021" s="114" t="s">
        <v>507</v>
      </c>
      <c r="AJ2021" s="114" t="s">
        <v>507</v>
      </c>
      <c r="AK2021" s="114" t="s">
        <v>507</v>
      </c>
      <c r="AL2021" s="114" t="s">
        <v>507</v>
      </c>
      <c r="AM2021" s="114" t="s">
        <v>507</v>
      </c>
      <c r="AN2021" s="114" t="s">
        <v>507</v>
      </c>
      <c r="AO2021" s="114" t="s">
        <v>507</v>
      </c>
      <c r="AP2021" s="114" t="s">
        <v>507</v>
      </c>
      <c r="AQ2021" s="114" t="s">
        <v>507</v>
      </c>
      <c r="AR2021" s="114" t="s">
        <v>507</v>
      </c>
      <c r="AS2021" s="114" t="s">
        <v>507</v>
      </c>
      <c r="AT2021" s="114" t="s">
        <v>507</v>
      </c>
      <c r="AU2021" s="114" t="s">
        <v>53</v>
      </c>
      <c r="AV2021" s="114" t="s">
        <v>507</v>
      </c>
      <c r="AW2021" s="114" t="s">
        <v>507</v>
      </c>
      <c r="AX2021" s="114" t="s">
        <v>507</v>
      </c>
      <c r="AY2021" s="114" t="s">
        <v>507</v>
      </c>
      <c r="AZ2021" s="114" t="s">
        <v>507</v>
      </c>
      <c r="BA2021" s="114" t="s">
        <v>507</v>
      </c>
    </row>
    <row r="2022" spans="1:53" s="12" customFormat="1" ht="14.4" hidden="1" x14ac:dyDescent="0.3">
      <c r="A2022" s="291" t="s">
        <v>505</v>
      </c>
      <c r="B2022" s="292" t="s">
        <v>5510</v>
      </c>
      <c r="C2022" s="292">
        <v>70</v>
      </c>
      <c r="D2022" s="292">
        <v>742</v>
      </c>
      <c r="E2022" s="292" t="s">
        <v>507</v>
      </c>
      <c r="F2022" s="290" t="s">
        <v>5562</v>
      </c>
      <c r="G2022" s="293" t="str">
        <f t="shared" si="50"/>
        <v>70742800187842-1</v>
      </c>
      <c r="H2022" s="294" t="s">
        <v>5527</v>
      </c>
      <c r="I2022" s="294" t="s">
        <v>5526</v>
      </c>
      <c r="J2022" s="294" t="s">
        <v>5563</v>
      </c>
      <c r="K2022" s="294" t="s">
        <v>230</v>
      </c>
      <c r="L2022" s="294">
        <v>3127289974</v>
      </c>
      <c r="M2022" s="292" t="s">
        <v>5529</v>
      </c>
      <c r="N2022" s="292" t="s">
        <v>127</v>
      </c>
      <c r="O2022" s="295" t="s">
        <v>2822</v>
      </c>
      <c r="P2022" s="294" t="s">
        <v>48</v>
      </c>
      <c r="Q2022" s="292" t="s">
        <v>666</v>
      </c>
      <c r="R2022" s="296">
        <v>0.91</v>
      </c>
      <c r="S2022" s="292" t="s">
        <v>49</v>
      </c>
      <c r="T2022" s="292"/>
      <c r="U2022" s="292" t="s">
        <v>60</v>
      </c>
      <c r="V2022" s="297">
        <v>45455</v>
      </c>
      <c r="W2022" s="296">
        <v>0.94</v>
      </c>
      <c r="X2022" s="292" t="s">
        <v>210</v>
      </c>
      <c r="Y2022" s="292"/>
      <c r="Z2022" s="292" t="s">
        <v>60</v>
      </c>
      <c r="AA2022" s="292" t="s">
        <v>507</v>
      </c>
      <c r="AB2022" s="292" t="s">
        <v>507</v>
      </c>
      <c r="AC2022" s="292" t="s">
        <v>507</v>
      </c>
      <c r="AD2022" s="292" t="s">
        <v>507</v>
      </c>
      <c r="AE2022" s="292" t="s">
        <v>507</v>
      </c>
      <c r="AF2022" s="292" t="s">
        <v>507</v>
      </c>
      <c r="AG2022" s="292" t="s">
        <v>507</v>
      </c>
      <c r="AH2022" s="292" t="s">
        <v>507</v>
      </c>
      <c r="AI2022" s="292" t="s">
        <v>507</v>
      </c>
      <c r="AJ2022" s="292" t="s">
        <v>507</v>
      </c>
      <c r="AK2022" s="292" t="s">
        <v>507</v>
      </c>
      <c r="AL2022" s="292" t="s">
        <v>507</v>
      </c>
      <c r="AM2022" s="292" t="s">
        <v>507</v>
      </c>
      <c r="AN2022" s="292" t="s">
        <v>507</v>
      </c>
      <c r="AO2022" s="292" t="s">
        <v>507</v>
      </c>
      <c r="AP2022" s="292" t="s">
        <v>507</v>
      </c>
      <c r="AQ2022" s="292" t="s">
        <v>507</v>
      </c>
      <c r="AR2022" s="292" t="s">
        <v>507</v>
      </c>
      <c r="AS2022" s="292" t="s">
        <v>507</v>
      </c>
      <c r="AT2022" s="292" t="s">
        <v>507</v>
      </c>
      <c r="AU2022" s="114" t="s">
        <v>53</v>
      </c>
      <c r="AV2022" s="292" t="s">
        <v>507</v>
      </c>
      <c r="AW2022" s="292" t="s">
        <v>507</v>
      </c>
      <c r="AX2022" s="292" t="s">
        <v>507</v>
      </c>
      <c r="AY2022" s="292" t="s">
        <v>507</v>
      </c>
      <c r="AZ2022" s="292" t="s">
        <v>507</v>
      </c>
      <c r="BA2022" s="292" t="s">
        <v>507</v>
      </c>
    </row>
    <row r="2023" spans="1:53" s="12" customFormat="1" ht="28.8" hidden="1" x14ac:dyDescent="0.3">
      <c r="A2023" s="113" t="s">
        <v>505</v>
      </c>
      <c r="B2023" s="114" t="s">
        <v>5510</v>
      </c>
      <c r="C2023" s="114">
        <v>70</v>
      </c>
      <c r="D2023" s="114">
        <v>742</v>
      </c>
      <c r="E2023" s="116" t="s">
        <v>5524</v>
      </c>
      <c r="F2023" s="118" t="s">
        <v>5564</v>
      </c>
      <c r="G2023" s="138" t="str">
        <f t="shared" si="50"/>
        <v>70742800187842-1</v>
      </c>
      <c r="H2023" s="116" t="s">
        <v>5527</v>
      </c>
      <c r="I2023" s="116" t="s">
        <v>5526</v>
      </c>
      <c r="J2023" s="116" t="s">
        <v>5565</v>
      </c>
      <c r="K2023" s="116" t="s">
        <v>230</v>
      </c>
      <c r="L2023" s="116">
        <v>3113151965</v>
      </c>
      <c r="M2023" s="128" t="s">
        <v>5529</v>
      </c>
      <c r="N2023" s="114" t="s">
        <v>127</v>
      </c>
      <c r="O2023" s="12" t="s">
        <v>2822</v>
      </c>
      <c r="P2023" s="183" t="s">
        <v>48</v>
      </c>
      <c r="Q2023" s="114" t="s">
        <v>792</v>
      </c>
      <c r="R2023" s="126">
        <v>0.89</v>
      </c>
      <c r="S2023" s="114" t="s">
        <v>49</v>
      </c>
      <c r="T2023" s="114"/>
      <c r="U2023" s="114" t="s">
        <v>60</v>
      </c>
      <c r="V2023" s="114" t="s">
        <v>507</v>
      </c>
      <c r="W2023" s="114" t="s">
        <v>507</v>
      </c>
      <c r="X2023" s="114" t="s">
        <v>507</v>
      </c>
      <c r="Y2023" s="114"/>
      <c r="Z2023" s="114" t="s">
        <v>507</v>
      </c>
      <c r="AA2023" s="114" t="s">
        <v>507</v>
      </c>
      <c r="AB2023" s="114" t="s">
        <v>507</v>
      </c>
      <c r="AC2023" s="114" t="s">
        <v>507</v>
      </c>
      <c r="AD2023" s="114" t="s">
        <v>507</v>
      </c>
      <c r="AE2023" s="114" t="s">
        <v>507</v>
      </c>
      <c r="AF2023" s="114" t="s">
        <v>507</v>
      </c>
      <c r="AG2023" s="114" t="s">
        <v>507</v>
      </c>
      <c r="AH2023" s="114" t="s">
        <v>507</v>
      </c>
      <c r="AI2023" s="114" t="s">
        <v>507</v>
      </c>
      <c r="AJ2023" s="114" t="s">
        <v>507</v>
      </c>
      <c r="AK2023" s="114" t="s">
        <v>507</v>
      </c>
      <c r="AL2023" s="114" t="s">
        <v>507</v>
      </c>
      <c r="AM2023" s="114" t="s">
        <v>507</v>
      </c>
      <c r="AN2023" s="114" t="s">
        <v>507</v>
      </c>
      <c r="AO2023" s="114" t="s">
        <v>507</v>
      </c>
      <c r="AP2023" s="114" t="s">
        <v>507</v>
      </c>
      <c r="AQ2023" s="114" t="s">
        <v>507</v>
      </c>
      <c r="AR2023" s="114" t="s">
        <v>507</v>
      </c>
      <c r="AS2023" s="114" t="s">
        <v>507</v>
      </c>
      <c r="AT2023" s="114" t="s">
        <v>507</v>
      </c>
      <c r="AU2023" s="114" t="s">
        <v>53</v>
      </c>
      <c r="AV2023" s="114" t="s">
        <v>507</v>
      </c>
      <c r="AW2023" s="114" t="s">
        <v>507</v>
      </c>
      <c r="AX2023" s="114" t="s">
        <v>507</v>
      </c>
      <c r="AY2023" s="114" t="s">
        <v>507</v>
      </c>
      <c r="AZ2023" s="114" t="s">
        <v>507</v>
      </c>
      <c r="BA2023" s="114" t="s">
        <v>507</v>
      </c>
    </row>
    <row r="2024" spans="1:53" s="12" customFormat="1" ht="28.8" hidden="1" x14ac:dyDescent="0.3">
      <c r="A2024" s="113" t="s">
        <v>505</v>
      </c>
      <c r="B2024" s="114" t="s">
        <v>5510</v>
      </c>
      <c r="C2024" s="114">
        <v>70</v>
      </c>
      <c r="D2024" s="114">
        <v>742</v>
      </c>
      <c r="E2024" s="116" t="s">
        <v>5524</v>
      </c>
      <c r="F2024" s="289" t="s">
        <v>5566</v>
      </c>
      <c r="G2024" s="138" t="str">
        <f t="shared" si="50"/>
        <v>70742800187842-1</v>
      </c>
      <c r="H2024" s="116" t="s">
        <v>5527</v>
      </c>
      <c r="I2024" s="116" t="s">
        <v>5526</v>
      </c>
      <c r="J2024" s="116" t="s">
        <v>5567</v>
      </c>
      <c r="K2024" s="116" t="s">
        <v>230</v>
      </c>
      <c r="L2024" s="116">
        <v>3223796080</v>
      </c>
      <c r="M2024" s="128" t="s">
        <v>9561</v>
      </c>
      <c r="N2024" s="114" t="s">
        <v>127</v>
      </c>
      <c r="O2024" s="12" t="s">
        <v>2822</v>
      </c>
      <c r="P2024" s="183" t="s">
        <v>48</v>
      </c>
      <c r="Q2024" s="13">
        <v>46133</v>
      </c>
      <c r="R2024" s="12">
        <v>91</v>
      </c>
      <c r="S2024" s="12" t="s">
        <v>210</v>
      </c>
      <c r="T2024" s="114"/>
      <c r="U2024" s="114" t="s">
        <v>60</v>
      </c>
      <c r="V2024" s="114" t="s">
        <v>5568</v>
      </c>
      <c r="W2024" s="126">
        <v>0.91</v>
      </c>
      <c r="X2024" s="114" t="s">
        <v>319</v>
      </c>
      <c r="Y2024" s="114"/>
      <c r="Z2024" s="114" t="s">
        <v>60</v>
      </c>
      <c r="AA2024" s="114" t="s">
        <v>507</v>
      </c>
      <c r="AB2024" s="114" t="s">
        <v>507</v>
      </c>
      <c r="AC2024" s="129">
        <v>45424</v>
      </c>
      <c r="AD2024" s="126">
        <v>0.93</v>
      </c>
      <c r="AE2024" s="114" t="s">
        <v>319</v>
      </c>
      <c r="AF2024" s="175" t="s">
        <v>60</v>
      </c>
      <c r="AG2024" s="114" t="s">
        <v>507</v>
      </c>
      <c r="AH2024" s="114" t="s">
        <v>507</v>
      </c>
      <c r="AI2024" s="114" t="s">
        <v>507</v>
      </c>
      <c r="AJ2024" s="114" t="s">
        <v>507</v>
      </c>
      <c r="AK2024" s="114" t="s">
        <v>507</v>
      </c>
      <c r="AL2024" s="114" t="s">
        <v>507</v>
      </c>
      <c r="AM2024" s="114" t="s">
        <v>507</v>
      </c>
      <c r="AN2024" s="114" t="s">
        <v>507</v>
      </c>
      <c r="AO2024" s="114" t="s">
        <v>507</v>
      </c>
      <c r="AP2024" s="114" t="s">
        <v>507</v>
      </c>
      <c r="AQ2024" s="114" t="s">
        <v>507</v>
      </c>
      <c r="AR2024" s="114" t="s">
        <v>507</v>
      </c>
      <c r="AS2024" s="114" t="s">
        <v>507</v>
      </c>
      <c r="AT2024" s="114" t="s">
        <v>507</v>
      </c>
      <c r="AU2024" s="114" t="s">
        <v>53</v>
      </c>
      <c r="AV2024" s="114" t="s">
        <v>507</v>
      </c>
      <c r="AW2024" s="114" t="s">
        <v>507</v>
      </c>
      <c r="AX2024" s="114" t="s">
        <v>507</v>
      </c>
      <c r="AY2024" s="114" t="s">
        <v>507</v>
      </c>
      <c r="AZ2024" s="114" t="s">
        <v>507</v>
      </c>
      <c r="BA2024" s="114" t="s">
        <v>507</v>
      </c>
    </row>
    <row r="2025" spans="1:53" s="12" customFormat="1" ht="14.4" hidden="1" x14ac:dyDescent="0.3">
      <c r="A2025" s="113" t="s">
        <v>505</v>
      </c>
      <c r="B2025" s="114" t="s">
        <v>5510</v>
      </c>
      <c r="C2025" s="114">
        <v>70</v>
      </c>
      <c r="D2025" s="114">
        <v>742</v>
      </c>
      <c r="E2025" s="114" t="s">
        <v>507</v>
      </c>
      <c r="F2025" s="118" t="s">
        <v>5569</v>
      </c>
      <c r="G2025" s="138" t="str">
        <f t="shared" si="50"/>
        <v>7074280018792-1</v>
      </c>
      <c r="H2025" s="116" t="s">
        <v>5571</v>
      </c>
      <c r="I2025" s="116" t="s">
        <v>5570</v>
      </c>
      <c r="J2025" s="116" t="s">
        <v>5572</v>
      </c>
      <c r="K2025" s="116" t="s">
        <v>230</v>
      </c>
      <c r="L2025" s="116">
        <v>3126555265</v>
      </c>
      <c r="M2025" s="128" t="s">
        <v>5529</v>
      </c>
      <c r="N2025" s="114" t="s">
        <v>127</v>
      </c>
      <c r="O2025" s="12" t="s">
        <v>2822</v>
      </c>
      <c r="P2025" s="183" t="s">
        <v>48</v>
      </c>
      <c r="Q2025" s="114" t="s">
        <v>1106</v>
      </c>
      <c r="R2025" s="126">
        <v>0.93</v>
      </c>
      <c r="S2025" s="114" t="s">
        <v>319</v>
      </c>
      <c r="T2025" s="114"/>
      <c r="U2025" s="114" t="s">
        <v>60</v>
      </c>
      <c r="V2025" s="129">
        <v>45545</v>
      </c>
      <c r="W2025" s="114" t="s">
        <v>5549</v>
      </c>
      <c r="X2025" s="114" t="s">
        <v>319</v>
      </c>
      <c r="Y2025" s="114"/>
      <c r="Z2025" s="114" t="s">
        <v>60</v>
      </c>
      <c r="AA2025" s="114" t="s">
        <v>507</v>
      </c>
      <c r="AB2025" s="114" t="s">
        <v>507</v>
      </c>
      <c r="AC2025" s="114" t="s">
        <v>507</v>
      </c>
      <c r="AD2025" s="114" t="s">
        <v>507</v>
      </c>
      <c r="AE2025" s="114" t="s">
        <v>507</v>
      </c>
      <c r="AF2025" s="114" t="s">
        <v>507</v>
      </c>
      <c r="AG2025" s="114" t="s">
        <v>507</v>
      </c>
      <c r="AH2025" s="114" t="s">
        <v>507</v>
      </c>
      <c r="AI2025" s="114" t="s">
        <v>507</v>
      </c>
      <c r="AJ2025" s="114" t="s">
        <v>507</v>
      </c>
      <c r="AK2025" s="114" t="s">
        <v>507</v>
      </c>
      <c r="AL2025" s="114" t="s">
        <v>507</v>
      </c>
      <c r="AM2025" s="114" t="s">
        <v>507</v>
      </c>
      <c r="AN2025" s="114" t="s">
        <v>507</v>
      </c>
      <c r="AO2025" s="114" t="s">
        <v>507</v>
      </c>
      <c r="AP2025" s="114" t="s">
        <v>507</v>
      </c>
      <c r="AQ2025" s="114" t="s">
        <v>507</v>
      </c>
      <c r="AR2025" s="114" t="s">
        <v>507</v>
      </c>
      <c r="AS2025" s="114" t="s">
        <v>507</v>
      </c>
      <c r="AT2025" s="114" t="s">
        <v>507</v>
      </c>
      <c r="AU2025" s="114" t="s">
        <v>53</v>
      </c>
      <c r="AV2025" s="114" t="s">
        <v>507</v>
      </c>
      <c r="AW2025" s="114" t="s">
        <v>507</v>
      </c>
      <c r="AX2025" s="114" t="s">
        <v>507</v>
      </c>
      <c r="AY2025" s="114" t="s">
        <v>507</v>
      </c>
      <c r="AZ2025" s="114" t="s">
        <v>507</v>
      </c>
      <c r="BA2025" s="114" t="s">
        <v>507</v>
      </c>
    </row>
    <row r="2026" spans="1:53" s="12" customFormat="1" ht="28.8" hidden="1" x14ac:dyDescent="0.3">
      <c r="A2026" s="113" t="s">
        <v>505</v>
      </c>
      <c r="B2026" s="114" t="s">
        <v>5510</v>
      </c>
      <c r="C2026" s="114">
        <v>70</v>
      </c>
      <c r="D2026" s="114">
        <v>742</v>
      </c>
      <c r="E2026" s="116" t="s">
        <v>5573</v>
      </c>
      <c r="F2026" s="118" t="s">
        <v>5574</v>
      </c>
      <c r="G2026" s="138" t="str">
        <f t="shared" si="50"/>
        <v>70742800187842-1</v>
      </c>
      <c r="H2026" s="116" t="s">
        <v>5527</v>
      </c>
      <c r="I2026" s="116" t="s">
        <v>5526</v>
      </c>
      <c r="J2026" s="116" t="s">
        <v>5575</v>
      </c>
      <c r="K2026" s="116" t="s">
        <v>230</v>
      </c>
      <c r="L2026" s="116">
        <v>3207286350</v>
      </c>
      <c r="M2026" s="128" t="s">
        <v>5576</v>
      </c>
      <c r="N2026" s="114" t="s">
        <v>127</v>
      </c>
      <c r="O2026" s="12" t="s">
        <v>2822</v>
      </c>
      <c r="P2026" s="183" t="s">
        <v>48</v>
      </c>
      <c r="Q2026" s="114" t="s">
        <v>1186</v>
      </c>
      <c r="R2026" s="126">
        <v>0.93</v>
      </c>
      <c r="S2026" s="114" t="s">
        <v>319</v>
      </c>
      <c r="T2026" s="114"/>
      <c r="U2026" s="114" t="s">
        <v>60</v>
      </c>
      <c r="V2026" s="129">
        <v>45424</v>
      </c>
      <c r="W2026" s="126">
        <v>0.93</v>
      </c>
      <c r="X2026" s="114" t="s">
        <v>319</v>
      </c>
      <c r="Y2026" s="114"/>
      <c r="Z2026" s="114" t="s">
        <v>60</v>
      </c>
      <c r="AA2026" s="114" t="s">
        <v>507</v>
      </c>
      <c r="AB2026" s="114" t="s">
        <v>507</v>
      </c>
      <c r="AC2026" s="114" t="s">
        <v>507</v>
      </c>
      <c r="AD2026" s="114" t="s">
        <v>507</v>
      </c>
      <c r="AE2026" s="114" t="s">
        <v>507</v>
      </c>
      <c r="AF2026" s="114" t="s">
        <v>507</v>
      </c>
      <c r="AG2026" s="114" t="s">
        <v>507</v>
      </c>
      <c r="AH2026" s="114" t="s">
        <v>507</v>
      </c>
      <c r="AI2026" s="114" t="s">
        <v>507</v>
      </c>
      <c r="AJ2026" s="114" t="s">
        <v>507</v>
      </c>
      <c r="AK2026" s="114" t="s">
        <v>507</v>
      </c>
      <c r="AL2026" s="114" t="s">
        <v>507</v>
      </c>
      <c r="AM2026" s="114" t="s">
        <v>507</v>
      </c>
      <c r="AN2026" s="114" t="s">
        <v>507</v>
      </c>
      <c r="AO2026" s="114" t="s">
        <v>507</v>
      </c>
      <c r="AP2026" s="114" t="s">
        <v>507</v>
      </c>
      <c r="AQ2026" s="114" t="s">
        <v>507</v>
      </c>
      <c r="AR2026" s="114" t="s">
        <v>507</v>
      </c>
      <c r="AS2026" s="114" t="s">
        <v>507</v>
      </c>
      <c r="AT2026" s="114" t="s">
        <v>507</v>
      </c>
      <c r="AU2026" s="114" t="s">
        <v>53</v>
      </c>
      <c r="AV2026" s="114" t="s">
        <v>507</v>
      </c>
      <c r="AW2026" s="114" t="s">
        <v>507</v>
      </c>
      <c r="AX2026" s="114" t="s">
        <v>507</v>
      </c>
      <c r="AY2026" s="114" t="s">
        <v>507</v>
      </c>
      <c r="AZ2026" s="114" t="s">
        <v>507</v>
      </c>
      <c r="BA2026" s="114" t="s">
        <v>507</v>
      </c>
    </row>
    <row r="2027" spans="1:53" s="12" customFormat="1" ht="14.4" hidden="1" x14ac:dyDescent="0.3">
      <c r="A2027" s="113" t="s">
        <v>505</v>
      </c>
      <c r="B2027" s="114" t="s">
        <v>5510</v>
      </c>
      <c r="C2027" s="114">
        <v>70</v>
      </c>
      <c r="D2027" s="114">
        <v>742</v>
      </c>
      <c r="E2027" s="114" t="s">
        <v>507</v>
      </c>
      <c r="F2027" s="118" t="s">
        <v>5577</v>
      </c>
      <c r="G2027" s="138" t="str">
        <f t="shared" si="50"/>
        <v>70742800187842-1</v>
      </c>
      <c r="H2027" s="116" t="s">
        <v>5527</v>
      </c>
      <c r="I2027" s="116" t="s">
        <v>5526</v>
      </c>
      <c r="J2027" s="116" t="s">
        <v>5578</v>
      </c>
      <c r="K2027" s="116" t="s">
        <v>230</v>
      </c>
      <c r="L2027" s="116">
        <v>3012844163</v>
      </c>
      <c r="M2027" s="128" t="s">
        <v>5529</v>
      </c>
      <c r="N2027" s="114" t="s">
        <v>127</v>
      </c>
      <c r="O2027" s="12" t="s">
        <v>2822</v>
      </c>
      <c r="P2027" s="183" t="s">
        <v>48</v>
      </c>
      <c r="Q2027" s="129">
        <v>45937</v>
      </c>
      <c r="R2027" s="114" t="s">
        <v>943</v>
      </c>
      <c r="S2027" s="114" t="s">
        <v>319</v>
      </c>
      <c r="T2027" s="114"/>
      <c r="U2027" s="114" t="s">
        <v>60</v>
      </c>
      <c r="V2027" s="129">
        <v>45577</v>
      </c>
      <c r="W2027" s="126">
        <v>0.93</v>
      </c>
      <c r="X2027" s="114" t="s">
        <v>319</v>
      </c>
      <c r="Y2027" s="114"/>
      <c r="Z2027" s="114" t="s">
        <v>60</v>
      </c>
      <c r="AA2027" s="114" t="s">
        <v>507</v>
      </c>
      <c r="AB2027" s="114" t="s">
        <v>507</v>
      </c>
      <c r="AC2027" s="114" t="s">
        <v>507</v>
      </c>
      <c r="AD2027" s="114" t="s">
        <v>507</v>
      </c>
      <c r="AE2027" s="114" t="s">
        <v>507</v>
      </c>
      <c r="AF2027" s="114" t="s">
        <v>507</v>
      </c>
      <c r="AG2027" s="114" t="s">
        <v>507</v>
      </c>
      <c r="AH2027" s="114" t="s">
        <v>507</v>
      </c>
      <c r="AI2027" s="114" t="s">
        <v>507</v>
      </c>
      <c r="AJ2027" s="114" t="s">
        <v>507</v>
      </c>
      <c r="AK2027" s="114" t="s">
        <v>507</v>
      </c>
      <c r="AL2027" s="114" t="s">
        <v>507</v>
      </c>
      <c r="AM2027" s="114" t="s">
        <v>507</v>
      </c>
      <c r="AN2027" s="114" t="s">
        <v>507</v>
      </c>
      <c r="AO2027" s="114" t="s">
        <v>507</v>
      </c>
      <c r="AP2027" s="114" t="s">
        <v>507</v>
      </c>
      <c r="AQ2027" s="114" t="s">
        <v>507</v>
      </c>
      <c r="AR2027" s="114" t="s">
        <v>507</v>
      </c>
      <c r="AS2027" s="114" t="s">
        <v>507</v>
      </c>
      <c r="AT2027" s="114" t="s">
        <v>507</v>
      </c>
      <c r="AU2027" s="114" t="s">
        <v>53</v>
      </c>
      <c r="AV2027" s="114" t="s">
        <v>507</v>
      </c>
      <c r="AW2027" s="114" t="s">
        <v>507</v>
      </c>
      <c r="AX2027" s="114" t="s">
        <v>507</v>
      </c>
      <c r="AY2027" s="114" t="s">
        <v>507</v>
      </c>
      <c r="AZ2027" s="114" t="s">
        <v>507</v>
      </c>
      <c r="BA2027" s="114" t="s">
        <v>507</v>
      </c>
    </row>
    <row r="2028" spans="1:53" s="12" customFormat="1" ht="14.4" hidden="1" x14ac:dyDescent="0.3">
      <c r="A2028" s="113" t="s">
        <v>505</v>
      </c>
      <c r="B2028" s="114" t="s">
        <v>5510</v>
      </c>
      <c r="C2028" s="114">
        <v>70</v>
      </c>
      <c r="D2028" s="114">
        <v>742</v>
      </c>
      <c r="E2028" s="114" t="s">
        <v>507</v>
      </c>
      <c r="F2028" s="118" t="s">
        <v>5579</v>
      </c>
      <c r="G2028" s="138" t="str">
        <f t="shared" si="50"/>
        <v>70742800187842-1</v>
      </c>
      <c r="H2028" s="116" t="s">
        <v>5527</v>
      </c>
      <c r="I2028" s="116" t="s">
        <v>5526</v>
      </c>
      <c r="J2028" s="116" t="s">
        <v>5580</v>
      </c>
      <c r="K2028" s="116" t="s">
        <v>230</v>
      </c>
      <c r="L2028" s="116">
        <v>3103793971</v>
      </c>
      <c r="M2028" s="128" t="s">
        <v>5529</v>
      </c>
      <c r="N2028" s="114" t="s">
        <v>127</v>
      </c>
      <c r="O2028" s="12" t="s">
        <v>2822</v>
      </c>
      <c r="P2028" s="183" t="s">
        <v>48</v>
      </c>
      <c r="Q2028" s="114" t="s">
        <v>1778</v>
      </c>
      <c r="R2028" s="114" t="s">
        <v>943</v>
      </c>
      <c r="S2028" s="114" t="s">
        <v>319</v>
      </c>
      <c r="T2028" s="114"/>
      <c r="U2028" s="114" t="s">
        <v>60</v>
      </c>
      <c r="V2028" s="129">
        <v>45577</v>
      </c>
      <c r="W2028" s="126">
        <v>0.94</v>
      </c>
      <c r="X2028" s="114" t="s">
        <v>319</v>
      </c>
      <c r="Y2028" s="114"/>
      <c r="Z2028" s="114" t="s">
        <v>60</v>
      </c>
      <c r="AA2028" s="114" t="s">
        <v>507</v>
      </c>
      <c r="AB2028" s="114" t="s">
        <v>507</v>
      </c>
      <c r="AC2028" s="114" t="s">
        <v>507</v>
      </c>
      <c r="AD2028" s="114" t="s">
        <v>507</v>
      </c>
      <c r="AE2028" s="114" t="s">
        <v>507</v>
      </c>
      <c r="AF2028" s="114" t="s">
        <v>507</v>
      </c>
      <c r="AG2028" s="114" t="s">
        <v>507</v>
      </c>
      <c r="AH2028" s="114" t="s">
        <v>507</v>
      </c>
      <c r="AI2028" s="114" t="s">
        <v>507</v>
      </c>
      <c r="AJ2028" s="114" t="s">
        <v>507</v>
      </c>
      <c r="AK2028" s="114" t="s">
        <v>507</v>
      </c>
      <c r="AL2028" s="114" t="s">
        <v>507</v>
      </c>
      <c r="AM2028" s="114" t="s">
        <v>507</v>
      </c>
      <c r="AN2028" s="114" t="s">
        <v>507</v>
      </c>
      <c r="AO2028" s="114" t="s">
        <v>507</v>
      </c>
      <c r="AP2028" s="114" t="s">
        <v>507</v>
      </c>
      <c r="AQ2028" s="114" t="s">
        <v>507</v>
      </c>
      <c r="AR2028" s="114" t="s">
        <v>507</v>
      </c>
      <c r="AS2028" s="114" t="s">
        <v>507</v>
      </c>
      <c r="AT2028" s="114" t="s">
        <v>507</v>
      </c>
      <c r="AU2028" s="114" t="s">
        <v>53</v>
      </c>
      <c r="AV2028" s="114" t="s">
        <v>507</v>
      </c>
      <c r="AW2028" s="114" t="s">
        <v>507</v>
      </c>
      <c r="AX2028" s="114" t="s">
        <v>507</v>
      </c>
      <c r="AY2028" s="114" t="s">
        <v>507</v>
      </c>
      <c r="AZ2028" s="114" t="s">
        <v>507</v>
      </c>
      <c r="BA2028" s="114" t="s">
        <v>507</v>
      </c>
    </row>
    <row r="2029" spans="1:53" s="12" customFormat="1" ht="14.4" hidden="1" x14ac:dyDescent="0.3">
      <c r="A2029" s="113" t="s">
        <v>505</v>
      </c>
      <c r="B2029" s="114" t="s">
        <v>5510</v>
      </c>
      <c r="C2029" s="114">
        <v>70</v>
      </c>
      <c r="D2029" s="114">
        <v>742</v>
      </c>
      <c r="E2029" s="114" t="s">
        <v>507</v>
      </c>
      <c r="F2029" s="118" t="s">
        <v>5581</v>
      </c>
      <c r="G2029" s="138" t="str">
        <f t="shared" si="50"/>
        <v>70742800187842-1</v>
      </c>
      <c r="H2029" s="116" t="s">
        <v>5571</v>
      </c>
      <c r="I2029" s="116" t="s">
        <v>5526</v>
      </c>
      <c r="J2029" s="116" t="s">
        <v>5582</v>
      </c>
      <c r="K2029" s="116" t="s">
        <v>230</v>
      </c>
      <c r="L2029" s="116">
        <v>3147983247</v>
      </c>
      <c r="M2029" s="128" t="s">
        <v>5576</v>
      </c>
      <c r="N2029" s="114" t="s">
        <v>127</v>
      </c>
      <c r="O2029" s="12" t="s">
        <v>2822</v>
      </c>
      <c r="P2029" s="183" t="s">
        <v>48</v>
      </c>
      <c r="Q2029" s="114" t="s">
        <v>809</v>
      </c>
      <c r="R2029" s="126">
        <v>0.82</v>
      </c>
      <c r="S2029" s="114" t="s">
        <v>49</v>
      </c>
      <c r="T2029" s="114"/>
      <c r="U2029" s="114" t="s">
        <v>60</v>
      </c>
      <c r="V2029" s="129">
        <v>45547</v>
      </c>
      <c r="W2029" s="126">
        <v>0.93</v>
      </c>
      <c r="X2029" s="114" t="s">
        <v>210</v>
      </c>
      <c r="Y2029" s="114"/>
      <c r="Z2029" s="114" t="s">
        <v>60</v>
      </c>
      <c r="AA2029" s="114" t="s">
        <v>507</v>
      </c>
      <c r="AB2029" s="114" t="s">
        <v>507</v>
      </c>
      <c r="AC2029" s="114" t="s">
        <v>507</v>
      </c>
      <c r="AD2029" s="114" t="s">
        <v>507</v>
      </c>
      <c r="AE2029" s="114" t="s">
        <v>507</v>
      </c>
      <c r="AF2029" s="114" t="s">
        <v>507</v>
      </c>
      <c r="AG2029" s="114" t="s">
        <v>507</v>
      </c>
      <c r="AH2029" s="114" t="s">
        <v>507</v>
      </c>
      <c r="AI2029" s="114" t="s">
        <v>507</v>
      </c>
      <c r="AJ2029" s="114" t="s">
        <v>507</v>
      </c>
      <c r="AK2029" s="114" t="s">
        <v>507</v>
      </c>
      <c r="AL2029" s="114" t="s">
        <v>507</v>
      </c>
      <c r="AM2029" s="114" t="s">
        <v>507</v>
      </c>
      <c r="AN2029" s="114" t="s">
        <v>507</v>
      </c>
      <c r="AO2029" s="114" t="s">
        <v>507</v>
      </c>
      <c r="AP2029" s="114" t="s">
        <v>507</v>
      </c>
      <c r="AQ2029" s="114" t="s">
        <v>507</v>
      </c>
      <c r="AR2029" s="114" t="s">
        <v>507</v>
      </c>
      <c r="AS2029" s="114" t="s">
        <v>507</v>
      </c>
      <c r="AT2029" s="114" t="s">
        <v>507</v>
      </c>
      <c r="AU2029" s="114" t="s">
        <v>53</v>
      </c>
      <c r="AV2029" s="114" t="s">
        <v>507</v>
      </c>
      <c r="AW2029" s="114" t="s">
        <v>507</v>
      </c>
      <c r="AX2029" s="114" t="s">
        <v>507</v>
      </c>
      <c r="AY2029" s="114" t="s">
        <v>507</v>
      </c>
      <c r="AZ2029" s="114" t="s">
        <v>507</v>
      </c>
      <c r="BA2029" s="114" t="s">
        <v>507</v>
      </c>
    </row>
    <row r="2030" spans="1:53" s="12" customFormat="1" ht="14.4" hidden="1" x14ac:dyDescent="0.3">
      <c r="A2030" s="113" t="s">
        <v>505</v>
      </c>
      <c r="B2030" s="114" t="s">
        <v>5510</v>
      </c>
      <c r="C2030" s="114">
        <v>70</v>
      </c>
      <c r="D2030" s="114">
        <v>742</v>
      </c>
      <c r="E2030" s="114" t="s">
        <v>507</v>
      </c>
      <c r="F2030" s="118" t="s">
        <v>5583</v>
      </c>
      <c r="G2030" s="138" t="str">
        <f t="shared" si="50"/>
        <v>70742823001984-2</v>
      </c>
      <c r="H2030" s="116" t="s">
        <v>764</v>
      </c>
      <c r="I2030" s="116" t="s">
        <v>807</v>
      </c>
      <c r="J2030" s="116" t="s">
        <v>5584</v>
      </c>
      <c r="K2030" s="116" t="s">
        <v>230</v>
      </c>
      <c r="L2030" s="116">
        <v>312886782</v>
      </c>
      <c r="M2030" s="114" t="s">
        <v>507</v>
      </c>
      <c r="N2030" s="114" t="s">
        <v>127</v>
      </c>
      <c r="O2030" s="12" t="s">
        <v>2822</v>
      </c>
      <c r="P2030" s="183" t="s">
        <v>48</v>
      </c>
      <c r="Q2030" s="114" t="s">
        <v>789</v>
      </c>
      <c r="R2030" s="126">
        <v>0.91</v>
      </c>
      <c r="S2030" s="114" t="s">
        <v>210</v>
      </c>
      <c r="T2030" s="114"/>
      <c r="U2030" s="114" t="s">
        <v>60</v>
      </c>
      <c r="V2030" s="129">
        <v>45424</v>
      </c>
      <c r="W2030" s="126">
        <v>0.94</v>
      </c>
      <c r="X2030" s="114" t="s">
        <v>210</v>
      </c>
      <c r="Y2030" s="114"/>
      <c r="Z2030" s="114" t="s">
        <v>60</v>
      </c>
      <c r="AA2030" s="114" t="s">
        <v>507</v>
      </c>
      <c r="AB2030" s="114" t="s">
        <v>507</v>
      </c>
      <c r="AC2030" s="114" t="s">
        <v>507</v>
      </c>
      <c r="AD2030" s="114" t="s">
        <v>507</v>
      </c>
      <c r="AE2030" s="114" t="s">
        <v>507</v>
      </c>
      <c r="AF2030" s="114" t="s">
        <v>507</v>
      </c>
      <c r="AG2030" s="114" t="s">
        <v>507</v>
      </c>
      <c r="AH2030" s="114" t="s">
        <v>507</v>
      </c>
      <c r="AI2030" s="114" t="s">
        <v>507</v>
      </c>
      <c r="AJ2030" s="114" t="s">
        <v>507</v>
      </c>
      <c r="AK2030" s="114" t="s">
        <v>507</v>
      </c>
      <c r="AL2030" s="114" t="s">
        <v>507</v>
      </c>
      <c r="AM2030" s="114" t="s">
        <v>507</v>
      </c>
      <c r="AN2030" s="114" t="s">
        <v>507</v>
      </c>
      <c r="AO2030" s="114" t="s">
        <v>507</v>
      </c>
      <c r="AP2030" s="114" t="s">
        <v>507</v>
      </c>
      <c r="AQ2030" s="114" t="s">
        <v>507</v>
      </c>
      <c r="AR2030" s="114" t="s">
        <v>507</v>
      </c>
      <c r="AS2030" s="114" t="s">
        <v>507</v>
      </c>
      <c r="AT2030" s="114" t="s">
        <v>507</v>
      </c>
      <c r="AU2030" s="114" t="s">
        <v>53</v>
      </c>
      <c r="AV2030" s="114" t="s">
        <v>507</v>
      </c>
      <c r="AW2030" s="114" t="s">
        <v>507</v>
      </c>
      <c r="AX2030" s="114" t="s">
        <v>507</v>
      </c>
      <c r="AY2030" s="114" t="s">
        <v>507</v>
      </c>
      <c r="AZ2030" s="114" t="s">
        <v>507</v>
      </c>
      <c r="BA2030" s="114" t="s">
        <v>507</v>
      </c>
    </row>
    <row r="2031" spans="1:53" s="12" customFormat="1" ht="14.4" hidden="1" x14ac:dyDescent="0.3">
      <c r="A2031" s="113" t="s">
        <v>505</v>
      </c>
      <c r="B2031" s="114" t="s">
        <v>5510</v>
      </c>
      <c r="C2031" s="114">
        <v>70</v>
      </c>
      <c r="D2031" s="114">
        <v>742</v>
      </c>
      <c r="E2031" s="114" t="s">
        <v>507</v>
      </c>
      <c r="F2031" s="118" t="s">
        <v>5583</v>
      </c>
      <c r="G2031" s="138" t="str">
        <f t="shared" si="50"/>
        <v>70742823001984-2</v>
      </c>
      <c r="H2031" s="116" t="s">
        <v>764</v>
      </c>
      <c r="I2031" s="116" t="s">
        <v>807</v>
      </c>
      <c r="J2031" s="116" t="s">
        <v>5585</v>
      </c>
      <c r="K2031" s="116" t="s">
        <v>230</v>
      </c>
      <c r="L2031" s="116">
        <v>3147560957</v>
      </c>
      <c r="M2031" s="114" t="s">
        <v>507</v>
      </c>
      <c r="N2031" s="114" t="s">
        <v>127</v>
      </c>
      <c r="O2031" s="12" t="s">
        <v>2822</v>
      </c>
      <c r="P2031" s="183" t="s">
        <v>48</v>
      </c>
      <c r="Q2031" s="129">
        <v>45547</v>
      </c>
      <c r="R2031" s="126">
        <v>0.94</v>
      </c>
      <c r="S2031" s="114" t="s">
        <v>210</v>
      </c>
      <c r="T2031" s="114"/>
      <c r="U2031" s="114" t="s">
        <v>60</v>
      </c>
      <c r="V2031" s="114" t="s">
        <v>507</v>
      </c>
      <c r="W2031" s="114" t="s">
        <v>507</v>
      </c>
      <c r="X2031" s="114" t="s">
        <v>507</v>
      </c>
      <c r="Y2031" s="114"/>
      <c r="Z2031" s="114" t="s">
        <v>507</v>
      </c>
      <c r="AA2031" s="114" t="s">
        <v>507</v>
      </c>
      <c r="AB2031" s="114" t="s">
        <v>507</v>
      </c>
      <c r="AC2031" s="114" t="s">
        <v>507</v>
      </c>
      <c r="AD2031" s="114" t="s">
        <v>507</v>
      </c>
      <c r="AE2031" s="114" t="s">
        <v>507</v>
      </c>
      <c r="AF2031" s="114" t="s">
        <v>507</v>
      </c>
      <c r="AG2031" s="114" t="s">
        <v>507</v>
      </c>
      <c r="AH2031" s="114" t="s">
        <v>507</v>
      </c>
      <c r="AI2031" s="114" t="s">
        <v>507</v>
      </c>
      <c r="AJ2031" s="114" t="s">
        <v>507</v>
      </c>
      <c r="AK2031" s="114" t="s">
        <v>507</v>
      </c>
      <c r="AL2031" s="114" t="s">
        <v>507</v>
      </c>
      <c r="AM2031" s="114" t="s">
        <v>507</v>
      </c>
      <c r="AN2031" s="114" t="s">
        <v>507</v>
      </c>
      <c r="AO2031" s="114" t="s">
        <v>507</v>
      </c>
      <c r="AP2031" s="114" t="s">
        <v>507</v>
      </c>
      <c r="AQ2031" s="114" t="s">
        <v>507</v>
      </c>
      <c r="AR2031" s="114" t="s">
        <v>507</v>
      </c>
      <c r="AS2031" s="114" t="s">
        <v>507</v>
      </c>
      <c r="AT2031" s="114" t="s">
        <v>507</v>
      </c>
      <c r="AU2031" s="114" t="s">
        <v>53</v>
      </c>
      <c r="AV2031" s="114" t="s">
        <v>507</v>
      </c>
      <c r="AW2031" s="114" t="s">
        <v>507</v>
      </c>
      <c r="AX2031" s="114" t="s">
        <v>507</v>
      </c>
      <c r="AY2031" s="114" t="s">
        <v>507</v>
      </c>
      <c r="AZ2031" s="114" t="s">
        <v>507</v>
      </c>
      <c r="BA2031" s="114" t="s">
        <v>507</v>
      </c>
    </row>
    <row r="2032" spans="1:53" s="12" customFormat="1" ht="14.4" hidden="1" x14ac:dyDescent="0.3">
      <c r="A2032" s="113" t="s">
        <v>505</v>
      </c>
      <c r="B2032" s="114" t="s">
        <v>5510</v>
      </c>
      <c r="C2032" s="114">
        <v>70</v>
      </c>
      <c r="D2032" s="114">
        <v>742</v>
      </c>
      <c r="E2032" s="114" t="s">
        <v>507</v>
      </c>
      <c r="F2032" s="118" t="s">
        <v>5586</v>
      </c>
      <c r="G2032" s="138" t="str">
        <f t="shared" si="50"/>
        <v>70742823001984-2</v>
      </c>
      <c r="H2032" s="116" t="s">
        <v>764</v>
      </c>
      <c r="I2032" s="116" t="s">
        <v>807</v>
      </c>
      <c r="J2032" s="116" t="s">
        <v>5587</v>
      </c>
      <c r="K2032" s="116" t="s">
        <v>230</v>
      </c>
      <c r="L2032" s="116">
        <v>3103198669</v>
      </c>
      <c r="M2032" s="114" t="s">
        <v>507</v>
      </c>
      <c r="N2032" s="114" t="s">
        <v>127</v>
      </c>
      <c r="O2032" s="12" t="s">
        <v>2822</v>
      </c>
      <c r="P2032" s="183" t="s">
        <v>48</v>
      </c>
      <c r="Q2032" s="129">
        <v>45577</v>
      </c>
      <c r="R2032" s="126">
        <v>0.94</v>
      </c>
      <c r="S2032" s="114" t="s">
        <v>210</v>
      </c>
      <c r="T2032" s="114"/>
      <c r="U2032" s="114" t="s">
        <v>60</v>
      </c>
      <c r="V2032" s="114" t="s">
        <v>507</v>
      </c>
      <c r="W2032" s="114" t="s">
        <v>507</v>
      </c>
      <c r="X2032" s="114" t="s">
        <v>507</v>
      </c>
      <c r="Y2032" s="114"/>
      <c r="Z2032" s="114" t="s">
        <v>507</v>
      </c>
      <c r="AA2032" s="114" t="s">
        <v>507</v>
      </c>
      <c r="AB2032" s="114" t="s">
        <v>507</v>
      </c>
      <c r="AC2032" s="114" t="s">
        <v>507</v>
      </c>
      <c r="AD2032" s="114" t="s">
        <v>507</v>
      </c>
      <c r="AE2032" s="114" t="s">
        <v>507</v>
      </c>
      <c r="AF2032" s="114" t="s">
        <v>507</v>
      </c>
      <c r="AG2032" s="114" t="s">
        <v>507</v>
      </c>
      <c r="AH2032" s="114" t="s">
        <v>507</v>
      </c>
      <c r="AI2032" s="114" t="s">
        <v>507</v>
      </c>
      <c r="AJ2032" s="114" t="s">
        <v>507</v>
      </c>
      <c r="AK2032" s="114" t="s">
        <v>507</v>
      </c>
      <c r="AL2032" s="114" t="s">
        <v>507</v>
      </c>
      <c r="AM2032" s="114" t="s">
        <v>507</v>
      </c>
      <c r="AN2032" s="114" t="s">
        <v>507</v>
      </c>
      <c r="AO2032" s="114" t="s">
        <v>507</v>
      </c>
      <c r="AP2032" s="114" t="s">
        <v>507</v>
      </c>
      <c r="AQ2032" s="114" t="s">
        <v>507</v>
      </c>
      <c r="AR2032" s="114" t="s">
        <v>507</v>
      </c>
      <c r="AS2032" s="114" t="s">
        <v>507</v>
      </c>
      <c r="AT2032" s="114" t="s">
        <v>507</v>
      </c>
      <c r="AU2032" s="114" t="s">
        <v>53</v>
      </c>
      <c r="AV2032" s="114" t="s">
        <v>507</v>
      </c>
      <c r="AW2032" s="114" t="s">
        <v>507</v>
      </c>
      <c r="AX2032" s="114" t="s">
        <v>507</v>
      </c>
      <c r="AY2032" s="114" t="s">
        <v>507</v>
      </c>
      <c r="AZ2032" s="114" t="s">
        <v>507</v>
      </c>
      <c r="BA2032" s="114" t="s">
        <v>507</v>
      </c>
    </row>
    <row r="2033" spans="1:60" s="12" customFormat="1" ht="14.4" hidden="1" x14ac:dyDescent="0.3">
      <c r="A2033" s="113" t="s">
        <v>505</v>
      </c>
      <c r="B2033" s="114" t="s">
        <v>5510</v>
      </c>
      <c r="C2033" s="114">
        <v>70</v>
      </c>
      <c r="D2033" s="114">
        <v>742</v>
      </c>
      <c r="E2033" s="114" t="s">
        <v>507</v>
      </c>
      <c r="F2033" s="118" t="s">
        <v>5588</v>
      </c>
      <c r="G2033" s="138" t="str">
        <f t="shared" si="50"/>
        <v>70742800187842-1</v>
      </c>
      <c r="H2033" s="116" t="s">
        <v>5527</v>
      </c>
      <c r="I2033" s="116" t="s">
        <v>5526</v>
      </c>
      <c r="J2033" s="116" t="s">
        <v>5589</v>
      </c>
      <c r="K2033" s="116" t="s">
        <v>230</v>
      </c>
      <c r="L2033" s="116">
        <v>3147560957</v>
      </c>
      <c r="M2033" s="128" t="s">
        <v>5529</v>
      </c>
      <c r="N2033" s="114" t="s">
        <v>127</v>
      </c>
      <c r="O2033" s="12" t="s">
        <v>2822</v>
      </c>
      <c r="P2033" s="183" t="s">
        <v>48</v>
      </c>
      <c r="Q2033" s="114" t="s">
        <v>792</v>
      </c>
      <c r="R2033" s="114" t="s">
        <v>943</v>
      </c>
      <c r="S2033" s="114" t="s">
        <v>319</v>
      </c>
      <c r="T2033" s="114"/>
      <c r="U2033" s="114" t="s">
        <v>60</v>
      </c>
      <c r="V2033" s="129">
        <v>45547</v>
      </c>
      <c r="W2033" s="114" t="s">
        <v>507</v>
      </c>
      <c r="X2033" s="114" t="s">
        <v>507</v>
      </c>
      <c r="Y2033" s="114"/>
      <c r="Z2033" s="114" t="s">
        <v>60</v>
      </c>
      <c r="AA2033" s="114" t="s">
        <v>507</v>
      </c>
      <c r="AB2033" s="114" t="s">
        <v>507</v>
      </c>
      <c r="AC2033" s="114" t="s">
        <v>507</v>
      </c>
      <c r="AD2033" s="114" t="s">
        <v>507</v>
      </c>
      <c r="AE2033" s="114" t="s">
        <v>507</v>
      </c>
      <c r="AF2033" s="114" t="s">
        <v>507</v>
      </c>
      <c r="AG2033" s="114" t="s">
        <v>507</v>
      </c>
      <c r="AH2033" s="114" t="s">
        <v>507</v>
      </c>
      <c r="AI2033" s="114" t="s">
        <v>507</v>
      </c>
      <c r="AJ2033" s="114" t="s">
        <v>507</v>
      </c>
      <c r="AK2033" s="114" t="s">
        <v>507</v>
      </c>
      <c r="AL2033" s="114" t="s">
        <v>507</v>
      </c>
      <c r="AM2033" s="114" t="s">
        <v>507</v>
      </c>
      <c r="AN2033" s="114" t="s">
        <v>507</v>
      </c>
      <c r="AO2033" s="114" t="s">
        <v>507</v>
      </c>
      <c r="AP2033" s="114" t="s">
        <v>507</v>
      </c>
      <c r="AQ2033" s="114" t="s">
        <v>507</v>
      </c>
      <c r="AR2033" s="114" t="s">
        <v>507</v>
      </c>
      <c r="AS2033" s="114" t="s">
        <v>507</v>
      </c>
      <c r="AT2033" s="114" t="s">
        <v>507</v>
      </c>
      <c r="AU2033" s="114" t="s">
        <v>53</v>
      </c>
      <c r="AV2033" s="114" t="s">
        <v>507</v>
      </c>
      <c r="AW2033" s="114" t="s">
        <v>507</v>
      </c>
      <c r="AX2033" s="114" t="s">
        <v>507</v>
      </c>
      <c r="AY2033" s="114" t="s">
        <v>507</v>
      </c>
      <c r="AZ2033" s="114" t="s">
        <v>507</v>
      </c>
      <c r="BA2033" s="114" t="s">
        <v>507</v>
      </c>
    </row>
    <row r="2034" spans="1:60" s="12" customFormat="1" ht="14.4" hidden="1" x14ac:dyDescent="0.3">
      <c r="A2034" s="113" t="s">
        <v>505</v>
      </c>
      <c r="B2034" s="114" t="s">
        <v>5510</v>
      </c>
      <c r="C2034" s="114">
        <v>70</v>
      </c>
      <c r="D2034" s="114">
        <v>742</v>
      </c>
      <c r="E2034" s="175" t="s">
        <v>8337</v>
      </c>
      <c r="F2034" s="289" t="s">
        <v>5591</v>
      </c>
      <c r="G2034" s="138" t="str">
        <f t="shared" si="50"/>
        <v>707429020247794</v>
      </c>
      <c r="H2034" s="116" t="s">
        <v>710</v>
      </c>
      <c r="I2034" s="116">
        <v>9020247794</v>
      </c>
      <c r="J2034" s="116" t="s">
        <v>5592</v>
      </c>
      <c r="K2034" s="116" t="s">
        <v>230</v>
      </c>
      <c r="L2034" s="116">
        <v>3209414267</v>
      </c>
      <c r="M2034" s="208" t="s">
        <v>8668</v>
      </c>
      <c r="N2034" s="114" t="s">
        <v>127</v>
      </c>
      <c r="O2034" s="12" t="s">
        <v>2822</v>
      </c>
      <c r="P2034" s="183" t="s">
        <v>48</v>
      </c>
      <c r="Q2034" s="13">
        <v>46073</v>
      </c>
      <c r="R2034" s="12" t="s">
        <v>4569</v>
      </c>
      <c r="S2034" s="12" t="s">
        <v>49</v>
      </c>
      <c r="T2034" s="114"/>
      <c r="U2034" s="114" t="s">
        <v>60</v>
      </c>
      <c r="V2034" s="114" t="s">
        <v>721</v>
      </c>
      <c r="W2034" s="126">
        <v>0.94</v>
      </c>
      <c r="X2034" s="114" t="s">
        <v>210</v>
      </c>
      <c r="Y2034" s="114"/>
      <c r="Z2034" s="175" t="s">
        <v>2881</v>
      </c>
      <c r="AA2034" s="114" t="s">
        <v>507</v>
      </c>
      <c r="AB2034" s="114" t="s">
        <v>507</v>
      </c>
      <c r="AC2034" s="114" t="s">
        <v>507</v>
      </c>
      <c r="AD2034" s="114" t="s">
        <v>507</v>
      </c>
      <c r="AE2034" s="114" t="s">
        <v>507</v>
      </c>
      <c r="AF2034" s="114" t="s">
        <v>507</v>
      </c>
      <c r="AG2034" s="114" t="s">
        <v>507</v>
      </c>
      <c r="AH2034" s="114" t="s">
        <v>507</v>
      </c>
      <c r="AI2034" s="114" t="s">
        <v>507</v>
      </c>
      <c r="AJ2034" s="114" t="s">
        <v>507</v>
      </c>
      <c r="AK2034" s="114" t="s">
        <v>507</v>
      </c>
      <c r="AL2034" s="114" t="s">
        <v>507</v>
      </c>
      <c r="AM2034" s="114" t="s">
        <v>507</v>
      </c>
      <c r="AN2034" s="114" t="s">
        <v>507</v>
      </c>
      <c r="AO2034" s="114" t="s">
        <v>507</v>
      </c>
      <c r="AP2034" s="114" t="s">
        <v>507</v>
      </c>
      <c r="AQ2034" s="114" t="s">
        <v>507</v>
      </c>
      <c r="AR2034" s="114" t="s">
        <v>507</v>
      </c>
      <c r="AS2034" s="114" t="s">
        <v>507</v>
      </c>
      <c r="AT2034" s="175"/>
      <c r="AU2034" s="114" t="s">
        <v>53</v>
      </c>
      <c r="AV2034" s="114" t="s">
        <v>507</v>
      </c>
      <c r="AW2034" s="114" t="s">
        <v>507</v>
      </c>
      <c r="AX2034" s="114" t="s">
        <v>507</v>
      </c>
      <c r="AY2034" s="114" t="s">
        <v>507</v>
      </c>
      <c r="AZ2034" s="114" t="s">
        <v>507</v>
      </c>
      <c r="BA2034" s="114" t="s">
        <v>507</v>
      </c>
    </row>
    <row r="2035" spans="1:60" s="12" customFormat="1" ht="14.4" hidden="1" x14ac:dyDescent="0.3">
      <c r="A2035" s="113" t="s">
        <v>505</v>
      </c>
      <c r="B2035" s="114" t="s">
        <v>5510</v>
      </c>
      <c r="C2035" s="114">
        <v>70</v>
      </c>
      <c r="D2035" s="114">
        <v>742</v>
      </c>
      <c r="E2035" s="175" t="s">
        <v>8410</v>
      </c>
      <c r="F2035" s="289" t="s">
        <v>5593</v>
      </c>
      <c r="G2035" s="138" t="str">
        <f t="shared" si="50"/>
        <v>707429020211365</v>
      </c>
      <c r="H2035" s="206" t="s">
        <v>8464</v>
      </c>
      <c r="I2035" s="116">
        <v>9020211365</v>
      </c>
      <c r="J2035" s="269" t="s">
        <v>8343</v>
      </c>
      <c r="K2035" s="116" t="s">
        <v>133</v>
      </c>
      <c r="L2035" s="116">
        <v>3182212565</v>
      </c>
      <c r="M2035" s="208" t="s">
        <v>8466</v>
      </c>
      <c r="N2035" s="114" t="s">
        <v>127</v>
      </c>
      <c r="O2035" s="12" t="s">
        <v>2822</v>
      </c>
      <c r="P2035" s="183" t="s">
        <v>48</v>
      </c>
      <c r="Q2035" s="13">
        <v>46100</v>
      </c>
      <c r="R2035" s="16">
        <v>0.94</v>
      </c>
      <c r="S2035" s="12" t="s">
        <v>49</v>
      </c>
      <c r="T2035" s="114"/>
      <c r="U2035" s="114" t="s">
        <v>60</v>
      </c>
      <c r="V2035" s="129">
        <v>45994</v>
      </c>
      <c r="W2035" s="126">
        <v>0.95</v>
      </c>
      <c r="X2035" s="114" t="s">
        <v>319</v>
      </c>
      <c r="Z2035" s="12" t="s">
        <v>2881</v>
      </c>
      <c r="AA2035" s="114" t="s">
        <v>507</v>
      </c>
      <c r="AB2035" s="114" t="s">
        <v>507</v>
      </c>
      <c r="AC2035" s="114" t="s">
        <v>3245</v>
      </c>
      <c r="AD2035" s="114" t="s">
        <v>5594</v>
      </c>
      <c r="AE2035" s="114" t="s">
        <v>49</v>
      </c>
      <c r="AF2035" s="175" t="s">
        <v>60</v>
      </c>
      <c r="AG2035" s="114"/>
      <c r="AH2035" s="114" t="s">
        <v>507</v>
      </c>
      <c r="AI2035" s="114" t="s">
        <v>507</v>
      </c>
      <c r="AJ2035" s="114" t="s">
        <v>507</v>
      </c>
      <c r="AK2035" s="114" t="s">
        <v>507</v>
      </c>
      <c r="AL2035" s="114" t="s">
        <v>507</v>
      </c>
      <c r="AM2035" s="114" t="s">
        <v>507</v>
      </c>
      <c r="AN2035" s="114" t="s">
        <v>507</v>
      </c>
      <c r="AO2035" s="114" t="s">
        <v>507</v>
      </c>
      <c r="AP2035" s="114" t="s">
        <v>507</v>
      </c>
      <c r="AQ2035" s="114" t="s">
        <v>507</v>
      </c>
      <c r="AR2035" s="114" t="s">
        <v>507</v>
      </c>
      <c r="AS2035" s="114" t="s">
        <v>507</v>
      </c>
      <c r="AT2035" s="114" t="s">
        <v>507</v>
      </c>
      <c r="AU2035" s="114" t="s">
        <v>53</v>
      </c>
      <c r="AV2035" s="114" t="s">
        <v>507</v>
      </c>
      <c r="AW2035" s="114" t="s">
        <v>507</v>
      </c>
      <c r="AX2035" s="114" t="s">
        <v>507</v>
      </c>
      <c r="AY2035" s="114" t="s">
        <v>507</v>
      </c>
      <c r="AZ2035" s="114" t="s">
        <v>507</v>
      </c>
      <c r="BA2035" s="114" t="s">
        <v>507</v>
      </c>
    </row>
    <row r="2036" spans="1:60" s="12" customFormat="1" ht="14.4" hidden="1" x14ac:dyDescent="0.3">
      <c r="A2036" s="113" t="s">
        <v>505</v>
      </c>
      <c r="B2036" s="114" t="s">
        <v>5510</v>
      </c>
      <c r="C2036" s="114">
        <v>70</v>
      </c>
      <c r="D2036" s="114">
        <v>742</v>
      </c>
      <c r="E2036" s="175" t="s">
        <v>5590</v>
      </c>
      <c r="F2036" s="118" t="s">
        <v>5501</v>
      </c>
      <c r="G2036" s="138" t="str">
        <f t="shared" si="50"/>
        <v>707429017484310</v>
      </c>
      <c r="H2036" s="206" t="s">
        <v>710</v>
      </c>
      <c r="I2036" s="116">
        <v>9017484310</v>
      </c>
      <c r="J2036" s="207" t="s">
        <v>7872</v>
      </c>
      <c r="K2036" s="206" t="s">
        <v>133</v>
      </c>
      <c r="L2036" s="116">
        <v>3024455838</v>
      </c>
      <c r="M2036" s="208" t="s">
        <v>788</v>
      </c>
      <c r="N2036" s="175" t="s">
        <v>127</v>
      </c>
      <c r="O2036" s="12" t="s">
        <v>2822</v>
      </c>
      <c r="P2036" s="209" t="s">
        <v>48</v>
      </c>
      <c r="Q2036" s="129">
        <v>45776</v>
      </c>
      <c r="R2036" s="210" t="s">
        <v>5075</v>
      </c>
      <c r="S2036" s="175" t="s">
        <v>210</v>
      </c>
      <c r="T2036" s="114"/>
      <c r="U2036" s="175" t="s">
        <v>2881</v>
      </c>
      <c r="V2036" s="114"/>
      <c r="W2036" s="114"/>
      <c r="X2036" s="114"/>
      <c r="Y2036" s="114"/>
      <c r="Z2036" s="114"/>
      <c r="AA2036" s="114"/>
      <c r="AB2036" s="114"/>
      <c r="AC2036" s="114"/>
      <c r="AD2036" s="114"/>
      <c r="AE2036" s="114"/>
      <c r="AF2036" s="114"/>
      <c r="AG2036" s="114"/>
      <c r="AH2036" s="114"/>
      <c r="AI2036" s="114"/>
      <c r="AJ2036" s="114"/>
      <c r="AK2036" s="114"/>
      <c r="AL2036" s="114"/>
      <c r="AM2036" s="114"/>
      <c r="AN2036" s="114"/>
      <c r="AO2036" s="114"/>
      <c r="AP2036" s="114"/>
      <c r="AQ2036" s="114"/>
      <c r="AR2036" s="114"/>
      <c r="AS2036" s="114"/>
      <c r="AT2036" s="114"/>
      <c r="AU2036" s="114" t="s">
        <v>53</v>
      </c>
      <c r="AV2036" s="114"/>
      <c r="AW2036" s="114"/>
      <c r="AX2036" s="114"/>
      <c r="AY2036" s="114"/>
      <c r="AZ2036" s="114"/>
      <c r="BA2036" s="114"/>
    </row>
    <row r="2037" spans="1:60" s="12" customFormat="1" ht="14.4" hidden="1" x14ac:dyDescent="0.3">
      <c r="A2037" s="113" t="s">
        <v>505</v>
      </c>
      <c r="B2037" s="114" t="s">
        <v>5510</v>
      </c>
      <c r="C2037" s="114">
        <v>70</v>
      </c>
      <c r="D2037" s="114">
        <v>742</v>
      </c>
      <c r="E2037" s="175" t="s">
        <v>8337</v>
      </c>
      <c r="F2037" s="289" t="s">
        <v>5595</v>
      </c>
      <c r="G2037" s="138" t="str">
        <f t="shared" si="50"/>
        <v>707429020247794</v>
      </c>
      <c r="H2037" s="116" t="s">
        <v>710</v>
      </c>
      <c r="I2037" s="116">
        <v>9020247794</v>
      </c>
      <c r="J2037" s="116" t="s">
        <v>5596</v>
      </c>
      <c r="K2037" s="116" t="s">
        <v>230</v>
      </c>
      <c r="L2037" s="116">
        <v>3209414267</v>
      </c>
      <c r="M2037" s="208" t="s">
        <v>8668</v>
      </c>
      <c r="N2037" s="114" t="s">
        <v>127</v>
      </c>
      <c r="O2037" s="12" t="s">
        <v>2822</v>
      </c>
      <c r="P2037" s="183" t="s">
        <v>48</v>
      </c>
      <c r="Q2037" s="257">
        <v>46073</v>
      </c>
      <c r="R2037" s="214" t="s">
        <v>167</v>
      </c>
      <c r="S2037" s="214" t="s">
        <v>49</v>
      </c>
      <c r="T2037" s="222"/>
      <c r="U2037" s="222" t="s">
        <v>60</v>
      </c>
      <c r="V2037" s="222" t="s">
        <v>727</v>
      </c>
      <c r="W2037" s="229">
        <v>0.91</v>
      </c>
      <c r="X2037" s="222" t="s">
        <v>210</v>
      </c>
      <c r="Y2037" s="214"/>
      <c r="Z2037" s="214" t="s">
        <v>2881</v>
      </c>
      <c r="AA2037" s="222" t="s">
        <v>507</v>
      </c>
      <c r="AB2037" s="222" t="s">
        <v>507</v>
      </c>
      <c r="AC2037" s="222" t="s">
        <v>5597</v>
      </c>
      <c r="AD2037" s="229">
        <v>0.93</v>
      </c>
      <c r="AE2037" s="222" t="s">
        <v>210</v>
      </c>
      <c r="AF2037" s="227" t="s">
        <v>60</v>
      </c>
      <c r="AG2037" s="222"/>
      <c r="AH2037" s="222" t="s">
        <v>507</v>
      </c>
      <c r="AI2037" s="222" t="s">
        <v>507</v>
      </c>
      <c r="AJ2037" s="222" t="s">
        <v>507</v>
      </c>
      <c r="AK2037" s="222" t="s">
        <v>507</v>
      </c>
      <c r="AL2037" s="222" t="s">
        <v>507</v>
      </c>
      <c r="AM2037" s="222" t="s">
        <v>507</v>
      </c>
      <c r="AN2037" s="222" t="s">
        <v>507</v>
      </c>
      <c r="AO2037" s="222" t="s">
        <v>507</v>
      </c>
      <c r="AP2037" s="222" t="s">
        <v>507</v>
      </c>
      <c r="AQ2037" s="222" t="s">
        <v>507</v>
      </c>
      <c r="AR2037" s="222" t="s">
        <v>507</v>
      </c>
      <c r="AS2037" s="222" t="s">
        <v>507</v>
      </c>
      <c r="AT2037" s="222" t="s">
        <v>507</v>
      </c>
      <c r="AU2037" s="222" t="s">
        <v>53</v>
      </c>
      <c r="AV2037" s="222" t="s">
        <v>507</v>
      </c>
      <c r="AW2037" s="222" t="s">
        <v>507</v>
      </c>
      <c r="AX2037" s="222" t="s">
        <v>507</v>
      </c>
      <c r="AY2037" s="222" t="s">
        <v>507</v>
      </c>
      <c r="AZ2037" s="222" t="s">
        <v>507</v>
      </c>
      <c r="BA2037" s="222" t="s">
        <v>507</v>
      </c>
      <c r="BB2037" s="214"/>
      <c r="BC2037" s="214"/>
      <c r="BD2037" s="214"/>
      <c r="BE2037" s="214"/>
      <c r="BF2037" s="214"/>
      <c r="BG2037" s="214"/>
    </row>
    <row r="2038" spans="1:60" s="12" customFormat="1" ht="28.8" hidden="1" x14ac:dyDescent="0.3">
      <c r="A2038" s="113" t="s">
        <v>505</v>
      </c>
      <c r="B2038" s="114" t="s">
        <v>5510</v>
      </c>
      <c r="C2038" s="114">
        <v>70</v>
      </c>
      <c r="D2038" s="114">
        <v>742</v>
      </c>
      <c r="E2038" s="116" t="s">
        <v>5573</v>
      </c>
      <c r="F2038" s="289" t="s">
        <v>9576</v>
      </c>
      <c r="G2038" s="138" t="str">
        <f t="shared" si="50"/>
        <v>707428001878421</v>
      </c>
      <c r="H2038" s="116" t="s">
        <v>5527</v>
      </c>
      <c r="I2038" s="116">
        <v>8001878421</v>
      </c>
      <c r="J2038" s="116" t="s">
        <v>9577</v>
      </c>
      <c r="K2038" s="116" t="s">
        <v>44</v>
      </c>
      <c r="L2038" s="116">
        <v>3147161515</v>
      </c>
      <c r="M2038" s="208" t="s">
        <v>9578</v>
      </c>
      <c r="N2038" s="175" t="s">
        <v>127</v>
      </c>
      <c r="O2038" s="12" t="s">
        <v>2822</v>
      </c>
      <c r="P2038" s="209" t="s">
        <v>48</v>
      </c>
      <c r="Q2038" s="241">
        <v>46183</v>
      </c>
      <c r="R2038" s="216" t="s">
        <v>8587</v>
      </c>
      <c r="S2038" s="214" t="s">
        <v>49</v>
      </c>
      <c r="T2038" s="111"/>
      <c r="U2038" s="235" t="s">
        <v>50</v>
      </c>
      <c r="V2038" s="111"/>
      <c r="W2038" s="386"/>
      <c r="X2038" s="111"/>
      <c r="Y2038" s="216"/>
      <c r="Z2038" s="216"/>
      <c r="AA2038" s="111"/>
      <c r="AB2038" s="111"/>
      <c r="AC2038" s="111"/>
      <c r="AD2038" s="386"/>
      <c r="AE2038" s="111"/>
      <c r="AF2038" s="235"/>
      <c r="AG2038" s="111"/>
      <c r="AH2038" s="111"/>
      <c r="AI2038" s="111"/>
      <c r="AJ2038" s="111"/>
      <c r="AK2038" s="111"/>
      <c r="AL2038" s="111"/>
      <c r="AM2038" s="111"/>
      <c r="AN2038" s="111"/>
      <c r="AO2038" s="111"/>
      <c r="AP2038" s="111"/>
      <c r="AQ2038" s="111"/>
      <c r="AR2038" s="111"/>
      <c r="AS2038" s="111"/>
      <c r="AT2038" s="111"/>
      <c r="AU2038" s="235" t="s">
        <v>53</v>
      </c>
      <c r="AV2038" s="111"/>
      <c r="AW2038" s="111"/>
      <c r="AX2038" s="111"/>
      <c r="AY2038" s="111"/>
      <c r="AZ2038" s="111"/>
      <c r="BA2038" s="111"/>
      <c r="BB2038" s="216"/>
      <c r="BC2038" s="216"/>
      <c r="BD2038" s="216"/>
      <c r="BE2038" s="216"/>
      <c r="BF2038" s="216"/>
      <c r="BG2038" s="216"/>
      <c r="BH2038" s="220"/>
    </row>
    <row r="2039" spans="1:60" s="12" customFormat="1" ht="26.25" hidden="1" customHeight="1" x14ac:dyDescent="0.3">
      <c r="A2039" s="113" t="s">
        <v>505</v>
      </c>
      <c r="B2039" s="114" t="s">
        <v>5510</v>
      </c>
      <c r="C2039" s="114">
        <v>70</v>
      </c>
      <c r="D2039" s="114">
        <v>742</v>
      </c>
      <c r="E2039" s="116" t="s">
        <v>5573</v>
      </c>
      <c r="F2039" s="118" t="s">
        <v>5598</v>
      </c>
      <c r="G2039" s="138" t="str">
        <f t="shared" si="50"/>
        <v>70742800187842-1</v>
      </c>
      <c r="H2039" s="116" t="s">
        <v>5571</v>
      </c>
      <c r="I2039" s="116" t="s">
        <v>5526</v>
      </c>
      <c r="J2039" s="116" t="s">
        <v>5599</v>
      </c>
      <c r="K2039" s="116" t="s">
        <v>230</v>
      </c>
      <c r="L2039" s="116">
        <v>3234537152</v>
      </c>
      <c r="M2039" s="128" t="s">
        <v>5576</v>
      </c>
      <c r="N2039" s="114" t="s">
        <v>127</v>
      </c>
      <c r="O2039" s="12" t="s">
        <v>2822</v>
      </c>
      <c r="P2039" s="183" t="s">
        <v>48</v>
      </c>
      <c r="Q2039" s="114" t="s">
        <v>5600</v>
      </c>
      <c r="R2039" s="114" t="s">
        <v>5601</v>
      </c>
      <c r="S2039" s="114" t="s">
        <v>49</v>
      </c>
      <c r="T2039" s="114"/>
      <c r="U2039" s="114" t="s">
        <v>60</v>
      </c>
      <c r="V2039" s="114" t="s">
        <v>507</v>
      </c>
      <c r="W2039" s="114" t="s">
        <v>507</v>
      </c>
      <c r="X2039" s="114" t="s">
        <v>507</v>
      </c>
      <c r="Y2039" s="114"/>
      <c r="Z2039" s="114" t="s">
        <v>507</v>
      </c>
      <c r="AA2039" s="114" t="s">
        <v>507</v>
      </c>
      <c r="AB2039" s="114" t="s">
        <v>507</v>
      </c>
      <c r="AC2039" s="114" t="s">
        <v>507</v>
      </c>
      <c r="AD2039" s="114" t="s">
        <v>507</v>
      </c>
      <c r="AE2039" s="114" t="s">
        <v>507</v>
      </c>
      <c r="AF2039" s="114" t="s">
        <v>507</v>
      </c>
      <c r="AG2039" s="114" t="s">
        <v>507</v>
      </c>
      <c r="AH2039" s="114" t="s">
        <v>507</v>
      </c>
      <c r="AI2039" s="114" t="s">
        <v>507</v>
      </c>
      <c r="AJ2039" s="114" t="s">
        <v>507</v>
      </c>
      <c r="AK2039" s="114" t="s">
        <v>507</v>
      </c>
      <c r="AL2039" s="114" t="s">
        <v>507</v>
      </c>
      <c r="AM2039" s="114" t="s">
        <v>507</v>
      </c>
      <c r="AN2039" s="114" t="s">
        <v>507</v>
      </c>
      <c r="AO2039" s="114" t="s">
        <v>507</v>
      </c>
      <c r="AP2039" s="114" t="s">
        <v>507</v>
      </c>
      <c r="AQ2039" s="114" t="s">
        <v>507</v>
      </c>
      <c r="AR2039" s="114" t="s">
        <v>507</v>
      </c>
      <c r="AS2039" s="114" t="s">
        <v>507</v>
      </c>
      <c r="AT2039" s="114" t="s">
        <v>507</v>
      </c>
      <c r="AU2039" s="114" t="s">
        <v>53</v>
      </c>
      <c r="AV2039" s="114" t="s">
        <v>507</v>
      </c>
      <c r="AW2039" s="114" t="s">
        <v>507</v>
      </c>
      <c r="AX2039" s="114" t="s">
        <v>507</v>
      </c>
      <c r="AY2039" s="114" t="s">
        <v>507</v>
      </c>
      <c r="AZ2039" s="114" t="s">
        <v>507</v>
      </c>
      <c r="BA2039" s="114" t="s">
        <v>507</v>
      </c>
      <c r="BB2039" s="215"/>
      <c r="BC2039" s="215"/>
      <c r="BD2039" s="215"/>
      <c r="BE2039" s="215"/>
      <c r="BF2039" s="215"/>
      <c r="BG2039" s="215"/>
    </row>
    <row r="2040" spans="1:60" s="12" customFormat="1" ht="14.4" hidden="1" x14ac:dyDescent="0.3">
      <c r="A2040" s="113" t="s">
        <v>505</v>
      </c>
      <c r="B2040" s="114" t="s">
        <v>5510</v>
      </c>
      <c r="C2040" s="114">
        <v>70</v>
      </c>
      <c r="D2040" s="114">
        <v>742</v>
      </c>
      <c r="E2040" s="114" t="s">
        <v>507</v>
      </c>
      <c r="F2040" s="114" t="s">
        <v>5602</v>
      </c>
      <c r="G2040" s="138" t="str">
        <f t="shared" si="50"/>
        <v>707429004805691</v>
      </c>
      <c r="H2040" s="114" t="s">
        <v>5603</v>
      </c>
      <c r="I2040" s="114">
        <v>9004805691</v>
      </c>
      <c r="J2040" s="114" t="s">
        <v>5604</v>
      </c>
      <c r="K2040" s="116" t="s">
        <v>230</v>
      </c>
      <c r="L2040" s="114">
        <v>3015953645</v>
      </c>
      <c r="M2040" s="114" t="s">
        <v>5605</v>
      </c>
      <c r="N2040" s="114" t="s">
        <v>1757</v>
      </c>
      <c r="O2040" s="114" t="s">
        <v>1758</v>
      </c>
      <c r="P2040" s="183" t="s">
        <v>48</v>
      </c>
      <c r="Q2040" s="129">
        <v>45361</v>
      </c>
      <c r="R2040" s="126">
        <v>0.95</v>
      </c>
      <c r="S2040" s="114" t="s">
        <v>210</v>
      </c>
      <c r="T2040" s="114"/>
      <c r="U2040" s="114" t="s">
        <v>60</v>
      </c>
      <c r="V2040" s="129">
        <v>45058</v>
      </c>
      <c r="W2040" s="114" t="s">
        <v>5606</v>
      </c>
      <c r="X2040" s="114" t="s">
        <v>49</v>
      </c>
      <c r="Y2040" s="114"/>
      <c r="Z2040" s="114" t="s">
        <v>60</v>
      </c>
      <c r="AA2040" s="114" t="s">
        <v>507</v>
      </c>
      <c r="AB2040" s="114" t="s">
        <v>507</v>
      </c>
      <c r="AC2040" s="114" t="s">
        <v>507</v>
      </c>
      <c r="AD2040" s="114" t="s">
        <v>507</v>
      </c>
      <c r="AE2040" s="114" t="s">
        <v>507</v>
      </c>
      <c r="AF2040" s="114" t="s">
        <v>507</v>
      </c>
      <c r="AG2040" s="114" t="s">
        <v>507</v>
      </c>
      <c r="AH2040" s="114" t="s">
        <v>507</v>
      </c>
      <c r="AI2040" s="114" t="s">
        <v>507</v>
      </c>
      <c r="AJ2040" s="114" t="s">
        <v>507</v>
      </c>
      <c r="AK2040" s="114" t="s">
        <v>507</v>
      </c>
      <c r="AL2040" s="114" t="s">
        <v>507</v>
      </c>
      <c r="AM2040" s="114" t="s">
        <v>507</v>
      </c>
      <c r="AN2040" s="114" t="s">
        <v>507</v>
      </c>
      <c r="AO2040" s="114" t="s">
        <v>507</v>
      </c>
      <c r="AP2040" s="114" t="s">
        <v>507</v>
      </c>
      <c r="AQ2040" s="114" t="s">
        <v>507</v>
      </c>
      <c r="AR2040" s="114" t="s">
        <v>507</v>
      </c>
      <c r="AS2040" s="114" t="s">
        <v>507</v>
      </c>
      <c r="AT2040" s="114" t="s">
        <v>507</v>
      </c>
      <c r="AU2040" s="114" t="s">
        <v>53</v>
      </c>
      <c r="AV2040" s="114" t="s">
        <v>507</v>
      </c>
      <c r="AW2040" s="114" t="s">
        <v>507</v>
      </c>
      <c r="AX2040" s="114" t="s">
        <v>507</v>
      </c>
      <c r="AY2040" s="114" t="s">
        <v>507</v>
      </c>
      <c r="AZ2040" s="114" t="s">
        <v>507</v>
      </c>
      <c r="BA2040" s="114" t="s">
        <v>507</v>
      </c>
    </row>
    <row r="2041" spans="1:60" s="12" customFormat="1" ht="14.4" hidden="1" x14ac:dyDescent="0.3">
      <c r="A2041" s="113" t="s">
        <v>505</v>
      </c>
      <c r="B2041" s="114" t="s">
        <v>5510</v>
      </c>
      <c r="C2041" s="114">
        <v>70</v>
      </c>
      <c r="D2041" s="114">
        <v>742</v>
      </c>
      <c r="E2041" s="114" t="s">
        <v>507</v>
      </c>
      <c r="F2041" s="118" t="s">
        <v>5607</v>
      </c>
      <c r="G2041" s="138" t="str">
        <f t="shared" si="50"/>
        <v>7074292026465</v>
      </c>
      <c r="H2041" s="116" t="s">
        <v>5608</v>
      </c>
      <c r="I2041" s="116">
        <v>92026465</v>
      </c>
      <c r="J2041" s="116" t="s">
        <v>5609</v>
      </c>
      <c r="K2041" s="116" t="s">
        <v>230</v>
      </c>
      <c r="L2041" s="114">
        <v>3215407606</v>
      </c>
      <c r="M2041" s="125" t="s">
        <v>5610</v>
      </c>
      <c r="N2041" s="114" t="s">
        <v>780</v>
      </c>
      <c r="O2041" s="12" t="s">
        <v>260</v>
      </c>
      <c r="P2041" s="238" t="s">
        <v>8022</v>
      </c>
      <c r="Q2041" s="127">
        <v>45358</v>
      </c>
      <c r="R2041" s="126">
        <v>0.85</v>
      </c>
      <c r="S2041" s="114" t="s">
        <v>49</v>
      </c>
      <c r="T2041" s="114"/>
      <c r="U2041" s="114" t="s">
        <v>60</v>
      </c>
      <c r="V2041" s="129">
        <v>45117</v>
      </c>
      <c r="W2041" s="126">
        <v>0.69</v>
      </c>
      <c r="X2041" s="114" t="s">
        <v>49</v>
      </c>
      <c r="Y2041" s="114"/>
      <c r="Z2041" s="114" t="s">
        <v>60</v>
      </c>
      <c r="AA2041" s="114" t="s">
        <v>507</v>
      </c>
      <c r="AB2041" s="114" t="s">
        <v>507</v>
      </c>
      <c r="AC2041" s="116" t="s">
        <v>5611</v>
      </c>
      <c r="AD2041" s="114" t="s">
        <v>5612</v>
      </c>
      <c r="AE2041" s="114" t="s">
        <v>49</v>
      </c>
      <c r="AF2041" s="114" t="s">
        <v>60</v>
      </c>
      <c r="AG2041" s="114" t="s">
        <v>507</v>
      </c>
      <c r="AH2041" s="114" t="s">
        <v>507</v>
      </c>
      <c r="AI2041" s="114" t="s">
        <v>507</v>
      </c>
      <c r="AJ2041" s="114" t="s">
        <v>507</v>
      </c>
      <c r="AK2041" s="114" t="s">
        <v>507</v>
      </c>
      <c r="AL2041" s="114" t="s">
        <v>507</v>
      </c>
      <c r="AM2041" s="114" t="s">
        <v>507</v>
      </c>
      <c r="AN2041" s="114" t="s">
        <v>507</v>
      </c>
      <c r="AO2041" s="114" t="s">
        <v>507</v>
      </c>
      <c r="AP2041" s="114" t="s">
        <v>507</v>
      </c>
      <c r="AQ2041" s="114" t="s">
        <v>507</v>
      </c>
      <c r="AR2041" s="114" t="s">
        <v>507</v>
      </c>
      <c r="AS2041" s="114" t="s">
        <v>507</v>
      </c>
      <c r="AT2041" s="114" t="s">
        <v>507</v>
      </c>
      <c r="AU2041" s="114" t="s">
        <v>53</v>
      </c>
      <c r="AV2041" s="114" t="s">
        <v>507</v>
      </c>
      <c r="AW2041" s="114" t="s">
        <v>507</v>
      </c>
      <c r="AX2041" s="114" t="s">
        <v>507</v>
      </c>
      <c r="AY2041" s="114" t="s">
        <v>507</v>
      </c>
      <c r="AZ2041" s="114" t="s">
        <v>507</v>
      </c>
      <c r="BA2041" s="114" t="s">
        <v>507</v>
      </c>
    </row>
    <row r="2042" spans="1:60" s="12" customFormat="1" ht="14.4" hidden="1" x14ac:dyDescent="0.3">
      <c r="A2042" s="113" t="s">
        <v>505</v>
      </c>
      <c r="B2042" s="114" t="s">
        <v>5510</v>
      </c>
      <c r="C2042" s="114">
        <v>70</v>
      </c>
      <c r="D2042" s="114">
        <v>742</v>
      </c>
      <c r="E2042" s="114" t="s">
        <v>507</v>
      </c>
      <c r="F2042" s="118" t="s">
        <v>5613</v>
      </c>
      <c r="G2042" s="138" t="str">
        <f t="shared" si="50"/>
        <v>70742707429203102</v>
      </c>
      <c r="H2042" s="116" t="s">
        <v>5614</v>
      </c>
      <c r="I2042" s="116">
        <v>707429203102</v>
      </c>
      <c r="J2042" s="116" t="s">
        <v>5615</v>
      </c>
      <c r="K2042" s="116" t="s">
        <v>230</v>
      </c>
      <c r="L2042" s="114">
        <v>3205430176</v>
      </c>
      <c r="M2042" s="125" t="s">
        <v>5616</v>
      </c>
      <c r="N2042" s="114" t="s">
        <v>780</v>
      </c>
      <c r="O2042" s="12" t="s">
        <v>260</v>
      </c>
      <c r="P2042" s="238" t="s">
        <v>8022</v>
      </c>
      <c r="Q2042" s="114" t="s">
        <v>2599</v>
      </c>
      <c r="R2042" s="114" t="s">
        <v>5617</v>
      </c>
      <c r="S2042" s="114" t="s">
        <v>49</v>
      </c>
      <c r="T2042" s="114"/>
      <c r="U2042" s="114" t="s">
        <v>60</v>
      </c>
      <c r="V2042" s="114" t="s">
        <v>2538</v>
      </c>
      <c r="W2042" s="114" t="s">
        <v>918</v>
      </c>
      <c r="X2042" s="114" t="s">
        <v>49</v>
      </c>
      <c r="Y2042" s="114"/>
      <c r="Z2042" s="114" t="s">
        <v>60</v>
      </c>
      <c r="AA2042" s="114" t="s">
        <v>507</v>
      </c>
      <c r="AB2042" s="114" t="s">
        <v>507</v>
      </c>
      <c r="AC2042" s="114" t="s">
        <v>5618</v>
      </c>
      <c r="AD2042" s="114" t="s">
        <v>918</v>
      </c>
      <c r="AE2042" s="114" t="s">
        <v>49</v>
      </c>
      <c r="AF2042" s="114" t="s">
        <v>60</v>
      </c>
      <c r="AG2042" s="114" t="s">
        <v>507</v>
      </c>
      <c r="AH2042" s="114" t="s">
        <v>507</v>
      </c>
      <c r="AI2042" s="116" t="s">
        <v>5619</v>
      </c>
      <c r="AJ2042" s="114" t="s">
        <v>887</v>
      </c>
      <c r="AK2042" s="114" t="s">
        <v>49</v>
      </c>
      <c r="AL2042" s="114" t="s">
        <v>60</v>
      </c>
      <c r="AM2042" s="114" t="s">
        <v>507</v>
      </c>
      <c r="AN2042" s="114" t="s">
        <v>507</v>
      </c>
      <c r="AO2042" s="114" t="s">
        <v>507</v>
      </c>
      <c r="AP2042" s="114" t="s">
        <v>507</v>
      </c>
      <c r="AQ2042" s="114" t="s">
        <v>507</v>
      </c>
      <c r="AR2042" s="114" t="s">
        <v>507</v>
      </c>
      <c r="AS2042" s="114" t="s">
        <v>507</v>
      </c>
      <c r="AT2042" s="114" t="s">
        <v>507</v>
      </c>
      <c r="AU2042" s="114" t="s">
        <v>53</v>
      </c>
      <c r="AV2042" s="114" t="s">
        <v>507</v>
      </c>
      <c r="AW2042" s="114" t="s">
        <v>507</v>
      </c>
      <c r="AX2042" s="114" t="s">
        <v>507</v>
      </c>
      <c r="AY2042" s="114" t="s">
        <v>507</v>
      </c>
      <c r="AZ2042" s="114" t="s">
        <v>507</v>
      </c>
      <c r="BA2042" s="114" t="s">
        <v>507</v>
      </c>
    </row>
    <row r="2043" spans="1:60" s="12" customFormat="1" ht="14.4" hidden="1" x14ac:dyDescent="0.3">
      <c r="A2043" s="113" t="s">
        <v>505</v>
      </c>
      <c r="B2043" s="114" t="s">
        <v>5510</v>
      </c>
      <c r="C2043" s="114">
        <v>70</v>
      </c>
      <c r="D2043" s="114">
        <v>742</v>
      </c>
      <c r="E2043" s="114" t="s">
        <v>507</v>
      </c>
      <c r="F2043" s="118" t="s">
        <v>5620</v>
      </c>
      <c r="G2043" s="138" t="str">
        <f t="shared" si="50"/>
        <v>7074292030550</v>
      </c>
      <c r="H2043" s="116" t="s">
        <v>5621</v>
      </c>
      <c r="I2043" s="116">
        <v>92030550</v>
      </c>
      <c r="J2043" s="116" t="s">
        <v>5622</v>
      </c>
      <c r="K2043" s="116" t="s">
        <v>230</v>
      </c>
      <c r="L2043" s="114" t="s">
        <v>507</v>
      </c>
      <c r="M2043" s="131" t="s">
        <v>507</v>
      </c>
      <c r="N2043" s="114" t="s">
        <v>780</v>
      </c>
      <c r="O2043" s="12" t="s">
        <v>260</v>
      </c>
      <c r="P2043" s="238" t="s">
        <v>8022</v>
      </c>
      <c r="Q2043" s="127">
        <v>45512</v>
      </c>
      <c r="R2043" s="126">
        <v>0.76</v>
      </c>
      <c r="S2043" s="114" t="s">
        <v>49</v>
      </c>
      <c r="T2043" s="114"/>
      <c r="U2043" s="114" t="s">
        <v>60</v>
      </c>
      <c r="V2043" s="127">
        <v>44203</v>
      </c>
      <c r="W2043" s="126">
        <v>0.76</v>
      </c>
      <c r="X2043" s="114" t="s">
        <v>49</v>
      </c>
      <c r="Y2043" s="114"/>
      <c r="Z2043" s="114" t="s">
        <v>60</v>
      </c>
      <c r="AA2043" s="114" t="s">
        <v>507</v>
      </c>
      <c r="AB2043" s="114" t="s">
        <v>507</v>
      </c>
      <c r="AC2043" s="114" t="s">
        <v>507</v>
      </c>
      <c r="AD2043" s="114" t="s">
        <v>507</v>
      </c>
      <c r="AE2043" s="114" t="s">
        <v>507</v>
      </c>
      <c r="AF2043" s="114" t="s">
        <v>507</v>
      </c>
      <c r="AG2043" s="114" t="s">
        <v>507</v>
      </c>
      <c r="AH2043" s="114" t="s">
        <v>507</v>
      </c>
      <c r="AI2043" s="114" t="s">
        <v>507</v>
      </c>
      <c r="AJ2043" s="114" t="s">
        <v>507</v>
      </c>
      <c r="AK2043" s="114" t="s">
        <v>507</v>
      </c>
      <c r="AL2043" s="114" t="s">
        <v>507</v>
      </c>
      <c r="AM2043" s="114" t="s">
        <v>507</v>
      </c>
      <c r="AN2043" s="114" t="s">
        <v>507</v>
      </c>
      <c r="AO2043" s="114" t="s">
        <v>507</v>
      </c>
      <c r="AP2043" s="114" t="s">
        <v>507</v>
      </c>
      <c r="AQ2043" s="114" t="s">
        <v>507</v>
      </c>
      <c r="AR2043" s="114" t="s">
        <v>507</v>
      </c>
      <c r="AS2043" s="114" t="s">
        <v>507</v>
      </c>
      <c r="AT2043" s="114" t="s">
        <v>507</v>
      </c>
      <c r="AU2043" s="114" t="s">
        <v>53</v>
      </c>
      <c r="AV2043" s="114" t="s">
        <v>507</v>
      </c>
      <c r="AW2043" s="114" t="s">
        <v>507</v>
      </c>
      <c r="AX2043" s="114" t="s">
        <v>507</v>
      </c>
      <c r="AY2043" s="114" t="s">
        <v>507</v>
      </c>
      <c r="AZ2043" s="114" t="s">
        <v>507</v>
      </c>
      <c r="BA2043" s="114" t="s">
        <v>507</v>
      </c>
    </row>
    <row r="2044" spans="1:60" s="12" customFormat="1" ht="14.4" hidden="1" x14ac:dyDescent="0.3">
      <c r="A2044" s="113" t="s">
        <v>505</v>
      </c>
      <c r="B2044" s="114" t="s">
        <v>5510</v>
      </c>
      <c r="C2044" s="114">
        <v>70</v>
      </c>
      <c r="D2044" s="114">
        <v>742</v>
      </c>
      <c r="E2044" s="114" t="s">
        <v>507</v>
      </c>
      <c r="F2044" s="118" t="s">
        <v>5625</v>
      </c>
      <c r="G2044" s="138" t="str">
        <f t="shared" si="50"/>
        <v>7074274869080</v>
      </c>
      <c r="H2044" s="116" t="s">
        <v>5626</v>
      </c>
      <c r="I2044" s="116">
        <v>74869080</v>
      </c>
      <c r="J2044" s="114" t="s">
        <v>5627</v>
      </c>
      <c r="K2044" s="116" t="s">
        <v>230</v>
      </c>
      <c r="L2044" s="114">
        <v>3152026221</v>
      </c>
      <c r="M2044" s="131" t="s">
        <v>507</v>
      </c>
      <c r="N2044" s="114" t="s">
        <v>780</v>
      </c>
      <c r="O2044" s="12" t="s">
        <v>260</v>
      </c>
      <c r="P2044" s="238" t="s">
        <v>8022</v>
      </c>
      <c r="Q2044" s="127">
        <v>45389</v>
      </c>
      <c r="R2044" s="126">
        <v>0.74</v>
      </c>
      <c r="S2044" s="114" t="s">
        <v>49</v>
      </c>
      <c r="T2044" s="114"/>
      <c r="U2044" s="114" t="s">
        <v>60</v>
      </c>
      <c r="V2044" s="116" t="s">
        <v>5628</v>
      </c>
      <c r="W2044" s="114" t="s">
        <v>5629</v>
      </c>
      <c r="X2044" s="114" t="s">
        <v>49</v>
      </c>
      <c r="Y2044" s="114"/>
      <c r="Z2044" s="114" t="s">
        <v>60</v>
      </c>
      <c r="AA2044" s="114" t="s">
        <v>507</v>
      </c>
      <c r="AB2044" s="114" t="s">
        <v>507</v>
      </c>
      <c r="AC2044" s="114" t="s">
        <v>507</v>
      </c>
      <c r="AD2044" s="114" t="s">
        <v>507</v>
      </c>
      <c r="AE2044" s="114" t="s">
        <v>507</v>
      </c>
      <c r="AF2044" s="114" t="s">
        <v>507</v>
      </c>
      <c r="AG2044" s="114" t="s">
        <v>507</v>
      </c>
      <c r="AH2044" s="114" t="s">
        <v>507</v>
      </c>
      <c r="AI2044" s="114" t="s">
        <v>507</v>
      </c>
      <c r="AJ2044" s="114" t="s">
        <v>507</v>
      </c>
      <c r="AK2044" s="114" t="s">
        <v>507</v>
      </c>
      <c r="AL2044" s="114" t="s">
        <v>507</v>
      </c>
      <c r="AM2044" s="114" t="s">
        <v>507</v>
      </c>
      <c r="AN2044" s="114" t="s">
        <v>507</v>
      </c>
      <c r="AO2044" s="114" t="s">
        <v>507</v>
      </c>
      <c r="AP2044" s="114" t="s">
        <v>507</v>
      </c>
      <c r="AQ2044" s="114" t="s">
        <v>507</v>
      </c>
      <c r="AR2044" s="114" t="s">
        <v>507</v>
      </c>
      <c r="AS2044" s="114" t="s">
        <v>507</v>
      </c>
      <c r="AT2044" s="114" t="s">
        <v>507</v>
      </c>
      <c r="AU2044" s="114" t="s">
        <v>53</v>
      </c>
      <c r="AV2044" s="114" t="s">
        <v>507</v>
      </c>
      <c r="AW2044" s="114" t="s">
        <v>507</v>
      </c>
      <c r="AX2044" s="114" t="s">
        <v>507</v>
      </c>
      <c r="AY2044" s="114" t="s">
        <v>507</v>
      </c>
      <c r="AZ2044" s="114" t="s">
        <v>507</v>
      </c>
      <c r="BA2044" s="114" t="s">
        <v>507</v>
      </c>
    </row>
    <row r="2045" spans="1:60" s="12" customFormat="1" ht="14.4" hidden="1" x14ac:dyDescent="0.3">
      <c r="A2045" s="113" t="s">
        <v>505</v>
      </c>
      <c r="B2045" s="114" t="s">
        <v>5510</v>
      </c>
      <c r="C2045" s="114">
        <v>70</v>
      </c>
      <c r="D2045" s="114">
        <v>742</v>
      </c>
      <c r="E2045" s="114" t="s">
        <v>507</v>
      </c>
      <c r="F2045" s="118" t="s">
        <v>5630</v>
      </c>
      <c r="G2045" s="138" t="str">
        <f t="shared" si="50"/>
        <v>7074292027714-2</v>
      </c>
      <c r="H2045" s="116" t="s">
        <v>5632</v>
      </c>
      <c r="I2045" s="116" t="s">
        <v>5631</v>
      </c>
      <c r="J2045" s="114" t="s">
        <v>5633</v>
      </c>
      <c r="K2045" s="116" t="s">
        <v>230</v>
      </c>
      <c r="L2045" s="114" t="s">
        <v>507</v>
      </c>
      <c r="M2045" s="132" t="s">
        <v>507</v>
      </c>
      <c r="N2045" s="114" t="s">
        <v>780</v>
      </c>
      <c r="O2045" s="12" t="s">
        <v>260</v>
      </c>
      <c r="P2045" s="238" t="s">
        <v>8022</v>
      </c>
      <c r="Q2045" s="116" t="s">
        <v>856</v>
      </c>
      <c r="R2045" s="114" t="s">
        <v>5634</v>
      </c>
      <c r="S2045" s="114" t="s">
        <v>49</v>
      </c>
      <c r="T2045" s="114"/>
      <c r="U2045" s="114" t="s">
        <v>60</v>
      </c>
      <c r="V2045" s="127">
        <v>45419</v>
      </c>
      <c r="W2045" s="114" t="s">
        <v>5635</v>
      </c>
      <c r="X2045" s="114" t="s">
        <v>49</v>
      </c>
      <c r="Y2045" s="114"/>
      <c r="Z2045" s="114" t="s">
        <v>60</v>
      </c>
      <c r="AA2045" s="114" t="s">
        <v>507</v>
      </c>
      <c r="AB2045" s="114" t="s">
        <v>507</v>
      </c>
      <c r="AC2045" s="114" t="s">
        <v>507</v>
      </c>
      <c r="AD2045" s="114" t="s">
        <v>507</v>
      </c>
      <c r="AE2045" s="114" t="s">
        <v>507</v>
      </c>
      <c r="AF2045" s="114" t="s">
        <v>507</v>
      </c>
      <c r="AG2045" s="114" t="s">
        <v>507</v>
      </c>
      <c r="AH2045" s="114" t="s">
        <v>507</v>
      </c>
      <c r="AI2045" s="114" t="s">
        <v>507</v>
      </c>
      <c r="AJ2045" s="114" t="s">
        <v>507</v>
      </c>
      <c r="AK2045" s="114" t="s">
        <v>507</v>
      </c>
      <c r="AL2045" s="114" t="s">
        <v>507</v>
      </c>
      <c r="AM2045" s="114" t="s">
        <v>507</v>
      </c>
      <c r="AN2045" s="114" t="s">
        <v>507</v>
      </c>
      <c r="AO2045" s="114" t="s">
        <v>507</v>
      </c>
      <c r="AP2045" s="114" t="s">
        <v>507</v>
      </c>
      <c r="AQ2045" s="114" t="s">
        <v>507</v>
      </c>
      <c r="AR2045" s="114" t="s">
        <v>507</v>
      </c>
      <c r="AS2045" s="114" t="s">
        <v>507</v>
      </c>
      <c r="AT2045" s="114" t="s">
        <v>507</v>
      </c>
      <c r="AU2045" s="114" t="s">
        <v>53</v>
      </c>
      <c r="AV2045" s="114" t="s">
        <v>507</v>
      </c>
      <c r="AW2045" s="114" t="s">
        <v>507</v>
      </c>
      <c r="AX2045" s="114" t="s">
        <v>507</v>
      </c>
      <c r="AY2045" s="114" t="s">
        <v>507</v>
      </c>
      <c r="AZ2045" s="114" t="s">
        <v>507</v>
      </c>
      <c r="BA2045" s="114" t="s">
        <v>507</v>
      </c>
    </row>
    <row r="2046" spans="1:60" s="12" customFormat="1" ht="14.4" hidden="1" x14ac:dyDescent="0.3">
      <c r="A2046" s="113" t="s">
        <v>505</v>
      </c>
      <c r="B2046" s="114" t="s">
        <v>5510</v>
      </c>
      <c r="C2046" s="114">
        <v>70</v>
      </c>
      <c r="D2046" s="114">
        <v>742</v>
      </c>
      <c r="E2046" s="114" t="s">
        <v>507</v>
      </c>
      <c r="F2046" s="118" t="s">
        <v>5636</v>
      </c>
      <c r="G2046" s="138" t="str">
        <f t="shared" si="50"/>
        <v>707421100392086</v>
      </c>
      <c r="H2046" s="116" t="s">
        <v>5637</v>
      </c>
      <c r="I2046" s="116">
        <v>1100392086</v>
      </c>
      <c r="J2046" s="116" t="s">
        <v>5638</v>
      </c>
      <c r="K2046" s="116" t="s">
        <v>230</v>
      </c>
      <c r="L2046" s="114" t="s">
        <v>507</v>
      </c>
      <c r="M2046" s="131" t="s">
        <v>507</v>
      </c>
      <c r="N2046" s="114" t="s">
        <v>780</v>
      </c>
      <c r="O2046" s="12" t="s">
        <v>260</v>
      </c>
      <c r="P2046" s="238" t="s">
        <v>8022</v>
      </c>
      <c r="Q2046" s="127">
        <v>45299</v>
      </c>
      <c r="R2046" s="114" t="s">
        <v>1698</v>
      </c>
      <c r="S2046" s="114" t="s">
        <v>49</v>
      </c>
      <c r="T2046" s="114"/>
      <c r="U2046" s="114" t="s">
        <v>60</v>
      </c>
      <c r="V2046" s="127">
        <v>44993</v>
      </c>
      <c r="W2046" s="114" t="s">
        <v>745</v>
      </c>
      <c r="X2046" s="114" t="s">
        <v>49</v>
      </c>
      <c r="Y2046" s="114"/>
      <c r="Z2046" s="114" t="s">
        <v>60</v>
      </c>
      <c r="AA2046" s="114" t="s">
        <v>507</v>
      </c>
      <c r="AB2046" s="114" t="s">
        <v>507</v>
      </c>
      <c r="AC2046" s="114" t="s">
        <v>507</v>
      </c>
      <c r="AD2046" s="114" t="s">
        <v>507</v>
      </c>
      <c r="AE2046" s="114" t="s">
        <v>507</v>
      </c>
      <c r="AF2046" s="114" t="s">
        <v>507</v>
      </c>
      <c r="AG2046" s="114" t="s">
        <v>507</v>
      </c>
      <c r="AH2046" s="114" t="s">
        <v>507</v>
      </c>
      <c r="AI2046" s="114" t="s">
        <v>507</v>
      </c>
      <c r="AJ2046" s="114" t="s">
        <v>507</v>
      </c>
      <c r="AK2046" s="114" t="s">
        <v>507</v>
      </c>
      <c r="AL2046" s="114" t="s">
        <v>507</v>
      </c>
      <c r="AM2046" s="114" t="s">
        <v>507</v>
      </c>
      <c r="AN2046" s="114" t="s">
        <v>507</v>
      </c>
      <c r="AO2046" s="114" t="s">
        <v>507</v>
      </c>
      <c r="AP2046" s="114" t="s">
        <v>507</v>
      </c>
      <c r="AQ2046" s="114" t="s">
        <v>507</v>
      </c>
      <c r="AR2046" s="114" t="s">
        <v>507</v>
      </c>
      <c r="AS2046" s="114" t="s">
        <v>507</v>
      </c>
      <c r="AT2046" s="114" t="s">
        <v>507</v>
      </c>
      <c r="AU2046" s="114" t="s">
        <v>53</v>
      </c>
      <c r="AV2046" s="114" t="s">
        <v>507</v>
      </c>
      <c r="AW2046" s="114" t="s">
        <v>507</v>
      </c>
      <c r="AX2046" s="114" t="s">
        <v>507</v>
      </c>
      <c r="AY2046" s="114" t="s">
        <v>507</v>
      </c>
      <c r="AZ2046" s="114" t="s">
        <v>507</v>
      </c>
      <c r="BA2046" s="114" t="s">
        <v>507</v>
      </c>
    </row>
    <row r="2047" spans="1:60" s="12" customFormat="1" ht="14.4" hidden="1" x14ac:dyDescent="0.3">
      <c r="A2047" s="113" t="s">
        <v>505</v>
      </c>
      <c r="B2047" s="114" t="s">
        <v>5510</v>
      </c>
      <c r="C2047" s="114">
        <v>70</v>
      </c>
      <c r="D2047" s="114">
        <v>742</v>
      </c>
      <c r="E2047" s="114" t="s">
        <v>507</v>
      </c>
      <c r="F2047" s="118" t="s">
        <v>5639</v>
      </c>
      <c r="G2047" s="138" t="str">
        <f t="shared" si="50"/>
        <v>7074292027562</v>
      </c>
      <c r="H2047" s="116" t="s">
        <v>5640</v>
      </c>
      <c r="I2047" s="116">
        <v>92027562</v>
      </c>
      <c r="J2047" s="116" t="s">
        <v>5641</v>
      </c>
      <c r="K2047" s="116" t="s">
        <v>230</v>
      </c>
      <c r="L2047" s="114" t="s">
        <v>507</v>
      </c>
      <c r="M2047" s="131" t="s">
        <v>507</v>
      </c>
      <c r="N2047" s="114" t="s">
        <v>780</v>
      </c>
      <c r="O2047" s="12" t="s">
        <v>260</v>
      </c>
      <c r="P2047" s="238" t="s">
        <v>8022</v>
      </c>
      <c r="Q2047" s="127">
        <v>45634</v>
      </c>
      <c r="R2047" s="126">
        <v>0.71</v>
      </c>
      <c r="S2047" s="114" t="s">
        <v>49</v>
      </c>
      <c r="T2047" s="114"/>
      <c r="U2047" s="114" t="s">
        <v>60</v>
      </c>
      <c r="V2047" s="116" t="s">
        <v>5642</v>
      </c>
      <c r="W2047" s="126">
        <v>0.72</v>
      </c>
      <c r="X2047" s="114" t="s">
        <v>49</v>
      </c>
      <c r="Y2047" s="114"/>
      <c r="Z2047" s="114" t="s">
        <v>60</v>
      </c>
      <c r="AA2047" s="114" t="s">
        <v>507</v>
      </c>
      <c r="AB2047" s="114" t="s">
        <v>507</v>
      </c>
      <c r="AC2047" s="114" t="s">
        <v>507</v>
      </c>
      <c r="AD2047" s="114" t="s">
        <v>507</v>
      </c>
      <c r="AE2047" s="114" t="s">
        <v>507</v>
      </c>
      <c r="AF2047" s="114" t="s">
        <v>507</v>
      </c>
      <c r="AG2047" s="114" t="s">
        <v>507</v>
      </c>
      <c r="AH2047" s="114" t="s">
        <v>507</v>
      </c>
      <c r="AI2047" s="114" t="s">
        <v>507</v>
      </c>
      <c r="AJ2047" s="114" t="s">
        <v>507</v>
      </c>
      <c r="AK2047" s="114" t="s">
        <v>507</v>
      </c>
      <c r="AL2047" s="114" t="s">
        <v>507</v>
      </c>
      <c r="AM2047" s="114" t="s">
        <v>507</v>
      </c>
      <c r="AN2047" s="114" t="s">
        <v>507</v>
      </c>
      <c r="AO2047" s="114" t="s">
        <v>507</v>
      </c>
      <c r="AP2047" s="114" t="s">
        <v>507</v>
      </c>
      <c r="AQ2047" s="114" t="s">
        <v>507</v>
      </c>
      <c r="AR2047" s="114" t="s">
        <v>507</v>
      </c>
      <c r="AS2047" s="114" t="s">
        <v>507</v>
      </c>
      <c r="AT2047" s="114" t="s">
        <v>507</v>
      </c>
      <c r="AU2047" s="114" t="s">
        <v>53</v>
      </c>
      <c r="AV2047" s="114" t="s">
        <v>507</v>
      </c>
      <c r="AW2047" s="114" t="s">
        <v>507</v>
      </c>
      <c r="AX2047" s="114" t="s">
        <v>507</v>
      </c>
      <c r="AY2047" s="114" t="s">
        <v>507</v>
      </c>
      <c r="AZ2047" s="114" t="s">
        <v>507</v>
      </c>
      <c r="BA2047" s="114" t="s">
        <v>507</v>
      </c>
    </row>
    <row r="2048" spans="1:60" s="12" customFormat="1" ht="14.4" hidden="1" x14ac:dyDescent="0.3">
      <c r="A2048" s="113" t="s">
        <v>505</v>
      </c>
      <c r="B2048" s="114" t="s">
        <v>5510</v>
      </c>
      <c r="C2048" s="114">
        <v>70</v>
      </c>
      <c r="D2048" s="114">
        <v>742</v>
      </c>
      <c r="E2048" s="114" t="s">
        <v>507</v>
      </c>
      <c r="F2048" s="118" t="s">
        <v>5643</v>
      </c>
      <c r="G2048" s="138" t="str">
        <f t="shared" si="50"/>
        <v>7074218880375</v>
      </c>
      <c r="H2048" s="116" t="s">
        <v>5644</v>
      </c>
      <c r="I2048" s="116">
        <v>18880375</v>
      </c>
      <c r="J2048" s="116" t="s">
        <v>5645</v>
      </c>
      <c r="K2048" s="116" t="s">
        <v>230</v>
      </c>
      <c r="L2048" s="114" t="s">
        <v>507</v>
      </c>
      <c r="M2048" s="131" t="s">
        <v>507</v>
      </c>
      <c r="N2048" s="114" t="s">
        <v>780</v>
      </c>
      <c r="O2048" s="12" t="s">
        <v>260</v>
      </c>
      <c r="P2048" s="238" t="s">
        <v>8022</v>
      </c>
      <c r="Q2048" s="116" t="s">
        <v>5646</v>
      </c>
      <c r="R2048" s="126">
        <v>0.77</v>
      </c>
      <c r="S2048" s="114" t="s">
        <v>49</v>
      </c>
      <c r="T2048" s="114"/>
      <c r="U2048" s="114" t="s">
        <v>60</v>
      </c>
      <c r="V2048" s="127">
        <v>44354</v>
      </c>
      <c r="W2048" s="114" t="s">
        <v>880</v>
      </c>
      <c r="X2048" s="114" t="s">
        <v>49</v>
      </c>
      <c r="Y2048" s="114"/>
      <c r="Z2048" s="114" t="s">
        <v>60</v>
      </c>
      <c r="AA2048" s="114" t="s">
        <v>507</v>
      </c>
      <c r="AB2048" s="114" t="s">
        <v>507</v>
      </c>
      <c r="AC2048" s="114" t="s">
        <v>507</v>
      </c>
      <c r="AD2048" s="114" t="s">
        <v>507</v>
      </c>
      <c r="AE2048" s="114" t="s">
        <v>507</v>
      </c>
      <c r="AF2048" s="114" t="s">
        <v>507</v>
      </c>
      <c r="AG2048" s="114" t="s">
        <v>507</v>
      </c>
      <c r="AH2048" s="114" t="s">
        <v>507</v>
      </c>
      <c r="AI2048" s="114" t="s">
        <v>507</v>
      </c>
      <c r="AJ2048" s="114" t="s">
        <v>507</v>
      </c>
      <c r="AK2048" s="114" t="s">
        <v>507</v>
      </c>
      <c r="AL2048" s="114" t="s">
        <v>507</v>
      </c>
      <c r="AM2048" s="114" t="s">
        <v>507</v>
      </c>
      <c r="AN2048" s="114" t="s">
        <v>507</v>
      </c>
      <c r="AO2048" s="114" t="s">
        <v>507</v>
      </c>
      <c r="AP2048" s="114" t="s">
        <v>507</v>
      </c>
      <c r="AQ2048" s="114" t="s">
        <v>507</v>
      </c>
      <c r="AR2048" s="114" t="s">
        <v>507</v>
      </c>
      <c r="AS2048" s="114" t="s">
        <v>507</v>
      </c>
      <c r="AT2048" s="114" t="s">
        <v>507</v>
      </c>
      <c r="AU2048" s="114" t="s">
        <v>53</v>
      </c>
      <c r="AV2048" s="114" t="s">
        <v>507</v>
      </c>
      <c r="AW2048" s="114" t="s">
        <v>507</v>
      </c>
      <c r="AX2048" s="114" t="s">
        <v>507</v>
      </c>
      <c r="AY2048" s="114" t="s">
        <v>507</v>
      </c>
      <c r="AZ2048" s="114" t="s">
        <v>507</v>
      </c>
      <c r="BA2048" s="114" t="s">
        <v>507</v>
      </c>
    </row>
    <row r="2049" spans="1:53" s="12" customFormat="1" ht="14.4" hidden="1" x14ac:dyDescent="0.3">
      <c r="A2049" s="113" t="s">
        <v>505</v>
      </c>
      <c r="B2049" s="114" t="s">
        <v>5510</v>
      </c>
      <c r="C2049" s="114">
        <v>70</v>
      </c>
      <c r="D2049" s="114">
        <v>742</v>
      </c>
      <c r="E2049" s="114" t="s">
        <v>507</v>
      </c>
      <c r="F2049" s="118" t="s">
        <v>5647</v>
      </c>
      <c r="G2049" s="138" t="str">
        <f t="shared" si="50"/>
        <v>7074292025596</v>
      </c>
      <c r="H2049" s="116" t="s">
        <v>5648</v>
      </c>
      <c r="I2049" s="116">
        <v>92025596</v>
      </c>
      <c r="J2049" s="116" t="s">
        <v>5649</v>
      </c>
      <c r="K2049" s="116" t="s">
        <v>230</v>
      </c>
      <c r="L2049" s="114" t="s">
        <v>507</v>
      </c>
      <c r="M2049" s="131" t="s">
        <v>507</v>
      </c>
      <c r="N2049" s="114" t="s">
        <v>780</v>
      </c>
      <c r="O2049" s="12" t="s">
        <v>260</v>
      </c>
      <c r="P2049" s="238" t="s">
        <v>8022</v>
      </c>
      <c r="Q2049" s="116" t="s">
        <v>157</v>
      </c>
      <c r="R2049" s="114" t="s">
        <v>5650</v>
      </c>
      <c r="S2049" s="114" t="s">
        <v>49</v>
      </c>
      <c r="T2049" s="114"/>
      <c r="U2049" s="114" t="s">
        <v>60</v>
      </c>
      <c r="V2049" s="116" t="s">
        <v>5651</v>
      </c>
      <c r="W2049" s="126">
        <v>0.82</v>
      </c>
      <c r="X2049" s="114" t="s">
        <v>49</v>
      </c>
      <c r="Y2049" s="114"/>
      <c r="Z2049" s="114" t="s">
        <v>60</v>
      </c>
      <c r="AA2049" s="114" t="s">
        <v>507</v>
      </c>
      <c r="AB2049" s="114" t="s">
        <v>507</v>
      </c>
      <c r="AC2049" s="114" t="s">
        <v>507</v>
      </c>
      <c r="AD2049" s="114" t="s">
        <v>507</v>
      </c>
      <c r="AE2049" s="114" t="s">
        <v>507</v>
      </c>
      <c r="AF2049" s="114" t="s">
        <v>507</v>
      </c>
      <c r="AG2049" s="114" t="s">
        <v>507</v>
      </c>
      <c r="AH2049" s="114" t="s">
        <v>507</v>
      </c>
      <c r="AI2049" s="114" t="s">
        <v>507</v>
      </c>
      <c r="AJ2049" s="114" t="s">
        <v>507</v>
      </c>
      <c r="AK2049" s="114" t="s">
        <v>507</v>
      </c>
      <c r="AL2049" s="114" t="s">
        <v>507</v>
      </c>
      <c r="AM2049" s="114" t="s">
        <v>507</v>
      </c>
      <c r="AN2049" s="114" t="s">
        <v>507</v>
      </c>
      <c r="AO2049" s="114" t="s">
        <v>507</v>
      </c>
      <c r="AP2049" s="114" t="s">
        <v>507</v>
      </c>
      <c r="AQ2049" s="114" t="s">
        <v>507</v>
      </c>
      <c r="AR2049" s="114" t="s">
        <v>507</v>
      </c>
      <c r="AS2049" s="114" t="s">
        <v>507</v>
      </c>
      <c r="AT2049" s="114" t="s">
        <v>507</v>
      </c>
      <c r="AU2049" s="114" t="s">
        <v>53</v>
      </c>
      <c r="AV2049" s="114" t="s">
        <v>507</v>
      </c>
      <c r="AW2049" s="114" t="s">
        <v>507</v>
      </c>
      <c r="AX2049" s="114" t="s">
        <v>507</v>
      </c>
      <c r="AY2049" s="114" t="s">
        <v>507</v>
      </c>
      <c r="AZ2049" s="114" t="s">
        <v>507</v>
      </c>
      <c r="BA2049" s="114" t="s">
        <v>507</v>
      </c>
    </row>
    <row r="2050" spans="1:53" s="12" customFormat="1" ht="14.4" hidden="1" x14ac:dyDescent="0.3">
      <c r="A2050" s="113" t="s">
        <v>505</v>
      </c>
      <c r="B2050" s="114" t="s">
        <v>5510</v>
      </c>
      <c r="C2050" s="114">
        <v>70</v>
      </c>
      <c r="D2050" s="114">
        <v>742</v>
      </c>
      <c r="E2050" s="114" t="s">
        <v>507</v>
      </c>
      <c r="F2050" s="118" t="s">
        <v>5652</v>
      </c>
      <c r="G2050" s="138" t="str">
        <f t="shared" si="50"/>
        <v>7074223161754</v>
      </c>
      <c r="H2050" s="116" t="s">
        <v>5653</v>
      </c>
      <c r="I2050" s="116">
        <v>23161754</v>
      </c>
      <c r="J2050" s="116" t="s">
        <v>5654</v>
      </c>
      <c r="K2050" s="116" t="s">
        <v>230</v>
      </c>
      <c r="L2050" s="114">
        <v>3017955923</v>
      </c>
      <c r="M2050" s="131" t="s">
        <v>507</v>
      </c>
      <c r="N2050" s="114" t="s">
        <v>780</v>
      </c>
      <c r="O2050" s="12" t="s">
        <v>260</v>
      </c>
      <c r="P2050" s="238" t="s">
        <v>8022</v>
      </c>
      <c r="Q2050" s="116" t="s">
        <v>644</v>
      </c>
      <c r="R2050" s="126">
        <v>0.9</v>
      </c>
      <c r="S2050" s="114" t="s">
        <v>319</v>
      </c>
      <c r="T2050" s="114"/>
      <c r="U2050" s="114" t="s">
        <v>60</v>
      </c>
      <c r="V2050" s="116" t="s">
        <v>178</v>
      </c>
      <c r="W2050" s="114" t="s">
        <v>887</v>
      </c>
      <c r="X2050" s="114" t="s">
        <v>49</v>
      </c>
      <c r="Y2050" s="114"/>
      <c r="Z2050" s="114" t="s">
        <v>60</v>
      </c>
      <c r="AA2050" s="114" t="s">
        <v>507</v>
      </c>
      <c r="AB2050" s="114" t="s">
        <v>507</v>
      </c>
      <c r="AC2050" s="114" t="s">
        <v>507</v>
      </c>
      <c r="AD2050" s="114" t="s">
        <v>507</v>
      </c>
      <c r="AE2050" s="114" t="s">
        <v>507</v>
      </c>
      <c r="AF2050" s="114" t="s">
        <v>507</v>
      </c>
      <c r="AG2050" s="114" t="s">
        <v>507</v>
      </c>
      <c r="AH2050" s="114" t="s">
        <v>507</v>
      </c>
      <c r="AI2050" s="114" t="s">
        <v>507</v>
      </c>
      <c r="AJ2050" s="114" t="s">
        <v>507</v>
      </c>
      <c r="AK2050" s="114" t="s">
        <v>507</v>
      </c>
      <c r="AL2050" s="114" t="s">
        <v>507</v>
      </c>
      <c r="AM2050" s="114" t="s">
        <v>507</v>
      </c>
      <c r="AN2050" s="114" t="s">
        <v>507</v>
      </c>
      <c r="AO2050" s="114" t="s">
        <v>507</v>
      </c>
      <c r="AP2050" s="114" t="s">
        <v>507</v>
      </c>
      <c r="AQ2050" s="114" t="s">
        <v>507</v>
      </c>
      <c r="AR2050" s="114" t="s">
        <v>507</v>
      </c>
      <c r="AS2050" s="114" t="s">
        <v>507</v>
      </c>
      <c r="AT2050" s="114" t="s">
        <v>507</v>
      </c>
      <c r="AU2050" s="114" t="s">
        <v>53</v>
      </c>
      <c r="AV2050" s="114" t="s">
        <v>507</v>
      </c>
      <c r="AW2050" s="114" t="s">
        <v>507</v>
      </c>
      <c r="AX2050" s="114" t="s">
        <v>507</v>
      </c>
      <c r="AY2050" s="114" t="s">
        <v>507</v>
      </c>
      <c r="AZ2050" s="114" t="s">
        <v>507</v>
      </c>
      <c r="BA2050" s="114" t="s">
        <v>507</v>
      </c>
    </row>
    <row r="2051" spans="1:53" s="12" customFormat="1" ht="14.4" hidden="1" x14ac:dyDescent="0.3">
      <c r="A2051" s="113" t="s">
        <v>505</v>
      </c>
      <c r="B2051" s="114" t="s">
        <v>5510</v>
      </c>
      <c r="C2051" s="114">
        <v>70</v>
      </c>
      <c r="D2051" s="114">
        <v>742</v>
      </c>
      <c r="E2051" s="114" t="s">
        <v>507</v>
      </c>
      <c r="F2051" s="118" t="s">
        <v>5655</v>
      </c>
      <c r="G2051" s="138" t="str">
        <f t="shared" si="50"/>
        <v>707421104015894</v>
      </c>
      <c r="H2051" s="116" t="s">
        <v>5656</v>
      </c>
      <c r="I2051" s="116">
        <v>1104015894</v>
      </c>
      <c r="J2051" s="116" t="s">
        <v>5657</v>
      </c>
      <c r="K2051" s="116" t="s">
        <v>230</v>
      </c>
      <c r="L2051" s="114" t="s">
        <v>507</v>
      </c>
      <c r="M2051" s="131" t="s">
        <v>507</v>
      </c>
      <c r="N2051" s="114" t="s">
        <v>780</v>
      </c>
      <c r="O2051" s="12" t="s">
        <v>260</v>
      </c>
      <c r="P2051" s="238" t="s">
        <v>8022</v>
      </c>
      <c r="Q2051" s="116" t="s">
        <v>607</v>
      </c>
      <c r="R2051" s="126">
        <v>0.73</v>
      </c>
      <c r="S2051" s="114" t="s">
        <v>49</v>
      </c>
      <c r="T2051" s="114"/>
      <c r="U2051" s="114" t="s">
        <v>60</v>
      </c>
      <c r="V2051" s="116" t="s">
        <v>5658</v>
      </c>
      <c r="W2051" s="126">
        <v>0.81</v>
      </c>
      <c r="X2051" s="114" t="s">
        <v>49</v>
      </c>
      <c r="Y2051" s="114"/>
      <c r="Z2051" s="114" t="s">
        <v>60</v>
      </c>
      <c r="AA2051" s="114" t="s">
        <v>507</v>
      </c>
      <c r="AB2051" s="114" t="s">
        <v>507</v>
      </c>
      <c r="AC2051" s="114" t="s">
        <v>507</v>
      </c>
      <c r="AD2051" s="114" t="s">
        <v>507</v>
      </c>
      <c r="AE2051" s="114" t="s">
        <v>507</v>
      </c>
      <c r="AF2051" s="114" t="s">
        <v>507</v>
      </c>
      <c r="AG2051" s="114" t="s">
        <v>507</v>
      </c>
      <c r="AH2051" s="114" t="s">
        <v>507</v>
      </c>
      <c r="AI2051" s="114" t="s">
        <v>507</v>
      </c>
      <c r="AJ2051" s="114" t="s">
        <v>507</v>
      </c>
      <c r="AK2051" s="114" t="s">
        <v>507</v>
      </c>
      <c r="AL2051" s="114" t="s">
        <v>507</v>
      </c>
      <c r="AM2051" s="114" t="s">
        <v>507</v>
      </c>
      <c r="AN2051" s="114" t="s">
        <v>507</v>
      </c>
      <c r="AO2051" s="114" t="s">
        <v>507</v>
      </c>
      <c r="AP2051" s="114" t="s">
        <v>507</v>
      </c>
      <c r="AQ2051" s="114" t="s">
        <v>507</v>
      </c>
      <c r="AR2051" s="114" t="s">
        <v>507</v>
      </c>
      <c r="AS2051" s="114" t="s">
        <v>507</v>
      </c>
      <c r="AT2051" s="114" t="s">
        <v>507</v>
      </c>
      <c r="AU2051" s="114" t="s">
        <v>53</v>
      </c>
      <c r="AV2051" s="114" t="s">
        <v>507</v>
      </c>
      <c r="AW2051" s="114" t="s">
        <v>507</v>
      </c>
      <c r="AX2051" s="114" t="s">
        <v>507</v>
      </c>
      <c r="AY2051" s="114" t="s">
        <v>507</v>
      </c>
      <c r="AZ2051" s="114" t="s">
        <v>507</v>
      </c>
      <c r="BA2051" s="114" t="s">
        <v>507</v>
      </c>
    </row>
    <row r="2052" spans="1:53" s="12" customFormat="1" ht="14.4" hidden="1" x14ac:dyDescent="0.3">
      <c r="A2052" s="113" t="s">
        <v>505</v>
      </c>
      <c r="B2052" s="114" t="s">
        <v>5510</v>
      </c>
      <c r="C2052" s="114">
        <v>70</v>
      </c>
      <c r="D2052" s="114">
        <v>742</v>
      </c>
      <c r="E2052" s="114" t="s">
        <v>507</v>
      </c>
      <c r="F2052" s="118" t="s">
        <v>5659</v>
      </c>
      <c r="G2052" s="138" t="str">
        <f t="shared" si="50"/>
        <v>7074264871977</v>
      </c>
      <c r="H2052" s="116" t="s">
        <v>5660</v>
      </c>
      <c r="I2052" s="116">
        <v>64871977</v>
      </c>
      <c r="J2052" s="116" t="s">
        <v>5661</v>
      </c>
      <c r="K2052" s="116" t="s">
        <v>230</v>
      </c>
      <c r="L2052" s="114">
        <v>3206705703</v>
      </c>
      <c r="M2052" s="125" t="s">
        <v>5662</v>
      </c>
      <c r="N2052" s="114" t="s">
        <v>780</v>
      </c>
      <c r="O2052" s="12" t="s">
        <v>260</v>
      </c>
      <c r="P2052" s="238" t="s">
        <v>8022</v>
      </c>
      <c r="Q2052" s="116" t="s">
        <v>5663</v>
      </c>
      <c r="R2052" s="126">
        <v>0.82</v>
      </c>
      <c r="S2052" s="114" t="s">
        <v>49</v>
      </c>
      <c r="T2052" s="114"/>
      <c r="U2052" s="114" t="s">
        <v>60</v>
      </c>
      <c r="V2052" s="116" t="s">
        <v>822</v>
      </c>
      <c r="W2052" s="114" t="s">
        <v>814</v>
      </c>
      <c r="X2052" s="114" t="s">
        <v>49</v>
      </c>
      <c r="Y2052" s="114"/>
      <c r="Z2052" s="114" t="s">
        <v>60</v>
      </c>
      <c r="AA2052" s="114" t="s">
        <v>507</v>
      </c>
      <c r="AB2052" s="114" t="s">
        <v>507</v>
      </c>
      <c r="AC2052" s="114" t="s">
        <v>507</v>
      </c>
      <c r="AD2052" s="114" t="s">
        <v>507</v>
      </c>
      <c r="AE2052" s="114" t="s">
        <v>507</v>
      </c>
      <c r="AF2052" s="114" t="s">
        <v>507</v>
      </c>
      <c r="AG2052" s="114" t="s">
        <v>507</v>
      </c>
      <c r="AH2052" s="114" t="s">
        <v>507</v>
      </c>
      <c r="AI2052" s="114" t="s">
        <v>507</v>
      </c>
      <c r="AJ2052" s="114" t="s">
        <v>507</v>
      </c>
      <c r="AK2052" s="114" t="s">
        <v>507</v>
      </c>
      <c r="AL2052" s="114" t="s">
        <v>507</v>
      </c>
      <c r="AM2052" s="114" t="s">
        <v>507</v>
      </c>
      <c r="AN2052" s="114" t="s">
        <v>507</v>
      </c>
      <c r="AO2052" s="114" t="s">
        <v>507</v>
      </c>
      <c r="AP2052" s="114" t="s">
        <v>507</v>
      </c>
      <c r="AQ2052" s="114" t="s">
        <v>507</v>
      </c>
      <c r="AR2052" s="114" t="s">
        <v>507</v>
      </c>
      <c r="AS2052" s="114" t="s">
        <v>507</v>
      </c>
      <c r="AT2052" s="114" t="s">
        <v>507</v>
      </c>
      <c r="AU2052" s="114" t="s">
        <v>53</v>
      </c>
      <c r="AV2052" s="114" t="s">
        <v>507</v>
      </c>
      <c r="AW2052" s="114" t="s">
        <v>507</v>
      </c>
      <c r="AX2052" s="114" t="s">
        <v>507</v>
      </c>
      <c r="AY2052" s="114" t="s">
        <v>507</v>
      </c>
      <c r="AZ2052" s="114" t="s">
        <v>507</v>
      </c>
      <c r="BA2052" s="114" t="s">
        <v>507</v>
      </c>
    </row>
    <row r="2053" spans="1:53" s="12" customFormat="1" ht="14.4" hidden="1" x14ac:dyDescent="0.3">
      <c r="A2053" s="113" t="s">
        <v>505</v>
      </c>
      <c r="B2053" s="114" t="s">
        <v>5510</v>
      </c>
      <c r="C2053" s="114">
        <v>70</v>
      </c>
      <c r="D2053" s="114">
        <v>742</v>
      </c>
      <c r="E2053" s="114" t="s">
        <v>507</v>
      </c>
      <c r="F2053" s="118" t="s">
        <v>5664</v>
      </c>
      <c r="G2053" s="138" t="str">
        <f t="shared" si="50"/>
        <v>7074292032712</v>
      </c>
      <c r="H2053" s="116" t="s">
        <v>5665</v>
      </c>
      <c r="I2053" s="116">
        <v>92032712</v>
      </c>
      <c r="J2053" s="116" t="s">
        <v>5666</v>
      </c>
      <c r="K2053" s="116" t="s">
        <v>230</v>
      </c>
      <c r="L2053" s="114">
        <v>3024197347</v>
      </c>
      <c r="M2053" s="131" t="s">
        <v>507</v>
      </c>
      <c r="N2053" s="114" t="s">
        <v>780</v>
      </c>
      <c r="O2053" s="12" t="s">
        <v>260</v>
      </c>
      <c r="P2053" s="238" t="s">
        <v>8022</v>
      </c>
      <c r="Q2053" s="116" t="s">
        <v>5667</v>
      </c>
      <c r="R2053" s="126">
        <v>0.72</v>
      </c>
      <c r="S2053" s="114" t="s">
        <v>49</v>
      </c>
      <c r="T2053" s="114"/>
      <c r="U2053" s="114" t="s">
        <v>60</v>
      </c>
      <c r="V2053" s="127">
        <v>44716</v>
      </c>
      <c r="W2053" s="126">
        <v>0.75</v>
      </c>
      <c r="X2053" s="114" t="s">
        <v>49</v>
      </c>
      <c r="Y2053" s="114"/>
      <c r="Z2053" s="114" t="s">
        <v>60</v>
      </c>
      <c r="AA2053" s="114" t="s">
        <v>507</v>
      </c>
      <c r="AB2053" s="114" t="s">
        <v>507</v>
      </c>
      <c r="AC2053" s="114" t="s">
        <v>507</v>
      </c>
      <c r="AD2053" s="114" t="s">
        <v>507</v>
      </c>
      <c r="AE2053" s="114" t="s">
        <v>507</v>
      </c>
      <c r="AF2053" s="114" t="s">
        <v>507</v>
      </c>
      <c r="AG2053" s="114" t="s">
        <v>507</v>
      </c>
      <c r="AH2053" s="114" t="s">
        <v>507</v>
      </c>
      <c r="AI2053" s="114" t="s">
        <v>507</v>
      </c>
      <c r="AJ2053" s="114" t="s">
        <v>507</v>
      </c>
      <c r="AK2053" s="114" t="s">
        <v>507</v>
      </c>
      <c r="AL2053" s="114" t="s">
        <v>507</v>
      </c>
      <c r="AM2053" s="114" t="s">
        <v>507</v>
      </c>
      <c r="AN2053" s="114" t="s">
        <v>507</v>
      </c>
      <c r="AO2053" s="114" t="s">
        <v>507</v>
      </c>
      <c r="AP2053" s="114" t="s">
        <v>507</v>
      </c>
      <c r="AQ2053" s="114" t="s">
        <v>507</v>
      </c>
      <c r="AR2053" s="114" t="s">
        <v>507</v>
      </c>
      <c r="AS2053" s="114" t="s">
        <v>507</v>
      </c>
      <c r="AT2053" s="114" t="s">
        <v>507</v>
      </c>
      <c r="AU2053" s="114" t="s">
        <v>53</v>
      </c>
      <c r="AV2053" s="114" t="s">
        <v>507</v>
      </c>
      <c r="AW2053" s="114" t="s">
        <v>507</v>
      </c>
      <c r="AX2053" s="114" t="s">
        <v>507</v>
      </c>
      <c r="AY2053" s="114" t="s">
        <v>507</v>
      </c>
      <c r="AZ2053" s="114" t="s">
        <v>507</v>
      </c>
      <c r="BA2053" s="114" t="s">
        <v>507</v>
      </c>
    </row>
    <row r="2054" spans="1:53" s="12" customFormat="1" ht="14.4" hidden="1" x14ac:dyDescent="0.3">
      <c r="A2054" s="113" t="s">
        <v>505</v>
      </c>
      <c r="B2054" s="114" t="s">
        <v>5510</v>
      </c>
      <c r="C2054" s="114">
        <v>70</v>
      </c>
      <c r="D2054" s="114">
        <v>742</v>
      </c>
      <c r="E2054" s="114" t="s">
        <v>507</v>
      </c>
      <c r="F2054" s="118" t="s">
        <v>5668</v>
      </c>
      <c r="G2054" s="138" t="str">
        <f t="shared" si="50"/>
        <v>707421100400814-1</v>
      </c>
      <c r="H2054" s="116" t="s">
        <v>5670</v>
      </c>
      <c r="I2054" s="116" t="s">
        <v>5669</v>
      </c>
      <c r="J2054" s="116" t="s">
        <v>5671</v>
      </c>
      <c r="K2054" s="116" t="s">
        <v>230</v>
      </c>
      <c r="L2054" s="114" t="s">
        <v>507</v>
      </c>
      <c r="M2054" s="131" t="s">
        <v>507</v>
      </c>
      <c r="N2054" s="114" t="s">
        <v>780</v>
      </c>
      <c r="O2054" s="12" t="s">
        <v>260</v>
      </c>
      <c r="P2054" s="238" t="s">
        <v>8022</v>
      </c>
      <c r="Q2054" s="127">
        <v>45452</v>
      </c>
      <c r="R2054" s="114" t="s">
        <v>887</v>
      </c>
      <c r="S2054" s="114" t="s">
        <v>49</v>
      </c>
      <c r="T2054" s="114"/>
      <c r="U2054" s="114" t="s">
        <v>60</v>
      </c>
      <c r="V2054" s="116" t="s">
        <v>635</v>
      </c>
      <c r="W2054" s="126">
        <v>0.76</v>
      </c>
      <c r="X2054" s="114" t="s">
        <v>49</v>
      </c>
      <c r="Y2054" s="114"/>
      <c r="Z2054" s="114" t="s">
        <v>60</v>
      </c>
      <c r="AA2054" s="114" t="s">
        <v>507</v>
      </c>
      <c r="AB2054" s="114" t="s">
        <v>507</v>
      </c>
      <c r="AC2054" s="116" t="s">
        <v>635</v>
      </c>
      <c r="AD2054" s="126">
        <v>0.76</v>
      </c>
      <c r="AE2054" s="114" t="s">
        <v>49</v>
      </c>
      <c r="AF2054" s="114" t="s">
        <v>60</v>
      </c>
      <c r="AG2054" s="114" t="s">
        <v>507</v>
      </c>
      <c r="AH2054" s="114" t="s">
        <v>507</v>
      </c>
      <c r="AI2054" s="114" t="s">
        <v>507</v>
      </c>
      <c r="AJ2054" s="114" t="s">
        <v>507</v>
      </c>
      <c r="AK2054" s="114" t="s">
        <v>507</v>
      </c>
      <c r="AL2054" s="114" t="s">
        <v>507</v>
      </c>
      <c r="AM2054" s="114" t="s">
        <v>507</v>
      </c>
      <c r="AN2054" s="114" t="s">
        <v>507</v>
      </c>
      <c r="AO2054" s="114" t="s">
        <v>507</v>
      </c>
      <c r="AP2054" s="114" t="s">
        <v>507</v>
      </c>
      <c r="AQ2054" s="114" t="s">
        <v>507</v>
      </c>
      <c r="AR2054" s="114" t="s">
        <v>507</v>
      </c>
      <c r="AS2054" s="114" t="s">
        <v>507</v>
      </c>
      <c r="AT2054" s="114" t="s">
        <v>507</v>
      </c>
      <c r="AU2054" s="114" t="s">
        <v>53</v>
      </c>
      <c r="AV2054" s="114" t="s">
        <v>507</v>
      </c>
      <c r="AW2054" s="114" t="s">
        <v>507</v>
      </c>
      <c r="AX2054" s="114" t="s">
        <v>507</v>
      </c>
      <c r="AY2054" s="114" t="s">
        <v>507</v>
      </c>
      <c r="AZ2054" s="114" t="s">
        <v>507</v>
      </c>
      <c r="BA2054" s="114" t="s">
        <v>507</v>
      </c>
    </row>
    <row r="2055" spans="1:53" s="12" customFormat="1" ht="28.8" hidden="1" x14ac:dyDescent="0.3">
      <c r="A2055" s="113" t="s">
        <v>505</v>
      </c>
      <c r="B2055" s="114" t="s">
        <v>5510</v>
      </c>
      <c r="C2055" s="114">
        <v>70</v>
      </c>
      <c r="D2055" s="114">
        <v>742</v>
      </c>
      <c r="E2055" s="114" t="s">
        <v>507</v>
      </c>
      <c r="F2055" s="118" t="s">
        <v>1938</v>
      </c>
      <c r="G2055" s="138" t="str">
        <f t="shared" si="50"/>
        <v>707421100897807</v>
      </c>
      <c r="H2055" s="116" t="s">
        <v>5672</v>
      </c>
      <c r="I2055" s="116">
        <v>1100897807</v>
      </c>
      <c r="J2055" s="116" t="s">
        <v>5673</v>
      </c>
      <c r="K2055" s="116" t="s">
        <v>230</v>
      </c>
      <c r="L2055" s="114">
        <v>3116970867</v>
      </c>
      <c r="M2055" s="125" t="s">
        <v>5674</v>
      </c>
      <c r="N2055" s="114" t="s">
        <v>780</v>
      </c>
      <c r="O2055" s="12" t="s">
        <v>260</v>
      </c>
      <c r="P2055" s="238" t="s">
        <v>8022</v>
      </c>
      <c r="Q2055" s="116" t="s">
        <v>4993</v>
      </c>
      <c r="R2055" s="114" t="s">
        <v>5634</v>
      </c>
      <c r="S2055" s="114" t="s">
        <v>49</v>
      </c>
      <c r="T2055" s="114"/>
      <c r="U2055" s="114" t="s">
        <v>60</v>
      </c>
      <c r="V2055" s="116" t="s">
        <v>5675</v>
      </c>
      <c r="W2055" s="126">
        <v>0.67</v>
      </c>
      <c r="X2055" s="114" t="s">
        <v>49</v>
      </c>
      <c r="Y2055" s="114"/>
      <c r="Z2055" s="114" t="s">
        <v>60</v>
      </c>
      <c r="AA2055" s="114" t="s">
        <v>507</v>
      </c>
      <c r="AB2055" s="114" t="s">
        <v>507</v>
      </c>
      <c r="AC2055" s="114" t="s">
        <v>507</v>
      </c>
      <c r="AD2055" s="114" t="s">
        <v>507</v>
      </c>
      <c r="AE2055" s="114" t="s">
        <v>507</v>
      </c>
      <c r="AF2055" s="114" t="s">
        <v>507</v>
      </c>
      <c r="AG2055" s="114" t="s">
        <v>507</v>
      </c>
      <c r="AH2055" s="114" t="s">
        <v>507</v>
      </c>
      <c r="AI2055" s="114" t="s">
        <v>507</v>
      </c>
      <c r="AJ2055" s="114" t="s">
        <v>507</v>
      </c>
      <c r="AK2055" s="114" t="s">
        <v>507</v>
      </c>
      <c r="AL2055" s="114" t="s">
        <v>507</v>
      </c>
      <c r="AM2055" s="114" t="s">
        <v>507</v>
      </c>
      <c r="AN2055" s="114" t="s">
        <v>507</v>
      </c>
      <c r="AO2055" s="114" t="s">
        <v>507</v>
      </c>
      <c r="AP2055" s="114" t="s">
        <v>507</v>
      </c>
      <c r="AQ2055" s="114" t="s">
        <v>507</v>
      </c>
      <c r="AR2055" s="114" t="s">
        <v>507</v>
      </c>
      <c r="AS2055" s="114" t="s">
        <v>507</v>
      </c>
      <c r="AT2055" s="114" t="s">
        <v>507</v>
      </c>
      <c r="AU2055" s="114" t="s">
        <v>53</v>
      </c>
      <c r="AV2055" s="114" t="s">
        <v>507</v>
      </c>
      <c r="AW2055" s="114" t="s">
        <v>507</v>
      </c>
      <c r="AX2055" s="114" t="s">
        <v>507</v>
      </c>
      <c r="AY2055" s="114" t="s">
        <v>507</v>
      </c>
      <c r="AZ2055" s="114" t="s">
        <v>507</v>
      </c>
      <c r="BA2055" s="114" t="s">
        <v>507</v>
      </c>
    </row>
    <row r="2056" spans="1:53" s="12" customFormat="1" ht="14.4" hidden="1" x14ac:dyDescent="0.3">
      <c r="A2056" s="113" t="s">
        <v>505</v>
      </c>
      <c r="B2056" s="114" t="s">
        <v>5510</v>
      </c>
      <c r="C2056" s="114">
        <v>70</v>
      </c>
      <c r="D2056" s="114">
        <v>742</v>
      </c>
      <c r="E2056" s="114" t="s">
        <v>507</v>
      </c>
      <c r="F2056" s="118" t="s">
        <v>5676</v>
      </c>
      <c r="G2056" s="138" t="str">
        <f t="shared" si="50"/>
        <v>7074264680061</v>
      </c>
      <c r="H2056" s="116" t="s">
        <v>5677</v>
      </c>
      <c r="I2056" s="116">
        <v>64680061</v>
      </c>
      <c r="J2056" s="116" t="s">
        <v>5678</v>
      </c>
      <c r="K2056" s="116" t="s">
        <v>230</v>
      </c>
      <c r="L2056" s="114" t="s">
        <v>507</v>
      </c>
      <c r="M2056" s="131" t="s">
        <v>507</v>
      </c>
      <c r="N2056" s="114" t="s">
        <v>780</v>
      </c>
      <c r="O2056" s="12" t="s">
        <v>260</v>
      </c>
      <c r="P2056" s="238" t="s">
        <v>8022</v>
      </c>
      <c r="Q2056" s="116" t="s">
        <v>644</v>
      </c>
      <c r="R2056" s="114" t="s">
        <v>5679</v>
      </c>
      <c r="S2056" s="114" t="s">
        <v>49</v>
      </c>
      <c r="T2056" s="114"/>
      <c r="U2056" s="114" t="s">
        <v>60</v>
      </c>
      <c r="V2056" s="114" t="s">
        <v>507</v>
      </c>
      <c r="W2056" s="114" t="s">
        <v>507</v>
      </c>
      <c r="X2056" s="114" t="s">
        <v>507</v>
      </c>
      <c r="Y2056" s="114"/>
      <c r="Z2056" s="114" t="s">
        <v>507</v>
      </c>
      <c r="AA2056" s="114" t="s">
        <v>507</v>
      </c>
      <c r="AB2056" s="114" t="s">
        <v>507</v>
      </c>
      <c r="AC2056" s="114" t="s">
        <v>507</v>
      </c>
      <c r="AD2056" s="114" t="s">
        <v>507</v>
      </c>
      <c r="AE2056" s="114" t="s">
        <v>507</v>
      </c>
      <c r="AF2056" s="114" t="s">
        <v>507</v>
      </c>
      <c r="AG2056" s="114" t="s">
        <v>507</v>
      </c>
      <c r="AH2056" s="114" t="s">
        <v>507</v>
      </c>
      <c r="AI2056" s="114" t="s">
        <v>507</v>
      </c>
      <c r="AJ2056" s="114" t="s">
        <v>507</v>
      </c>
      <c r="AK2056" s="114" t="s">
        <v>507</v>
      </c>
      <c r="AL2056" s="114" t="s">
        <v>507</v>
      </c>
      <c r="AM2056" s="114" t="s">
        <v>507</v>
      </c>
      <c r="AN2056" s="114" t="s">
        <v>507</v>
      </c>
      <c r="AO2056" s="114" t="s">
        <v>507</v>
      </c>
      <c r="AP2056" s="114" t="s">
        <v>507</v>
      </c>
      <c r="AQ2056" s="114" t="s">
        <v>507</v>
      </c>
      <c r="AR2056" s="114" t="s">
        <v>507</v>
      </c>
      <c r="AS2056" s="114" t="s">
        <v>507</v>
      </c>
      <c r="AT2056" s="114" t="s">
        <v>507</v>
      </c>
      <c r="AU2056" s="114" t="s">
        <v>53</v>
      </c>
      <c r="AV2056" s="114" t="s">
        <v>507</v>
      </c>
      <c r="AW2056" s="114" t="s">
        <v>507</v>
      </c>
      <c r="AX2056" s="114" t="s">
        <v>507</v>
      </c>
      <c r="AY2056" s="114" t="s">
        <v>507</v>
      </c>
      <c r="AZ2056" s="114" t="s">
        <v>507</v>
      </c>
      <c r="BA2056" s="114" t="s">
        <v>507</v>
      </c>
    </row>
    <row r="2057" spans="1:53" s="12" customFormat="1" ht="14.4" hidden="1" x14ac:dyDescent="0.3">
      <c r="A2057" s="113" t="s">
        <v>505</v>
      </c>
      <c r="B2057" s="114" t="s">
        <v>5510</v>
      </c>
      <c r="C2057" s="114">
        <v>70</v>
      </c>
      <c r="D2057" s="114">
        <v>742</v>
      </c>
      <c r="E2057" s="114" t="s">
        <v>507</v>
      </c>
      <c r="F2057" s="118" t="s">
        <v>5680</v>
      </c>
      <c r="G2057" s="138" t="str">
        <f t="shared" si="50"/>
        <v>707421100395118</v>
      </c>
      <c r="H2057" s="116" t="s">
        <v>5681</v>
      </c>
      <c r="I2057" s="116">
        <v>1100395118</v>
      </c>
      <c r="J2057" s="116" t="s">
        <v>5682</v>
      </c>
      <c r="K2057" s="116" t="s">
        <v>230</v>
      </c>
      <c r="L2057" s="114">
        <v>3146658811</v>
      </c>
      <c r="M2057" s="125" t="s">
        <v>5683</v>
      </c>
      <c r="N2057" s="114" t="s">
        <v>780</v>
      </c>
      <c r="O2057" s="12" t="s">
        <v>260</v>
      </c>
      <c r="P2057" s="238" t="s">
        <v>8022</v>
      </c>
      <c r="Q2057" s="116" t="s">
        <v>5684</v>
      </c>
      <c r="R2057" s="126">
        <v>0.73</v>
      </c>
      <c r="S2057" s="114" t="s">
        <v>49</v>
      </c>
      <c r="T2057" s="114"/>
      <c r="U2057" s="114" t="s">
        <v>60</v>
      </c>
      <c r="V2057" s="116" t="s">
        <v>986</v>
      </c>
      <c r="W2057" s="126">
        <v>0.75</v>
      </c>
      <c r="X2057" s="114" t="s">
        <v>49</v>
      </c>
      <c r="Y2057" s="114"/>
      <c r="Z2057" s="114" t="s">
        <v>60</v>
      </c>
      <c r="AA2057" s="114" t="s">
        <v>507</v>
      </c>
      <c r="AB2057" s="114" t="s">
        <v>507</v>
      </c>
      <c r="AC2057" s="114" t="s">
        <v>507</v>
      </c>
      <c r="AD2057" s="114" t="s">
        <v>507</v>
      </c>
      <c r="AE2057" s="114" t="s">
        <v>507</v>
      </c>
      <c r="AF2057" s="114" t="s">
        <v>507</v>
      </c>
      <c r="AG2057" s="114" t="s">
        <v>507</v>
      </c>
      <c r="AH2057" s="114" t="s">
        <v>507</v>
      </c>
      <c r="AI2057" s="114" t="s">
        <v>507</v>
      </c>
      <c r="AJ2057" s="114" t="s">
        <v>507</v>
      </c>
      <c r="AK2057" s="114" t="s">
        <v>507</v>
      </c>
      <c r="AL2057" s="114" t="s">
        <v>507</v>
      </c>
      <c r="AM2057" s="114" t="s">
        <v>507</v>
      </c>
      <c r="AN2057" s="114" t="s">
        <v>507</v>
      </c>
      <c r="AO2057" s="114" t="s">
        <v>507</v>
      </c>
      <c r="AP2057" s="114" t="s">
        <v>507</v>
      </c>
      <c r="AQ2057" s="114" t="s">
        <v>507</v>
      </c>
      <c r="AR2057" s="114" t="s">
        <v>507</v>
      </c>
      <c r="AS2057" s="114" t="s">
        <v>507</v>
      </c>
      <c r="AT2057" s="114" t="s">
        <v>507</v>
      </c>
      <c r="AU2057" s="114" t="s">
        <v>53</v>
      </c>
      <c r="AV2057" s="114" t="s">
        <v>507</v>
      </c>
      <c r="AW2057" s="114" t="s">
        <v>507</v>
      </c>
      <c r="AX2057" s="114" t="s">
        <v>507</v>
      </c>
      <c r="AY2057" s="114" t="s">
        <v>507</v>
      </c>
      <c r="AZ2057" s="114" t="s">
        <v>507</v>
      </c>
      <c r="BA2057" s="114" t="s">
        <v>507</v>
      </c>
    </row>
    <row r="2058" spans="1:53" s="12" customFormat="1" ht="14.4" hidden="1" x14ac:dyDescent="0.3">
      <c r="A2058" s="113" t="s">
        <v>505</v>
      </c>
      <c r="B2058" s="114" t="s">
        <v>5510</v>
      </c>
      <c r="C2058" s="114">
        <v>70</v>
      </c>
      <c r="D2058" s="114">
        <v>742</v>
      </c>
      <c r="E2058" s="114" t="s">
        <v>507</v>
      </c>
      <c r="F2058" s="118" t="s">
        <v>5685</v>
      </c>
      <c r="G2058" s="138" t="str">
        <f t="shared" si="50"/>
        <v>7074292029994-7</v>
      </c>
      <c r="H2058" s="116" t="s">
        <v>5687</v>
      </c>
      <c r="I2058" s="116" t="s">
        <v>5686</v>
      </c>
      <c r="J2058" s="116" t="s">
        <v>5688</v>
      </c>
      <c r="K2058" s="116" t="s">
        <v>230</v>
      </c>
      <c r="L2058" s="114" t="s">
        <v>507</v>
      </c>
      <c r="M2058" s="131" t="s">
        <v>507</v>
      </c>
      <c r="N2058" s="114" t="s">
        <v>780</v>
      </c>
      <c r="O2058" s="12" t="s">
        <v>260</v>
      </c>
      <c r="P2058" s="238" t="s">
        <v>8022</v>
      </c>
      <c r="Q2058" s="129">
        <v>45421</v>
      </c>
      <c r="R2058" s="114" t="s">
        <v>5689</v>
      </c>
      <c r="S2058" s="114" t="s">
        <v>49</v>
      </c>
      <c r="T2058" s="114"/>
      <c r="U2058" s="114" t="s">
        <v>60</v>
      </c>
      <c r="V2058" s="114" t="s">
        <v>582</v>
      </c>
      <c r="W2058" s="114" t="s">
        <v>335</v>
      </c>
      <c r="X2058" s="114" t="s">
        <v>49</v>
      </c>
      <c r="Y2058" s="114"/>
      <c r="Z2058" s="114" t="s">
        <v>60</v>
      </c>
      <c r="AA2058" s="114" t="s">
        <v>507</v>
      </c>
      <c r="AB2058" s="114" t="s">
        <v>507</v>
      </c>
      <c r="AC2058" s="114" t="s">
        <v>507</v>
      </c>
      <c r="AD2058" s="114" t="s">
        <v>507</v>
      </c>
      <c r="AE2058" s="114" t="s">
        <v>507</v>
      </c>
      <c r="AF2058" s="114" t="s">
        <v>507</v>
      </c>
      <c r="AG2058" s="114" t="s">
        <v>507</v>
      </c>
      <c r="AH2058" s="114" t="s">
        <v>507</v>
      </c>
      <c r="AI2058" s="114" t="s">
        <v>507</v>
      </c>
      <c r="AJ2058" s="114" t="s">
        <v>507</v>
      </c>
      <c r="AK2058" s="114" t="s">
        <v>507</v>
      </c>
      <c r="AL2058" s="114" t="s">
        <v>507</v>
      </c>
      <c r="AM2058" s="114" t="s">
        <v>507</v>
      </c>
      <c r="AN2058" s="114" t="s">
        <v>507</v>
      </c>
      <c r="AO2058" s="114" t="s">
        <v>507</v>
      </c>
      <c r="AP2058" s="114" t="s">
        <v>507</v>
      </c>
      <c r="AQ2058" s="114" t="s">
        <v>507</v>
      </c>
      <c r="AR2058" s="114" t="s">
        <v>507</v>
      </c>
      <c r="AS2058" s="114" t="s">
        <v>507</v>
      </c>
      <c r="AT2058" s="114" t="s">
        <v>507</v>
      </c>
      <c r="AU2058" s="114" t="s">
        <v>53</v>
      </c>
      <c r="AV2058" s="114" t="s">
        <v>507</v>
      </c>
      <c r="AW2058" s="114" t="s">
        <v>507</v>
      </c>
      <c r="AX2058" s="114" t="s">
        <v>507</v>
      </c>
      <c r="AY2058" s="114" t="s">
        <v>507</v>
      </c>
      <c r="AZ2058" s="114" t="s">
        <v>507</v>
      </c>
      <c r="BA2058" s="114" t="s">
        <v>507</v>
      </c>
    </row>
    <row r="2059" spans="1:53" s="12" customFormat="1" ht="14.4" hidden="1" x14ac:dyDescent="0.3">
      <c r="A2059" s="113" t="s">
        <v>505</v>
      </c>
      <c r="B2059" s="114" t="s">
        <v>5510</v>
      </c>
      <c r="C2059" s="114">
        <v>70</v>
      </c>
      <c r="D2059" s="114">
        <v>742</v>
      </c>
      <c r="E2059" s="114" t="s">
        <v>507</v>
      </c>
      <c r="F2059" s="118" t="s">
        <v>5690</v>
      </c>
      <c r="G2059" s="138" t="str">
        <f t="shared" si="50"/>
        <v>7074292033246</v>
      </c>
      <c r="H2059" s="116" t="s">
        <v>5691</v>
      </c>
      <c r="I2059" s="116">
        <v>92033246</v>
      </c>
      <c r="J2059" s="116" t="s">
        <v>5692</v>
      </c>
      <c r="K2059" s="116" t="s">
        <v>230</v>
      </c>
      <c r="L2059" s="114" t="s">
        <v>507</v>
      </c>
      <c r="M2059" s="131" t="s">
        <v>507</v>
      </c>
      <c r="N2059" s="114" t="s">
        <v>780</v>
      </c>
      <c r="O2059" s="12" t="s">
        <v>260</v>
      </c>
      <c r="P2059" s="238" t="s">
        <v>8022</v>
      </c>
      <c r="Q2059" s="127">
        <v>45634</v>
      </c>
      <c r="R2059" s="126">
        <v>0.77</v>
      </c>
      <c r="S2059" s="114" t="s">
        <v>49</v>
      </c>
      <c r="T2059" s="114"/>
      <c r="U2059" s="114" t="s">
        <v>60</v>
      </c>
      <c r="V2059" s="116" t="s">
        <v>5693</v>
      </c>
      <c r="W2059" s="126">
        <v>0.94</v>
      </c>
      <c r="X2059" s="114" t="s">
        <v>319</v>
      </c>
      <c r="Y2059" s="114"/>
      <c r="Z2059" s="114" t="s">
        <v>60</v>
      </c>
      <c r="AA2059" s="114" t="s">
        <v>507</v>
      </c>
      <c r="AB2059" s="114" t="s">
        <v>507</v>
      </c>
      <c r="AC2059" s="114" t="s">
        <v>507</v>
      </c>
      <c r="AD2059" s="114" t="s">
        <v>507</v>
      </c>
      <c r="AE2059" s="114" t="s">
        <v>507</v>
      </c>
      <c r="AF2059" s="114" t="s">
        <v>507</v>
      </c>
      <c r="AG2059" s="114" t="s">
        <v>507</v>
      </c>
      <c r="AH2059" s="114" t="s">
        <v>507</v>
      </c>
      <c r="AI2059" s="114" t="s">
        <v>507</v>
      </c>
      <c r="AJ2059" s="114" t="s">
        <v>507</v>
      </c>
      <c r="AK2059" s="114" t="s">
        <v>507</v>
      </c>
      <c r="AL2059" s="114" t="s">
        <v>507</v>
      </c>
      <c r="AM2059" s="114" t="s">
        <v>507</v>
      </c>
      <c r="AN2059" s="114" t="s">
        <v>507</v>
      </c>
      <c r="AO2059" s="114" t="s">
        <v>507</v>
      </c>
      <c r="AP2059" s="114" t="s">
        <v>507</v>
      </c>
      <c r="AQ2059" s="114" t="s">
        <v>507</v>
      </c>
      <c r="AR2059" s="114" t="s">
        <v>507</v>
      </c>
      <c r="AS2059" s="114" t="s">
        <v>507</v>
      </c>
      <c r="AT2059" s="114" t="s">
        <v>507</v>
      </c>
      <c r="AU2059" s="114" t="s">
        <v>53</v>
      </c>
      <c r="AV2059" s="114" t="s">
        <v>507</v>
      </c>
      <c r="AW2059" s="114" t="s">
        <v>507</v>
      </c>
      <c r="AX2059" s="114" t="s">
        <v>507</v>
      </c>
      <c r="AY2059" s="114" t="s">
        <v>507</v>
      </c>
      <c r="AZ2059" s="114" t="s">
        <v>507</v>
      </c>
      <c r="BA2059" s="114" t="s">
        <v>507</v>
      </c>
    </row>
    <row r="2060" spans="1:53" s="12" customFormat="1" ht="14.4" hidden="1" x14ac:dyDescent="0.3">
      <c r="A2060" s="113" t="s">
        <v>505</v>
      </c>
      <c r="B2060" s="114" t="s">
        <v>5510</v>
      </c>
      <c r="C2060" s="114">
        <v>70</v>
      </c>
      <c r="D2060" s="114">
        <v>742</v>
      </c>
      <c r="E2060" s="114" t="s">
        <v>507</v>
      </c>
      <c r="F2060" s="118" t="s">
        <v>1418</v>
      </c>
      <c r="G2060" s="138" t="str">
        <f t="shared" si="50"/>
        <v>70742901252696</v>
      </c>
      <c r="H2060" s="116" t="s">
        <v>5694</v>
      </c>
      <c r="I2060" s="116">
        <v>901252696</v>
      </c>
      <c r="J2060" s="116" t="s">
        <v>5695</v>
      </c>
      <c r="K2060" s="116" t="s">
        <v>230</v>
      </c>
      <c r="L2060" s="114">
        <v>3146658811</v>
      </c>
      <c r="M2060" s="125" t="s">
        <v>5696</v>
      </c>
      <c r="N2060" s="114" t="s">
        <v>780</v>
      </c>
      <c r="O2060" s="12" t="s">
        <v>260</v>
      </c>
      <c r="P2060" s="238" t="s">
        <v>8022</v>
      </c>
      <c r="Q2060" s="116" t="s">
        <v>5697</v>
      </c>
      <c r="R2060" s="126">
        <v>0.86</v>
      </c>
      <c r="S2060" s="114" t="s">
        <v>49</v>
      </c>
      <c r="T2060" s="114"/>
      <c r="U2060" s="114" t="s">
        <v>60</v>
      </c>
      <c r="V2060" s="116" t="s">
        <v>635</v>
      </c>
      <c r="W2060" s="126">
        <v>0.91</v>
      </c>
      <c r="X2060" s="114" t="s">
        <v>319</v>
      </c>
      <c r="Y2060" s="114"/>
      <c r="Z2060" s="114" t="s">
        <v>60</v>
      </c>
      <c r="AA2060" s="114" t="s">
        <v>507</v>
      </c>
      <c r="AB2060" s="114" t="s">
        <v>507</v>
      </c>
      <c r="AC2060" s="114" t="s">
        <v>507</v>
      </c>
      <c r="AD2060" s="114" t="s">
        <v>507</v>
      </c>
      <c r="AE2060" s="114" t="s">
        <v>507</v>
      </c>
      <c r="AF2060" s="114" t="s">
        <v>507</v>
      </c>
      <c r="AG2060" s="114" t="s">
        <v>507</v>
      </c>
      <c r="AH2060" s="114" t="s">
        <v>507</v>
      </c>
      <c r="AI2060" s="114" t="s">
        <v>507</v>
      </c>
      <c r="AJ2060" s="114" t="s">
        <v>507</v>
      </c>
      <c r="AK2060" s="114" t="s">
        <v>507</v>
      </c>
      <c r="AL2060" s="114" t="s">
        <v>507</v>
      </c>
      <c r="AM2060" s="114" t="s">
        <v>507</v>
      </c>
      <c r="AN2060" s="114" t="s">
        <v>507</v>
      </c>
      <c r="AO2060" s="114" t="s">
        <v>507</v>
      </c>
      <c r="AP2060" s="114" t="s">
        <v>507</v>
      </c>
      <c r="AQ2060" s="114" t="s">
        <v>507</v>
      </c>
      <c r="AR2060" s="114" t="s">
        <v>507</v>
      </c>
      <c r="AS2060" s="114" t="s">
        <v>507</v>
      </c>
      <c r="AT2060" s="114" t="s">
        <v>507</v>
      </c>
      <c r="AU2060" s="114" t="s">
        <v>53</v>
      </c>
      <c r="AV2060" s="114" t="s">
        <v>507</v>
      </c>
      <c r="AW2060" s="114" t="s">
        <v>507</v>
      </c>
      <c r="AX2060" s="114" t="s">
        <v>507</v>
      </c>
      <c r="AY2060" s="114" t="s">
        <v>507</v>
      </c>
      <c r="AZ2060" s="114" t="s">
        <v>507</v>
      </c>
      <c r="BA2060" s="114" t="s">
        <v>507</v>
      </c>
    </row>
    <row r="2061" spans="1:53" s="12" customFormat="1" ht="14.4" hidden="1" x14ac:dyDescent="0.3">
      <c r="A2061" s="113" t="s">
        <v>505</v>
      </c>
      <c r="B2061" s="114" t="s">
        <v>5510</v>
      </c>
      <c r="C2061" s="114">
        <v>70</v>
      </c>
      <c r="D2061" s="114">
        <v>742</v>
      </c>
      <c r="E2061" s="114" t="s">
        <v>507</v>
      </c>
      <c r="F2061" s="118" t="s">
        <v>5698</v>
      </c>
      <c r="G2061" s="138" t="str">
        <f t="shared" si="50"/>
        <v>7074211003938931</v>
      </c>
      <c r="H2061" s="116" t="s">
        <v>5699</v>
      </c>
      <c r="I2061" s="116">
        <v>11003938931</v>
      </c>
      <c r="J2061" s="116" t="s">
        <v>5700</v>
      </c>
      <c r="K2061" s="116" t="s">
        <v>230</v>
      </c>
      <c r="L2061" s="114">
        <v>3045988054</v>
      </c>
      <c r="M2061" s="125" t="s">
        <v>5701</v>
      </c>
      <c r="N2061" s="114" t="s">
        <v>780</v>
      </c>
      <c r="O2061" s="12" t="s">
        <v>260</v>
      </c>
      <c r="P2061" s="238" t="s">
        <v>8022</v>
      </c>
      <c r="Q2061" s="127">
        <v>45600</v>
      </c>
      <c r="R2061" s="114" t="s">
        <v>887</v>
      </c>
      <c r="S2061" s="114" t="s">
        <v>49</v>
      </c>
      <c r="T2061" s="114"/>
      <c r="U2061" s="114" t="s">
        <v>60</v>
      </c>
      <c r="V2061" s="129">
        <v>45114</v>
      </c>
      <c r="W2061" s="114" t="s">
        <v>918</v>
      </c>
      <c r="X2061" s="114" t="s">
        <v>49</v>
      </c>
      <c r="Y2061" s="114"/>
      <c r="Z2061" s="114" t="s">
        <v>60</v>
      </c>
      <c r="AA2061" s="114" t="s">
        <v>507</v>
      </c>
      <c r="AB2061" s="114" t="s">
        <v>507</v>
      </c>
      <c r="AC2061" s="114" t="s">
        <v>507</v>
      </c>
      <c r="AD2061" s="114" t="s">
        <v>507</v>
      </c>
      <c r="AE2061" s="114" t="s">
        <v>507</v>
      </c>
      <c r="AF2061" s="114" t="s">
        <v>507</v>
      </c>
      <c r="AG2061" s="114" t="s">
        <v>507</v>
      </c>
      <c r="AH2061" s="114" t="s">
        <v>507</v>
      </c>
      <c r="AI2061" s="114" t="s">
        <v>507</v>
      </c>
      <c r="AJ2061" s="114" t="s">
        <v>507</v>
      </c>
      <c r="AK2061" s="114" t="s">
        <v>507</v>
      </c>
      <c r="AL2061" s="114" t="s">
        <v>507</v>
      </c>
      <c r="AM2061" s="114" t="s">
        <v>507</v>
      </c>
      <c r="AN2061" s="114" t="s">
        <v>507</v>
      </c>
      <c r="AO2061" s="114" t="s">
        <v>507</v>
      </c>
      <c r="AP2061" s="114" t="s">
        <v>507</v>
      </c>
      <c r="AQ2061" s="114" t="s">
        <v>507</v>
      </c>
      <c r="AR2061" s="114" t="s">
        <v>507</v>
      </c>
      <c r="AS2061" s="114" t="s">
        <v>507</v>
      </c>
      <c r="AT2061" s="114" t="s">
        <v>507</v>
      </c>
      <c r="AU2061" s="114" t="s">
        <v>53</v>
      </c>
      <c r="AV2061" s="114" t="s">
        <v>507</v>
      </c>
      <c r="AW2061" s="114" t="s">
        <v>507</v>
      </c>
      <c r="AX2061" s="114" t="s">
        <v>507</v>
      </c>
      <c r="AY2061" s="114" t="s">
        <v>507</v>
      </c>
      <c r="AZ2061" s="114" t="s">
        <v>507</v>
      </c>
      <c r="BA2061" s="114" t="s">
        <v>507</v>
      </c>
    </row>
    <row r="2062" spans="1:53" s="12" customFormat="1" ht="14.4" hidden="1" x14ac:dyDescent="0.3">
      <c r="A2062" s="113" t="s">
        <v>505</v>
      </c>
      <c r="B2062" s="114" t="s">
        <v>5510</v>
      </c>
      <c r="C2062" s="114">
        <v>70</v>
      </c>
      <c r="D2062" s="114">
        <v>742</v>
      </c>
      <c r="E2062" s="114" t="s">
        <v>507</v>
      </c>
      <c r="F2062" s="289" t="s">
        <v>9594</v>
      </c>
      <c r="G2062" s="138" t="str">
        <f t="shared" si="50"/>
        <v>707421045016308</v>
      </c>
      <c r="H2062" s="116" t="s">
        <v>5702</v>
      </c>
      <c r="I2062" s="116">
        <v>1045016308</v>
      </c>
      <c r="J2062" s="116" t="s">
        <v>5703</v>
      </c>
      <c r="K2062" s="116" t="s">
        <v>230</v>
      </c>
      <c r="L2062" s="114">
        <v>3127024979</v>
      </c>
      <c r="M2062" s="131" t="s">
        <v>9592</v>
      </c>
      <c r="N2062" s="114" t="s">
        <v>780</v>
      </c>
      <c r="O2062" s="12" t="s">
        <v>260</v>
      </c>
      <c r="P2062" s="238" t="s">
        <v>8022</v>
      </c>
      <c r="Q2062" s="13">
        <v>46209</v>
      </c>
      <c r="R2062" s="12" t="s">
        <v>9593</v>
      </c>
      <c r="S2062" s="114" t="s">
        <v>49</v>
      </c>
      <c r="U2062" s="12" t="s">
        <v>7620</v>
      </c>
      <c r="V2062" s="116" t="s">
        <v>172</v>
      </c>
      <c r="W2062" s="126">
        <v>0.76</v>
      </c>
      <c r="X2062" s="114" t="s">
        <v>49</v>
      </c>
      <c r="Y2062" s="114"/>
      <c r="Z2062" s="114" t="s">
        <v>60</v>
      </c>
      <c r="AA2062" s="114" t="s">
        <v>507</v>
      </c>
      <c r="AB2062" s="114" t="s">
        <v>507</v>
      </c>
      <c r="AC2062" s="116" t="s">
        <v>5704</v>
      </c>
      <c r="AD2062" s="126">
        <v>0.8</v>
      </c>
      <c r="AE2062" s="114" t="s">
        <v>49</v>
      </c>
      <c r="AF2062" s="175" t="s">
        <v>60</v>
      </c>
      <c r="AG2062" s="114" t="s">
        <v>507</v>
      </c>
      <c r="AH2062" s="114" t="s">
        <v>507</v>
      </c>
      <c r="AI2062" s="114" t="s">
        <v>507</v>
      </c>
      <c r="AJ2062" s="114" t="s">
        <v>507</v>
      </c>
      <c r="AK2062" s="114" t="s">
        <v>507</v>
      </c>
      <c r="AL2062" s="114" t="s">
        <v>507</v>
      </c>
      <c r="AM2062" s="114" t="s">
        <v>507</v>
      </c>
      <c r="AN2062" s="114" t="s">
        <v>507</v>
      </c>
      <c r="AO2062" s="114" t="s">
        <v>507</v>
      </c>
      <c r="AP2062" s="114" t="s">
        <v>507</v>
      </c>
      <c r="AQ2062" s="114" t="s">
        <v>507</v>
      </c>
      <c r="AR2062" s="114" t="s">
        <v>507</v>
      </c>
      <c r="AS2062" s="114" t="s">
        <v>507</v>
      </c>
      <c r="AT2062" s="114" t="s">
        <v>507</v>
      </c>
      <c r="AU2062" s="114" t="s">
        <v>53</v>
      </c>
      <c r="AV2062" s="114" t="s">
        <v>507</v>
      </c>
      <c r="AW2062" s="114" t="s">
        <v>507</v>
      </c>
      <c r="AX2062" s="114" t="s">
        <v>507</v>
      </c>
      <c r="AY2062" s="114" t="s">
        <v>507</v>
      </c>
      <c r="AZ2062" s="114" t="s">
        <v>507</v>
      </c>
      <c r="BA2062" s="114" t="s">
        <v>507</v>
      </c>
    </row>
    <row r="2063" spans="1:53" s="12" customFormat="1" ht="14.4" hidden="1" x14ac:dyDescent="0.3">
      <c r="A2063" s="113" t="s">
        <v>505</v>
      </c>
      <c r="B2063" s="114" t="s">
        <v>5510</v>
      </c>
      <c r="C2063" s="114">
        <v>70</v>
      </c>
      <c r="D2063" s="114">
        <v>742</v>
      </c>
      <c r="E2063" s="114" t="s">
        <v>507</v>
      </c>
      <c r="F2063" s="118" t="s">
        <v>5705</v>
      </c>
      <c r="G2063" s="138" t="str">
        <f t="shared" si="50"/>
        <v>707421100392271</v>
      </c>
      <c r="H2063" s="114" t="s">
        <v>5706</v>
      </c>
      <c r="I2063" s="116">
        <v>1100392271</v>
      </c>
      <c r="J2063" s="116" t="s">
        <v>5707</v>
      </c>
      <c r="K2063" s="116" t="s">
        <v>230</v>
      </c>
      <c r="L2063" s="114">
        <v>3113192077</v>
      </c>
      <c r="M2063" s="131" t="s">
        <v>507</v>
      </c>
      <c r="N2063" s="114" t="s">
        <v>780</v>
      </c>
      <c r="O2063" s="12" t="s">
        <v>260</v>
      </c>
      <c r="P2063" s="238" t="s">
        <v>8022</v>
      </c>
      <c r="Q2063" s="129">
        <v>45544</v>
      </c>
      <c r="R2063" s="114" t="s">
        <v>5679</v>
      </c>
      <c r="S2063" s="114" t="s">
        <v>49</v>
      </c>
      <c r="T2063" s="114"/>
      <c r="U2063" s="114" t="s">
        <v>60</v>
      </c>
      <c r="V2063" s="114" t="s">
        <v>507</v>
      </c>
      <c r="W2063" s="114" t="s">
        <v>507</v>
      </c>
      <c r="X2063" s="114" t="s">
        <v>507</v>
      </c>
      <c r="Y2063" s="114"/>
      <c r="Z2063" s="114" t="s">
        <v>507</v>
      </c>
      <c r="AA2063" s="114" t="s">
        <v>507</v>
      </c>
      <c r="AB2063" s="114" t="s">
        <v>507</v>
      </c>
      <c r="AC2063" s="114" t="s">
        <v>507</v>
      </c>
      <c r="AD2063" s="114" t="s">
        <v>507</v>
      </c>
      <c r="AE2063" s="114" t="s">
        <v>507</v>
      </c>
      <c r="AF2063" s="114" t="s">
        <v>507</v>
      </c>
      <c r="AG2063" s="114" t="s">
        <v>507</v>
      </c>
      <c r="AH2063" s="114" t="s">
        <v>507</v>
      </c>
      <c r="AI2063" s="114" t="s">
        <v>507</v>
      </c>
      <c r="AJ2063" s="114" t="s">
        <v>507</v>
      </c>
      <c r="AK2063" s="114" t="s">
        <v>507</v>
      </c>
      <c r="AL2063" s="114" t="s">
        <v>507</v>
      </c>
      <c r="AM2063" s="114" t="s">
        <v>507</v>
      </c>
      <c r="AN2063" s="114" t="s">
        <v>507</v>
      </c>
      <c r="AO2063" s="114" t="s">
        <v>507</v>
      </c>
      <c r="AP2063" s="114" t="s">
        <v>507</v>
      </c>
      <c r="AQ2063" s="114" t="s">
        <v>507</v>
      </c>
      <c r="AR2063" s="114" t="s">
        <v>507</v>
      </c>
      <c r="AS2063" s="114" t="s">
        <v>507</v>
      </c>
      <c r="AT2063" s="114" t="s">
        <v>507</v>
      </c>
      <c r="AU2063" s="114" t="s">
        <v>53</v>
      </c>
      <c r="AV2063" s="114" t="s">
        <v>507</v>
      </c>
      <c r="AW2063" s="114" t="s">
        <v>507</v>
      </c>
      <c r="AX2063" s="114" t="s">
        <v>507</v>
      </c>
      <c r="AY2063" s="114" t="s">
        <v>507</v>
      </c>
      <c r="AZ2063" s="114" t="s">
        <v>507</v>
      </c>
      <c r="BA2063" s="114" t="s">
        <v>507</v>
      </c>
    </row>
    <row r="2064" spans="1:53" s="12" customFormat="1" ht="14.4" hidden="1" x14ac:dyDescent="0.3">
      <c r="A2064" s="113" t="s">
        <v>505</v>
      </c>
      <c r="B2064" s="114" t="s">
        <v>5510</v>
      </c>
      <c r="C2064" s="114">
        <v>70</v>
      </c>
      <c r="D2064" s="114">
        <v>742</v>
      </c>
      <c r="E2064" s="114" t="s">
        <v>507</v>
      </c>
      <c r="F2064" s="118" t="s">
        <v>5708</v>
      </c>
      <c r="G2064" s="138" t="str">
        <f t="shared" si="50"/>
        <v>7074292554059-6</v>
      </c>
      <c r="H2064" s="114" t="s">
        <v>5710</v>
      </c>
      <c r="I2064" s="116" t="s">
        <v>5709</v>
      </c>
      <c r="J2064" s="116" t="s">
        <v>5711</v>
      </c>
      <c r="K2064" s="116" t="s">
        <v>230</v>
      </c>
      <c r="L2064" s="114">
        <v>3013604130</v>
      </c>
      <c r="M2064" s="131" t="s">
        <v>507</v>
      </c>
      <c r="N2064" s="114" t="s">
        <v>780</v>
      </c>
      <c r="O2064" s="12" t="s">
        <v>260</v>
      </c>
      <c r="P2064" s="238" t="s">
        <v>8022</v>
      </c>
      <c r="Q2064" s="129">
        <v>45544</v>
      </c>
      <c r="R2064" s="114" t="s">
        <v>885</v>
      </c>
      <c r="S2064" s="114" t="s">
        <v>49</v>
      </c>
      <c r="T2064" s="114"/>
      <c r="U2064" s="114" t="s">
        <v>60</v>
      </c>
      <c r="V2064" s="114" t="s">
        <v>507</v>
      </c>
      <c r="W2064" s="114" t="s">
        <v>507</v>
      </c>
      <c r="X2064" s="114" t="s">
        <v>507</v>
      </c>
      <c r="Y2064" s="114"/>
      <c r="Z2064" s="114" t="s">
        <v>507</v>
      </c>
      <c r="AA2064" s="114" t="s">
        <v>507</v>
      </c>
      <c r="AB2064" s="114" t="s">
        <v>507</v>
      </c>
      <c r="AC2064" s="114" t="s">
        <v>507</v>
      </c>
      <c r="AD2064" s="114" t="s">
        <v>507</v>
      </c>
      <c r="AE2064" s="114" t="s">
        <v>507</v>
      </c>
      <c r="AF2064" s="114" t="s">
        <v>507</v>
      </c>
      <c r="AG2064" s="114" t="s">
        <v>507</v>
      </c>
      <c r="AH2064" s="114" t="s">
        <v>507</v>
      </c>
      <c r="AI2064" s="114" t="s">
        <v>507</v>
      </c>
      <c r="AJ2064" s="114" t="s">
        <v>507</v>
      </c>
      <c r="AK2064" s="114" t="s">
        <v>507</v>
      </c>
      <c r="AL2064" s="114" t="s">
        <v>507</v>
      </c>
      <c r="AM2064" s="114" t="s">
        <v>507</v>
      </c>
      <c r="AN2064" s="114" t="s">
        <v>507</v>
      </c>
      <c r="AO2064" s="114" t="s">
        <v>507</v>
      </c>
      <c r="AP2064" s="114" t="s">
        <v>507</v>
      </c>
      <c r="AQ2064" s="114" t="s">
        <v>507</v>
      </c>
      <c r="AR2064" s="114" t="s">
        <v>507</v>
      </c>
      <c r="AS2064" s="114" t="s">
        <v>507</v>
      </c>
      <c r="AT2064" s="114" t="s">
        <v>507</v>
      </c>
      <c r="AU2064" s="114" t="s">
        <v>53</v>
      </c>
      <c r="AV2064" s="114" t="s">
        <v>507</v>
      </c>
      <c r="AW2064" s="114" t="s">
        <v>507</v>
      </c>
      <c r="AX2064" s="114" t="s">
        <v>507</v>
      </c>
      <c r="AY2064" s="114" t="s">
        <v>507</v>
      </c>
      <c r="AZ2064" s="114" t="s">
        <v>507</v>
      </c>
      <c r="BA2064" s="114" t="s">
        <v>507</v>
      </c>
    </row>
    <row r="2065" spans="1:53" s="12" customFormat="1" ht="14.4" hidden="1" x14ac:dyDescent="0.3">
      <c r="A2065" s="113" t="s">
        <v>505</v>
      </c>
      <c r="B2065" s="114" t="s">
        <v>5510</v>
      </c>
      <c r="C2065" s="114">
        <v>70</v>
      </c>
      <c r="D2065" s="114">
        <v>742</v>
      </c>
      <c r="E2065" s="114" t="s">
        <v>507</v>
      </c>
      <c r="F2065" s="118" t="s">
        <v>5712</v>
      </c>
      <c r="G2065" s="138" t="str">
        <f t="shared" si="50"/>
        <v>707421103950701</v>
      </c>
      <c r="H2065" s="116" t="s">
        <v>5713</v>
      </c>
      <c r="I2065" s="116">
        <v>1103950701</v>
      </c>
      <c r="J2065" s="116" t="s">
        <v>5714</v>
      </c>
      <c r="K2065" s="116" t="s">
        <v>230</v>
      </c>
      <c r="L2065" s="116">
        <v>3005237003</v>
      </c>
      <c r="M2065" s="131" t="s">
        <v>507</v>
      </c>
      <c r="N2065" s="114" t="s">
        <v>780</v>
      </c>
      <c r="O2065" s="12" t="s">
        <v>260</v>
      </c>
      <c r="P2065" s="238" t="s">
        <v>8022</v>
      </c>
      <c r="Q2065" s="129">
        <v>45302</v>
      </c>
      <c r="R2065" s="126">
        <v>0.75</v>
      </c>
      <c r="S2065" s="114" t="s">
        <v>49</v>
      </c>
      <c r="T2065" s="114"/>
      <c r="U2065" s="114" t="s">
        <v>60</v>
      </c>
      <c r="V2065" s="114" t="s">
        <v>507</v>
      </c>
      <c r="W2065" s="114" t="s">
        <v>507</v>
      </c>
      <c r="X2065" s="114" t="s">
        <v>507</v>
      </c>
      <c r="Y2065" s="114"/>
      <c r="Z2065" s="114" t="s">
        <v>507</v>
      </c>
      <c r="AA2065" s="114" t="s">
        <v>507</v>
      </c>
      <c r="AB2065" s="114" t="s">
        <v>507</v>
      </c>
      <c r="AC2065" s="114" t="s">
        <v>507</v>
      </c>
      <c r="AD2065" s="114" t="s">
        <v>507</v>
      </c>
      <c r="AE2065" s="114" t="s">
        <v>507</v>
      </c>
      <c r="AF2065" s="114" t="s">
        <v>507</v>
      </c>
      <c r="AG2065" s="114" t="s">
        <v>507</v>
      </c>
      <c r="AH2065" s="114" t="s">
        <v>507</v>
      </c>
      <c r="AI2065" s="114" t="s">
        <v>507</v>
      </c>
      <c r="AJ2065" s="114" t="s">
        <v>507</v>
      </c>
      <c r="AK2065" s="114" t="s">
        <v>507</v>
      </c>
      <c r="AL2065" s="114" t="s">
        <v>507</v>
      </c>
      <c r="AM2065" s="114" t="s">
        <v>507</v>
      </c>
      <c r="AN2065" s="114" t="s">
        <v>507</v>
      </c>
      <c r="AO2065" s="114" t="s">
        <v>507</v>
      </c>
      <c r="AP2065" s="114" t="s">
        <v>507</v>
      </c>
      <c r="AQ2065" s="114" t="s">
        <v>507</v>
      </c>
      <c r="AR2065" s="114" t="s">
        <v>507</v>
      </c>
      <c r="AS2065" s="114" t="s">
        <v>507</v>
      </c>
      <c r="AT2065" s="114" t="s">
        <v>507</v>
      </c>
      <c r="AU2065" s="114" t="s">
        <v>53</v>
      </c>
      <c r="AV2065" s="114" t="s">
        <v>507</v>
      </c>
      <c r="AW2065" s="114" t="s">
        <v>507</v>
      </c>
      <c r="AX2065" s="114" t="s">
        <v>507</v>
      </c>
      <c r="AY2065" s="114" t="s">
        <v>507</v>
      </c>
      <c r="AZ2065" s="114" t="s">
        <v>507</v>
      </c>
      <c r="BA2065" s="114" t="s">
        <v>507</v>
      </c>
    </row>
    <row r="2066" spans="1:53" s="12" customFormat="1" ht="14.4" hidden="1" x14ac:dyDescent="0.3">
      <c r="A2066" s="113" t="s">
        <v>505</v>
      </c>
      <c r="B2066" s="114" t="s">
        <v>5510</v>
      </c>
      <c r="C2066" s="114">
        <v>70</v>
      </c>
      <c r="D2066" s="114">
        <v>742</v>
      </c>
      <c r="E2066" s="114" t="s">
        <v>507</v>
      </c>
      <c r="F2066" s="118" t="s">
        <v>5715</v>
      </c>
      <c r="G2066" s="138" t="str">
        <f t="shared" si="50"/>
        <v>707421100396830</v>
      </c>
      <c r="H2066" s="116" t="s">
        <v>5716</v>
      </c>
      <c r="I2066" s="116">
        <v>1100396830</v>
      </c>
      <c r="J2066" s="116" t="s">
        <v>5717</v>
      </c>
      <c r="K2066" s="116" t="s">
        <v>230</v>
      </c>
      <c r="L2066" s="116">
        <v>3043567551</v>
      </c>
      <c r="M2066" s="131" t="s">
        <v>507</v>
      </c>
      <c r="N2066" s="114" t="s">
        <v>780</v>
      </c>
      <c r="O2066" s="12" t="s">
        <v>260</v>
      </c>
      <c r="P2066" s="238" t="s">
        <v>8022</v>
      </c>
      <c r="Q2066" s="129">
        <v>45454</v>
      </c>
      <c r="R2066" s="126">
        <v>0.78</v>
      </c>
      <c r="S2066" s="114" t="s">
        <v>49</v>
      </c>
      <c r="T2066" s="114"/>
      <c r="U2066" s="114" t="s">
        <v>60</v>
      </c>
      <c r="V2066" s="114" t="s">
        <v>507</v>
      </c>
      <c r="W2066" s="114" t="s">
        <v>507</v>
      </c>
      <c r="X2066" s="114" t="s">
        <v>507</v>
      </c>
      <c r="Y2066" s="114"/>
      <c r="Z2066" s="114" t="s">
        <v>507</v>
      </c>
      <c r="AA2066" s="114" t="s">
        <v>507</v>
      </c>
      <c r="AB2066" s="114" t="s">
        <v>507</v>
      </c>
      <c r="AC2066" s="114" t="s">
        <v>507</v>
      </c>
      <c r="AD2066" s="114" t="s">
        <v>507</v>
      </c>
      <c r="AE2066" s="114" t="s">
        <v>507</v>
      </c>
      <c r="AF2066" s="114" t="s">
        <v>507</v>
      </c>
      <c r="AG2066" s="114" t="s">
        <v>507</v>
      </c>
      <c r="AH2066" s="114" t="s">
        <v>507</v>
      </c>
      <c r="AI2066" s="114" t="s">
        <v>507</v>
      </c>
      <c r="AJ2066" s="114" t="s">
        <v>507</v>
      </c>
      <c r="AK2066" s="114" t="s">
        <v>507</v>
      </c>
      <c r="AL2066" s="114" t="s">
        <v>507</v>
      </c>
      <c r="AM2066" s="114" t="s">
        <v>507</v>
      </c>
      <c r="AN2066" s="114" t="s">
        <v>507</v>
      </c>
      <c r="AO2066" s="114" t="s">
        <v>507</v>
      </c>
      <c r="AP2066" s="114" t="s">
        <v>507</v>
      </c>
      <c r="AQ2066" s="114" t="s">
        <v>507</v>
      </c>
      <c r="AR2066" s="114" t="s">
        <v>507</v>
      </c>
      <c r="AS2066" s="114" t="s">
        <v>507</v>
      </c>
      <c r="AT2066" s="114" t="s">
        <v>507</v>
      </c>
      <c r="AU2066" s="114" t="s">
        <v>53</v>
      </c>
      <c r="AV2066" s="114" t="s">
        <v>507</v>
      </c>
      <c r="AW2066" s="114" t="s">
        <v>507</v>
      </c>
      <c r="AX2066" s="114" t="s">
        <v>507</v>
      </c>
      <c r="AY2066" s="114" t="s">
        <v>507</v>
      </c>
      <c r="AZ2066" s="114" t="s">
        <v>507</v>
      </c>
      <c r="BA2066" s="114" t="s">
        <v>507</v>
      </c>
    </row>
    <row r="2067" spans="1:53" s="12" customFormat="1" ht="14.4" hidden="1" x14ac:dyDescent="0.3">
      <c r="A2067" s="113" t="s">
        <v>505</v>
      </c>
      <c r="B2067" s="114" t="s">
        <v>5510</v>
      </c>
      <c r="C2067" s="114">
        <v>70</v>
      </c>
      <c r="D2067" s="114">
        <v>742</v>
      </c>
      <c r="E2067" s="114" t="s">
        <v>507</v>
      </c>
      <c r="F2067" s="289" t="s">
        <v>5718</v>
      </c>
      <c r="G2067" s="138" t="str">
        <f t="shared" si="50"/>
        <v>7074292030907-8</v>
      </c>
      <c r="H2067" s="116" t="s">
        <v>5720</v>
      </c>
      <c r="I2067" s="116" t="s">
        <v>5719</v>
      </c>
      <c r="J2067" s="116" t="s">
        <v>5721</v>
      </c>
      <c r="K2067" s="114" t="s">
        <v>230</v>
      </c>
      <c r="L2067" s="132">
        <v>3145766583</v>
      </c>
      <c r="M2067" s="125" t="s">
        <v>5722</v>
      </c>
      <c r="N2067" s="12" t="s">
        <v>432</v>
      </c>
      <c r="O2067" s="12" t="s">
        <v>432</v>
      </c>
      <c r="P2067" s="185" t="s">
        <v>261</v>
      </c>
      <c r="Q2067" s="13">
        <v>46157</v>
      </c>
      <c r="R2067" s="12">
        <v>89</v>
      </c>
      <c r="S2067" s="114" t="s">
        <v>49</v>
      </c>
      <c r="U2067" s="12" t="s">
        <v>2456</v>
      </c>
      <c r="V2067" s="114" t="s">
        <v>5723</v>
      </c>
      <c r="W2067" s="126">
        <v>0.92</v>
      </c>
      <c r="X2067" s="114" t="s">
        <v>319</v>
      </c>
      <c r="Y2067" s="114"/>
      <c r="Z2067" s="175" t="s">
        <v>2456</v>
      </c>
      <c r="AA2067" s="114" t="s">
        <v>507</v>
      </c>
      <c r="AB2067" s="114" t="s">
        <v>507</v>
      </c>
      <c r="AC2067" s="127">
        <v>45543</v>
      </c>
      <c r="AD2067" s="126">
        <v>0.92</v>
      </c>
      <c r="AE2067" s="114" t="s">
        <v>319</v>
      </c>
      <c r="AF2067" s="12" t="s">
        <v>2456</v>
      </c>
      <c r="AG2067" s="114" t="s">
        <v>507</v>
      </c>
      <c r="AH2067" s="114" t="s">
        <v>507</v>
      </c>
      <c r="AI2067" s="116" t="s">
        <v>613</v>
      </c>
      <c r="AJ2067" s="114" t="s">
        <v>795</v>
      </c>
      <c r="AK2067" s="114" t="s">
        <v>49</v>
      </c>
      <c r="AL2067" s="114" t="s">
        <v>60</v>
      </c>
      <c r="AM2067" s="114" t="s">
        <v>507</v>
      </c>
      <c r="AN2067" s="114" t="s">
        <v>507</v>
      </c>
      <c r="AO2067" s="114" t="s">
        <v>507</v>
      </c>
      <c r="AP2067" s="114" t="s">
        <v>507</v>
      </c>
      <c r="AQ2067" s="114" t="s">
        <v>507</v>
      </c>
      <c r="AR2067" s="114" t="s">
        <v>507</v>
      </c>
      <c r="AS2067" s="114" t="s">
        <v>507</v>
      </c>
      <c r="AT2067" s="114" t="s">
        <v>507</v>
      </c>
      <c r="AU2067" s="114" t="s">
        <v>53</v>
      </c>
      <c r="AV2067" s="114" t="s">
        <v>507</v>
      </c>
      <c r="AW2067" s="114" t="s">
        <v>507</v>
      </c>
      <c r="AX2067" s="114" t="s">
        <v>507</v>
      </c>
      <c r="AY2067" s="114" t="s">
        <v>507</v>
      </c>
      <c r="AZ2067" s="114" t="s">
        <v>507</v>
      </c>
      <c r="BA2067" s="114" t="s">
        <v>507</v>
      </c>
    </row>
    <row r="2068" spans="1:53" s="12" customFormat="1" ht="14.4" hidden="1" x14ac:dyDescent="0.3">
      <c r="A2068" s="113" t="s">
        <v>505</v>
      </c>
      <c r="B2068" s="114" t="s">
        <v>5510</v>
      </c>
      <c r="C2068" s="114">
        <v>70</v>
      </c>
      <c r="D2068" s="114">
        <v>742</v>
      </c>
      <c r="E2068" s="114" t="s">
        <v>507</v>
      </c>
      <c r="F2068" s="118" t="s">
        <v>5724</v>
      </c>
      <c r="G2068" s="138" t="str">
        <f t="shared" si="50"/>
        <v>70742735463724</v>
      </c>
      <c r="H2068" s="116" t="s">
        <v>5725</v>
      </c>
      <c r="I2068" s="116">
        <v>735463724</v>
      </c>
      <c r="J2068" s="116" t="s">
        <v>5726</v>
      </c>
      <c r="K2068" s="114" t="s">
        <v>230</v>
      </c>
      <c r="L2068" s="131">
        <v>2895688</v>
      </c>
      <c r="M2068" s="125" t="s">
        <v>5727</v>
      </c>
      <c r="N2068" s="12" t="s">
        <v>432</v>
      </c>
      <c r="O2068" s="12" t="s">
        <v>432</v>
      </c>
      <c r="P2068" s="185" t="s">
        <v>261</v>
      </c>
      <c r="Q2068" s="116" t="s">
        <v>686</v>
      </c>
      <c r="R2068" s="126">
        <v>0.79</v>
      </c>
      <c r="S2068" s="114" t="s">
        <v>5728</v>
      </c>
      <c r="T2068" s="114"/>
      <c r="U2068" s="114" t="s">
        <v>60</v>
      </c>
      <c r="V2068" s="116" t="s">
        <v>861</v>
      </c>
      <c r="W2068" s="126">
        <v>0.83</v>
      </c>
      <c r="X2068" s="114" t="s">
        <v>49</v>
      </c>
      <c r="Y2068" s="114"/>
      <c r="Z2068" s="114" t="s">
        <v>60</v>
      </c>
      <c r="AA2068" s="114" t="s">
        <v>507</v>
      </c>
      <c r="AB2068" s="114" t="s">
        <v>507</v>
      </c>
      <c r="AC2068" s="114" t="s">
        <v>507</v>
      </c>
      <c r="AD2068" s="114" t="s">
        <v>507</v>
      </c>
      <c r="AE2068" s="114" t="s">
        <v>507</v>
      </c>
      <c r="AF2068" s="114" t="s">
        <v>507</v>
      </c>
      <c r="AG2068" s="114" t="s">
        <v>507</v>
      </c>
      <c r="AH2068" s="114" t="s">
        <v>507</v>
      </c>
      <c r="AI2068" s="114" t="s">
        <v>507</v>
      </c>
      <c r="AJ2068" s="114" t="s">
        <v>507</v>
      </c>
      <c r="AK2068" s="114" t="s">
        <v>507</v>
      </c>
      <c r="AL2068" s="114" t="s">
        <v>507</v>
      </c>
      <c r="AM2068" s="114" t="s">
        <v>507</v>
      </c>
      <c r="AN2068" s="114" t="s">
        <v>507</v>
      </c>
      <c r="AO2068" s="114" t="s">
        <v>507</v>
      </c>
      <c r="AP2068" s="114" t="s">
        <v>507</v>
      </c>
      <c r="AQ2068" s="114" t="s">
        <v>507</v>
      </c>
      <c r="AR2068" s="114" t="s">
        <v>507</v>
      </c>
      <c r="AS2068" s="114" t="s">
        <v>507</v>
      </c>
      <c r="AT2068" s="114" t="s">
        <v>507</v>
      </c>
      <c r="AU2068" s="114" t="s">
        <v>53</v>
      </c>
      <c r="AV2068" s="114" t="s">
        <v>507</v>
      </c>
      <c r="AW2068" s="114" t="s">
        <v>507</v>
      </c>
      <c r="AX2068" s="114" t="s">
        <v>507</v>
      </c>
      <c r="AY2068" s="114" t="s">
        <v>507</v>
      </c>
      <c r="AZ2068" s="114" t="s">
        <v>507</v>
      </c>
      <c r="BA2068" s="114" t="s">
        <v>507</v>
      </c>
    </row>
    <row r="2069" spans="1:53" s="12" customFormat="1" ht="14.4" hidden="1" x14ac:dyDescent="0.3">
      <c r="A2069" s="113" t="s">
        <v>505</v>
      </c>
      <c r="B2069" s="114" t="s">
        <v>5510</v>
      </c>
      <c r="C2069" s="114">
        <v>70</v>
      </c>
      <c r="D2069" s="114">
        <v>742</v>
      </c>
      <c r="E2069" s="114" t="s">
        <v>507</v>
      </c>
      <c r="F2069" s="118" t="s">
        <v>5729</v>
      </c>
      <c r="G2069" s="138" t="str">
        <f t="shared" si="50"/>
        <v>7074292031669</v>
      </c>
      <c r="H2069" s="116" t="s">
        <v>5730</v>
      </c>
      <c r="I2069" s="116">
        <v>92031669</v>
      </c>
      <c r="J2069" s="116" t="s">
        <v>5731</v>
      </c>
      <c r="K2069" s="114" t="s">
        <v>230</v>
      </c>
      <c r="L2069" s="132">
        <v>312409013</v>
      </c>
      <c r="M2069" s="125" t="s">
        <v>5732</v>
      </c>
      <c r="N2069" s="12" t="s">
        <v>432</v>
      </c>
      <c r="O2069" s="12" t="s">
        <v>432</v>
      </c>
      <c r="P2069" s="185" t="s">
        <v>261</v>
      </c>
      <c r="Q2069" s="129">
        <v>45484</v>
      </c>
      <c r="R2069" s="114" t="s">
        <v>1175</v>
      </c>
      <c r="S2069" s="114" t="s">
        <v>5728</v>
      </c>
      <c r="T2069" s="114"/>
      <c r="U2069" s="114" t="s">
        <v>60</v>
      </c>
      <c r="V2069" s="129">
        <v>45056</v>
      </c>
      <c r="W2069" s="114" t="s">
        <v>1175</v>
      </c>
      <c r="X2069" s="114" t="s">
        <v>49</v>
      </c>
      <c r="Y2069" s="114"/>
      <c r="Z2069" s="114" t="s">
        <v>60</v>
      </c>
      <c r="AA2069" s="114" t="s">
        <v>507</v>
      </c>
      <c r="AB2069" s="114" t="s">
        <v>507</v>
      </c>
      <c r="AC2069" s="114" t="s">
        <v>507</v>
      </c>
      <c r="AD2069" s="114" t="s">
        <v>507</v>
      </c>
      <c r="AE2069" s="114" t="s">
        <v>507</v>
      </c>
      <c r="AF2069" s="114" t="s">
        <v>507</v>
      </c>
      <c r="AG2069" s="114" t="s">
        <v>507</v>
      </c>
      <c r="AH2069" s="114" t="s">
        <v>507</v>
      </c>
      <c r="AI2069" s="114" t="s">
        <v>507</v>
      </c>
      <c r="AJ2069" s="114" t="s">
        <v>507</v>
      </c>
      <c r="AK2069" s="114" t="s">
        <v>507</v>
      </c>
      <c r="AL2069" s="114" t="s">
        <v>507</v>
      </c>
      <c r="AM2069" s="114" t="s">
        <v>507</v>
      </c>
      <c r="AN2069" s="114" t="s">
        <v>507</v>
      </c>
      <c r="AO2069" s="114" t="s">
        <v>507</v>
      </c>
      <c r="AP2069" s="114" t="s">
        <v>507</v>
      </c>
      <c r="AQ2069" s="114" t="s">
        <v>507</v>
      </c>
      <c r="AR2069" s="114" t="s">
        <v>507</v>
      </c>
      <c r="AS2069" s="114" t="s">
        <v>507</v>
      </c>
      <c r="AT2069" s="114" t="s">
        <v>507</v>
      </c>
      <c r="AU2069" s="114" t="s">
        <v>53</v>
      </c>
      <c r="AV2069" s="114" t="s">
        <v>507</v>
      </c>
      <c r="AW2069" s="114" t="s">
        <v>507</v>
      </c>
      <c r="AX2069" s="114" t="s">
        <v>507</v>
      </c>
      <c r="AY2069" s="114" t="s">
        <v>507</v>
      </c>
      <c r="AZ2069" s="114" t="s">
        <v>507</v>
      </c>
      <c r="BA2069" s="114" t="s">
        <v>507</v>
      </c>
    </row>
    <row r="2070" spans="1:53" s="12" customFormat="1" ht="28.8" hidden="1" x14ac:dyDescent="0.3">
      <c r="A2070" s="113" t="s">
        <v>505</v>
      </c>
      <c r="B2070" s="114" t="s">
        <v>5510</v>
      </c>
      <c r="C2070" s="114">
        <v>70</v>
      </c>
      <c r="D2070" s="114">
        <v>742</v>
      </c>
      <c r="E2070" s="114" t="s">
        <v>507</v>
      </c>
      <c r="F2070" s="289" t="s">
        <v>5733</v>
      </c>
      <c r="G2070" s="138" t="str">
        <f t="shared" si="50"/>
        <v>7074292033483-0</v>
      </c>
      <c r="H2070" s="116" t="s">
        <v>5735</v>
      </c>
      <c r="I2070" s="116" t="s">
        <v>5734</v>
      </c>
      <c r="J2070" s="116" t="s">
        <v>5736</v>
      </c>
      <c r="K2070" s="114" t="s">
        <v>230</v>
      </c>
      <c r="L2070" s="132">
        <v>3148061924</v>
      </c>
      <c r="M2070" s="125" t="s">
        <v>5737</v>
      </c>
      <c r="N2070" s="12" t="s">
        <v>432</v>
      </c>
      <c r="O2070" s="12" t="s">
        <v>432</v>
      </c>
      <c r="P2070" s="185" t="s">
        <v>261</v>
      </c>
      <c r="Q2070" s="13">
        <v>46127</v>
      </c>
      <c r="R2070" s="12">
        <v>89</v>
      </c>
      <c r="S2070" s="12" t="s">
        <v>49</v>
      </c>
      <c r="U2070" s="12" t="s">
        <v>2456</v>
      </c>
      <c r="V2070" s="114" t="s">
        <v>744</v>
      </c>
      <c r="W2070" s="114" t="s">
        <v>943</v>
      </c>
      <c r="X2070" s="114" t="s">
        <v>319</v>
      </c>
      <c r="Y2070" s="114"/>
      <c r="Z2070" s="175" t="s">
        <v>2456</v>
      </c>
      <c r="AA2070" s="114" t="s">
        <v>507</v>
      </c>
      <c r="AB2070" s="114" t="s">
        <v>507</v>
      </c>
      <c r="AC2070" s="127">
        <v>45416</v>
      </c>
      <c r="AD2070" s="126">
        <v>0.86</v>
      </c>
      <c r="AE2070" s="114" t="s">
        <v>5728</v>
      </c>
      <c r="AF2070" s="12" t="s">
        <v>9562</v>
      </c>
      <c r="AG2070" s="114" t="s">
        <v>507</v>
      </c>
      <c r="AH2070" s="114" t="s">
        <v>507</v>
      </c>
      <c r="AI2070" s="129">
        <v>45266</v>
      </c>
      <c r="AJ2070" s="126">
        <v>0.8</v>
      </c>
      <c r="AK2070" s="114" t="s">
        <v>49</v>
      </c>
      <c r="AL2070" s="114" t="s">
        <v>60</v>
      </c>
      <c r="AM2070" s="114" t="s">
        <v>507</v>
      </c>
      <c r="AN2070" s="114" t="s">
        <v>507</v>
      </c>
      <c r="AO2070" s="114" t="s">
        <v>507</v>
      </c>
      <c r="AP2070" s="114" t="s">
        <v>507</v>
      </c>
      <c r="AQ2070" s="114" t="s">
        <v>507</v>
      </c>
      <c r="AR2070" s="114" t="s">
        <v>507</v>
      </c>
      <c r="AS2070" s="114" t="s">
        <v>507</v>
      </c>
      <c r="AT2070" s="114" t="s">
        <v>507</v>
      </c>
      <c r="AU2070" s="114" t="s">
        <v>53</v>
      </c>
      <c r="AV2070" s="114" t="s">
        <v>507</v>
      </c>
      <c r="AW2070" s="114" t="s">
        <v>507</v>
      </c>
      <c r="AX2070" s="114" t="s">
        <v>507</v>
      </c>
      <c r="AY2070" s="114" t="s">
        <v>507</v>
      </c>
      <c r="AZ2070" s="114" t="s">
        <v>507</v>
      </c>
      <c r="BA2070" s="114" t="s">
        <v>507</v>
      </c>
    </row>
    <row r="2071" spans="1:53" s="12" customFormat="1" ht="14.4" hidden="1" x14ac:dyDescent="0.3">
      <c r="A2071" s="113" t="s">
        <v>505</v>
      </c>
      <c r="B2071" s="114" t="s">
        <v>5510</v>
      </c>
      <c r="C2071" s="114">
        <v>70</v>
      </c>
      <c r="D2071" s="114">
        <v>742</v>
      </c>
      <c r="E2071" s="114" t="s">
        <v>507</v>
      </c>
      <c r="F2071" s="118" t="s">
        <v>5738</v>
      </c>
      <c r="G2071" s="138" t="str">
        <f t="shared" si="50"/>
        <v>707421100392087-5</v>
      </c>
      <c r="H2071" s="116" t="s">
        <v>5740</v>
      </c>
      <c r="I2071" s="116" t="s">
        <v>5739</v>
      </c>
      <c r="J2071" s="116" t="s">
        <v>5741</v>
      </c>
      <c r="K2071" s="114" t="s">
        <v>230</v>
      </c>
      <c r="L2071" s="132">
        <v>3234600099</v>
      </c>
      <c r="M2071" s="125" t="s">
        <v>5742</v>
      </c>
      <c r="N2071" s="12" t="s">
        <v>432</v>
      </c>
      <c r="O2071" s="12" t="s">
        <v>432</v>
      </c>
      <c r="P2071" s="185" t="s">
        <v>261</v>
      </c>
      <c r="Q2071" s="114" t="s">
        <v>5743</v>
      </c>
      <c r="R2071" s="126">
        <v>0.82</v>
      </c>
      <c r="S2071" s="114" t="s">
        <v>5728</v>
      </c>
      <c r="T2071" s="114"/>
      <c r="U2071" s="114" t="s">
        <v>60</v>
      </c>
      <c r="V2071" s="129">
        <v>45204</v>
      </c>
      <c r="W2071" s="126">
        <v>0.79</v>
      </c>
      <c r="X2071" s="114" t="s">
        <v>49</v>
      </c>
      <c r="Y2071" s="114"/>
      <c r="Z2071" s="114" t="s">
        <v>60</v>
      </c>
      <c r="AA2071" s="114" t="s">
        <v>507</v>
      </c>
      <c r="AB2071" s="114" t="s">
        <v>507</v>
      </c>
      <c r="AC2071" s="114" t="s">
        <v>507</v>
      </c>
      <c r="AD2071" s="114" t="s">
        <v>507</v>
      </c>
      <c r="AE2071" s="114" t="s">
        <v>507</v>
      </c>
      <c r="AF2071" s="114" t="s">
        <v>507</v>
      </c>
      <c r="AG2071" s="114" t="s">
        <v>507</v>
      </c>
      <c r="AH2071" s="114" t="s">
        <v>507</v>
      </c>
      <c r="AI2071" s="114" t="s">
        <v>507</v>
      </c>
      <c r="AJ2071" s="114" t="s">
        <v>507</v>
      </c>
      <c r="AK2071" s="114" t="s">
        <v>507</v>
      </c>
      <c r="AL2071" s="114" t="s">
        <v>507</v>
      </c>
      <c r="AM2071" s="114" t="s">
        <v>507</v>
      </c>
      <c r="AN2071" s="114" t="s">
        <v>507</v>
      </c>
      <c r="AO2071" s="114" t="s">
        <v>507</v>
      </c>
      <c r="AP2071" s="114" t="s">
        <v>507</v>
      </c>
      <c r="AQ2071" s="114" t="s">
        <v>507</v>
      </c>
      <c r="AR2071" s="114" t="s">
        <v>507</v>
      </c>
      <c r="AS2071" s="114" t="s">
        <v>507</v>
      </c>
      <c r="AT2071" s="114" t="s">
        <v>507</v>
      </c>
      <c r="AU2071" s="114" t="s">
        <v>53</v>
      </c>
      <c r="AV2071" s="114" t="s">
        <v>507</v>
      </c>
      <c r="AW2071" s="114" t="s">
        <v>507</v>
      </c>
      <c r="AX2071" s="114" t="s">
        <v>507</v>
      </c>
      <c r="AY2071" s="114" t="s">
        <v>507</v>
      </c>
      <c r="AZ2071" s="114" t="s">
        <v>507</v>
      </c>
      <c r="BA2071" s="114" t="s">
        <v>507</v>
      </c>
    </row>
    <row r="2072" spans="1:53" s="12" customFormat="1" ht="12.75" hidden="1" customHeight="1" x14ac:dyDescent="0.3">
      <c r="A2072" s="113" t="s">
        <v>505</v>
      </c>
      <c r="B2072" s="114" t="s">
        <v>5510</v>
      </c>
      <c r="C2072" s="114">
        <v>70</v>
      </c>
      <c r="D2072" s="114">
        <v>742</v>
      </c>
      <c r="E2072" s="114" t="s">
        <v>507</v>
      </c>
      <c r="F2072" s="118" t="s">
        <v>5744</v>
      </c>
      <c r="G2072" s="138" t="str">
        <f t="shared" si="50"/>
        <v>7074292031321-7</v>
      </c>
      <c r="H2072" s="116" t="s">
        <v>5746</v>
      </c>
      <c r="I2072" s="116" t="s">
        <v>5745</v>
      </c>
      <c r="J2072" s="116" t="s">
        <v>5747</v>
      </c>
      <c r="K2072" s="114" t="s">
        <v>230</v>
      </c>
      <c r="L2072" s="132">
        <v>3004193950</v>
      </c>
      <c r="M2072" s="125" t="s">
        <v>5748</v>
      </c>
      <c r="N2072" s="12" t="s">
        <v>432</v>
      </c>
      <c r="O2072" s="12" t="s">
        <v>432</v>
      </c>
      <c r="P2072" s="185" t="s">
        <v>261</v>
      </c>
      <c r="Q2072" s="114" t="s">
        <v>5749</v>
      </c>
      <c r="R2072" s="126">
        <v>0.89</v>
      </c>
      <c r="S2072" s="114" t="s">
        <v>49</v>
      </c>
      <c r="T2072" s="114"/>
      <c r="U2072" s="114" t="s">
        <v>60</v>
      </c>
      <c r="V2072" s="114" t="s">
        <v>5750</v>
      </c>
      <c r="W2072" s="114" t="s">
        <v>825</v>
      </c>
      <c r="X2072" s="114" t="s">
        <v>5728</v>
      </c>
      <c r="Y2072" s="114"/>
      <c r="Z2072" s="114" t="s">
        <v>60</v>
      </c>
      <c r="AA2072" s="114" t="s">
        <v>507</v>
      </c>
      <c r="AB2072" s="114" t="s">
        <v>507</v>
      </c>
      <c r="AC2072" s="129">
        <v>45264</v>
      </c>
      <c r="AD2072" s="114" t="s">
        <v>814</v>
      </c>
      <c r="AE2072" s="114" t="s">
        <v>49</v>
      </c>
      <c r="AF2072" s="114" t="s">
        <v>60</v>
      </c>
      <c r="AG2072" s="114" t="s">
        <v>507</v>
      </c>
      <c r="AH2072" s="114" t="s">
        <v>507</v>
      </c>
      <c r="AI2072" s="114" t="s">
        <v>507</v>
      </c>
      <c r="AJ2072" s="114" t="s">
        <v>507</v>
      </c>
      <c r="AK2072" s="114" t="s">
        <v>507</v>
      </c>
      <c r="AL2072" s="114" t="s">
        <v>507</v>
      </c>
      <c r="AM2072" s="114" t="s">
        <v>507</v>
      </c>
      <c r="AN2072" s="114" t="s">
        <v>507</v>
      </c>
      <c r="AO2072" s="114" t="s">
        <v>507</v>
      </c>
      <c r="AP2072" s="114" t="s">
        <v>507</v>
      </c>
      <c r="AQ2072" s="114" t="s">
        <v>507</v>
      </c>
      <c r="AR2072" s="114" t="s">
        <v>507</v>
      </c>
      <c r="AS2072" s="114" t="s">
        <v>507</v>
      </c>
      <c r="AT2072" s="114" t="s">
        <v>507</v>
      </c>
      <c r="AU2072" s="114" t="s">
        <v>53</v>
      </c>
      <c r="AV2072" s="114" t="s">
        <v>507</v>
      </c>
      <c r="AW2072" s="114" t="s">
        <v>507</v>
      </c>
      <c r="AX2072" s="114" t="s">
        <v>507</v>
      </c>
      <c r="AY2072" s="114" t="s">
        <v>507</v>
      </c>
      <c r="AZ2072" s="114" t="s">
        <v>507</v>
      </c>
      <c r="BA2072" s="114" t="s">
        <v>507</v>
      </c>
    </row>
    <row r="2073" spans="1:53" s="12" customFormat="1" ht="14.4" hidden="1" x14ac:dyDescent="0.3">
      <c r="A2073" s="113" t="s">
        <v>505</v>
      </c>
      <c r="B2073" s="114" t="s">
        <v>5510</v>
      </c>
      <c r="C2073" s="114">
        <v>70</v>
      </c>
      <c r="D2073" s="114">
        <v>742</v>
      </c>
      <c r="E2073" s="114" t="s">
        <v>507</v>
      </c>
      <c r="F2073" s="118" t="s">
        <v>5751</v>
      </c>
      <c r="G2073" s="138" t="str">
        <f t="shared" si="50"/>
        <v>70742100400463</v>
      </c>
      <c r="H2073" s="116" t="s">
        <v>5752</v>
      </c>
      <c r="I2073" s="116">
        <v>100400463</v>
      </c>
      <c r="J2073" s="116" t="s">
        <v>5753</v>
      </c>
      <c r="K2073" s="114" t="s">
        <v>230</v>
      </c>
      <c r="L2073" s="132">
        <v>3005200997</v>
      </c>
      <c r="M2073" s="125" t="s">
        <v>5754</v>
      </c>
      <c r="N2073" s="12" t="s">
        <v>432</v>
      </c>
      <c r="O2073" s="12" t="s">
        <v>432</v>
      </c>
      <c r="P2073" s="185" t="s">
        <v>261</v>
      </c>
      <c r="Q2073" s="114" t="s">
        <v>5755</v>
      </c>
      <c r="R2073" s="126">
        <v>0.91</v>
      </c>
      <c r="S2073" s="114" t="s">
        <v>210</v>
      </c>
      <c r="T2073" s="114"/>
      <c r="U2073" s="114" t="s">
        <v>60</v>
      </c>
      <c r="V2073" s="129">
        <v>44932</v>
      </c>
      <c r="W2073" s="126">
        <v>0.78</v>
      </c>
      <c r="X2073" s="114" t="s">
        <v>49</v>
      </c>
      <c r="Y2073" s="114"/>
      <c r="Z2073" s="114" t="s">
        <v>60</v>
      </c>
      <c r="AA2073" s="114" t="s">
        <v>507</v>
      </c>
      <c r="AB2073" s="114" t="s">
        <v>507</v>
      </c>
      <c r="AC2073" s="127">
        <v>44686</v>
      </c>
      <c r="AD2073" s="126">
        <v>0.8</v>
      </c>
      <c r="AE2073" s="114" t="s">
        <v>5728</v>
      </c>
      <c r="AF2073" s="114" t="s">
        <v>60</v>
      </c>
      <c r="AG2073" s="114" t="s">
        <v>507</v>
      </c>
      <c r="AH2073" s="114" t="s">
        <v>507</v>
      </c>
      <c r="AI2073" s="116" t="s">
        <v>5756</v>
      </c>
      <c r="AJ2073" s="126">
        <v>0.75</v>
      </c>
      <c r="AK2073" s="114" t="s">
        <v>49</v>
      </c>
      <c r="AL2073" s="114" t="s">
        <v>60</v>
      </c>
      <c r="AM2073" s="114" t="s">
        <v>507</v>
      </c>
      <c r="AN2073" s="114" t="s">
        <v>507</v>
      </c>
      <c r="AO2073" s="114" t="s">
        <v>507</v>
      </c>
      <c r="AP2073" s="114" t="s">
        <v>507</v>
      </c>
      <c r="AQ2073" s="114" t="s">
        <v>507</v>
      </c>
      <c r="AR2073" s="114" t="s">
        <v>507</v>
      </c>
      <c r="AS2073" s="114" t="s">
        <v>507</v>
      </c>
      <c r="AT2073" s="114" t="s">
        <v>507</v>
      </c>
      <c r="AU2073" s="114" t="s">
        <v>53</v>
      </c>
      <c r="AV2073" s="114" t="s">
        <v>507</v>
      </c>
      <c r="AW2073" s="114" t="s">
        <v>507</v>
      </c>
      <c r="AX2073" s="114" t="s">
        <v>507</v>
      </c>
      <c r="AY2073" s="114" t="s">
        <v>507</v>
      </c>
      <c r="AZ2073" s="114" t="s">
        <v>507</v>
      </c>
      <c r="BA2073" s="114" t="s">
        <v>507</v>
      </c>
    </row>
    <row r="2074" spans="1:53" s="12" customFormat="1" ht="14.4" hidden="1" x14ac:dyDescent="0.3">
      <c r="A2074" s="113" t="s">
        <v>505</v>
      </c>
      <c r="B2074" s="114" t="s">
        <v>5510</v>
      </c>
      <c r="C2074" s="114">
        <v>70</v>
      </c>
      <c r="D2074" s="114">
        <v>742</v>
      </c>
      <c r="E2074" s="114" t="s">
        <v>507</v>
      </c>
      <c r="F2074" s="118" t="s">
        <v>5757</v>
      </c>
      <c r="G2074" s="138" t="str">
        <f t="shared" si="50"/>
        <v>7074211004025326-5</v>
      </c>
      <c r="H2074" s="116" t="s">
        <v>5759</v>
      </c>
      <c r="I2074" s="116" t="s">
        <v>5758</v>
      </c>
      <c r="J2074" s="116" t="s">
        <v>5760</v>
      </c>
      <c r="K2074" s="114" t="s">
        <v>133</v>
      </c>
      <c r="L2074" s="132" t="s">
        <v>507</v>
      </c>
      <c r="M2074" s="131" t="s">
        <v>507</v>
      </c>
      <c r="N2074" s="12" t="s">
        <v>432</v>
      </c>
      <c r="O2074" s="12" t="s">
        <v>432</v>
      </c>
      <c r="P2074" s="185" t="s">
        <v>261</v>
      </c>
      <c r="Q2074" s="114" t="s">
        <v>5761</v>
      </c>
      <c r="R2074" s="126">
        <v>0.78</v>
      </c>
      <c r="S2074" s="114" t="s">
        <v>5728</v>
      </c>
      <c r="T2074" s="114"/>
      <c r="U2074" s="114" t="s">
        <v>60</v>
      </c>
      <c r="V2074" s="114" t="s">
        <v>5762</v>
      </c>
      <c r="W2074" s="114" t="s">
        <v>914</v>
      </c>
      <c r="X2074" s="114" t="s">
        <v>49</v>
      </c>
      <c r="Y2074" s="114"/>
      <c r="Z2074" s="114" t="s">
        <v>60</v>
      </c>
      <c r="AA2074" s="114" t="s">
        <v>507</v>
      </c>
      <c r="AB2074" s="114" t="s">
        <v>507</v>
      </c>
      <c r="AC2074" s="114" t="s">
        <v>507</v>
      </c>
      <c r="AD2074" s="114" t="s">
        <v>507</v>
      </c>
      <c r="AE2074" s="114" t="s">
        <v>507</v>
      </c>
      <c r="AF2074" s="114" t="s">
        <v>507</v>
      </c>
      <c r="AG2074" s="114" t="s">
        <v>507</v>
      </c>
      <c r="AH2074" s="114" t="s">
        <v>507</v>
      </c>
      <c r="AI2074" s="114" t="s">
        <v>507</v>
      </c>
      <c r="AJ2074" s="114" t="s">
        <v>507</v>
      </c>
      <c r="AK2074" s="114" t="s">
        <v>507</v>
      </c>
      <c r="AL2074" s="114" t="s">
        <v>507</v>
      </c>
      <c r="AM2074" s="114" t="s">
        <v>507</v>
      </c>
      <c r="AN2074" s="114" t="s">
        <v>507</v>
      </c>
      <c r="AO2074" s="114" t="s">
        <v>507</v>
      </c>
      <c r="AP2074" s="114" t="s">
        <v>507</v>
      </c>
      <c r="AQ2074" s="114" t="s">
        <v>507</v>
      </c>
      <c r="AR2074" s="114" t="s">
        <v>507</v>
      </c>
      <c r="AS2074" s="114" t="s">
        <v>507</v>
      </c>
      <c r="AT2074" s="114" t="s">
        <v>507</v>
      </c>
      <c r="AU2074" s="114" t="s">
        <v>53</v>
      </c>
      <c r="AV2074" s="114" t="s">
        <v>507</v>
      </c>
      <c r="AW2074" s="114" t="s">
        <v>507</v>
      </c>
      <c r="AX2074" s="114" t="s">
        <v>507</v>
      </c>
      <c r="AY2074" s="114" t="s">
        <v>507</v>
      </c>
      <c r="AZ2074" s="114" t="s">
        <v>507</v>
      </c>
      <c r="BA2074" s="114" t="s">
        <v>507</v>
      </c>
    </row>
    <row r="2075" spans="1:53" s="12" customFormat="1" ht="14.4" hidden="1" x14ac:dyDescent="0.3">
      <c r="A2075" s="113" t="s">
        <v>505</v>
      </c>
      <c r="B2075" s="114" t="s">
        <v>5510</v>
      </c>
      <c r="C2075" s="114">
        <v>70</v>
      </c>
      <c r="D2075" s="114">
        <v>742</v>
      </c>
      <c r="E2075" s="114" t="s">
        <v>507</v>
      </c>
      <c r="F2075" s="118" t="s">
        <v>5763</v>
      </c>
      <c r="G2075" s="138" t="str">
        <f t="shared" si="50"/>
        <v>7074264867979</v>
      </c>
      <c r="H2075" s="116" t="s">
        <v>5764</v>
      </c>
      <c r="I2075" s="116">
        <v>64867979</v>
      </c>
      <c r="J2075" s="116" t="s">
        <v>5765</v>
      </c>
      <c r="K2075" s="114" t="s">
        <v>230</v>
      </c>
      <c r="L2075" s="132">
        <v>3145680889</v>
      </c>
      <c r="M2075" s="125" t="s">
        <v>5766</v>
      </c>
      <c r="N2075" s="12" t="s">
        <v>432</v>
      </c>
      <c r="O2075" s="12" t="s">
        <v>432</v>
      </c>
      <c r="P2075" s="185" t="s">
        <v>261</v>
      </c>
      <c r="Q2075" s="114" t="s">
        <v>5767</v>
      </c>
      <c r="R2075" s="126">
        <v>0.86</v>
      </c>
      <c r="S2075" s="114" t="s">
        <v>49</v>
      </c>
      <c r="T2075" s="114"/>
      <c r="U2075" s="114" t="s">
        <v>60</v>
      </c>
      <c r="V2075" s="129">
        <v>44781</v>
      </c>
      <c r="W2075" s="126">
        <v>0.84</v>
      </c>
      <c r="X2075" s="114" t="s">
        <v>49</v>
      </c>
      <c r="Y2075" s="114"/>
      <c r="Z2075" s="114" t="s">
        <v>60</v>
      </c>
      <c r="AA2075" s="114" t="s">
        <v>507</v>
      </c>
      <c r="AB2075" s="114" t="s">
        <v>507</v>
      </c>
      <c r="AC2075" s="127">
        <v>44205</v>
      </c>
      <c r="AD2075" s="114" t="s">
        <v>795</v>
      </c>
      <c r="AE2075" s="114" t="s">
        <v>5728</v>
      </c>
      <c r="AF2075" s="114" t="s">
        <v>60</v>
      </c>
      <c r="AG2075" s="114" t="s">
        <v>507</v>
      </c>
      <c r="AH2075" s="114" t="s">
        <v>507</v>
      </c>
      <c r="AI2075" s="116" t="s">
        <v>5768</v>
      </c>
      <c r="AJ2075" s="126">
        <v>0.87</v>
      </c>
      <c r="AK2075" s="114" t="s">
        <v>49</v>
      </c>
      <c r="AL2075" s="114" t="s">
        <v>60</v>
      </c>
      <c r="AM2075" s="114" t="s">
        <v>507</v>
      </c>
      <c r="AN2075" s="114" t="s">
        <v>507</v>
      </c>
      <c r="AO2075" s="114" t="s">
        <v>507</v>
      </c>
      <c r="AP2075" s="114" t="s">
        <v>507</v>
      </c>
      <c r="AQ2075" s="114" t="s">
        <v>507</v>
      </c>
      <c r="AR2075" s="114" t="s">
        <v>507</v>
      </c>
      <c r="AS2075" s="114" t="s">
        <v>507</v>
      </c>
      <c r="AT2075" s="114" t="s">
        <v>507</v>
      </c>
      <c r="AU2075" s="114" t="s">
        <v>53</v>
      </c>
      <c r="AV2075" s="114" t="s">
        <v>507</v>
      </c>
      <c r="AW2075" s="114" t="s">
        <v>507</v>
      </c>
      <c r="AX2075" s="114" t="s">
        <v>507</v>
      </c>
      <c r="AY2075" s="114" t="s">
        <v>507</v>
      </c>
      <c r="AZ2075" s="114" t="s">
        <v>507</v>
      </c>
      <c r="BA2075" s="114" t="s">
        <v>507</v>
      </c>
    </row>
    <row r="2076" spans="1:53" s="12" customFormat="1" ht="14.4" hidden="1" x14ac:dyDescent="0.3">
      <c r="A2076" s="113" t="s">
        <v>505</v>
      </c>
      <c r="B2076" s="114" t="s">
        <v>5510</v>
      </c>
      <c r="C2076" s="114">
        <v>70</v>
      </c>
      <c r="D2076" s="114">
        <v>742</v>
      </c>
      <c r="E2076" s="114" t="s">
        <v>507</v>
      </c>
      <c r="F2076" s="118" t="s">
        <v>5769</v>
      </c>
      <c r="G2076" s="138" t="str">
        <f t="shared" si="50"/>
        <v>7074292030982</v>
      </c>
      <c r="H2076" s="116" t="s">
        <v>5770</v>
      </c>
      <c r="I2076" s="116">
        <v>92030982</v>
      </c>
      <c r="J2076" s="116" t="s">
        <v>5771</v>
      </c>
      <c r="K2076" s="114" t="s">
        <v>230</v>
      </c>
      <c r="L2076" s="132" t="s">
        <v>507</v>
      </c>
      <c r="M2076" s="131" t="s">
        <v>507</v>
      </c>
      <c r="N2076" s="12" t="s">
        <v>432</v>
      </c>
      <c r="O2076" s="12" t="s">
        <v>432</v>
      </c>
      <c r="P2076" s="185" t="s">
        <v>261</v>
      </c>
      <c r="Q2076" s="129">
        <v>45452</v>
      </c>
      <c r="R2076" s="126">
        <v>0.61</v>
      </c>
      <c r="S2076" s="114" t="s">
        <v>49</v>
      </c>
      <c r="T2076" s="114"/>
      <c r="U2076" s="114" t="s">
        <v>60</v>
      </c>
      <c r="V2076" s="114" t="s">
        <v>507</v>
      </c>
      <c r="W2076" s="114" t="s">
        <v>507</v>
      </c>
      <c r="X2076" s="114" t="s">
        <v>507</v>
      </c>
      <c r="Y2076" s="114"/>
      <c r="Z2076" s="114" t="s">
        <v>507</v>
      </c>
      <c r="AA2076" s="114" t="s">
        <v>507</v>
      </c>
      <c r="AB2076" s="114" t="s">
        <v>507</v>
      </c>
      <c r="AC2076" s="114" t="s">
        <v>507</v>
      </c>
      <c r="AD2076" s="114" t="s">
        <v>507</v>
      </c>
      <c r="AE2076" s="114" t="s">
        <v>507</v>
      </c>
      <c r="AF2076" s="114" t="s">
        <v>507</v>
      </c>
      <c r="AG2076" s="114" t="s">
        <v>507</v>
      </c>
      <c r="AH2076" s="114" t="s">
        <v>507</v>
      </c>
      <c r="AI2076" s="114" t="s">
        <v>507</v>
      </c>
      <c r="AJ2076" s="114" t="s">
        <v>507</v>
      </c>
      <c r="AK2076" s="114" t="s">
        <v>507</v>
      </c>
      <c r="AL2076" s="114" t="s">
        <v>507</v>
      </c>
      <c r="AM2076" s="114" t="s">
        <v>507</v>
      </c>
      <c r="AN2076" s="114" t="s">
        <v>507</v>
      </c>
      <c r="AO2076" s="114" t="s">
        <v>507</v>
      </c>
      <c r="AP2076" s="114" t="s">
        <v>507</v>
      </c>
      <c r="AQ2076" s="114" t="s">
        <v>507</v>
      </c>
      <c r="AR2076" s="114" t="s">
        <v>507</v>
      </c>
      <c r="AS2076" s="114" t="s">
        <v>507</v>
      </c>
      <c r="AT2076" s="114" t="s">
        <v>507</v>
      </c>
      <c r="AU2076" s="114" t="s">
        <v>53</v>
      </c>
      <c r="AV2076" s="114" t="s">
        <v>507</v>
      </c>
      <c r="AW2076" s="114" t="s">
        <v>507</v>
      </c>
      <c r="AX2076" s="114" t="s">
        <v>507</v>
      </c>
      <c r="AY2076" s="114" t="s">
        <v>507</v>
      </c>
      <c r="AZ2076" s="114" t="s">
        <v>507</v>
      </c>
      <c r="BA2076" s="114" t="s">
        <v>507</v>
      </c>
    </row>
    <row r="2077" spans="1:53" s="12" customFormat="1" ht="14.4" hidden="1" x14ac:dyDescent="0.3">
      <c r="A2077" s="113" t="s">
        <v>505</v>
      </c>
      <c r="B2077" s="114" t="s">
        <v>5510</v>
      </c>
      <c r="C2077" s="114">
        <v>70</v>
      </c>
      <c r="D2077" s="114">
        <v>742</v>
      </c>
      <c r="E2077" s="114" t="s">
        <v>507</v>
      </c>
      <c r="F2077" s="289" t="s">
        <v>9588</v>
      </c>
      <c r="G2077" s="138" t="str">
        <f t="shared" si="50"/>
        <v>70742648673252</v>
      </c>
      <c r="H2077" s="114" t="s">
        <v>9589</v>
      </c>
      <c r="I2077" s="116">
        <v>648673252</v>
      </c>
      <c r="J2077" s="116" t="s">
        <v>9590</v>
      </c>
      <c r="K2077" s="114" t="s">
        <v>44</v>
      </c>
      <c r="L2077" s="132">
        <v>3128094392</v>
      </c>
      <c r="M2077" s="131" t="s">
        <v>9591</v>
      </c>
      <c r="N2077" s="12" t="s">
        <v>432</v>
      </c>
      <c r="O2077" s="12" t="s">
        <v>432</v>
      </c>
      <c r="P2077" s="185" t="s">
        <v>261</v>
      </c>
      <c r="Q2077" s="13">
        <v>46183</v>
      </c>
      <c r="R2077" s="12">
        <v>88</v>
      </c>
      <c r="S2077" s="114" t="s">
        <v>49</v>
      </c>
      <c r="U2077" s="12" t="s">
        <v>4747</v>
      </c>
      <c r="V2077" s="129">
        <v>45452</v>
      </c>
      <c r="W2077" s="126">
        <v>0.9</v>
      </c>
      <c r="X2077" s="114" t="s">
        <v>319</v>
      </c>
      <c r="Y2077" s="114"/>
      <c r="Z2077" s="175" t="s">
        <v>2456</v>
      </c>
      <c r="AA2077" s="114" t="s">
        <v>507</v>
      </c>
      <c r="AB2077" s="114" t="s">
        <v>507</v>
      </c>
      <c r="AC2077" s="114" t="s">
        <v>507</v>
      </c>
      <c r="AD2077" s="114" t="s">
        <v>507</v>
      </c>
      <c r="AE2077" s="114" t="s">
        <v>507</v>
      </c>
      <c r="AF2077" s="114" t="s">
        <v>507</v>
      </c>
      <c r="AG2077" s="114" t="s">
        <v>507</v>
      </c>
      <c r="AH2077" s="114" t="s">
        <v>507</v>
      </c>
      <c r="AI2077" s="114" t="s">
        <v>507</v>
      </c>
      <c r="AJ2077" s="114" t="s">
        <v>507</v>
      </c>
      <c r="AK2077" s="114" t="s">
        <v>507</v>
      </c>
      <c r="AL2077" s="114" t="s">
        <v>507</v>
      </c>
      <c r="AM2077" s="114" t="s">
        <v>507</v>
      </c>
      <c r="AN2077" s="114" t="s">
        <v>507</v>
      </c>
      <c r="AO2077" s="114" t="s">
        <v>507</v>
      </c>
      <c r="AP2077" s="114" t="s">
        <v>507</v>
      </c>
      <c r="AQ2077" s="114" t="s">
        <v>507</v>
      </c>
      <c r="AR2077" s="114" t="s">
        <v>507</v>
      </c>
      <c r="AS2077" s="114" t="s">
        <v>507</v>
      </c>
      <c r="AT2077" s="114" t="s">
        <v>507</v>
      </c>
      <c r="AU2077" s="114" t="s">
        <v>53</v>
      </c>
      <c r="AV2077" s="114" t="s">
        <v>507</v>
      </c>
      <c r="AW2077" s="114" t="s">
        <v>507</v>
      </c>
      <c r="AX2077" s="114" t="s">
        <v>507</v>
      </c>
      <c r="AY2077" s="114" t="s">
        <v>507</v>
      </c>
      <c r="AZ2077" s="114" t="s">
        <v>507</v>
      </c>
      <c r="BA2077" s="114" t="s">
        <v>507</v>
      </c>
    </row>
    <row r="2078" spans="1:53" s="12" customFormat="1" ht="14.4" hidden="1" x14ac:dyDescent="0.3">
      <c r="A2078" s="113" t="s">
        <v>505</v>
      </c>
      <c r="B2078" s="114" t="s">
        <v>5510</v>
      </c>
      <c r="C2078" s="114">
        <v>70</v>
      </c>
      <c r="D2078" s="114">
        <v>742</v>
      </c>
      <c r="E2078" s="114" t="s">
        <v>507</v>
      </c>
      <c r="F2078" s="118" t="s">
        <v>5772</v>
      </c>
      <c r="G2078" s="138" t="str">
        <f t="shared" ref="G2078:G2087" si="51">C2078&amp;D2078&amp;I2078</f>
        <v>707428230011984-2</v>
      </c>
      <c r="H2078" s="116" t="s">
        <v>5773</v>
      </c>
      <c r="I2078" s="116" t="s">
        <v>5552</v>
      </c>
      <c r="J2078" s="116" t="s">
        <v>5774</v>
      </c>
      <c r="K2078" s="116" t="s">
        <v>230</v>
      </c>
      <c r="L2078" s="131">
        <v>3217299210</v>
      </c>
      <c r="M2078" s="131" t="s">
        <v>507</v>
      </c>
      <c r="N2078" s="12" t="s">
        <v>432</v>
      </c>
      <c r="O2078" s="12" t="s">
        <v>432</v>
      </c>
      <c r="P2078" s="185" t="s">
        <v>261</v>
      </c>
      <c r="Q2078" s="129">
        <v>45334</v>
      </c>
      <c r="R2078" s="126">
        <v>0.9</v>
      </c>
      <c r="S2078" s="114" t="s">
        <v>210</v>
      </c>
      <c r="T2078" s="114"/>
      <c r="U2078" s="114" t="s">
        <v>60</v>
      </c>
      <c r="V2078" s="114" t="s">
        <v>507</v>
      </c>
      <c r="W2078" s="114" t="s">
        <v>507</v>
      </c>
      <c r="X2078" s="114" t="s">
        <v>507</v>
      </c>
      <c r="Y2078" s="114"/>
      <c r="Z2078" s="114" t="s">
        <v>507</v>
      </c>
      <c r="AA2078" s="114" t="s">
        <v>507</v>
      </c>
      <c r="AB2078" s="114" t="s">
        <v>507</v>
      </c>
      <c r="AC2078" s="114" t="s">
        <v>507</v>
      </c>
      <c r="AD2078" s="114" t="s">
        <v>507</v>
      </c>
      <c r="AE2078" s="114" t="s">
        <v>507</v>
      </c>
      <c r="AF2078" s="114" t="s">
        <v>507</v>
      </c>
      <c r="AG2078" s="114" t="s">
        <v>507</v>
      </c>
      <c r="AH2078" s="114" t="s">
        <v>507</v>
      </c>
      <c r="AI2078" s="114" t="s">
        <v>507</v>
      </c>
      <c r="AJ2078" s="114" t="s">
        <v>507</v>
      </c>
      <c r="AK2078" s="114" t="s">
        <v>507</v>
      </c>
      <c r="AL2078" s="114" t="s">
        <v>507</v>
      </c>
      <c r="AM2078" s="114" t="s">
        <v>507</v>
      </c>
      <c r="AN2078" s="114" t="s">
        <v>507</v>
      </c>
      <c r="AO2078" s="114" t="s">
        <v>507</v>
      </c>
      <c r="AP2078" s="114" t="s">
        <v>507</v>
      </c>
      <c r="AQ2078" s="114" t="s">
        <v>507</v>
      </c>
      <c r="AR2078" s="114" t="s">
        <v>507</v>
      </c>
      <c r="AS2078" s="114" t="s">
        <v>507</v>
      </c>
      <c r="AT2078" s="114" t="s">
        <v>507</v>
      </c>
      <c r="AU2078" s="114" t="s">
        <v>53</v>
      </c>
      <c r="AV2078" s="114" t="s">
        <v>507</v>
      </c>
      <c r="AW2078" s="114" t="s">
        <v>507</v>
      </c>
      <c r="AX2078" s="114" t="s">
        <v>507</v>
      </c>
      <c r="AY2078" s="114" t="s">
        <v>507</v>
      </c>
      <c r="AZ2078" s="114" t="s">
        <v>507</v>
      </c>
      <c r="BA2078" s="114" t="s">
        <v>507</v>
      </c>
    </row>
    <row r="2079" spans="1:53" s="12" customFormat="1" ht="14.4" hidden="1" x14ac:dyDescent="0.3">
      <c r="A2079" s="113" t="s">
        <v>505</v>
      </c>
      <c r="B2079" s="114" t="s">
        <v>5510</v>
      </c>
      <c r="C2079" s="114">
        <v>70</v>
      </c>
      <c r="D2079" s="114">
        <v>742</v>
      </c>
      <c r="E2079" s="114" t="s">
        <v>507</v>
      </c>
      <c r="F2079" s="118" t="s">
        <v>5775</v>
      </c>
      <c r="G2079" s="138" t="str">
        <f t="shared" si="51"/>
        <v>7074292032459-9</v>
      </c>
      <c r="H2079" s="116" t="s">
        <v>5777</v>
      </c>
      <c r="I2079" s="116" t="s">
        <v>5776</v>
      </c>
      <c r="J2079" s="116" t="s">
        <v>5778</v>
      </c>
      <c r="K2079" s="116" t="s">
        <v>230</v>
      </c>
      <c r="L2079" s="131">
        <v>3014430870</v>
      </c>
      <c r="M2079" s="125" t="s">
        <v>5779</v>
      </c>
      <c r="N2079" s="12" t="s">
        <v>432</v>
      </c>
      <c r="O2079" s="12" t="s">
        <v>432</v>
      </c>
      <c r="P2079" s="185" t="s">
        <v>261</v>
      </c>
      <c r="Q2079" s="114" t="s">
        <v>5723</v>
      </c>
      <c r="R2079" s="126">
        <v>0.92</v>
      </c>
      <c r="S2079" s="114" t="s">
        <v>319</v>
      </c>
      <c r="T2079" s="114"/>
      <c r="U2079" s="114" t="s">
        <v>60</v>
      </c>
      <c r="V2079" s="129">
        <v>45512</v>
      </c>
      <c r="W2079" s="126">
        <v>0.92</v>
      </c>
      <c r="X2079" s="114" t="s">
        <v>210</v>
      </c>
      <c r="Y2079" s="114"/>
      <c r="Z2079" s="114" t="s">
        <v>60</v>
      </c>
      <c r="AA2079" s="114" t="s">
        <v>507</v>
      </c>
      <c r="AB2079" s="114" t="s">
        <v>507</v>
      </c>
      <c r="AC2079" s="114" t="s">
        <v>507</v>
      </c>
      <c r="AD2079" s="114" t="s">
        <v>507</v>
      </c>
      <c r="AE2079" s="114" t="s">
        <v>507</v>
      </c>
      <c r="AF2079" s="114" t="s">
        <v>507</v>
      </c>
      <c r="AG2079" s="114" t="s">
        <v>507</v>
      </c>
      <c r="AH2079" s="114" t="s">
        <v>507</v>
      </c>
      <c r="AI2079" s="114" t="s">
        <v>507</v>
      </c>
      <c r="AJ2079" s="114" t="s">
        <v>507</v>
      </c>
      <c r="AK2079" s="114" t="s">
        <v>507</v>
      </c>
      <c r="AL2079" s="114" t="s">
        <v>507</v>
      </c>
      <c r="AM2079" s="114" t="s">
        <v>507</v>
      </c>
      <c r="AN2079" s="114" t="s">
        <v>507</v>
      </c>
      <c r="AO2079" s="114" t="s">
        <v>507</v>
      </c>
      <c r="AP2079" s="114" t="s">
        <v>507</v>
      </c>
      <c r="AQ2079" s="114" t="s">
        <v>507</v>
      </c>
      <c r="AR2079" s="114" t="s">
        <v>507</v>
      </c>
      <c r="AS2079" s="114" t="s">
        <v>507</v>
      </c>
      <c r="AT2079" s="114" t="s">
        <v>507</v>
      </c>
      <c r="AU2079" s="114" t="s">
        <v>53</v>
      </c>
      <c r="AV2079" s="114" t="s">
        <v>507</v>
      </c>
      <c r="AW2079" s="114" t="s">
        <v>507</v>
      </c>
      <c r="AX2079" s="114" t="s">
        <v>507</v>
      </c>
      <c r="AY2079" s="114" t="s">
        <v>507</v>
      </c>
      <c r="AZ2079" s="114" t="s">
        <v>507</v>
      </c>
      <c r="BA2079" s="114" t="s">
        <v>507</v>
      </c>
    </row>
    <row r="2080" spans="1:53" s="12" customFormat="1" ht="14.4" hidden="1" x14ac:dyDescent="0.3">
      <c r="A2080" s="113" t="s">
        <v>505</v>
      </c>
      <c r="B2080" s="114" t="s">
        <v>5510</v>
      </c>
      <c r="C2080" s="114">
        <v>70</v>
      </c>
      <c r="D2080" s="114">
        <v>742</v>
      </c>
      <c r="E2080" s="114" t="s">
        <v>507</v>
      </c>
      <c r="F2080" s="118" t="s">
        <v>5780</v>
      </c>
      <c r="G2080" s="138" t="str">
        <f t="shared" si="51"/>
        <v>7074264870350-8</v>
      </c>
      <c r="H2080" s="116" t="s">
        <v>5782</v>
      </c>
      <c r="I2080" s="116" t="s">
        <v>5781</v>
      </c>
      <c r="J2080" s="116" t="s">
        <v>5783</v>
      </c>
      <c r="K2080" s="116" t="s">
        <v>230</v>
      </c>
      <c r="L2080" s="131">
        <v>3005826129</v>
      </c>
      <c r="M2080" s="125" t="s">
        <v>5784</v>
      </c>
      <c r="N2080" s="12" t="s">
        <v>432</v>
      </c>
      <c r="O2080" s="12" t="s">
        <v>432</v>
      </c>
      <c r="P2080" s="185" t="s">
        <v>261</v>
      </c>
      <c r="Q2080" s="114" t="s">
        <v>5785</v>
      </c>
      <c r="R2080" s="114" t="s">
        <v>863</v>
      </c>
      <c r="S2080" s="114" t="s">
        <v>49</v>
      </c>
      <c r="T2080" s="114"/>
      <c r="U2080" s="114" t="s">
        <v>60</v>
      </c>
      <c r="V2080" s="114" t="s">
        <v>5786</v>
      </c>
      <c r="W2080" s="114" t="s">
        <v>918</v>
      </c>
      <c r="X2080" s="114" t="s">
        <v>49</v>
      </c>
      <c r="Y2080" s="114"/>
      <c r="Z2080" s="114" t="s">
        <v>60</v>
      </c>
      <c r="AA2080" s="114" t="s">
        <v>507</v>
      </c>
      <c r="AB2080" s="114" t="s">
        <v>507</v>
      </c>
      <c r="AC2080" s="114" t="s">
        <v>507</v>
      </c>
      <c r="AD2080" s="114" t="s">
        <v>507</v>
      </c>
      <c r="AE2080" s="114" t="s">
        <v>507</v>
      </c>
      <c r="AF2080" s="114" t="s">
        <v>507</v>
      </c>
      <c r="AG2080" s="114" t="s">
        <v>507</v>
      </c>
      <c r="AH2080" s="114" t="s">
        <v>507</v>
      </c>
      <c r="AI2080" s="114" t="s">
        <v>507</v>
      </c>
      <c r="AJ2080" s="114" t="s">
        <v>507</v>
      </c>
      <c r="AK2080" s="114" t="s">
        <v>507</v>
      </c>
      <c r="AL2080" s="114" t="s">
        <v>507</v>
      </c>
      <c r="AM2080" s="114" t="s">
        <v>507</v>
      </c>
      <c r="AN2080" s="114" t="s">
        <v>507</v>
      </c>
      <c r="AO2080" s="114" t="s">
        <v>507</v>
      </c>
      <c r="AP2080" s="114" t="s">
        <v>507</v>
      </c>
      <c r="AQ2080" s="114" t="s">
        <v>507</v>
      </c>
      <c r="AR2080" s="114" t="s">
        <v>507</v>
      </c>
      <c r="AS2080" s="114" t="s">
        <v>507</v>
      </c>
      <c r="AT2080" s="114" t="s">
        <v>507</v>
      </c>
      <c r="AU2080" s="114" t="s">
        <v>53</v>
      </c>
      <c r="AV2080" s="114" t="s">
        <v>507</v>
      </c>
      <c r="AW2080" s="114" t="s">
        <v>507</v>
      </c>
      <c r="AX2080" s="114" t="s">
        <v>507</v>
      </c>
      <c r="AY2080" s="114" t="s">
        <v>507</v>
      </c>
      <c r="AZ2080" s="114" t="s">
        <v>507</v>
      </c>
      <c r="BA2080" s="114" t="s">
        <v>507</v>
      </c>
    </row>
    <row r="2081" spans="1:60" s="12" customFormat="1" ht="14.4" hidden="1" x14ac:dyDescent="0.3">
      <c r="A2081" s="113" t="s">
        <v>505</v>
      </c>
      <c r="B2081" s="114" t="s">
        <v>5510</v>
      </c>
      <c r="C2081" s="114">
        <v>70</v>
      </c>
      <c r="D2081" s="114">
        <v>742</v>
      </c>
      <c r="E2081" s="114" t="s">
        <v>507</v>
      </c>
      <c r="F2081" s="118" t="s">
        <v>5787</v>
      </c>
      <c r="G2081" s="138" t="str">
        <f t="shared" si="51"/>
        <v>7074279887101-1</v>
      </c>
      <c r="H2081" s="116" t="s">
        <v>5789</v>
      </c>
      <c r="I2081" s="116" t="s">
        <v>5788</v>
      </c>
      <c r="J2081" s="116" t="s">
        <v>5790</v>
      </c>
      <c r="K2081" s="116" t="s">
        <v>230</v>
      </c>
      <c r="L2081" s="131">
        <v>3116554908</v>
      </c>
      <c r="M2081" s="131" t="s">
        <v>507</v>
      </c>
      <c r="N2081" s="12" t="s">
        <v>432</v>
      </c>
      <c r="O2081" s="12" t="s">
        <v>432</v>
      </c>
      <c r="P2081" s="185" t="s">
        <v>261</v>
      </c>
      <c r="Q2081" s="114" t="s">
        <v>5743</v>
      </c>
      <c r="R2081" s="126">
        <v>0.9</v>
      </c>
      <c r="S2081" s="114" t="s">
        <v>319</v>
      </c>
      <c r="T2081" s="114"/>
      <c r="U2081" s="114" t="s">
        <v>60</v>
      </c>
      <c r="V2081" s="114" t="s">
        <v>507</v>
      </c>
      <c r="W2081" s="114" t="s">
        <v>507</v>
      </c>
      <c r="X2081" s="114" t="s">
        <v>507</v>
      </c>
      <c r="Y2081" s="114"/>
      <c r="Z2081" s="114" t="s">
        <v>507</v>
      </c>
      <c r="AA2081" s="114" t="s">
        <v>507</v>
      </c>
      <c r="AB2081" s="114" t="s">
        <v>507</v>
      </c>
      <c r="AC2081" s="114" t="s">
        <v>507</v>
      </c>
      <c r="AD2081" s="114" t="s">
        <v>507</v>
      </c>
      <c r="AE2081" s="114" t="s">
        <v>507</v>
      </c>
      <c r="AF2081" s="114" t="s">
        <v>507</v>
      </c>
      <c r="AG2081" s="114" t="s">
        <v>507</v>
      </c>
      <c r="AH2081" s="114" t="s">
        <v>507</v>
      </c>
      <c r="AI2081" s="114" t="s">
        <v>507</v>
      </c>
      <c r="AJ2081" s="114" t="s">
        <v>507</v>
      </c>
      <c r="AK2081" s="114" t="s">
        <v>507</v>
      </c>
      <c r="AL2081" s="114" t="s">
        <v>507</v>
      </c>
      <c r="AM2081" s="114" t="s">
        <v>507</v>
      </c>
      <c r="AN2081" s="114" t="s">
        <v>507</v>
      </c>
      <c r="AO2081" s="114" t="s">
        <v>507</v>
      </c>
      <c r="AP2081" s="114" t="s">
        <v>507</v>
      </c>
      <c r="AQ2081" s="114" t="s">
        <v>507</v>
      </c>
      <c r="AR2081" s="114" t="s">
        <v>507</v>
      </c>
      <c r="AS2081" s="114" t="s">
        <v>507</v>
      </c>
      <c r="AT2081" s="114" t="s">
        <v>507</v>
      </c>
      <c r="AU2081" s="114" t="s">
        <v>53</v>
      </c>
      <c r="AV2081" s="114" t="s">
        <v>507</v>
      </c>
      <c r="AW2081" s="114" t="s">
        <v>507</v>
      </c>
      <c r="AX2081" s="114" t="s">
        <v>507</v>
      </c>
      <c r="AY2081" s="114" t="s">
        <v>507</v>
      </c>
      <c r="AZ2081" s="114" t="s">
        <v>507</v>
      </c>
      <c r="BA2081" s="114" t="s">
        <v>507</v>
      </c>
    </row>
    <row r="2082" spans="1:60" s="12" customFormat="1" ht="14.4" hidden="1" x14ac:dyDescent="0.3">
      <c r="A2082" s="113" t="s">
        <v>505</v>
      </c>
      <c r="B2082" s="114" t="s">
        <v>5510</v>
      </c>
      <c r="C2082" s="114">
        <v>70</v>
      </c>
      <c r="D2082" s="114">
        <v>742</v>
      </c>
      <c r="E2082" s="114" t="s">
        <v>507</v>
      </c>
      <c r="F2082" s="118" t="s">
        <v>5791</v>
      </c>
      <c r="G2082" s="138" t="str">
        <f t="shared" si="51"/>
        <v>707421100401904-8</v>
      </c>
      <c r="H2082" s="116" t="s">
        <v>5793</v>
      </c>
      <c r="I2082" s="116" t="s">
        <v>5792</v>
      </c>
      <c r="J2082" s="116" t="s">
        <v>5794</v>
      </c>
      <c r="K2082" s="116" t="s">
        <v>230</v>
      </c>
      <c r="L2082" s="131">
        <v>3023398187</v>
      </c>
      <c r="M2082" s="125" t="s">
        <v>5795</v>
      </c>
      <c r="N2082" s="12" t="s">
        <v>432</v>
      </c>
      <c r="O2082" s="12" t="s">
        <v>432</v>
      </c>
      <c r="P2082" s="185" t="s">
        <v>261</v>
      </c>
      <c r="Q2082" s="114" t="s">
        <v>755</v>
      </c>
      <c r="R2082" s="126">
        <v>0.8</v>
      </c>
      <c r="S2082" s="114" t="s">
        <v>49</v>
      </c>
      <c r="T2082" s="114"/>
      <c r="U2082" s="114" t="s">
        <v>60</v>
      </c>
      <c r="V2082" s="129">
        <v>45843</v>
      </c>
      <c r="W2082" s="114" t="s">
        <v>825</v>
      </c>
      <c r="X2082" s="114" t="s">
        <v>49</v>
      </c>
      <c r="Y2082" s="114"/>
      <c r="Z2082" s="114" t="s">
        <v>60</v>
      </c>
      <c r="AA2082" s="114" t="s">
        <v>507</v>
      </c>
      <c r="AB2082" s="114" t="s">
        <v>507</v>
      </c>
      <c r="AC2082" s="114" t="s">
        <v>507</v>
      </c>
      <c r="AD2082" s="114" t="s">
        <v>507</v>
      </c>
      <c r="AE2082" s="114" t="s">
        <v>507</v>
      </c>
      <c r="AF2082" s="114" t="s">
        <v>507</v>
      </c>
      <c r="AG2082" s="114" t="s">
        <v>507</v>
      </c>
      <c r="AH2082" s="114" t="s">
        <v>507</v>
      </c>
      <c r="AI2082" s="114" t="s">
        <v>507</v>
      </c>
      <c r="AJ2082" s="114" t="s">
        <v>507</v>
      </c>
      <c r="AK2082" s="114" t="s">
        <v>507</v>
      </c>
      <c r="AL2082" s="114" t="s">
        <v>507</v>
      </c>
      <c r="AM2082" s="114" t="s">
        <v>507</v>
      </c>
      <c r="AN2082" s="114" t="s">
        <v>507</v>
      </c>
      <c r="AO2082" s="114" t="s">
        <v>507</v>
      </c>
      <c r="AP2082" s="114" t="s">
        <v>507</v>
      </c>
      <c r="AQ2082" s="114" t="s">
        <v>507</v>
      </c>
      <c r="AR2082" s="114" t="s">
        <v>507</v>
      </c>
      <c r="AS2082" s="114" t="s">
        <v>507</v>
      </c>
      <c r="AT2082" s="114" t="s">
        <v>507</v>
      </c>
      <c r="AU2082" s="114" t="s">
        <v>53</v>
      </c>
      <c r="AV2082" s="114" t="s">
        <v>507</v>
      </c>
      <c r="AW2082" s="114" t="s">
        <v>507</v>
      </c>
      <c r="AX2082" s="114" t="s">
        <v>507</v>
      </c>
      <c r="AY2082" s="114" t="s">
        <v>507</v>
      </c>
      <c r="AZ2082" s="114" t="s">
        <v>507</v>
      </c>
      <c r="BA2082" s="114" t="s">
        <v>507</v>
      </c>
    </row>
    <row r="2083" spans="1:60" s="12" customFormat="1" ht="14.4" hidden="1" x14ac:dyDescent="0.3">
      <c r="A2083" s="113" t="s">
        <v>505</v>
      </c>
      <c r="B2083" s="114" t="s">
        <v>5510</v>
      </c>
      <c r="C2083" s="114">
        <v>70</v>
      </c>
      <c r="D2083" s="114">
        <v>742</v>
      </c>
      <c r="E2083" s="114" t="s">
        <v>507</v>
      </c>
      <c r="F2083" s="118" t="s">
        <v>5796</v>
      </c>
      <c r="G2083" s="138" t="str">
        <f t="shared" si="51"/>
        <v>7074272128543-0</v>
      </c>
      <c r="H2083" s="116" t="s">
        <v>5798</v>
      </c>
      <c r="I2083" s="116" t="s">
        <v>5797</v>
      </c>
      <c r="J2083" s="116" t="s">
        <v>5799</v>
      </c>
      <c r="K2083" s="116" t="s">
        <v>230</v>
      </c>
      <c r="L2083" s="131">
        <v>3053413240</v>
      </c>
      <c r="M2083" s="125" t="s">
        <v>5800</v>
      </c>
      <c r="N2083" s="12" t="s">
        <v>432</v>
      </c>
      <c r="O2083" s="12" t="s">
        <v>432</v>
      </c>
      <c r="P2083" s="185" t="s">
        <v>261</v>
      </c>
      <c r="Q2083" s="129">
        <v>45666</v>
      </c>
      <c r="R2083" s="126">
        <v>0.92</v>
      </c>
      <c r="S2083" s="114" t="s">
        <v>319</v>
      </c>
      <c r="T2083" s="114"/>
      <c r="U2083" s="114" t="s">
        <v>60</v>
      </c>
      <c r="V2083" s="114" t="s">
        <v>2599</v>
      </c>
      <c r="W2083" s="126">
        <v>0.9</v>
      </c>
      <c r="X2083" s="114" t="s">
        <v>319</v>
      </c>
      <c r="Y2083" s="114"/>
      <c r="Z2083" s="114" t="s">
        <v>60</v>
      </c>
      <c r="AA2083" s="114" t="s">
        <v>507</v>
      </c>
      <c r="AB2083" s="114" t="s">
        <v>507</v>
      </c>
      <c r="AC2083" s="114" t="s">
        <v>507</v>
      </c>
      <c r="AD2083" s="114" t="s">
        <v>507</v>
      </c>
      <c r="AE2083" s="114" t="s">
        <v>507</v>
      </c>
      <c r="AF2083" s="114" t="s">
        <v>507</v>
      </c>
      <c r="AG2083" s="114" t="s">
        <v>507</v>
      </c>
      <c r="AH2083" s="114" t="s">
        <v>507</v>
      </c>
      <c r="AI2083" s="114" t="s">
        <v>507</v>
      </c>
      <c r="AJ2083" s="114" t="s">
        <v>507</v>
      </c>
      <c r="AK2083" s="114" t="s">
        <v>507</v>
      </c>
      <c r="AL2083" s="114" t="s">
        <v>507</v>
      </c>
      <c r="AM2083" s="114" t="s">
        <v>507</v>
      </c>
      <c r="AN2083" s="114" t="s">
        <v>507</v>
      </c>
      <c r="AO2083" s="114" t="s">
        <v>507</v>
      </c>
      <c r="AP2083" s="114" t="s">
        <v>507</v>
      </c>
      <c r="AQ2083" s="114" t="s">
        <v>507</v>
      </c>
      <c r="AR2083" s="114" t="s">
        <v>507</v>
      </c>
      <c r="AS2083" s="114" t="s">
        <v>507</v>
      </c>
      <c r="AT2083" s="114" t="s">
        <v>507</v>
      </c>
      <c r="AU2083" s="114" t="s">
        <v>53</v>
      </c>
      <c r="AV2083" s="114" t="s">
        <v>507</v>
      </c>
      <c r="AW2083" s="114" t="s">
        <v>507</v>
      </c>
      <c r="AX2083" s="114" t="s">
        <v>507</v>
      </c>
      <c r="AY2083" s="114" t="s">
        <v>507</v>
      </c>
      <c r="AZ2083" s="114" t="s">
        <v>507</v>
      </c>
      <c r="BA2083" s="114" t="s">
        <v>507</v>
      </c>
    </row>
    <row r="2084" spans="1:60" s="12" customFormat="1" ht="14.4" hidden="1" x14ac:dyDescent="0.3">
      <c r="A2084" s="113" t="s">
        <v>505</v>
      </c>
      <c r="B2084" s="114" t="s">
        <v>5510</v>
      </c>
      <c r="C2084" s="114">
        <v>70</v>
      </c>
      <c r="D2084" s="114">
        <v>742</v>
      </c>
      <c r="E2084" s="114" t="s">
        <v>507</v>
      </c>
      <c r="F2084" s="118" t="s">
        <v>5801</v>
      </c>
      <c r="G2084" s="138" t="str">
        <f t="shared" si="51"/>
        <v>7074292027783-0</v>
      </c>
      <c r="H2084" s="116" t="s">
        <v>5803</v>
      </c>
      <c r="I2084" s="116" t="s">
        <v>5802</v>
      </c>
      <c r="J2084" s="116" t="s">
        <v>5804</v>
      </c>
      <c r="K2084" s="116" t="s">
        <v>230</v>
      </c>
      <c r="L2084" s="131">
        <v>3117235797</v>
      </c>
      <c r="M2084" s="125" t="s">
        <v>5805</v>
      </c>
      <c r="N2084" s="12" t="s">
        <v>432</v>
      </c>
      <c r="O2084" s="12" t="s">
        <v>432</v>
      </c>
      <c r="P2084" s="185" t="s">
        <v>261</v>
      </c>
      <c r="Q2084" s="129">
        <v>45697</v>
      </c>
      <c r="R2084" s="126">
        <v>0.88</v>
      </c>
      <c r="S2084" s="114" t="s">
        <v>49</v>
      </c>
      <c r="T2084" s="114"/>
      <c r="U2084" s="114" t="s">
        <v>60</v>
      </c>
      <c r="V2084" s="114" t="s">
        <v>507</v>
      </c>
      <c r="W2084" s="114" t="s">
        <v>507</v>
      </c>
      <c r="X2084" s="114" t="s">
        <v>507</v>
      </c>
      <c r="Y2084" s="114" t="s">
        <v>507</v>
      </c>
      <c r="Z2084" s="114" t="s">
        <v>507</v>
      </c>
      <c r="AA2084" s="114" t="s">
        <v>507</v>
      </c>
      <c r="AB2084" s="114" t="s">
        <v>507</v>
      </c>
      <c r="AC2084" s="114" t="s">
        <v>507</v>
      </c>
      <c r="AD2084" s="114" t="s">
        <v>507</v>
      </c>
      <c r="AE2084" s="114" t="s">
        <v>507</v>
      </c>
      <c r="AF2084" s="114" t="s">
        <v>507</v>
      </c>
      <c r="AG2084" s="114" t="s">
        <v>507</v>
      </c>
      <c r="AH2084" s="114" t="s">
        <v>507</v>
      </c>
      <c r="AI2084" s="114" t="s">
        <v>507</v>
      </c>
      <c r="AJ2084" s="114" t="s">
        <v>507</v>
      </c>
      <c r="AK2084" s="114" t="s">
        <v>507</v>
      </c>
      <c r="AL2084" s="114" t="s">
        <v>507</v>
      </c>
      <c r="AM2084" s="114" t="s">
        <v>507</v>
      </c>
      <c r="AN2084" s="114" t="s">
        <v>507</v>
      </c>
      <c r="AO2084" s="114" t="s">
        <v>507</v>
      </c>
      <c r="AP2084" s="114" t="s">
        <v>507</v>
      </c>
      <c r="AQ2084" s="114" t="s">
        <v>507</v>
      </c>
      <c r="AR2084" s="114" t="s">
        <v>507</v>
      </c>
      <c r="AS2084" s="114" t="s">
        <v>507</v>
      </c>
      <c r="AT2084" s="114" t="s">
        <v>507</v>
      </c>
      <c r="AU2084" s="114" t="s">
        <v>53</v>
      </c>
      <c r="AV2084" s="114" t="s">
        <v>507</v>
      </c>
      <c r="AW2084" s="114" t="s">
        <v>507</v>
      </c>
      <c r="AX2084" s="114" t="s">
        <v>507</v>
      </c>
      <c r="AY2084" s="114" t="s">
        <v>507</v>
      </c>
      <c r="AZ2084" s="114" t="s">
        <v>507</v>
      </c>
      <c r="BA2084" s="114" t="s">
        <v>507</v>
      </c>
    </row>
    <row r="2085" spans="1:60" s="12" customFormat="1" ht="14.4" hidden="1" x14ac:dyDescent="0.3">
      <c r="A2085" s="113" t="s">
        <v>505</v>
      </c>
      <c r="B2085" s="114" t="s">
        <v>5510</v>
      </c>
      <c r="C2085" s="114">
        <v>70</v>
      </c>
      <c r="D2085" s="114">
        <v>742</v>
      </c>
      <c r="E2085" s="114" t="s">
        <v>507</v>
      </c>
      <c r="F2085" s="223" t="s">
        <v>5806</v>
      </c>
      <c r="G2085" s="138" t="str">
        <f t="shared" si="51"/>
        <v>707421007183532-8</v>
      </c>
      <c r="H2085" s="224" t="s">
        <v>5808</v>
      </c>
      <c r="I2085" s="224" t="s">
        <v>5807</v>
      </c>
      <c r="J2085" s="224" t="s">
        <v>5809</v>
      </c>
      <c r="K2085" s="224" t="s">
        <v>230</v>
      </c>
      <c r="L2085" s="225">
        <v>3146573567</v>
      </c>
      <c r="M2085" s="226" t="s">
        <v>5810</v>
      </c>
      <c r="N2085" s="214" t="s">
        <v>432</v>
      </c>
      <c r="O2085" s="214" t="s">
        <v>432</v>
      </c>
      <c r="P2085" s="228" t="s">
        <v>261</v>
      </c>
      <c r="Q2085" s="222" t="s">
        <v>5811</v>
      </c>
      <c r="R2085" s="229">
        <v>0.78</v>
      </c>
      <c r="S2085" s="222" t="s">
        <v>49</v>
      </c>
      <c r="T2085" s="222"/>
      <c r="U2085" s="222" t="s">
        <v>60</v>
      </c>
      <c r="V2085" s="222" t="s">
        <v>507</v>
      </c>
      <c r="W2085" s="222" t="s">
        <v>507</v>
      </c>
      <c r="X2085" s="222" t="s">
        <v>507</v>
      </c>
      <c r="Y2085" s="222" t="s">
        <v>507</v>
      </c>
      <c r="Z2085" s="222" t="s">
        <v>507</v>
      </c>
      <c r="AA2085" s="222" t="s">
        <v>507</v>
      </c>
      <c r="AB2085" s="222" t="s">
        <v>507</v>
      </c>
      <c r="AC2085" s="222" t="s">
        <v>507</v>
      </c>
      <c r="AD2085" s="222" t="s">
        <v>507</v>
      </c>
      <c r="AE2085" s="222" t="s">
        <v>507</v>
      </c>
      <c r="AF2085" s="222" t="s">
        <v>507</v>
      </c>
      <c r="AG2085" s="222" t="s">
        <v>507</v>
      </c>
      <c r="AH2085" s="222" t="s">
        <v>507</v>
      </c>
      <c r="AI2085" s="222" t="s">
        <v>507</v>
      </c>
      <c r="AJ2085" s="222" t="s">
        <v>507</v>
      </c>
      <c r="AK2085" s="222" t="s">
        <v>507</v>
      </c>
      <c r="AL2085" s="222" t="s">
        <v>507</v>
      </c>
      <c r="AM2085" s="222" t="s">
        <v>507</v>
      </c>
      <c r="AN2085" s="222" t="s">
        <v>507</v>
      </c>
      <c r="AO2085" s="222" t="s">
        <v>507</v>
      </c>
      <c r="AP2085" s="222" t="s">
        <v>507</v>
      </c>
      <c r="AQ2085" s="222" t="s">
        <v>507</v>
      </c>
      <c r="AR2085" s="222" t="s">
        <v>507</v>
      </c>
      <c r="AS2085" s="222" t="s">
        <v>507</v>
      </c>
      <c r="AT2085" s="222" t="s">
        <v>507</v>
      </c>
      <c r="AU2085" s="114" t="s">
        <v>53</v>
      </c>
      <c r="AV2085" s="222" t="s">
        <v>507</v>
      </c>
      <c r="AW2085" s="222" t="s">
        <v>507</v>
      </c>
      <c r="AX2085" s="222" t="s">
        <v>507</v>
      </c>
      <c r="AY2085" s="222" t="s">
        <v>507</v>
      </c>
      <c r="AZ2085" s="222" t="s">
        <v>507</v>
      </c>
      <c r="BA2085" s="222" t="s">
        <v>507</v>
      </c>
      <c r="BB2085" s="214"/>
      <c r="BC2085" s="214"/>
      <c r="BD2085" s="214"/>
      <c r="BE2085" s="214"/>
      <c r="BF2085" s="214"/>
      <c r="BG2085" s="214"/>
    </row>
    <row r="2086" spans="1:60" s="12" customFormat="1" ht="14.4" hidden="1" x14ac:dyDescent="0.3">
      <c r="A2086" s="113" t="s">
        <v>505</v>
      </c>
      <c r="B2086" s="114" t="s">
        <v>5510</v>
      </c>
      <c r="C2086" s="114">
        <v>70</v>
      </c>
      <c r="D2086" s="114">
        <v>742</v>
      </c>
      <c r="E2086" s="111"/>
      <c r="F2086" s="286" t="s">
        <v>9557</v>
      </c>
      <c r="G2086" s="138" t="str">
        <f t="shared" si="51"/>
        <v>7074264866291</v>
      </c>
      <c r="H2086" s="119" t="s">
        <v>9558</v>
      </c>
      <c r="I2086" s="119">
        <v>64866291</v>
      </c>
      <c r="J2086" s="119" t="s">
        <v>9559</v>
      </c>
      <c r="K2086" s="119" t="s">
        <v>44</v>
      </c>
      <c r="L2086" s="233">
        <v>3203184810</v>
      </c>
      <c r="M2086" s="234" t="s">
        <v>9560</v>
      </c>
      <c r="N2086" s="214" t="s">
        <v>432</v>
      </c>
      <c r="O2086" s="214" t="s">
        <v>432</v>
      </c>
      <c r="P2086" s="237" t="s">
        <v>261</v>
      </c>
      <c r="Q2086" s="287">
        <v>46130</v>
      </c>
      <c r="R2086" s="111">
        <v>90</v>
      </c>
      <c r="S2086" s="235" t="s">
        <v>210</v>
      </c>
      <c r="T2086" s="111"/>
      <c r="U2086" s="235" t="s">
        <v>2456</v>
      </c>
      <c r="V2086" s="111"/>
      <c r="W2086" s="111"/>
      <c r="X2086" s="111"/>
      <c r="Y2086" s="111"/>
      <c r="Z2086" s="111"/>
      <c r="AA2086" s="111"/>
      <c r="AB2086" s="111"/>
      <c r="AC2086" s="111"/>
      <c r="AD2086" s="111"/>
      <c r="AE2086" s="111"/>
      <c r="AF2086" s="111"/>
      <c r="AG2086" s="111"/>
      <c r="AH2086" s="111"/>
      <c r="AI2086" s="111"/>
      <c r="AJ2086" s="111"/>
      <c r="AK2086" s="111"/>
      <c r="AL2086" s="111"/>
      <c r="AM2086" s="111"/>
      <c r="AN2086" s="111"/>
      <c r="AO2086" s="111"/>
      <c r="AP2086" s="111"/>
      <c r="AQ2086" s="111"/>
      <c r="AR2086" s="111"/>
      <c r="AS2086" s="111"/>
      <c r="AT2086" s="111"/>
      <c r="AU2086" s="114" t="s">
        <v>53</v>
      </c>
      <c r="AV2086" s="111"/>
      <c r="AW2086" s="111"/>
      <c r="AX2086" s="111"/>
      <c r="AY2086" s="111"/>
      <c r="AZ2086" s="111"/>
      <c r="BA2086" s="111"/>
      <c r="BB2086" s="216"/>
      <c r="BC2086" s="216"/>
      <c r="BD2086" s="216"/>
      <c r="BE2086" s="216"/>
      <c r="BF2086" s="216"/>
      <c r="BG2086" s="216"/>
      <c r="BH2086" s="220"/>
    </row>
    <row r="2087" spans="1:60" s="12" customFormat="1" ht="28.8" hidden="1" x14ac:dyDescent="0.3">
      <c r="A2087" s="221" t="s">
        <v>505</v>
      </c>
      <c r="B2087" s="222" t="s">
        <v>5510</v>
      </c>
      <c r="C2087" s="222">
        <v>70</v>
      </c>
      <c r="D2087" s="222">
        <v>742</v>
      </c>
      <c r="E2087" s="222" t="s">
        <v>507</v>
      </c>
      <c r="F2087" s="223" t="s">
        <v>5812</v>
      </c>
      <c r="G2087" s="138" t="str">
        <f t="shared" si="51"/>
        <v>707423205439844</v>
      </c>
      <c r="H2087" s="224" t="s">
        <v>5527</v>
      </c>
      <c r="I2087" s="224">
        <v>3205439844</v>
      </c>
      <c r="J2087" s="224" t="s">
        <v>5813</v>
      </c>
      <c r="K2087" s="224" t="s">
        <v>230</v>
      </c>
      <c r="L2087" s="225">
        <v>3205439844</v>
      </c>
      <c r="M2087" s="226" t="s">
        <v>5529</v>
      </c>
      <c r="N2087" s="385" t="s">
        <v>2906</v>
      </c>
      <c r="O2087" s="227" t="s">
        <v>7652</v>
      </c>
      <c r="P2087" s="228" t="s">
        <v>261</v>
      </c>
      <c r="Q2087" s="222" t="s">
        <v>5814</v>
      </c>
      <c r="R2087" s="229">
        <v>0.88</v>
      </c>
      <c r="S2087" s="222" t="s">
        <v>49</v>
      </c>
      <c r="T2087" s="219"/>
      <c r="U2087" s="113" t="s">
        <v>60</v>
      </c>
      <c r="V2087" s="222" t="s">
        <v>507</v>
      </c>
      <c r="W2087" s="222" t="s">
        <v>507</v>
      </c>
      <c r="X2087" s="222" t="s">
        <v>507</v>
      </c>
      <c r="Y2087" s="222" t="s">
        <v>507</v>
      </c>
      <c r="Z2087" s="222" t="s">
        <v>507</v>
      </c>
      <c r="AA2087" s="222" t="s">
        <v>507</v>
      </c>
      <c r="AB2087" s="222" t="s">
        <v>507</v>
      </c>
      <c r="AC2087" s="222" t="s">
        <v>507</v>
      </c>
      <c r="AD2087" s="222" t="s">
        <v>507</v>
      </c>
      <c r="AE2087" s="222" t="s">
        <v>507</v>
      </c>
      <c r="AF2087" s="222" t="s">
        <v>507</v>
      </c>
      <c r="AG2087" s="222" t="s">
        <v>507</v>
      </c>
      <c r="AH2087" s="222" t="s">
        <v>507</v>
      </c>
      <c r="AI2087" s="222" t="s">
        <v>507</v>
      </c>
      <c r="AJ2087" s="222" t="s">
        <v>507</v>
      </c>
      <c r="AK2087" s="222" t="s">
        <v>507</v>
      </c>
      <c r="AL2087" s="222" t="s">
        <v>507</v>
      </c>
      <c r="AM2087" s="222" t="s">
        <v>507</v>
      </c>
      <c r="AN2087" s="222" t="s">
        <v>507</v>
      </c>
      <c r="AO2087" s="222" t="s">
        <v>507</v>
      </c>
      <c r="AP2087" s="222" t="s">
        <v>507</v>
      </c>
      <c r="AQ2087" s="222" t="s">
        <v>507</v>
      </c>
      <c r="AR2087" s="222" t="s">
        <v>507</v>
      </c>
      <c r="AS2087" s="222" t="s">
        <v>507</v>
      </c>
      <c r="AT2087" s="222" t="s">
        <v>507</v>
      </c>
      <c r="AU2087" s="114" t="s">
        <v>53</v>
      </c>
      <c r="AV2087" s="222" t="s">
        <v>507</v>
      </c>
      <c r="AW2087" s="222" t="s">
        <v>507</v>
      </c>
      <c r="AX2087" s="222" t="s">
        <v>507</v>
      </c>
      <c r="AY2087" s="222" t="s">
        <v>507</v>
      </c>
      <c r="AZ2087" s="222" t="s">
        <v>507</v>
      </c>
      <c r="BA2087" s="222" t="s">
        <v>507</v>
      </c>
      <c r="BB2087" s="215"/>
      <c r="BC2087" s="215"/>
      <c r="BD2087" s="215"/>
      <c r="BE2087" s="215"/>
      <c r="BF2087" s="215"/>
      <c r="BG2087" s="215"/>
    </row>
    <row r="2088" spans="1:60" s="12" customFormat="1" ht="18" customHeight="1" x14ac:dyDescent="0.3">
      <c r="A2088" s="235" t="s">
        <v>505</v>
      </c>
      <c r="B2088" s="235" t="s">
        <v>7954</v>
      </c>
      <c r="C2088" s="111">
        <v>70</v>
      </c>
      <c r="D2088" s="111">
        <v>702</v>
      </c>
      <c r="E2088" s="111"/>
      <c r="F2088" s="286" t="s">
        <v>7955</v>
      </c>
      <c r="G2088" s="232" t="str">
        <f>C2088&amp;D2088&amp;I2088</f>
        <v>707022286464399</v>
      </c>
      <c r="H2088" s="119" t="s">
        <v>7975</v>
      </c>
      <c r="I2088" s="119">
        <v>2286464399</v>
      </c>
      <c r="J2088" s="119" t="s">
        <v>7996</v>
      </c>
      <c r="K2088" s="236" t="s">
        <v>230</v>
      </c>
      <c r="L2088" s="233"/>
      <c r="M2088" s="234"/>
      <c r="N2088" s="216" t="s">
        <v>8021</v>
      </c>
      <c r="O2088" s="235" t="s">
        <v>47</v>
      </c>
      <c r="P2088" s="237" t="s">
        <v>48</v>
      </c>
      <c r="Q2088" s="239">
        <v>45434</v>
      </c>
      <c r="R2088" s="243">
        <v>0.85</v>
      </c>
      <c r="S2088" s="240" t="s">
        <v>49</v>
      </c>
      <c r="T2088" s="248"/>
      <c r="U2088" s="111" t="s">
        <v>60</v>
      </c>
      <c r="V2088" s="112"/>
      <c r="W2088" s="111"/>
      <c r="X2088" s="111"/>
      <c r="Y2088" s="111"/>
      <c r="Z2088" s="111"/>
      <c r="AA2088" s="111"/>
      <c r="AB2088" s="111"/>
      <c r="AC2088" s="111"/>
      <c r="AD2088" s="111"/>
      <c r="AE2088" s="111"/>
      <c r="AF2088" s="111"/>
      <c r="AG2088" s="111"/>
      <c r="AH2088" s="111"/>
      <c r="AI2088" s="111"/>
      <c r="AJ2088" s="111"/>
      <c r="AK2088" s="111"/>
      <c r="AL2088" s="111"/>
      <c r="AM2088" s="111"/>
      <c r="AN2088" s="111"/>
      <c r="AO2088" s="111"/>
      <c r="AP2088" s="111"/>
      <c r="AQ2088" s="111"/>
      <c r="AR2088" s="111"/>
      <c r="AS2088" s="111"/>
      <c r="AT2088" s="111"/>
      <c r="AU2088" s="325" t="s">
        <v>53</v>
      </c>
      <c r="AV2088" s="111"/>
      <c r="AW2088" s="111"/>
      <c r="AX2088" s="111"/>
      <c r="AY2088" s="111"/>
      <c r="AZ2088" s="111"/>
      <c r="BA2088" s="111"/>
      <c r="BB2088" s="220"/>
    </row>
    <row r="2089" spans="1:60" s="12" customFormat="1" ht="15.75" hidden="1" customHeight="1" x14ac:dyDescent="0.3">
      <c r="A2089" s="235" t="s">
        <v>505</v>
      </c>
      <c r="B2089" s="235" t="s">
        <v>7954</v>
      </c>
      <c r="C2089" s="111">
        <v>70</v>
      </c>
      <c r="D2089" s="111">
        <v>702</v>
      </c>
      <c r="E2089" s="111"/>
      <c r="F2089" s="217" t="s">
        <v>5159</v>
      </c>
      <c r="G2089" s="232" t="str">
        <f t="shared" ref="G2089:G2180" si="52">C2089&amp;D2089&amp;I2089</f>
        <v>7070222884644</v>
      </c>
      <c r="H2089" s="119" t="s">
        <v>7976</v>
      </c>
      <c r="I2089" s="119">
        <v>22884644</v>
      </c>
      <c r="J2089" s="119" t="s">
        <v>7997</v>
      </c>
      <c r="K2089" s="236" t="s">
        <v>230</v>
      </c>
      <c r="L2089" s="233">
        <v>3176254472</v>
      </c>
      <c r="M2089" s="234"/>
      <c r="N2089" s="216" t="s">
        <v>780</v>
      </c>
      <c r="O2089" s="235" t="s">
        <v>275</v>
      </c>
      <c r="P2089" s="237" t="s">
        <v>8022</v>
      </c>
      <c r="Q2089" s="241">
        <v>45580</v>
      </c>
      <c r="R2089" s="245">
        <v>0.82499999999999996</v>
      </c>
      <c r="S2089" s="240" t="s">
        <v>49</v>
      </c>
      <c r="T2089" s="248"/>
      <c r="U2089" s="111" t="s">
        <v>60</v>
      </c>
      <c r="V2089" s="112"/>
      <c r="W2089" s="111"/>
      <c r="X2089" s="111"/>
      <c r="Y2089" s="111"/>
      <c r="Z2089" s="111"/>
      <c r="AA2089" s="111"/>
      <c r="AB2089" s="111"/>
      <c r="AC2089" s="111"/>
      <c r="AD2089" s="111"/>
      <c r="AE2089" s="111"/>
      <c r="AF2089" s="111"/>
      <c r="AG2089" s="111"/>
      <c r="AH2089" s="111"/>
      <c r="AI2089" s="111"/>
      <c r="AJ2089" s="111"/>
      <c r="AK2089" s="111"/>
      <c r="AL2089" s="111"/>
      <c r="AM2089" s="111"/>
      <c r="AN2089" s="111"/>
      <c r="AO2089" s="111"/>
      <c r="AP2089" s="111"/>
      <c r="AQ2089" s="111"/>
      <c r="AR2089" s="111"/>
      <c r="AS2089" s="111"/>
      <c r="AT2089" s="111"/>
      <c r="AU2089" s="325" t="s">
        <v>53</v>
      </c>
      <c r="AV2089" s="111"/>
      <c r="AW2089" s="111"/>
      <c r="AX2089" s="111"/>
      <c r="AY2089" s="111"/>
      <c r="AZ2089" s="111"/>
      <c r="BA2089" s="111"/>
      <c r="BB2089" s="220"/>
    </row>
    <row r="2090" spans="1:60" s="12" customFormat="1" ht="17.25" customHeight="1" x14ac:dyDescent="0.3">
      <c r="A2090" s="235" t="s">
        <v>505</v>
      </c>
      <c r="B2090" s="235" t="s">
        <v>7954</v>
      </c>
      <c r="C2090" s="111">
        <v>70</v>
      </c>
      <c r="D2090" s="111">
        <v>702</v>
      </c>
      <c r="E2090" s="111"/>
      <c r="F2090" s="217" t="s">
        <v>7956</v>
      </c>
      <c r="G2090" s="232" t="str">
        <f t="shared" si="52"/>
        <v>7070222885056</v>
      </c>
      <c r="H2090" s="119" t="s">
        <v>7977</v>
      </c>
      <c r="I2090" s="119">
        <v>22885056</v>
      </c>
      <c r="J2090" s="119" t="s">
        <v>4493</v>
      </c>
      <c r="K2090" s="236" t="s">
        <v>230</v>
      </c>
      <c r="L2090" s="233">
        <v>31482023644</v>
      </c>
      <c r="M2090" s="234"/>
      <c r="N2090" s="216" t="s">
        <v>8021</v>
      </c>
      <c r="O2090" s="235" t="s">
        <v>47</v>
      </c>
      <c r="P2090" s="237" t="s">
        <v>48</v>
      </c>
      <c r="Q2090" s="239">
        <v>45440</v>
      </c>
      <c r="R2090" s="244">
        <v>0.81499999999999995</v>
      </c>
      <c r="S2090" s="240" t="s">
        <v>49</v>
      </c>
      <c r="T2090" s="248"/>
      <c r="U2090" s="111" t="s">
        <v>60</v>
      </c>
      <c r="V2090" s="112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  <c r="AG2090" s="111"/>
      <c r="AH2090" s="111"/>
      <c r="AI2090" s="111"/>
      <c r="AJ2090" s="111"/>
      <c r="AK2090" s="111"/>
      <c r="AL2090" s="111"/>
      <c r="AM2090" s="111"/>
      <c r="AN2090" s="111"/>
      <c r="AO2090" s="111"/>
      <c r="AP2090" s="111"/>
      <c r="AQ2090" s="111"/>
      <c r="AR2090" s="111"/>
      <c r="AS2090" s="111"/>
      <c r="AT2090" s="111"/>
      <c r="AU2090" s="325" t="s">
        <v>53</v>
      </c>
      <c r="AV2090" s="111"/>
      <c r="AW2090" s="111"/>
      <c r="AX2090" s="111"/>
      <c r="AY2090" s="111"/>
      <c r="AZ2090" s="111"/>
      <c r="BA2090" s="111"/>
      <c r="BB2090" s="220"/>
    </row>
    <row r="2091" spans="1:60" s="12" customFormat="1" ht="15" hidden="1" customHeight="1" x14ac:dyDescent="0.3">
      <c r="A2091" s="235" t="s">
        <v>505</v>
      </c>
      <c r="B2091" s="235" t="s">
        <v>7954</v>
      </c>
      <c r="C2091" s="111">
        <v>70</v>
      </c>
      <c r="D2091" s="111">
        <v>702</v>
      </c>
      <c r="E2091" s="111"/>
      <c r="F2091" s="217" t="s">
        <v>7957</v>
      </c>
      <c r="G2091" s="232" t="str">
        <f t="shared" si="52"/>
        <v>7070222884642</v>
      </c>
      <c r="H2091" s="119" t="s">
        <v>7978</v>
      </c>
      <c r="I2091" s="119">
        <v>22884642</v>
      </c>
      <c r="J2091" s="119" t="s">
        <v>7998</v>
      </c>
      <c r="K2091" s="236" t="s">
        <v>230</v>
      </c>
      <c r="L2091" s="233">
        <v>3017997744</v>
      </c>
      <c r="M2091" s="234"/>
      <c r="N2091" s="216" t="s">
        <v>259</v>
      </c>
      <c r="O2091" s="235" t="s">
        <v>260</v>
      </c>
      <c r="P2091" s="237" t="s">
        <v>80</v>
      </c>
      <c r="Q2091" s="239">
        <v>45460</v>
      </c>
      <c r="R2091" s="244">
        <v>0.88500000000000001</v>
      </c>
      <c r="S2091" s="240" t="s">
        <v>49</v>
      </c>
      <c r="T2091" s="248"/>
      <c r="U2091" s="111" t="s">
        <v>60</v>
      </c>
      <c r="V2091" s="112"/>
      <c r="W2091" s="111"/>
      <c r="X2091" s="111"/>
      <c r="Y2091" s="111"/>
      <c r="Z2091" s="111"/>
      <c r="AA2091" s="111"/>
      <c r="AB2091" s="111"/>
      <c r="AC2091" s="111"/>
      <c r="AD2091" s="111"/>
      <c r="AE2091" s="111"/>
      <c r="AF2091" s="111"/>
      <c r="AG2091" s="111"/>
      <c r="AH2091" s="111"/>
      <c r="AI2091" s="111"/>
      <c r="AJ2091" s="111"/>
      <c r="AK2091" s="111"/>
      <c r="AL2091" s="111"/>
      <c r="AM2091" s="111"/>
      <c r="AN2091" s="111"/>
      <c r="AO2091" s="111"/>
      <c r="AP2091" s="111"/>
      <c r="AQ2091" s="111"/>
      <c r="AR2091" s="111"/>
      <c r="AS2091" s="111"/>
      <c r="AT2091" s="111"/>
      <c r="AU2091" s="325" t="s">
        <v>53</v>
      </c>
      <c r="AV2091" s="111"/>
      <c r="AW2091" s="111"/>
      <c r="AX2091" s="111"/>
      <c r="AY2091" s="111"/>
      <c r="AZ2091" s="111"/>
      <c r="BA2091" s="111"/>
      <c r="BB2091" s="220"/>
    </row>
    <row r="2092" spans="1:60" s="12" customFormat="1" ht="17.25" hidden="1" customHeight="1" x14ac:dyDescent="0.3">
      <c r="A2092" s="235" t="s">
        <v>505</v>
      </c>
      <c r="B2092" s="235" t="s">
        <v>7954</v>
      </c>
      <c r="C2092" s="111">
        <v>70</v>
      </c>
      <c r="D2092" s="111">
        <v>702</v>
      </c>
      <c r="E2092" s="111"/>
      <c r="F2092" s="217" t="s">
        <v>7958</v>
      </c>
      <c r="G2092" s="232" t="str">
        <f t="shared" si="52"/>
        <v>707021102868357</v>
      </c>
      <c r="H2092" s="119" t="s">
        <v>7979</v>
      </c>
      <c r="I2092" s="119">
        <v>1102868357</v>
      </c>
      <c r="J2092" s="119" t="s">
        <v>7999</v>
      </c>
      <c r="K2092" s="236" t="s">
        <v>230</v>
      </c>
      <c r="L2092" s="233">
        <v>3013158153</v>
      </c>
      <c r="M2092" s="234"/>
      <c r="N2092" s="216" t="s">
        <v>780</v>
      </c>
      <c r="O2092" s="235" t="s">
        <v>260</v>
      </c>
      <c r="P2092" s="237" t="s">
        <v>80</v>
      </c>
      <c r="Q2092" s="241">
        <v>45581</v>
      </c>
      <c r="R2092" s="242" t="s">
        <v>186</v>
      </c>
      <c r="S2092" s="240" t="s">
        <v>49</v>
      </c>
      <c r="T2092" s="248"/>
      <c r="U2092" s="111" t="s">
        <v>60</v>
      </c>
      <c r="V2092" s="112"/>
      <c r="W2092" s="111"/>
      <c r="X2092" s="111"/>
      <c r="Y2092" s="111"/>
      <c r="Z2092" s="111"/>
      <c r="AA2092" s="111"/>
      <c r="AB2092" s="111"/>
      <c r="AC2092" s="111"/>
      <c r="AD2092" s="111"/>
      <c r="AE2092" s="111"/>
      <c r="AF2092" s="111"/>
      <c r="AG2092" s="111"/>
      <c r="AH2092" s="111"/>
      <c r="AI2092" s="111"/>
      <c r="AJ2092" s="111"/>
      <c r="AK2092" s="111"/>
      <c r="AL2092" s="111"/>
      <c r="AM2092" s="111"/>
      <c r="AN2092" s="111"/>
      <c r="AO2092" s="111"/>
      <c r="AP2092" s="111"/>
      <c r="AQ2092" s="111"/>
      <c r="AR2092" s="111"/>
      <c r="AS2092" s="111"/>
      <c r="AT2092" s="111"/>
      <c r="AU2092" s="325" t="s">
        <v>53</v>
      </c>
      <c r="AV2092" s="111"/>
      <c r="AW2092" s="111"/>
      <c r="AX2092" s="111"/>
      <c r="AY2092" s="111"/>
      <c r="AZ2092" s="111"/>
      <c r="BA2092" s="111"/>
      <c r="BB2092" s="220"/>
    </row>
    <row r="2093" spans="1:60" s="12" customFormat="1" ht="14.4" hidden="1" x14ac:dyDescent="0.3">
      <c r="A2093" s="235" t="s">
        <v>505</v>
      </c>
      <c r="B2093" s="235" t="s">
        <v>7954</v>
      </c>
      <c r="C2093" s="111">
        <v>70</v>
      </c>
      <c r="D2093" s="111">
        <v>702</v>
      </c>
      <c r="E2093" s="111"/>
      <c r="F2093" s="217" t="s">
        <v>7959</v>
      </c>
      <c r="G2093" s="232" t="str">
        <f t="shared" si="52"/>
        <v>7070222884726</v>
      </c>
      <c r="H2093" s="119" t="s">
        <v>7980</v>
      </c>
      <c r="I2093" s="119">
        <v>22884726</v>
      </c>
      <c r="J2093" s="119" t="s">
        <v>8000</v>
      </c>
      <c r="K2093" s="236" t="s">
        <v>230</v>
      </c>
      <c r="L2093" s="233">
        <v>3004369817</v>
      </c>
      <c r="M2093" s="234"/>
      <c r="N2093" s="216" t="s">
        <v>127</v>
      </c>
      <c r="O2093" s="235" t="s">
        <v>2822</v>
      </c>
      <c r="P2093" s="237" t="s">
        <v>48</v>
      </c>
      <c r="Q2093" s="239">
        <v>45439</v>
      </c>
      <c r="R2093" s="242">
        <v>0.93</v>
      </c>
      <c r="S2093" s="240" t="s">
        <v>319</v>
      </c>
      <c r="T2093" s="248"/>
      <c r="U2093" s="111" t="s">
        <v>60</v>
      </c>
      <c r="V2093" s="112"/>
      <c r="W2093" s="111"/>
      <c r="X2093" s="111"/>
      <c r="Y2093" s="111"/>
      <c r="Z2093" s="111"/>
      <c r="AA2093" s="111"/>
      <c r="AB2093" s="111"/>
      <c r="AC2093" s="111"/>
      <c r="AD2093" s="111"/>
      <c r="AE2093" s="111"/>
      <c r="AF2093" s="111"/>
      <c r="AG2093" s="111"/>
      <c r="AH2093" s="111"/>
      <c r="AI2093" s="111"/>
      <c r="AJ2093" s="111"/>
      <c r="AK2093" s="111"/>
      <c r="AL2093" s="111"/>
      <c r="AM2093" s="111"/>
      <c r="AN2093" s="111"/>
      <c r="AO2093" s="111"/>
      <c r="AP2093" s="111"/>
      <c r="AQ2093" s="111"/>
      <c r="AR2093" s="111"/>
      <c r="AS2093" s="111"/>
      <c r="AT2093" s="111"/>
      <c r="AU2093" s="325" t="s">
        <v>53</v>
      </c>
      <c r="AV2093" s="111"/>
      <c r="AW2093" s="111"/>
      <c r="AX2093" s="111"/>
      <c r="AY2093" s="111"/>
      <c r="AZ2093" s="111"/>
      <c r="BA2093" s="111"/>
      <c r="BB2093" s="220"/>
    </row>
    <row r="2094" spans="1:60" s="12" customFormat="1" ht="18.75" hidden="1" customHeight="1" x14ac:dyDescent="0.3">
      <c r="A2094" s="235" t="s">
        <v>505</v>
      </c>
      <c r="B2094" s="235" t="s">
        <v>7954</v>
      </c>
      <c r="C2094" s="111">
        <v>70</v>
      </c>
      <c r="D2094" s="111">
        <v>702</v>
      </c>
      <c r="E2094" s="111"/>
      <c r="F2094" s="217" t="s">
        <v>7960</v>
      </c>
      <c r="G2094" s="232" t="str">
        <f t="shared" si="52"/>
        <v>7070222885020</v>
      </c>
      <c r="H2094" s="119" t="s">
        <v>7981</v>
      </c>
      <c r="I2094" s="119">
        <v>22885020</v>
      </c>
      <c r="J2094" s="119" t="s">
        <v>8001</v>
      </c>
      <c r="K2094" s="236" t="s">
        <v>230</v>
      </c>
      <c r="L2094" s="233"/>
      <c r="M2094" s="234"/>
      <c r="N2094" s="216" t="s">
        <v>432</v>
      </c>
      <c r="O2094" s="235" t="s">
        <v>432</v>
      </c>
      <c r="P2094" s="237" t="s">
        <v>48</v>
      </c>
      <c r="Q2094" s="239">
        <v>45471</v>
      </c>
      <c r="R2094" s="244">
        <v>0.83499999999999996</v>
      </c>
      <c r="S2094" s="240" t="s">
        <v>49</v>
      </c>
      <c r="T2094" s="248"/>
      <c r="U2094" s="111" t="s">
        <v>60</v>
      </c>
      <c r="V2094" s="112"/>
      <c r="W2094" s="111"/>
      <c r="X2094" s="111"/>
      <c r="Y2094" s="111"/>
      <c r="Z2094" s="111"/>
      <c r="AA2094" s="111"/>
      <c r="AB2094" s="111"/>
      <c r="AC2094" s="111"/>
      <c r="AD2094" s="111"/>
      <c r="AE2094" s="111"/>
      <c r="AF2094" s="111"/>
      <c r="AG2094" s="111"/>
      <c r="AH2094" s="111"/>
      <c r="AI2094" s="111"/>
      <c r="AJ2094" s="111"/>
      <c r="AK2094" s="111"/>
      <c r="AL2094" s="111"/>
      <c r="AM2094" s="111"/>
      <c r="AN2094" s="111"/>
      <c r="AO2094" s="111"/>
      <c r="AP2094" s="111"/>
      <c r="AQ2094" s="111"/>
      <c r="AR2094" s="111"/>
      <c r="AS2094" s="111"/>
      <c r="AT2094" s="111"/>
      <c r="AU2094" s="325" t="s">
        <v>53</v>
      </c>
      <c r="AV2094" s="111"/>
      <c r="AW2094" s="111"/>
      <c r="AX2094" s="111"/>
      <c r="AY2094" s="111"/>
      <c r="AZ2094" s="111"/>
      <c r="BA2094" s="111"/>
      <c r="BB2094" s="220"/>
    </row>
    <row r="2095" spans="1:60" s="12" customFormat="1" ht="20.25" hidden="1" customHeight="1" x14ac:dyDescent="0.3">
      <c r="A2095" s="235" t="s">
        <v>505</v>
      </c>
      <c r="B2095" s="235" t="s">
        <v>7954</v>
      </c>
      <c r="C2095" s="111">
        <v>70</v>
      </c>
      <c r="D2095" s="111">
        <v>702</v>
      </c>
      <c r="E2095" s="111" t="s">
        <v>8851</v>
      </c>
      <c r="F2095" s="286" t="s">
        <v>9378</v>
      </c>
      <c r="G2095" s="232" t="str">
        <f t="shared" si="52"/>
        <v>707028002390031</v>
      </c>
      <c r="H2095" s="119" t="s">
        <v>8853</v>
      </c>
      <c r="I2095" s="119">
        <v>8002390031</v>
      </c>
      <c r="J2095" s="119" t="s">
        <v>8002</v>
      </c>
      <c r="K2095" s="236" t="s">
        <v>230</v>
      </c>
      <c r="L2095" s="233">
        <v>3004191270</v>
      </c>
      <c r="M2095" s="234" t="s">
        <v>8855</v>
      </c>
      <c r="N2095" s="216" t="s">
        <v>127</v>
      </c>
      <c r="O2095" s="235" t="s">
        <v>2822</v>
      </c>
      <c r="P2095" s="237" t="s">
        <v>48</v>
      </c>
      <c r="Q2095" s="13">
        <v>46132</v>
      </c>
      <c r="R2095" s="12" t="s">
        <v>4658</v>
      </c>
      <c r="S2095" s="240" t="s">
        <v>49</v>
      </c>
      <c r="T2095" s="12" t="s">
        <v>8626</v>
      </c>
      <c r="U2095" s="12" t="s">
        <v>60</v>
      </c>
      <c r="V2095" s="239">
        <v>45448</v>
      </c>
      <c r="W2095" s="246">
        <v>0.93</v>
      </c>
      <c r="X2095" s="240" t="s">
        <v>49</v>
      </c>
      <c r="Y2095" s="248"/>
      <c r="Z2095" s="111" t="s">
        <v>60</v>
      </c>
      <c r="AA2095" s="111"/>
      <c r="AB2095" s="111"/>
      <c r="AC2095" s="111"/>
      <c r="AD2095" s="111"/>
      <c r="AE2095" s="111"/>
      <c r="AF2095" s="111"/>
      <c r="AG2095" s="111"/>
      <c r="AH2095" s="111"/>
      <c r="AI2095" s="111"/>
      <c r="AJ2095" s="111"/>
      <c r="AK2095" s="111"/>
      <c r="AL2095" s="111"/>
      <c r="AM2095" s="111"/>
      <c r="AN2095" s="111"/>
      <c r="AO2095" s="111"/>
      <c r="AP2095" s="111"/>
      <c r="AQ2095" s="111"/>
      <c r="AR2095" s="111"/>
      <c r="AS2095" s="111"/>
      <c r="AT2095" s="111"/>
      <c r="AU2095" s="325" t="s">
        <v>53</v>
      </c>
      <c r="AV2095" s="111"/>
      <c r="AW2095" s="111"/>
      <c r="AX2095" s="111"/>
      <c r="AY2095" s="111"/>
      <c r="AZ2095" s="111"/>
      <c r="BA2095" s="111"/>
      <c r="BB2095" s="220"/>
    </row>
    <row r="2096" spans="1:60" s="12" customFormat="1" ht="16.5" hidden="1" customHeight="1" x14ac:dyDescent="0.3">
      <c r="A2096" s="235" t="s">
        <v>505</v>
      </c>
      <c r="B2096" s="235" t="s">
        <v>7954</v>
      </c>
      <c r="C2096" s="111">
        <v>70</v>
      </c>
      <c r="D2096" s="111">
        <v>702</v>
      </c>
      <c r="E2096" s="111" t="s">
        <v>8851</v>
      </c>
      <c r="F2096" s="286" t="s">
        <v>8856</v>
      </c>
      <c r="G2096" s="232" t="str">
        <f t="shared" si="52"/>
        <v>707028002390031</v>
      </c>
      <c r="H2096" s="119" t="s">
        <v>8853</v>
      </c>
      <c r="I2096" s="119">
        <v>8002390031</v>
      </c>
      <c r="J2096" s="119" t="s">
        <v>8003</v>
      </c>
      <c r="K2096" s="236" t="s">
        <v>230</v>
      </c>
      <c r="L2096" s="233">
        <v>3004191270</v>
      </c>
      <c r="M2096" s="234" t="s">
        <v>8855</v>
      </c>
      <c r="N2096" s="216" t="s">
        <v>127</v>
      </c>
      <c r="O2096" s="235" t="s">
        <v>2822</v>
      </c>
      <c r="P2096" s="237" t="s">
        <v>48</v>
      </c>
      <c r="Q2096" s="13">
        <v>46139</v>
      </c>
      <c r="R2096" s="12" t="s">
        <v>4833</v>
      </c>
      <c r="S2096" s="12" t="s">
        <v>49</v>
      </c>
      <c r="T2096" s="248"/>
      <c r="U2096" s="111" t="s">
        <v>60</v>
      </c>
      <c r="V2096" s="239">
        <v>45462</v>
      </c>
      <c r="W2096" s="246">
        <v>0.87</v>
      </c>
      <c r="X2096" s="240" t="s">
        <v>49</v>
      </c>
      <c r="Y2096" s="111"/>
      <c r="Z2096" s="235" t="s">
        <v>60</v>
      </c>
      <c r="AA2096" s="111"/>
      <c r="AB2096" s="111"/>
      <c r="AC2096" s="111"/>
      <c r="AD2096" s="111"/>
      <c r="AE2096" s="111"/>
      <c r="AF2096" s="111"/>
      <c r="AG2096" s="111"/>
      <c r="AH2096" s="111"/>
      <c r="AI2096" s="111"/>
      <c r="AJ2096" s="111"/>
      <c r="AK2096" s="111"/>
      <c r="AL2096" s="111"/>
      <c r="AM2096" s="111"/>
      <c r="AN2096" s="111"/>
      <c r="AO2096" s="111"/>
      <c r="AP2096" s="111"/>
      <c r="AQ2096" s="111"/>
      <c r="AR2096" s="111"/>
      <c r="AS2096" s="111"/>
      <c r="AT2096" s="111"/>
      <c r="AU2096" s="325" t="s">
        <v>53</v>
      </c>
      <c r="AV2096" s="111"/>
      <c r="AW2096" s="111"/>
      <c r="AX2096" s="111"/>
      <c r="AY2096" s="111"/>
      <c r="AZ2096" s="111"/>
      <c r="BA2096" s="111"/>
      <c r="BB2096" s="220"/>
    </row>
    <row r="2097" spans="1:54" s="12" customFormat="1" ht="19.5" hidden="1" customHeight="1" x14ac:dyDescent="0.3">
      <c r="A2097" s="235" t="s">
        <v>505</v>
      </c>
      <c r="B2097" s="235" t="s">
        <v>7954</v>
      </c>
      <c r="C2097" s="111">
        <v>70</v>
      </c>
      <c r="D2097" s="111">
        <v>702</v>
      </c>
      <c r="E2097" s="111"/>
      <c r="F2097" s="217" t="s">
        <v>7961</v>
      </c>
      <c r="G2097" s="232" t="str">
        <f t="shared" si="52"/>
        <v>7070273184340</v>
      </c>
      <c r="H2097" s="119" t="s">
        <v>7982</v>
      </c>
      <c r="I2097" s="119">
        <v>73184340</v>
      </c>
      <c r="J2097" s="119" t="s">
        <v>8004</v>
      </c>
      <c r="K2097" s="236" t="s">
        <v>230</v>
      </c>
      <c r="L2097" s="233">
        <v>3024390779</v>
      </c>
      <c r="M2097" s="234" t="s">
        <v>8018</v>
      </c>
      <c r="N2097" s="216" t="s">
        <v>780</v>
      </c>
      <c r="O2097" s="235" t="s">
        <v>260</v>
      </c>
      <c r="P2097" s="237" t="s">
        <v>80</v>
      </c>
      <c r="Q2097" s="241">
        <v>45580</v>
      </c>
      <c r="R2097" s="243">
        <v>0.88</v>
      </c>
      <c r="S2097" s="240" t="s">
        <v>49</v>
      </c>
      <c r="T2097" s="248"/>
      <c r="U2097" s="111" t="s">
        <v>60</v>
      </c>
      <c r="V2097" s="112"/>
      <c r="W2097" s="111"/>
      <c r="X2097" s="111"/>
      <c r="Y2097" s="111"/>
      <c r="Z2097" s="111"/>
      <c r="AA2097" s="111"/>
      <c r="AB2097" s="111"/>
      <c r="AC2097" s="111"/>
      <c r="AD2097" s="111"/>
      <c r="AE2097" s="111"/>
      <c r="AF2097" s="111"/>
      <c r="AG2097" s="111"/>
      <c r="AH2097" s="111"/>
      <c r="AI2097" s="111"/>
      <c r="AJ2097" s="111"/>
      <c r="AK2097" s="111"/>
      <c r="AL2097" s="111"/>
      <c r="AM2097" s="111"/>
      <c r="AN2097" s="111"/>
      <c r="AO2097" s="111"/>
      <c r="AP2097" s="111"/>
      <c r="AQ2097" s="111"/>
      <c r="AR2097" s="111"/>
      <c r="AS2097" s="111"/>
      <c r="AT2097" s="111"/>
      <c r="AU2097" s="325" t="s">
        <v>53</v>
      </c>
      <c r="AV2097" s="111"/>
      <c r="AW2097" s="111"/>
      <c r="AX2097" s="111"/>
      <c r="AY2097" s="111"/>
      <c r="AZ2097" s="111"/>
      <c r="BA2097" s="111"/>
      <c r="BB2097" s="220"/>
    </row>
    <row r="2098" spans="1:54" s="12" customFormat="1" ht="21" hidden="1" customHeight="1" x14ac:dyDescent="0.3">
      <c r="A2098" s="235" t="s">
        <v>505</v>
      </c>
      <c r="B2098" s="235" t="s">
        <v>7954</v>
      </c>
      <c r="C2098" s="111">
        <v>70</v>
      </c>
      <c r="D2098" s="111">
        <v>702</v>
      </c>
      <c r="E2098" s="111"/>
      <c r="F2098" s="217" t="s">
        <v>3374</v>
      </c>
      <c r="G2098" s="232" t="str">
        <f t="shared" si="52"/>
        <v>7070232930583</v>
      </c>
      <c r="H2098" s="119" t="s">
        <v>7983</v>
      </c>
      <c r="I2098" s="119">
        <v>32930583</v>
      </c>
      <c r="J2098" s="119" t="s">
        <v>8005</v>
      </c>
      <c r="K2098" s="236" t="s">
        <v>230</v>
      </c>
      <c r="L2098" s="233">
        <v>3013229885</v>
      </c>
      <c r="M2098" s="234"/>
      <c r="N2098" s="216" t="s">
        <v>780</v>
      </c>
      <c r="O2098" s="235" t="s">
        <v>260</v>
      </c>
      <c r="P2098" s="237" t="s">
        <v>80</v>
      </c>
      <c r="Q2098" s="241">
        <v>45581</v>
      </c>
      <c r="R2098" s="216" t="s">
        <v>186</v>
      </c>
      <c r="S2098" s="240" t="s">
        <v>49</v>
      </c>
      <c r="T2098" s="248"/>
      <c r="U2098" s="111" t="s">
        <v>60</v>
      </c>
      <c r="V2098" s="112"/>
      <c r="W2098" s="111"/>
      <c r="X2098" s="111"/>
      <c r="Y2098" s="111"/>
      <c r="Z2098" s="111"/>
      <c r="AA2098" s="111"/>
      <c r="AB2098" s="111"/>
      <c r="AC2098" s="111"/>
      <c r="AD2098" s="111"/>
      <c r="AE2098" s="111"/>
      <c r="AF2098" s="111"/>
      <c r="AG2098" s="111"/>
      <c r="AH2098" s="111"/>
      <c r="AI2098" s="111"/>
      <c r="AJ2098" s="111"/>
      <c r="AK2098" s="111"/>
      <c r="AL2098" s="111"/>
      <c r="AM2098" s="111"/>
      <c r="AN2098" s="111"/>
      <c r="AO2098" s="111"/>
      <c r="AP2098" s="111"/>
      <c r="AQ2098" s="111"/>
      <c r="AR2098" s="111"/>
      <c r="AS2098" s="111"/>
      <c r="AT2098" s="111"/>
      <c r="AU2098" s="325" t="s">
        <v>53</v>
      </c>
      <c r="AV2098" s="111"/>
      <c r="AW2098" s="111"/>
      <c r="AX2098" s="111"/>
      <c r="AY2098" s="111"/>
      <c r="AZ2098" s="111"/>
      <c r="BA2098" s="111"/>
      <c r="BB2098" s="220"/>
    </row>
    <row r="2099" spans="1:54" s="12" customFormat="1" ht="21.75" customHeight="1" x14ac:dyDescent="0.3">
      <c r="A2099" s="235" t="s">
        <v>505</v>
      </c>
      <c r="B2099" s="235" t="s">
        <v>7954</v>
      </c>
      <c r="C2099" s="111">
        <v>70</v>
      </c>
      <c r="D2099" s="111">
        <v>702</v>
      </c>
      <c r="E2099" s="111"/>
      <c r="F2099" s="286" t="s">
        <v>7962</v>
      </c>
      <c r="G2099" s="232" t="str">
        <f t="shared" si="52"/>
        <v>7070222884959</v>
      </c>
      <c r="H2099" s="119" t="s">
        <v>7984</v>
      </c>
      <c r="I2099" s="119">
        <v>22884959</v>
      </c>
      <c r="J2099" s="119" t="s">
        <v>8006</v>
      </c>
      <c r="K2099" s="236" t="s">
        <v>230</v>
      </c>
      <c r="L2099" s="233">
        <v>3229469111</v>
      </c>
      <c r="M2099" s="234"/>
      <c r="N2099" s="216" t="s">
        <v>8021</v>
      </c>
      <c r="O2099" s="235" t="s">
        <v>47</v>
      </c>
      <c r="P2099" s="237" t="s">
        <v>48</v>
      </c>
      <c r="Q2099" s="239">
        <v>45461</v>
      </c>
      <c r="R2099" s="247">
        <v>0.77</v>
      </c>
      <c r="S2099" s="240" t="s">
        <v>49</v>
      </c>
      <c r="T2099" s="248"/>
      <c r="U2099" s="111" t="s">
        <v>60</v>
      </c>
      <c r="V2099" s="112"/>
      <c r="W2099" s="111"/>
      <c r="X2099" s="111"/>
      <c r="Y2099" s="111"/>
      <c r="Z2099" s="111"/>
      <c r="AA2099" s="111"/>
      <c r="AB2099" s="111"/>
      <c r="AC2099" s="111"/>
      <c r="AD2099" s="111"/>
      <c r="AE2099" s="111"/>
      <c r="AF2099" s="111"/>
      <c r="AG2099" s="111"/>
      <c r="AH2099" s="111"/>
      <c r="AI2099" s="111"/>
      <c r="AJ2099" s="111"/>
      <c r="AK2099" s="111"/>
      <c r="AL2099" s="111"/>
      <c r="AM2099" s="111"/>
      <c r="AN2099" s="111"/>
      <c r="AO2099" s="111"/>
      <c r="AP2099" s="111"/>
      <c r="AQ2099" s="111"/>
      <c r="AR2099" s="111"/>
      <c r="AS2099" s="111"/>
      <c r="AT2099" s="111"/>
      <c r="AU2099" s="325" t="s">
        <v>53</v>
      </c>
      <c r="AV2099" s="111"/>
      <c r="AW2099" s="111"/>
      <c r="AX2099" s="111"/>
      <c r="AY2099" s="111"/>
      <c r="AZ2099" s="111"/>
      <c r="BA2099" s="111"/>
      <c r="BB2099" s="220"/>
    </row>
    <row r="2100" spans="1:54" s="12" customFormat="1" ht="20.25" hidden="1" customHeight="1" x14ac:dyDescent="0.3">
      <c r="A2100" s="235" t="s">
        <v>505</v>
      </c>
      <c r="B2100" s="235" t="s">
        <v>7954</v>
      </c>
      <c r="C2100" s="111">
        <v>70</v>
      </c>
      <c r="D2100" s="111">
        <v>702</v>
      </c>
      <c r="E2100" s="111"/>
      <c r="F2100" s="217" t="s">
        <v>7963</v>
      </c>
      <c r="G2100" s="232" t="str">
        <f t="shared" si="52"/>
        <v>7070222864437</v>
      </c>
      <c r="H2100" s="119" t="s">
        <v>7985</v>
      </c>
      <c r="I2100" s="119">
        <v>22864437</v>
      </c>
      <c r="J2100" s="119" t="s">
        <v>8007</v>
      </c>
      <c r="K2100" s="236" t="s">
        <v>230</v>
      </c>
      <c r="L2100" s="233"/>
      <c r="M2100" s="234"/>
      <c r="N2100" s="216" t="s">
        <v>780</v>
      </c>
      <c r="O2100" s="235" t="s">
        <v>260</v>
      </c>
      <c r="P2100" s="237" t="s">
        <v>80</v>
      </c>
      <c r="Q2100" s="239">
        <v>45484</v>
      </c>
      <c r="R2100" s="240" t="s">
        <v>4569</v>
      </c>
      <c r="S2100" s="240" t="s">
        <v>49</v>
      </c>
      <c r="T2100" s="248"/>
      <c r="U2100" s="111" t="s">
        <v>60</v>
      </c>
      <c r="V2100" s="112"/>
      <c r="W2100" s="111"/>
      <c r="X2100" s="111"/>
      <c r="Y2100" s="111"/>
      <c r="Z2100" s="111"/>
      <c r="AA2100" s="111"/>
      <c r="AB2100" s="111"/>
      <c r="AC2100" s="111"/>
      <c r="AD2100" s="111"/>
      <c r="AE2100" s="111"/>
      <c r="AF2100" s="111"/>
      <c r="AG2100" s="111"/>
      <c r="AH2100" s="111"/>
      <c r="AI2100" s="111"/>
      <c r="AJ2100" s="111"/>
      <c r="AK2100" s="111"/>
      <c r="AL2100" s="111"/>
      <c r="AM2100" s="111"/>
      <c r="AN2100" s="111"/>
      <c r="AO2100" s="111"/>
      <c r="AP2100" s="111"/>
      <c r="AQ2100" s="111"/>
      <c r="AR2100" s="111"/>
      <c r="AS2100" s="111"/>
      <c r="AT2100" s="111"/>
      <c r="AU2100" s="325" t="s">
        <v>53</v>
      </c>
      <c r="AV2100" s="111"/>
      <c r="AW2100" s="111"/>
      <c r="AX2100" s="111"/>
      <c r="AY2100" s="111"/>
      <c r="AZ2100" s="111"/>
      <c r="BA2100" s="111"/>
      <c r="BB2100" s="220"/>
    </row>
    <row r="2101" spans="1:54" s="12" customFormat="1" ht="17.25" hidden="1" customHeight="1" x14ac:dyDescent="0.3">
      <c r="A2101" s="235" t="s">
        <v>505</v>
      </c>
      <c r="B2101" s="235" t="s">
        <v>7954</v>
      </c>
      <c r="C2101" s="111">
        <v>70</v>
      </c>
      <c r="D2101" s="111">
        <v>702</v>
      </c>
      <c r="E2101" s="111"/>
      <c r="F2101" s="217" t="s">
        <v>7964</v>
      </c>
      <c r="G2101" s="232" t="str">
        <f t="shared" si="52"/>
        <v>7070273184340</v>
      </c>
      <c r="H2101" s="119" t="s">
        <v>7982</v>
      </c>
      <c r="I2101" s="119">
        <v>73184340</v>
      </c>
      <c r="J2101" s="119" t="s">
        <v>8008</v>
      </c>
      <c r="K2101" s="236" t="s">
        <v>230</v>
      </c>
      <c r="L2101" s="233">
        <v>3145890996</v>
      </c>
      <c r="M2101" s="234"/>
      <c r="N2101" s="216" t="s">
        <v>780</v>
      </c>
      <c r="O2101" s="235" t="s">
        <v>260</v>
      </c>
      <c r="P2101" s="237" t="s">
        <v>80</v>
      </c>
      <c r="Q2101" s="239">
        <v>45621</v>
      </c>
      <c r="R2101" s="242">
        <v>0.85</v>
      </c>
      <c r="S2101" s="240" t="s">
        <v>49</v>
      </c>
      <c r="T2101" s="248"/>
      <c r="U2101" s="111" t="s">
        <v>60</v>
      </c>
      <c r="V2101" s="112"/>
      <c r="W2101" s="111"/>
      <c r="X2101" s="111"/>
      <c r="Y2101" s="111"/>
      <c r="Z2101" s="111"/>
      <c r="AA2101" s="111"/>
      <c r="AB2101" s="111"/>
      <c r="AC2101" s="111"/>
      <c r="AD2101" s="111"/>
      <c r="AE2101" s="111"/>
      <c r="AF2101" s="111"/>
      <c r="AG2101" s="111"/>
      <c r="AH2101" s="111"/>
      <c r="AI2101" s="111"/>
      <c r="AJ2101" s="111"/>
      <c r="AK2101" s="111"/>
      <c r="AL2101" s="111"/>
      <c r="AM2101" s="111"/>
      <c r="AN2101" s="111"/>
      <c r="AO2101" s="111"/>
      <c r="AP2101" s="111"/>
      <c r="AQ2101" s="111"/>
      <c r="AR2101" s="111"/>
      <c r="AS2101" s="111"/>
      <c r="AT2101" s="111"/>
      <c r="AU2101" s="325" t="s">
        <v>53</v>
      </c>
      <c r="AV2101" s="111"/>
      <c r="AW2101" s="111"/>
      <c r="AX2101" s="111"/>
      <c r="AY2101" s="111"/>
      <c r="AZ2101" s="111"/>
      <c r="BA2101" s="111"/>
      <c r="BB2101" s="220"/>
    </row>
    <row r="2102" spans="1:54" s="12" customFormat="1" ht="20.25" hidden="1" customHeight="1" x14ac:dyDescent="0.3">
      <c r="A2102" s="235" t="s">
        <v>505</v>
      </c>
      <c r="B2102" s="235" t="s">
        <v>7954</v>
      </c>
      <c r="C2102" s="111">
        <v>70</v>
      </c>
      <c r="D2102" s="111">
        <v>702</v>
      </c>
      <c r="E2102" s="235" t="s">
        <v>2434</v>
      </c>
      <c r="F2102" s="217" t="s">
        <v>7965</v>
      </c>
      <c r="G2102" s="232" t="str">
        <f t="shared" si="52"/>
        <v>7070279004805691</v>
      </c>
      <c r="H2102" s="119" t="s">
        <v>7986</v>
      </c>
      <c r="I2102" s="119">
        <v>79004805691</v>
      </c>
      <c r="J2102" s="119" t="s">
        <v>8009</v>
      </c>
      <c r="K2102" s="236" t="s">
        <v>230</v>
      </c>
      <c r="L2102" s="233">
        <v>3107935128</v>
      </c>
      <c r="M2102" s="234" t="s">
        <v>8019</v>
      </c>
      <c r="N2102" s="216" t="s">
        <v>1757</v>
      </c>
      <c r="O2102" s="235" t="s">
        <v>1758</v>
      </c>
      <c r="P2102" s="237" t="s">
        <v>48</v>
      </c>
      <c r="Q2102" s="239">
        <v>45421</v>
      </c>
      <c r="R2102" s="246">
        <v>0.86</v>
      </c>
      <c r="S2102" s="240" t="s">
        <v>49</v>
      </c>
      <c r="T2102" s="248"/>
      <c r="U2102" s="111" t="s">
        <v>60</v>
      </c>
      <c r="V2102" s="112"/>
      <c r="W2102" s="111"/>
      <c r="X2102" s="111"/>
      <c r="Y2102" s="111"/>
      <c r="Z2102" s="111"/>
      <c r="AA2102" s="111"/>
      <c r="AB2102" s="111"/>
      <c r="AC2102" s="111"/>
      <c r="AD2102" s="111"/>
      <c r="AE2102" s="111"/>
      <c r="AF2102" s="111"/>
      <c r="AG2102" s="111"/>
      <c r="AH2102" s="111"/>
      <c r="AI2102" s="111"/>
      <c r="AJ2102" s="111"/>
      <c r="AK2102" s="111"/>
      <c r="AL2102" s="111"/>
      <c r="AM2102" s="111"/>
      <c r="AN2102" s="111"/>
      <c r="AO2102" s="111"/>
      <c r="AP2102" s="111"/>
      <c r="AQ2102" s="111"/>
      <c r="AR2102" s="111"/>
      <c r="AS2102" s="111"/>
      <c r="AT2102" s="111"/>
      <c r="AU2102" s="325" t="s">
        <v>53</v>
      </c>
      <c r="AV2102" s="111"/>
      <c r="AW2102" s="111"/>
      <c r="AX2102" s="111"/>
      <c r="AY2102" s="111"/>
      <c r="AZ2102" s="111"/>
      <c r="BA2102" s="111"/>
      <c r="BB2102" s="220"/>
    </row>
    <row r="2103" spans="1:54" s="12" customFormat="1" ht="19.5" hidden="1" customHeight="1" x14ac:dyDescent="0.3">
      <c r="A2103" s="235" t="s">
        <v>505</v>
      </c>
      <c r="B2103" s="235" t="s">
        <v>7954</v>
      </c>
      <c r="C2103" s="111">
        <v>70</v>
      </c>
      <c r="D2103" s="111">
        <v>702</v>
      </c>
      <c r="E2103" s="111"/>
      <c r="F2103" s="217" t="s">
        <v>7966</v>
      </c>
      <c r="G2103" s="232" t="str">
        <f t="shared" si="52"/>
        <v>707021102868357</v>
      </c>
      <c r="H2103" s="119" t="s">
        <v>7987</v>
      </c>
      <c r="I2103" s="119">
        <v>1102868357</v>
      </c>
      <c r="J2103" s="119" t="s">
        <v>8010</v>
      </c>
      <c r="K2103" s="236" t="s">
        <v>230</v>
      </c>
      <c r="L2103" s="233">
        <v>3117066157</v>
      </c>
      <c r="M2103" s="234"/>
      <c r="N2103" s="216" t="s">
        <v>780</v>
      </c>
      <c r="O2103" s="235" t="s">
        <v>260</v>
      </c>
      <c r="P2103" s="237" t="s">
        <v>80</v>
      </c>
      <c r="Q2103" s="239">
        <v>45621</v>
      </c>
      <c r="R2103" s="242">
        <v>0.88</v>
      </c>
      <c r="S2103" s="240" t="s">
        <v>49</v>
      </c>
      <c r="T2103" s="248"/>
      <c r="U2103" s="111" t="s">
        <v>60</v>
      </c>
      <c r="V2103" s="112"/>
      <c r="W2103" s="111"/>
      <c r="X2103" s="111"/>
      <c r="Y2103" s="111"/>
      <c r="Z2103" s="111"/>
      <c r="AA2103" s="111"/>
      <c r="AB2103" s="111"/>
      <c r="AC2103" s="111"/>
      <c r="AD2103" s="111"/>
      <c r="AE2103" s="111"/>
      <c r="AF2103" s="111"/>
      <c r="AG2103" s="111"/>
      <c r="AH2103" s="111"/>
      <c r="AI2103" s="111"/>
      <c r="AJ2103" s="111"/>
      <c r="AK2103" s="111"/>
      <c r="AL2103" s="111"/>
      <c r="AM2103" s="111"/>
      <c r="AN2103" s="111"/>
      <c r="AO2103" s="111"/>
      <c r="AP2103" s="111"/>
      <c r="AQ2103" s="111"/>
      <c r="AR2103" s="111"/>
      <c r="AS2103" s="111"/>
      <c r="AT2103" s="111"/>
      <c r="AU2103" s="325" t="s">
        <v>53</v>
      </c>
      <c r="AV2103" s="111"/>
      <c r="AW2103" s="111"/>
      <c r="AX2103" s="111"/>
      <c r="AY2103" s="111"/>
      <c r="AZ2103" s="111"/>
      <c r="BA2103" s="111"/>
      <c r="BB2103" s="220"/>
    </row>
    <row r="2104" spans="1:54" s="12" customFormat="1" ht="19.5" hidden="1" customHeight="1" x14ac:dyDescent="0.3">
      <c r="A2104" s="235" t="s">
        <v>505</v>
      </c>
      <c r="B2104" s="235" t="s">
        <v>7954</v>
      </c>
      <c r="C2104" s="111">
        <v>70</v>
      </c>
      <c r="D2104" s="111">
        <v>702</v>
      </c>
      <c r="E2104" s="111"/>
      <c r="F2104" s="217" t="s">
        <v>7967</v>
      </c>
      <c r="G2104" s="232" t="str">
        <f t="shared" si="52"/>
        <v>7070270691109</v>
      </c>
      <c r="H2104" s="119" t="s">
        <v>7988</v>
      </c>
      <c r="I2104" s="119">
        <v>70691109</v>
      </c>
      <c r="J2104" s="119" t="s">
        <v>8011</v>
      </c>
      <c r="K2104" s="236" t="s">
        <v>230</v>
      </c>
      <c r="L2104" s="233">
        <v>3002483089</v>
      </c>
      <c r="M2104" s="234"/>
      <c r="N2104" s="216" t="s">
        <v>780</v>
      </c>
      <c r="O2104" s="235" t="s">
        <v>260</v>
      </c>
      <c r="P2104" s="237" t="s">
        <v>80</v>
      </c>
      <c r="Q2104" s="239">
        <v>45617</v>
      </c>
      <c r="R2104" s="242">
        <v>0.88</v>
      </c>
      <c r="S2104" s="240" t="s">
        <v>49</v>
      </c>
      <c r="T2104" s="248"/>
      <c r="U2104" s="111" t="s">
        <v>60</v>
      </c>
      <c r="V2104" s="112"/>
      <c r="W2104" s="111"/>
      <c r="X2104" s="111"/>
      <c r="Y2104" s="111"/>
      <c r="Z2104" s="111"/>
      <c r="AA2104" s="111"/>
      <c r="AB2104" s="111"/>
      <c r="AC2104" s="111"/>
      <c r="AD2104" s="111"/>
      <c r="AE2104" s="111"/>
      <c r="AF2104" s="111"/>
      <c r="AG2104" s="111"/>
      <c r="AH2104" s="111"/>
      <c r="AI2104" s="111"/>
      <c r="AJ2104" s="111"/>
      <c r="AK2104" s="111"/>
      <c r="AL2104" s="111"/>
      <c r="AM2104" s="111"/>
      <c r="AN2104" s="111"/>
      <c r="AO2104" s="111"/>
      <c r="AP2104" s="111"/>
      <c r="AQ2104" s="111"/>
      <c r="AR2104" s="111"/>
      <c r="AS2104" s="111"/>
      <c r="AT2104" s="111"/>
      <c r="AU2104" s="325" t="s">
        <v>53</v>
      </c>
      <c r="AV2104" s="111"/>
      <c r="AW2104" s="111"/>
      <c r="AX2104" s="111"/>
      <c r="AY2104" s="111"/>
      <c r="AZ2104" s="111"/>
      <c r="BA2104" s="111"/>
      <c r="BB2104" s="220"/>
    </row>
    <row r="2105" spans="1:54" s="12" customFormat="1" ht="20.25" customHeight="1" x14ac:dyDescent="0.3">
      <c r="A2105" s="235" t="s">
        <v>505</v>
      </c>
      <c r="B2105" s="235" t="s">
        <v>7954</v>
      </c>
      <c r="C2105" s="111">
        <v>70</v>
      </c>
      <c r="D2105" s="111">
        <v>702</v>
      </c>
      <c r="E2105" s="111"/>
      <c r="F2105" s="217" t="s">
        <v>7968</v>
      </c>
      <c r="G2105" s="232" t="str">
        <f t="shared" si="52"/>
        <v>7070222884236</v>
      </c>
      <c r="H2105" s="119" t="s">
        <v>7989</v>
      </c>
      <c r="I2105" s="119">
        <v>22884236</v>
      </c>
      <c r="J2105" s="119" t="s">
        <v>8012</v>
      </c>
      <c r="K2105" s="236" t="s">
        <v>230</v>
      </c>
      <c r="L2105" s="233">
        <v>3014611343</v>
      </c>
      <c r="M2105" s="234"/>
      <c r="N2105" s="216" t="s">
        <v>8021</v>
      </c>
      <c r="O2105" s="235" t="s">
        <v>47</v>
      </c>
      <c r="P2105" s="237" t="s">
        <v>102</v>
      </c>
      <c r="Q2105" s="239">
        <v>45476</v>
      </c>
      <c r="R2105" s="242">
        <v>0.75</v>
      </c>
      <c r="S2105" s="240" t="s">
        <v>49</v>
      </c>
      <c r="T2105" s="248"/>
      <c r="U2105" s="111" t="s">
        <v>60</v>
      </c>
      <c r="V2105" s="112"/>
      <c r="W2105" s="111"/>
      <c r="X2105" s="111"/>
      <c r="Y2105" s="111"/>
      <c r="Z2105" s="111"/>
      <c r="AA2105" s="111"/>
      <c r="AB2105" s="111"/>
      <c r="AC2105" s="111"/>
      <c r="AD2105" s="111"/>
      <c r="AE2105" s="111"/>
      <c r="AF2105" s="111"/>
      <c r="AG2105" s="111"/>
      <c r="AH2105" s="111"/>
      <c r="AI2105" s="111"/>
      <c r="AJ2105" s="111"/>
      <c r="AK2105" s="111"/>
      <c r="AL2105" s="111"/>
      <c r="AM2105" s="111"/>
      <c r="AN2105" s="111"/>
      <c r="AO2105" s="111"/>
      <c r="AP2105" s="111"/>
      <c r="AQ2105" s="111"/>
      <c r="AR2105" s="111"/>
      <c r="AS2105" s="111"/>
      <c r="AT2105" s="111"/>
      <c r="AU2105" s="325" t="s">
        <v>53</v>
      </c>
      <c r="AV2105" s="111"/>
      <c r="AW2105" s="111"/>
      <c r="AX2105" s="111"/>
      <c r="AY2105" s="111"/>
      <c r="AZ2105" s="111"/>
      <c r="BA2105" s="111"/>
      <c r="BB2105" s="220"/>
    </row>
    <row r="2106" spans="1:54" s="12" customFormat="1" ht="20.25" hidden="1" customHeight="1" x14ac:dyDescent="0.3">
      <c r="A2106" s="235" t="s">
        <v>505</v>
      </c>
      <c r="B2106" s="235" t="s">
        <v>7954</v>
      </c>
      <c r="C2106" s="111">
        <v>70</v>
      </c>
      <c r="D2106" s="111">
        <v>702</v>
      </c>
      <c r="E2106" s="111"/>
      <c r="F2106" s="217" t="s">
        <v>7969</v>
      </c>
      <c r="G2106" s="232" t="str">
        <f t="shared" si="52"/>
        <v>707028002390031</v>
      </c>
      <c r="H2106" s="119" t="s">
        <v>7990</v>
      </c>
      <c r="I2106" s="119">
        <v>8002390031</v>
      </c>
      <c r="J2106" s="119" t="s">
        <v>8013</v>
      </c>
      <c r="K2106" s="236" t="s">
        <v>230</v>
      </c>
      <c r="L2106" s="233">
        <v>3207267801</v>
      </c>
      <c r="M2106" s="234"/>
      <c r="N2106" s="216" t="s">
        <v>127</v>
      </c>
      <c r="O2106" s="235" t="s">
        <v>2822</v>
      </c>
      <c r="P2106" s="237" t="s">
        <v>48</v>
      </c>
      <c r="Q2106" s="239">
        <v>45513</v>
      </c>
      <c r="R2106" s="246">
        <v>0.86</v>
      </c>
      <c r="S2106" s="240" t="s">
        <v>49</v>
      </c>
      <c r="T2106" s="248"/>
      <c r="U2106" s="111" t="s">
        <v>60</v>
      </c>
      <c r="V2106" s="112"/>
      <c r="W2106" s="111"/>
      <c r="X2106" s="111"/>
      <c r="Y2106" s="111"/>
      <c r="Z2106" s="111"/>
      <c r="AA2106" s="111"/>
      <c r="AB2106" s="111"/>
      <c r="AC2106" s="111"/>
      <c r="AD2106" s="111"/>
      <c r="AE2106" s="111"/>
      <c r="AF2106" s="111"/>
      <c r="AG2106" s="111"/>
      <c r="AH2106" s="111"/>
      <c r="AI2106" s="111"/>
      <c r="AJ2106" s="111"/>
      <c r="AK2106" s="111"/>
      <c r="AL2106" s="111"/>
      <c r="AM2106" s="111"/>
      <c r="AN2106" s="111"/>
      <c r="AO2106" s="111"/>
      <c r="AP2106" s="111"/>
      <c r="AQ2106" s="111"/>
      <c r="AR2106" s="111"/>
      <c r="AS2106" s="111"/>
      <c r="AT2106" s="111"/>
      <c r="AU2106" s="325" t="s">
        <v>53</v>
      </c>
      <c r="AV2106" s="111"/>
      <c r="AW2106" s="111"/>
      <c r="AX2106" s="111"/>
      <c r="AY2106" s="111"/>
      <c r="AZ2106" s="111"/>
      <c r="BA2106" s="111"/>
      <c r="BB2106" s="220"/>
    </row>
    <row r="2107" spans="1:54" s="12" customFormat="1" ht="21" hidden="1" customHeight="1" x14ac:dyDescent="0.3">
      <c r="A2107" s="235" t="s">
        <v>505</v>
      </c>
      <c r="B2107" s="235" t="s">
        <v>7954</v>
      </c>
      <c r="C2107" s="111">
        <v>70</v>
      </c>
      <c r="D2107" s="111">
        <v>702</v>
      </c>
      <c r="E2107" s="111"/>
      <c r="F2107" s="217" t="s">
        <v>7970</v>
      </c>
      <c r="G2107" s="232" t="str">
        <f t="shared" si="52"/>
        <v>7070242202762</v>
      </c>
      <c r="H2107" s="119" t="s">
        <v>7991</v>
      </c>
      <c r="I2107" s="119">
        <v>42202762</v>
      </c>
      <c r="J2107" s="119" t="s">
        <v>8014</v>
      </c>
      <c r="K2107" s="236" t="s">
        <v>230</v>
      </c>
      <c r="L2107" s="233">
        <v>3146534980</v>
      </c>
      <c r="M2107" s="234"/>
      <c r="N2107" s="216" t="s">
        <v>127</v>
      </c>
      <c r="O2107" s="235" t="s">
        <v>2822</v>
      </c>
      <c r="P2107" s="237" t="s">
        <v>48</v>
      </c>
      <c r="Q2107" s="241">
        <v>45546</v>
      </c>
      <c r="R2107" s="216" t="s">
        <v>1937</v>
      </c>
      <c r="S2107" s="240" t="s">
        <v>49</v>
      </c>
      <c r="T2107" s="248"/>
      <c r="U2107" s="111" t="s">
        <v>60</v>
      </c>
      <c r="V2107" s="112"/>
      <c r="W2107" s="111"/>
      <c r="X2107" s="111"/>
      <c r="Y2107" s="111"/>
      <c r="Z2107" s="111"/>
      <c r="AA2107" s="111"/>
      <c r="AB2107" s="111"/>
      <c r="AC2107" s="111"/>
      <c r="AD2107" s="111"/>
      <c r="AE2107" s="111"/>
      <c r="AF2107" s="111"/>
      <c r="AG2107" s="111"/>
      <c r="AH2107" s="111"/>
      <c r="AI2107" s="111"/>
      <c r="AJ2107" s="111"/>
      <c r="AK2107" s="111"/>
      <c r="AL2107" s="111"/>
      <c r="AM2107" s="111"/>
      <c r="AN2107" s="111"/>
      <c r="AO2107" s="111"/>
      <c r="AP2107" s="111"/>
      <c r="AQ2107" s="111"/>
      <c r="AR2107" s="111"/>
      <c r="AS2107" s="111"/>
      <c r="AT2107" s="111"/>
      <c r="AU2107" s="325" t="s">
        <v>53</v>
      </c>
      <c r="AV2107" s="111"/>
      <c r="AW2107" s="111"/>
      <c r="AX2107" s="111"/>
      <c r="AY2107" s="111"/>
      <c r="AZ2107" s="111"/>
      <c r="BA2107" s="111"/>
      <c r="BB2107" s="220"/>
    </row>
    <row r="2108" spans="1:54" s="12" customFormat="1" ht="19.5" hidden="1" customHeight="1" x14ac:dyDescent="0.3">
      <c r="A2108" s="235" t="s">
        <v>505</v>
      </c>
      <c r="B2108" s="235" t="s">
        <v>7954</v>
      </c>
      <c r="C2108" s="111">
        <v>70</v>
      </c>
      <c r="D2108" s="111">
        <v>702</v>
      </c>
      <c r="E2108" s="111"/>
      <c r="F2108" s="217" t="s">
        <v>7971</v>
      </c>
      <c r="G2108" s="232" t="str">
        <f t="shared" si="52"/>
        <v>707021103103023</v>
      </c>
      <c r="H2108" s="119" t="s">
        <v>7992</v>
      </c>
      <c r="I2108" s="119">
        <v>1103103023</v>
      </c>
      <c r="J2108" s="119" t="s">
        <v>8014</v>
      </c>
      <c r="K2108" s="236" t="s">
        <v>230</v>
      </c>
      <c r="L2108" s="233">
        <v>3113111028</v>
      </c>
      <c r="M2108" s="234"/>
      <c r="N2108" s="216" t="s">
        <v>127</v>
      </c>
      <c r="O2108" s="235" t="s">
        <v>2822</v>
      </c>
      <c r="P2108" s="237" t="s">
        <v>48</v>
      </c>
      <c r="Q2108" s="241">
        <v>45562</v>
      </c>
      <c r="R2108" s="216" t="s">
        <v>1937</v>
      </c>
      <c r="S2108" s="240" t="s">
        <v>49</v>
      </c>
      <c r="T2108" s="248"/>
      <c r="U2108" s="111" t="s">
        <v>60</v>
      </c>
      <c r="V2108" s="112"/>
      <c r="W2108" s="111"/>
      <c r="X2108" s="111"/>
      <c r="Y2108" s="111"/>
      <c r="Z2108" s="111"/>
      <c r="AA2108" s="111"/>
      <c r="AB2108" s="111"/>
      <c r="AC2108" s="111"/>
      <c r="AD2108" s="111"/>
      <c r="AE2108" s="111"/>
      <c r="AF2108" s="111"/>
      <c r="AG2108" s="111"/>
      <c r="AH2108" s="111"/>
      <c r="AI2108" s="111"/>
      <c r="AJ2108" s="111"/>
      <c r="AK2108" s="111"/>
      <c r="AL2108" s="111"/>
      <c r="AM2108" s="111"/>
      <c r="AN2108" s="111"/>
      <c r="AO2108" s="111"/>
      <c r="AP2108" s="111"/>
      <c r="AQ2108" s="111"/>
      <c r="AR2108" s="111"/>
      <c r="AS2108" s="111"/>
      <c r="AT2108" s="111"/>
      <c r="AU2108" s="325" t="s">
        <v>53</v>
      </c>
      <c r="AV2108" s="111"/>
      <c r="AW2108" s="111"/>
      <c r="AX2108" s="111"/>
      <c r="AY2108" s="111"/>
      <c r="AZ2108" s="111"/>
      <c r="BA2108" s="111"/>
      <c r="BB2108" s="220"/>
    </row>
    <row r="2109" spans="1:54" s="12" customFormat="1" ht="27" hidden="1" customHeight="1" x14ac:dyDescent="0.3">
      <c r="A2109" s="326" t="s">
        <v>505</v>
      </c>
      <c r="B2109" s="326" t="s">
        <v>7954</v>
      </c>
      <c r="C2109" s="160">
        <v>70</v>
      </c>
      <c r="D2109" s="160">
        <v>702</v>
      </c>
      <c r="E2109" s="119" t="s">
        <v>8851</v>
      </c>
      <c r="F2109" s="286" t="s">
        <v>8852</v>
      </c>
      <c r="G2109" s="232" t="str">
        <f t="shared" si="52"/>
        <v>707028002390031</v>
      </c>
      <c r="H2109" s="119" t="s">
        <v>8853</v>
      </c>
      <c r="I2109" s="119">
        <v>8002390031</v>
      </c>
      <c r="J2109" s="119" t="s">
        <v>8854</v>
      </c>
      <c r="K2109" s="236" t="s">
        <v>230</v>
      </c>
      <c r="L2109" s="233">
        <v>3004191270</v>
      </c>
      <c r="M2109" s="234" t="s">
        <v>8855</v>
      </c>
      <c r="N2109" s="216" t="s">
        <v>127</v>
      </c>
      <c r="O2109" s="235" t="s">
        <v>2822</v>
      </c>
      <c r="P2109" s="237" t="s">
        <v>48</v>
      </c>
      <c r="Q2109" s="241">
        <v>46132</v>
      </c>
      <c r="R2109" s="216" t="s">
        <v>4658</v>
      </c>
      <c r="S2109" s="240" t="s">
        <v>49</v>
      </c>
      <c r="T2109" s="248"/>
      <c r="U2109" s="235" t="s">
        <v>60</v>
      </c>
      <c r="V2109" s="112"/>
      <c r="W2109" s="111"/>
      <c r="X2109" s="111"/>
      <c r="Y2109" s="111"/>
      <c r="Z2109" s="111"/>
      <c r="AA2109" s="111"/>
      <c r="AB2109" s="111"/>
      <c r="AC2109" s="111"/>
      <c r="AD2109" s="111"/>
      <c r="AE2109" s="111"/>
      <c r="AF2109" s="111"/>
      <c r="AG2109" s="111"/>
      <c r="AH2109" s="111"/>
      <c r="AI2109" s="111"/>
      <c r="AJ2109" s="111"/>
      <c r="AK2109" s="111"/>
      <c r="AL2109" s="111"/>
      <c r="AM2109" s="111"/>
      <c r="AN2109" s="111"/>
      <c r="AO2109" s="111"/>
      <c r="AP2109" s="111"/>
      <c r="AQ2109" s="111"/>
      <c r="AR2109" s="111"/>
      <c r="AS2109" s="111"/>
      <c r="AT2109" s="111"/>
      <c r="AU2109" s="325" t="s">
        <v>53</v>
      </c>
      <c r="AV2109" s="111"/>
      <c r="AW2109" s="111"/>
      <c r="AX2109" s="111"/>
      <c r="AY2109" s="111"/>
      <c r="AZ2109" s="111"/>
      <c r="BA2109" s="111"/>
      <c r="BB2109" s="220"/>
    </row>
    <row r="2110" spans="1:54" s="12" customFormat="1" ht="17.25" hidden="1" customHeight="1" x14ac:dyDescent="0.3">
      <c r="A2110" s="235" t="s">
        <v>505</v>
      </c>
      <c r="B2110" s="235" t="s">
        <v>7954</v>
      </c>
      <c r="C2110" s="111">
        <v>70</v>
      </c>
      <c r="D2110" s="111">
        <v>702</v>
      </c>
      <c r="E2110" s="111"/>
      <c r="F2110" s="217" t="s">
        <v>7972</v>
      </c>
      <c r="G2110" s="232" t="str">
        <f t="shared" si="52"/>
        <v>70702800247681-9</v>
      </c>
      <c r="H2110" s="119" t="s">
        <v>2694</v>
      </c>
      <c r="I2110" s="119" t="s">
        <v>2602</v>
      </c>
      <c r="J2110" s="119" t="s">
        <v>8015</v>
      </c>
      <c r="K2110" s="236" t="s">
        <v>230</v>
      </c>
      <c r="L2110" s="233">
        <v>3128028810</v>
      </c>
      <c r="M2110" s="234" t="s">
        <v>2695</v>
      </c>
      <c r="N2110" s="216" t="s">
        <v>127</v>
      </c>
      <c r="O2110" s="235" t="s">
        <v>2822</v>
      </c>
      <c r="P2110" s="237" t="s">
        <v>48</v>
      </c>
      <c r="Q2110" s="241">
        <v>45421</v>
      </c>
      <c r="R2110" s="243">
        <v>0.8</v>
      </c>
      <c r="S2110" s="240" t="s">
        <v>49</v>
      </c>
      <c r="T2110" s="248"/>
      <c r="U2110" s="111" t="s">
        <v>60</v>
      </c>
      <c r="V2110" s="112"/>
      <c r="W2110" s="111"/>
      <c r="X2110" s="111"/>
      <c r="Y2110" s="111"/>
      <c r="Z2110" s="111"/>
      <c r="AA2110" s="111"/>
      <c r="AB2110" s="111"/>
      <c r="AC2110" s="111"/>
      <c r="AD2110" s="111"/>
      <c r="AE2110" s="111"/>
      <c r="AF2110" s="111"/>
      <c r="AG2110" s="111"/>
      <c r="AH2110" s="111"/>
      <c r="AI2110" s="111"/>
      <c r="AJ2110" s="111"/>
      <c r="AK2110" s="111"/>
      <c r="AL2110" s="111"/>
      <c r="AM2110" s="111"/>
      <c r="AN2110" s="111"/>
      <c r="AO2110" s="111"/>
      <c r="AP2110" s="111"/>
      <c r="AQ2110" s="111"/>
      <c r="AR2110" s="111"/>
      <c r="AS2110" s="111"/>
      <c r="AT2110" s="111"/>
      <c r="AU2110" s="325" t="s">
        <v>53</v>
      </c>
      <c r="AV2110" s="111"/>
      <c r="AW2110" s="111"/>
      <c r="AX2110" s="111"/>
      <c r="AY2110" s="111"/>
      <c r="AZ2110" s="111"/>
      <c r="BA2110" s="111"/>
      <c r="BB2110" s="220"/>
    </row>
    <row r="2111" spans="1:54" s="12" customFormat="1" ht="19.5" hidden="1" customHeight="1" x14ac:dyDescent="0.3">
      <c r="A2111" s="235" t="s">
        <v>505</v>
      </c>
      <c r="B2111" s="235" t="s">
        <v>7954</v>
      </c>
      <c r="C2111" s="111">
        <v>70</v>
      </c>
      <c r="D2111" s="111">
        <v>702</v>
      </c>
      <c r="E2111" s="111"/>
      <c r="F2111" s="217" t="s">
        <v>7973</v>
      </c>
      <c r="G2111" s="232" t="str">
        <f t="shared" si="52"/>
        <v>70702228640941</v>
      </c>
      <c r="H2111" s="119" t="s">
        <v>7993</v>
      </c>
      <c r="I2111" s="119">
        <v>228640941</v>
      </c>
      <c r="J2111" s="119" t="s">
        <v>8016</v>
      </c>
      <c r="K2111" s="236" t="s">
        <v>230</v>
      </c>
      <c r="L2111" s="233">
        <v>3126470996</v>
      </c>
      <c r="M2111" s="234" t="s">
        <v>8020</v>
      </c>
      <c r="N2111" s="216" t="s">
        <v>432</v>
      </c>
      <c r="O2111" s="235" t="s">
        <v>432</v>
      </c>
      <c r="P2111" s="237" t="s">
        <v>261</v>
      </c>
      <c r="Q2111" s="241">
        <v>45594</v>
      </c>
      <c r="R2111" s="243">
        <v>0.75</v>
      </c>
      <c r="S2111" s="240" t="s">
        <v>49</v>
      </c>
      <c r="T2111" s="248"/>
      <c r="U2111" s="111" t="s">
        <v>60</v>
      </c>
      <c r="V2111" s="112"/>
      <c r="W2111" s="111"/>
      <c r="X2111" s="111"/>
      <c r="Y2111" s="111"/>
      <c r="Z2111" s="111"/>
      <c r="AA2111" s="111"/>
      <c r="AB2111" s="111"/>
      <c r="AC2111" s="111"/>
      <c r="AD2111" s="111"/>
      <c r="AE2111" s="111"/>
      <c r="AF2111" s="111"/>
      <c r="AG2111" s="111"/>
      <c r="AH2111" s="111"/>
      <c r="AI2111" s="111"/>
      <c r="AJ2111" s="111"/>
      <c r="AK2111" s="111"/>
      <c r="AL2111" s="111"/>
      <c r="AM2111" s="111"/>
      <c r="AN2111" s="111"/>
      <c r="AO2111" s="111"/>
      <c r="AP2111" s="111"/>
      <c r="AQ2111" s="111"/>
      <c r="AR2111" s="111"/>
      <c r="AS2111" s="111"/>
      <c r="AT2111" s="111"/>
      <c r="AU2111" s="325" t="s">
        <v>53</v>
      </c>
      <c r="AV2111" s="111"/>
      <c r="AW2111" s="111"/>
      <c r="AX2111" s="111"/>
      <c r="AY2111" s="111"/>
      <c r="AZ2111" s="111"/>
      <c r="BA2111" s="111"/>
      <c r="BB2111" s="220"/>
    </row>
    <row r="2112" spans="1:54" s="12" customFormat="1" ht="19.5" hidden="1" customHeight="1" x14ac:dyDescent="0.3">
      <c r="A2112" s="235" t="s">
        <v>505</v>
      </c>
      <c r="B2112" s="235" t="s">
        <v>7954</v>
      </c>
      <c r="C2112" s="111">
        <v>70</v>
      </c>
      <c r="D2112" s="111">
        <v>702</v>
      </c>
      <c r="E2112" s="111"/>
      <c r="F2112" s="286" t="s">
        <v>8613</v>
      </c>
      <c r="G2112" s="232" t="str">
        <f t="shared" si="52"/>
        <v>707021126241871</v>
      </c>
      <c r="H2112" s="119" t="s">
        <v>8614</v>
      </c>
      <c r="I2112" s="119">
        <v>1126241871</v>
      </c>
      <c r="J2112" s="119" t="s">
        <v>8615</v>
      </c>
      <c r="K2112" s="236" t="s">
        <v>44</v>
      </c>
      <c r="L2112" s="233">
        <v>3244912354</v>
      </c>
      <c r="M2112" s="234" t="s">
        <v>8616</v>
      </c>
      <c r="N2112" s="216" t="s">
        <v>432</v>
      </c>
      <c r="O2112" s="235" t="s">
        <v>432</v>
      </c>
      <c r="P2112" s="237" t="s">
        <v>261</v>
      </c>
      <c r="Q2112" s="241">
        <v>46097</v>
      </c>
      <c r="R2112" s="216" t="s">
        <v>4833</v>
      </c>
      <c r="S2112" s="240" t="s">
        <v>49</v>
      </c>
      <c r="T2112" s="285" t="s">
        <v>8626</v>
      </c>
      <c r="U2112" s="235" t="s">
        <v>2456</v>
      </c>
      <c r="V2112" s="112"/>
      <c r="W2112" s="111"/>
      <c r="X2112" s="111"/>
      <c r="Y2112" s="111"/>
      <c r="Z2112" s="111"/>
      <c r="AA2112" s="111"/>
      <c r="AB2112" s="111"/>
      <c r="AC2112" s="111"/>
      <c r="AD2112" s="111"/>
      <c r="AE2112" s="111"/>
      <c r="AF2112" s="111"/>
      <c r="AG2112" s="111"/>
      <c r="AH2112" s="111"/>
      <c r="AI2112" s="111"/>
      <c r="AJ2112" s="111"/>
      <c r="AK2112" s="111"/>
      <c r="AL2112" s="111"/>
      <c r="AM2112" s="111"/>
      <c r="AN2112" s="111"/>
      <c r="AO2112" s="111"/>
      <c r="AP2112" s="111"/>
      <c r="AQ2112" s="111"/>
      <c r="AR2112" s="111"/>
      <c r="AS2112" s="111"/>
      <c r="AT2112" s="111"/>
      <c r="AU2112" s="325" t="s">
        <v>53</v>
      </c>
      <c r="AV2112" s="111"/>
      <c r="AW2112" s="111"/>
      <c r="AX2112" s="111"/>
      <c r="AY2112" s="111"/>
      <c r="AZ2112" s="111"/>
      <c r="BA2112" s="111"/>
      <c r="BB2112" s="220"/>
    </row>
    <row r="2113" spans="1:54" s="12" customFormat="1" ht="19.5" hidden="1" customHeight="1" x14ac:dyDescent="0.3">
      <c r="A2113" s="235" t="s">
        <v>505</v>
      </c>
      <c r="B2113" s="235" t="s">
        <v>7954</v>
      </c>
      <c r="C2113" s="111">
        <v>70</v>
      </c>
      <c r="D2113" s="111">
        <v>702</v>
      </c>
      <c r="E2113" s="111"/>
      <c r="F2113" s="286" t="s">
        <v>8617</v>
      </c>
      <c r="G2113" s="232" t="str">
        <f t="shared" si="52"/>
        <v>7070238356297</v>
      </c>
      <c r="H2113" s="119" t="s">
        <v>8618</v>
      </c>
      <c r="I2113" s="119">
        <v>38356297</v>
      </c>
      <c r="J2113" s="119" t="s">
        <v>8619</v>
      </c>
      <c r="K2113" s="236" t="s">
        <v>44</v>
      </c>
      <c r="L2113" s="233">
        <v>3044190541</v>
      </c>
      <c r="M2113" s="234" t="s">
        <v>8620</v>
      </c>
      <c r="N2113" s="216" t="s">
        <v>432</v>
      </c>
      <c r="O2113" s="235" t="s">
        <v>432</v>
      </c>
      <c r="P2113" s="237" t="s">
        <v>261</v>
      </c>
      <c r="Q2113" s="241">
        <v>46098</v>
      </c>
      <c r="R2113" s="216" t="s">
        <v>8503</v>
      </c>
      <c r="S2113" s="240" t="s">
        <v>49</v>
      </c>
      <c r="T2113" s="285" t="s">
        <v>8626</v>
      </c>
      <c r="U2113" s="235" t="s">
        <v>2456</v>
      </c>
      <c r="V2113" s="112"/>
      <c r="W2113" s="111"/>
      <c r="X2113" s="111"/>
      <c r="Y2113" s="111"/>
      <c r="Z2113" s="111"/>
      <c r="AA2113" s="111"/>
      <c r="AB2113" s="111"/>
      <c r="AC2113" s="111"/>
      <c r="AD2113" s="111"/>
      <c r="AE2113" s="111"/>
      <c r="AF2113" s="111"/>
      <c r="AG2113" s="111"/>
      <c r="AH2113" s="111"/>
      <c r="AI2113" s="111"/>
      <c r="AJ2113" s="111"/>
      <c r="AK2113" s="111"/>
      <c r="AL2113" s="111"/>
      <c r="AM2113" s="111"/>
      <c r="AN2113" s="111"/>
      <c r="AO2113" s="111"/>
      <c r="AP2113" s="111"/>
      <c r="AQ2113" s="111"/>
      <c r="AR2113" s="111"/>
      <c r="AS2113" s="111"/>
      <c r="AT2113" s="111"/>
      <c r="AU2113" s="325" t="s">
        <v>53</v>
      </c>
      <c r="AV2113" s="111"/>
      <c r="AW2113" s="111"/>
      <c r="AX2113" s="111"/>
      <c r="AY2113" s="111"/>
      <c r="AZ2113" s="111"/>
      <c r="BA2113" s="111"/>
      <c r="BB2113" s="220"/>
    </row>
    <row r="2114" spans="1:54" s="12" customFormat="1" ht="19.5" hidden="1" customHeight="1" x14ac:dyDescent="0.3">
      <c r="A2114" s="235" t="s">
        <v>505</v>
      </c>
      <c r="B2114" s="235" t="s">
        <v>7954</v>
      </c>
      <c r="C2114" s="111">
        <v>70</v>
      </c>
      <c r="D2114" s="111">
        <v>702</v>
      </c>
      <c r="E2114" s="111"/>
      <c r="F2114" s="286" t="s">
        <v>8621</v>
      </c>
      <c r="G2114" s="232" t="str">
        <f t="shared" si="52"/>
        <v>707023836121</v>
      </c>
      <c r="H2114" s="119" t="s">
        <v>8622</v>
      </c>
      <c r="I2114" s="119">
        <v>3836121</v>
      </c>
      <c r="J2114" s="119" t="s">
        <v>8623</v>
      </c>
      <c r="K2114" s="236" t="s">
        <v>44</v>
      </c>
      <c r="L2114" s="233">
        <v>3044865225</v>
      </c>
      <c r="M2114" s="234" t="s">
        <v>8624</v>
      </c>
      <c r="N2114" s="216" t="s">
        <v>432</v>
      </c>
      <c r="O2114" s="235" t="s">
        <v>432</v>
      </c>
      <c r="P2114" s="237" t="s">
        <v>261</v>
      </c>
      <c r="Q2114" s="241">
        <v>46099</v>
      </c>
      <c r="R2114" s="216" t="s">
        <v>8625</v>
      </c>
      <c r="S2114" s="240" t="s">
        <v>49</v>
      </c>
      <c r="T2114" s="214" t="s">
        <v>8626</v>
      </c>
      <c r="U2114" s="235" t="s">
        <v>2456</v>
      </c>
      <c r="V2114" s="112"/>
      <c r="W2114" s="111"/>
      <c r="X2114" s="111"/>
      <c r="Y2114" s="111"/>
      <c r="Z2114" s="111"/>
      <c r="AA2114" s="111"/>
      <c r="AB2114" s="111"/>
      <c r="AC2114" s="111"/>
      <c r="AD2114" s="111"/>
      <c r="AE2114" s="111"/>
      <c r="AF2114" s="111"/>
      <c r="AG2114" s="111"/>
      <c r="AH2114" s="111"/>
      <c r="AI2114" s="111"/>
      <c r="AJ2114" s="111"/>
      <c r="AK2114" s="111"/>
      <c r="AL2114" s="111"/>
      <c r="AM2114" s="111"/>
      <c r="AN2114" s="111"/>
      <c r="AO2114" s="111"/>
      <c r="AP2114" s="111"/>
      <c r="AQ2114" s="111"/>
      <c r="AR2114" s="111"/>
      <c r="AS2114" s="111"/>
      <c r="AT2114" s="111"/>
      <c r="AU2114" s="325" t="s">
        <v>53</v>
      </c>
      <c r="AV2114" s="111"/>
      <c r="AW2114" s="111"/>
      <c r="AX2114" s="111"/>
      <c r="AY2114" s="111"/>
      <c r="AZ2114" s="111"/>
      <c r="BA2114" s="111"/>
      <c r="BB2114" s="220"/>
    </row>
    <row r="2115" spans="1:54" s="12" customFormat="1" ht="19.5" hidden="1" customHeight="1" x14ac:dyDescent="0.3">
      <c r="A2115" s="235" t="s">
        <v>505</v>
      </c>
      <c r="B2115" s="235" t="s">
        <v>7954</v>
      </c>
      <c r="C2115" s="111">
        <v>70</v>
      </c>
      <c r="D2115" s="111">
        <v>702</v>
      </c>
      <c r="E2115" s="111"/>
      <c r="F2115" s="286" t="s">
        <v>8627</v>
      </c>
      <c r="G2115" s="232" t="str">
        <f t="shared" si="52"/>
        <v>707021103980566</v>
      </c>
      <c r="H2115" s="119" t="s">
        <v>8628</v>
      </c>
      <c r="I2115" s="119">
        <v>1103980566</v>
      </c>
      <c r="J2115" s="119" t="s">
        <v>8629</v>
      </c>
      <c r="K2115" s="236" t="s">
        <v>44</v>
      </c>
      <c r="L2115" s="233">
        <v>3016702777</v>
      </c>
      <c r="M2115" s="234" t="s">
        <v>8630</v>
      </c>
      <c r="N2115" s="216" t="s">
        <v>432</v>
      </c>
      <c r="O2115" s="235" t="s">
        <v>432</v>
      </c>
      <c r="P2115" s="237" t="s">
        <v>261</v>
      </c>
      <c r="Q2115" s="241">
        <v>46100</v>
      </c>
      <c r="R2115" s="216">
        <v>83</v>
      </c>
      <c r="S2115" s="240" t="s">
        <v>49</v>
      </c>
      <c r="T2115" s="216" t="s">
        <v>8626</v>
      </c>
      <c r="U2115" s="235" t="s">
        <v>2456</v>
      </c>
      <c r="V2115" s="112"/>
      <c r="W2115" s="111"/>
      <c r="X2115" s="111"/>
      <c r="Y2115" s="111"/>
      <c r="Z2115" s="111"/>
      <c r="AA2115" s="111"/>
      <c r="AB2115" s="111"/>
      <c r="AC2115" s="111"/>
      <c r="AD2115" s="111"/>
      <c r="AE2115" s="111"/>
      <c r="AF2115" s="111"/>
      <c r="AG2115" s="111"/>
      <c r="AH2115" s="111"/>
      <c r="AI2115" s="111"/>
      <c r="AJ2115" s="111"/>
      <c r="AK2115" s="111"/>
      <c r="AL2115" s="111"/>
      <c r="AM2115" s="111"/>
      <c r="AN2115" s="111"/>
      <c r="AO2115" s="111"/>
      <c r="AP2115" s="111"/>
      <c r="AQ2115" s="111"/>
      <c r="AR2115" s="111"/>
      <c r="AS2115" s="111"/>
      <c r="AT2115" s="111"/>
      <c r="AU2115" s="325" t="s">
        <v>53</v>
      </c>
      <c r="AV2115" s="111"/>
      <c r="AW2115" s="111"/>
      <c r="AX2115" s="111"/>
      <c r="AY2115" s="111"/>
      <c r="AZ2115" s="111"/>
      <c r="BA2115" s="111"/>
      <c r="BB2115" s="220"/>
    </row>
    <row r="2116" spans="1:54" s="12" customFormat="1" ht="24.6" hidden="1" customHeight="1" x14ac:dyDescent="0.3">
      <c r="A2116" s="235" t="s">
        <v>505</v>
      </c>
      <c r="B2116" s="235" t="s">
        <v>7954</v>
      </c>
      <c r="C2116" s="111">
        <v>70</v>
      </c>
      <c r="D2116" s="111">
        <v>702</v>
      </c>
      <c r="E2116" s="111"/>
      <c r="F2116" s="286" t="s">
        <v>9379</v>
      </c>
      <c r="G2116" s="232" t="str">
        <f t="shared" si="52"/>
        <v>707021005575885</v>
      </c>
      <c r="H2116" s="119" t="s">
        <v>9380</v>
      </c>
      <c r="I2116" s="119">
        <v>1005575885</v>
      </c>
      <c r="J2116" s="119" t="s">
        <v>9381</v>
      </c>
      <c r="K2116" s="236" t="s">
        <v>133</v>
      </c>
      <c r="L2116" s="233">
        <v>3117066157</v>
      </c>
      <c r="M2116" s="234" t="s">
        <v>9382</v>
      </c>
      <c r="N2116" s="216" t="s">
        <v>432</v>
      </c>
      <c r="O2116" s="235" t="s">
        <v>432</v>
      </c>
      <c r="P2116" s="237" t="s">
        <v>261</v>
      </c>
      <c r="Q2116" s="241">
        <v>46149</v>
      </c>
      <c r="R2116" s="216">
        <v>73</v>
      </c>
      <c r="S2116" s="240" t="s">
        <v>49</v>
      </c>
      <c r="T2116" s="216" t="s">
        <v>8626</v>
      </c>
      <c r="U2116" s="235" t="s">
        <v>2456</v>
      </c>
      <c r="V2116" s="112"/>
      <c r="W2116" s="111"/>
      <c r="X2116" s="111"/>
      <c r="Y2116" s="111"/>
      <c r="Z2116" s="111"/>
      <c r="AA2116" s="111"/>
      <c r="AB2116" s="111"/>
      <c r="AC2116" s="111"/>
      <c r="AD2116" s="111"/>
      <c r="AE2116" s="111"/>
      <c r="AF2116" s="111"/>
      <c r="AG2116" s="111"/>
      <c r="AH2116" s="111"/>
      <c r="AI2116" s="111"/>
      <c r="AJ2116" s="111"/>
      <c r="AK2116" s="111"/>
      <c r="AL2116" s="111"/>
      <c r="AM2116" s="111"/>
      <c r="AN2116" s="111"/>
      <c r="AO2116" s="111"/>
      <c r="AP2116" s="111"/>
      <c r="AQ2116" s="111"/>
      <c r="AR2116" s="111"/>
      <c r="AS2116" s="111"/>
      <c r="AT2116" s="111"/>
      <c r="AU2116" s="325" t="s">
        <v>53</v>
      </c>
      <c r="AV2116" s="111"/>
      <c r="AW2116" s="111"/>
      <c r="AX2116" s="111"/>
      <c r="AY2116" s="111"/>
      <c r="AZ2116" s="111"/>
      <c r="BA2116" s="111"/>
      <c r="BB2116" s="220"/>
    </row>
    <row r="2117" spans="1:54" s="12" customFormat="1" ht="24.6" hidden="1" customHeight="1" x14ac:dyDescent="0.3">
      <c r="A2117" s="235" t="s">
        <v>505</v>
      </c>
      <c r="B2117" s="235" t="s">
        <v>7954</v>
      </c>
      <c r="C2117" s="111">
        <v>70</v>
      </c>
      <c r="D2117" s="111">
        <v>702</v>
      </c>
      <c r="E2117" s="111"/>
      <c r="F2117" s="286" t="s">
        <v>9383</v>
      </c>
      <c r="G2117" s="232" t="str">
        <f t="shared" si="52"/>
        <v>707021103980504</v>
      </c>
      <c r="H2117" s="119" t="s">
        <v>9384</v>
      </c>
      <c r="I2117" s="119">
        <v>1103980504</v>
      </c>
      <c r="J2117" s="119" t="s">
        <v>9385</v>
      </c>
      <c r="K2117" s="236" t="s">
        <v>133</v>
      </c>
      <c r="L2117" s="233">
        <v>3024675356</v>
      </c>
      <c r="M2117" s="234" t="s">
        <v>9386</v>
      </c>
      <c r="N2117" s="216" t="s">
        <v>432</v>
      </c>
      <c r="O2117" s="235" t="s">
        <v>432</v>
      </c>
      <c r="P2117" s="237" t="s">
        <v>261</v>
      </c>
      <c r="Q2117" s="241">
        <v>46156</v>
      </c>
      <c r="R2117" s="216">
        <v>75</v>
      </c>
      <c r="S2117" s="240" t="s">
        <v>49</v>
      </c>
      <c r="T2117" s="216" t="s">
        <v>8626</v>
      </c>
      <c r="U2117" s="235" t="s">
        <v>2456</v>
      </c>
      <c r="V2117" s="112"/>
      <c r="W2117" s="111"/>
      <c r="X2117" s="111"/>
      <c r="Y2117" s="111"/>
      <c r="Z2117" s="111"/>
      <c r="AA2117" s="111"/>
      <c r="AB2117" s="111"/>
      <c r="AC2117" s="111"/>
      <c r="AD2117" s="111"/>
      <c r="AE2117" s="111"/>
      <c r="AF2117" s="111"/>
      <c r="AG2117" s="111"/>
      <c r="AH2117" s="111"/>
      <c r="AI2117" s="111"/>
      <c r="AJ2117" s="111"/>
      <c r="AK2117" s="111"/>
      <c r="AL2117" s="111"/>
      <c r="AM2117" s="111"/>
      <c r="AN2117" s="111"/>
      <c r="AO2117" s="111"/>
      <c r="AP2117" s="111"/>
      <c r="AQ2117" s="111"/>
      <c r="AR2117" s="111"/>
      <c r="AS2117" s="111"/>
      <c r="AT2117" s="111"/>
      <c r="AU2117" s="325" t="s">
        <v>53</v>
      </c>
      <c r="AV2117" s="111"/>
      <c r="AW2117" s="111"/>
      <c r="AX2117" s="111"/>
      <c r="AY2117" s="111"/>
      <c r="AZ2117" s="111"/>
      <c r="BA2117" s="111"/>
      <c r="BB2117" s="220"/>
    </row>
    <row r="2118" spans="1:54" s="12" customFormat="1" ht="24.6" hidden="1" customHeight="1" x14ac:dyDescent="0.3">
      <c r="A2118" s="235" t="s">
        <v>505</v>
      </c>
      <c r="B2118" s="235" t="s">
        <v>7954</v>
      </c>
      <c r="C2118" s="111">
        <v>70</v>
      </c>
      <c r="D2118" s="111">
        <v>702</v>
      </c>
      <c r="E2118" s="111"/>
      <c r="F2118" s="286" t="s">
        <v>9387</v>
      </c>
      <c r="G2118" s="232" t="str">
        <f t="shared" si="52"/>
        <v>7070292552623</v>
      </c>
      <c r="H2118" s="119" t="s">
        <v>9388</v>
      </c>
      <c r="I2118" s="119">
        <v>92552623</v>
      </c>
      <c r="J2118" s="119" t="s">
        <v>9389</v>
      </c>
      <c r="K2118" s="236" t="s">
        <v>133</v>
      </c>
      <c r="L2118" s="233">
        <v>3114211971</v>
      </c>
      <c r="M2118" s="234" t="s">
        <v>9390</v>
      </c>
      <c r="N2118" s="216" t="s">
        <v>432</v>
      </c>
      <c r="O2118" s="235" t="s">
        <v>432</v>
      </c>
      <c r="P2118" s="237" t="s">
        <v>261</v>
      </c>
      <c r="Q2118" s="241">
        <v>46167</v>
      </c>
      <c r="R2118" s="216">
        <v>75</v>
      </c>
      <c r="S2118" s="240" t="s">
        <v>49</v>
      </c>
      <c r="T2118" s="216" t="s">
        <v>8626</v>
      </c>
      <c r="U2118" s="235" t="s">
        <v>2456</v>
      </c>
      <c r="V2118" s="112"/>
      <c r="W2118" s="111"/>
      <c r="X2118" s="111"/>
      <c r="Y2118" s="111"/>
      <c r="Z2118" s="111"/>
      <c r="AA2118" s="111"/>
      <c r="AB2118" s="111"/>
      <c r="AC2118" s="111"/>
      <c r="AD2118" s="111"/>
      <c r="AE2118" s="111"/>
      <c r="AF2118" s="111"/>
      <c r="AG2118" s="111"/>
      <c r="AH2118" s="111"/>
      <c r="AI2118" s="111"/>
      <c r="AJ2118" s="111"/>
      <c r="AK2118" s="111"/>
      <c r="AL2118" s="111"/>
      <c r="AM2118" s="111"/>
      <c r="AN2118" s="111"/>
      <c r="AO2118" s="111"/>
      <c r="AP2118" s="111"/>
      <c r="AQ2118" s="111"/>
      <c r="AR2118" s="111"/>
      <c r="AS2118" s="111"/>
      <c r="AT2118" s="111"/>
      <c r="AU2118" s="325" t="s">
        <v>53</v>
      </c>
      <c r="AV2118" s="111"/>
      <c r="AW2118" s="111"/>
      <c r="AX2118" s="111"/>
      <c r="AY2118" s="111"/>
      <c r="AZ2118" s="111"/>
      <c r="BA2118" s="111"/>
      <c r="BB2118" s="220"/>
    </row>
    <row r="2119" spans="1:54" s="12" customFormat="1" ht="24.6" hidden="1" customHeight="1" x14ac:dyDescent="0.3">
      <c r="A2119" s="235" t="s">
        <v>505</v>
      </c>
      <c r="B2119" s="235" t="s">
        <v>7954</v>
      </c>
      <c r="C2119" s="111">
        <v>70</v>
      </c>
      <c r="D2119" s="111">
        <v>702</v>
      </c>
      <c r="E2119" s="111"/>
      <c r="F2119" s="286" t="s">
        <v>7973</v>
      </c>
      <c r="G2119" s="232" t="str">
        <f t="shared" si="52"/>
        <v>70702228640941</v>
      </c>
      <c r="H2119" s="119" t="s">
        <v>9392</v>
      </c>
      <c r="I2119" s="119">
        <v>228640941</v>
      </c>
      <c r="J2119" s="119" t="s">
        <v>9393</v>
      </c>
      <c r="K2119" s="236" t="s">
        <v>133</v>
      </c>
      <c r="L2119" s="233">
        <v>3156523702</v>
      </c>
      <c r="M2119" s="234" t="s">
        <v>9394</v>
      </c>
      <c r="N2119" s="216" t="s">
        <v>432</v>
      </c>
      <c r="O2119" s="235" t="s">
        <v>432</v>
      </c>
      <c r="P2119" s="237" t="s">
        <v>261</v>
      </c>
      <c r="Q2119" s="241">
        <v>46176</v>
      </c>
      <c r="R2119" s="216" t="s">
        <v>9398</v>
      </c>
      <c r="S2119" s="240" t="s">
        <v>49</v>
      </c>
      <c r="T2119" s="216" t="s">
        <v>8626</v>
      </c>
      <c r="U2119" s="235" t="s">
        <v>2456</v>
      </c>
      <c r="V2119" s="112"/>
      <c r="W2119" s="111"/>
      <c r="X2119" s="111"/>
      <c r="Y2119" s="111"/>
      <c r="Z2119" s="111"/>
      <c r="AA2119" s="111"/>
      <c r="AB2119" s="111"/>
      <c r="AC2119" s="111"/>
      <c r="AD2119" s="111"/>
      <c r="AE2119" s="111"/>
      <c r="AF2119" s="111"/>
      <c r="AG2119" s="111"/>
      <c r="AH2119" s="111"/>
      <c r="AI2119" s="111"/>
      <c r="AJ2119" s="111"/>
      <c r="AK2119" s="111"/>
      <c r="AL2119" s="111"/>
      <c r="AM2119" s="111"/>
      <c r="AN2119" s="111"/>
      <c r="AO2119" s="111"/>
      <c r="AP2119" s="111"/>
      <c r="AQ2119" s="111"/>
      <c r="AR2119" s="111"/>
      <c r="AS2119" s="111"/>
      <c r="AT2119" s="111"/>
      <c r="AU2119" s="325" t="s">
        <v>53</v>
      </c>
      <c r="AV2119" s="111"/>
      <c r="AW2119" s="111"/>
      <c r="AX2119" s="111"/>
      <c r="AY2119" s="111"/>
      <c r="AZ2119" s="111"/>
      <c r="BA2119" s="111"/>
      <c r="BB2119" s="220"/>
    </row>
    <row r="2120" spans="1:54" s="12" customFormat="1" ht="24.6" hidden="1" customHeight="1" x14ac:dyDescent="0.3">
      <c r="A2120" s="235" t="s">
        <v>505</v>
      </c>
      <c r="B2120" s="235" t="s">
        <v>7954</v>
      </c>
      <c r="C2120" s="111">
        <v>70</v>
      </c>
      <c r="D2120" s="111">
        <v>702</v>
      </c>
      <c r="E2120" s="111"/>
      <c r="F2120" s="286" t="s">
        <v>9391</v>
      </c>
      <c r="G2120" s="232" t="str">
        <f t="shared" si="52"/>
        <v>7070232930325</v>
      </c>
      <c r="H2120" s="119" t="s">
        <v>9395</v>
      </c>
      <c r="I2120" s="119">
        <v>32930325</v>
      </c>
      <c r="J2120" s="119" t="s">
        <v>9396</v>
      </c>
      <c r="K2120" s="236" t="s">
        <v>133</v>
      </c>
      <c r="L2120" s="233">
        <v>3044029057</v>
      </c>
      <c r="M2120" s="234" t="s">
        <v>9397</v>
      </c>
      <c r="N2120" s="216" t="s">
        <v>432</v>
      </c>
      <c r="O2120" s="235" t="s">
        <v>432</v>
      </c>
      <c r="P2120" s="237" t="s">
        <v>261</v>
      </c>
      <c r="Q2120" s="241">
        <v>46185</v>
      </c>
      <c r="R2120" s="216" t="s">
        <v>7753</v>
      </c>
      <c r="S2120" s="240" t="s">
        <v>49</v>
      </c>
      <c r="T2120" s="216" t="s">
        <v>8626</v>
      </c>
      <c r="U2120" s="235" t="s">
        <v>2456</v>
      </c>
      <c r="V2120" s="112"/>
      <c r="W2120" s="111"/>
      <c r="X2120" s="111"/>
      <c r="Y2120" s="111"/>
      <c r="Z2120" s="111"/>
      <c r="AA2120" s="111"/>
      <c r="AB2120" s="111"/>
      <c r="AC2120" s="111"/>
      <c r="AD2120" s="111"/>
      <c r="AE2120" s="111"/>
      <c r="AF2120" s="111"/>
      <c r="AG2120" s="111"/>
      <c r="AH2120" s="111"/>
      <c r="AI2120" s="111"/>
      <c r="AJ2120" s="111"/>
      <c r="AK2120" s="111"/>
      <c r="AL2120" s="111"/>
      <c r="AM2120" s="111"/>
      <c r="AN2120" s="111"/>
      <c r="AO2120" s="111"/>
      <c r="AP2120" s="111"/>
      <c r="AQ2120" s="111"/>
      <c r="AR2120" s="111"/>
      <c r="AS2120" s="111"/>
      <c r="AT2120" s="111"/>
      <c r="AU2120" s="325" t="s">
        <v>53</v>
      </c>
      <c r="AV2120" s="111"/>
      <c r="AW2120" s="111"/>
      <c r="AX2120" s="111"/>
      <c r="AY2120" s="111"/>
      <c r="AZ2120" s="111"/>
      <c r="BA2120" s="111"/>
      <c r="BB2120" s="220"/>
    </row>
    <row r="2121" spans="1:54" s="12" customFormat="1" ht="24.6" hidden="1" customHeight="1" x14ac:dyDescent="0.3">
      <c r="A2121" s="235" t="s">
        <v>505</v>
      </c>
      <c r="B2121" s="235" t="s">
        <v>7954</v>
      </c>
      <c r="C2121" s="111">
        <v>70</v>
      </c>
      <c r="D2121" s="111">
        <v>702</v>
      </c>
      <c r="E2121" s="111"/>
      <c r="F2121" s="286" t="s">
        <v>9399</v>
      </c>
      <c r="G2121" s="232" t="str">
        <f t="shared" si="52"/>
        <v>7070292550535</v>
      </c>
      <c r="H2121" s="119" t="s">
        <v>9401</v>
      </c>
      <c r="I2121" s="119">
        <v>92550535</v>
      </c>
      <c r="J2121" s="119" t="s">
        <v>9402</v>
      </c>
      <c r="K2121" s="236" t="s">
        <v>44</v>
      </c>
      <c r="L2121" s="233">
        <v>3126156946</v>
      </c>
      <c r="M2121" s="234" t="s">
        <v>9403</v>
      </c>
      <c r="N2121" s="216" t="s">
        <v>432</v>
      </c>
      <c r="O2121" s="235" t="s">
        <v>432</v>
      </c>
      <c r="P2121" s="237" t="s">
        <v>261</v>
      </c>
      <c r="Q2121" s="241">
        <v>46220</v>
      </c>
      <c r="R2121" s="216" t="s">
        <v>8588</v>
      </c>
      <c r="S2121" s="240" t="s">
        <v>49</v>
      </c>
      <c r="T2121" s="216" t="s">
        <v>8626</v>
      </c>
      <c r="U2121" s="235" t="s">
        <v>2456</v>
      </c>
      <c r="V2121" s="112"/>
      <c r="W2121" s="111"/>
      <c r="X2121" s="111"/>
      <c r="Y2121" s="111"/>
      <c r="Z2121" s="111"/>
      <c r="AA2121" s="111"/>
      <c r="AB2121" s="111"/>
      <c r="AC2121" s="111"/>
      <c r="AD2121" s="111"/>
      <c r="AE2121" s="111"/>
      <c r="AF2121" s="111"/>
      <c r="AG2121" s="111"/>
      <c r="AH2121" s="111"/>
      <c r="AI2121" s="111"/>
      <c r="AJ2121" s="111"/>
      <c r="AK2121" s="111"/>
      <c r="AL2121" s="111"/>
      <c r="AM2121" s="111"/>
      <c r="AN2121" s="111"/>
      <c r="AO2121" s="111"/>
      <c r="AP2121" s="111"/>
      <c r="AQ2121" s="111"/>
      <c r="AR2121" s="111"/>
      <c r="AS2121" s="111"/>
      <c r="AT2121" s="111"/>
      <c r="AU2121" s="325" t="s">
        <v>53</v>
      </c>
      <c r="AV2121" s="111"/>
      <c r="AW2121" s="111"/>
      <c r="AX2121" s="111"/>
      <c r="AY2121" s="111"/>
      <c r="AZ2121" s="111"/>
      <c r="BA2121" s="111"/>
      <c r="BB2121" s="220"/>
    </row>
    <row r="2122" spans="1:54" s="12" customFormat="1" ht="24.6" hidden="1" customHeight="1" x14ac:dyDescent="0.3">
      <c r="A2122" s="235" t="s">
        <v>505</v>
      </c>
      <c r="B2122" s="235" t="s">
        <v>7954</v>
      </c>
      <c r="C2122" s="111">
        <v>70</v>
      </c>
      <c r="D2122" s="111">
        <v>702</v>
      </c>
      <c r="E2122" s="111"/>
      <c r="F2122" s="286" t="s">
        <v>9400</v>
      </c>
      <c r="G2122" s="232" t="str">
        <f t="shared" si="52"/>
        <v>707021103980777</v>
      </c>
      <c r="H2122" s="119" t="s">
        <v>9404</v>
      </c>
      <c r="I2122" s="119">
        <v>1103980777</v>
      </c>
      <c r="J2122" s="119" t="s">
        <v>9405</v>
      </c>
      <c r="K2122" s="236" t="s">
        <v>133</v>
      </c>
      <c r="L2122" s="233">
        <v>3023146609</v>
      </c>
      <c r="M2122" s="234" t="s">
        <v>9406</v>
      </c>
      <c r="N2122" s="216" t="s">
        <v>432</v>
      </c>
      <c r="O2122" s="235" t="s">
        <v>432</v>
      </c>
      <c r="P2122" s="237" t="s">
        <v>261</v>
      </c>
      <c r="Q2122" s="241">
        <v>46224</v>
      </c>
      <c r="R2122" s="216" t="s">
        <v>8683</v>
      </c>
      <c r="S2122" s="240" t="s">
        <v>49</v>
      </c>
      <c r="T2122" s="216" t="s">
        <v>8626</v>
      </c>
      <c r="U2122" s="235" t="s">
        <v>2456</v>
      </c>
      <c r="V2122" s="112"/>
      <c r="W2122" s="111"/>
      <c r="X2122" s="111"/>
      <c r="Y2122" s="111"/>
      <c r="Z2122" s="111"/>
      <c r="AA2122" s="111"/>
      <c r="AB2122" s="111"/>
      <c r="AC2122" s="111"/>
      <c r="AD2122" s="111"/>
      <c r="AE2122" s="111"/>
      <c r="AF2122" s="111"/>
      <c r="AG2122" s="111"/>
      <c r="AH2122" s="111"/>
      <c r="AI2122" s="111"/>
      <c r="AJ2122" s="111"/>
      <c r="AK2122" s="111"/>
      <c r="AL2122" s="111"/>
      <c r="AM2122" s="111"/>
      <c r="AN2122" s="111"/>
      <c r="AO2122" s="111"/>
      <c r="AP2122" s="111"/>
      <c r="AQ2122" s="111"/>
      <c r="AR2122" s="111"/>
      <c r="AS2122" s="111"/>
      <c r="AT2122" s="111"/>
      <c r="AU2122" s="325" t="s">
        <v>53</v>
      </c>
      <c r="AV2122" s="111"/>
      <c r="AW2122" s="111"/>
      <c r="AX2122" s="111"/>
      <c r="AY2122" s="111"/>
      <c r="AZ2122" s="111"/>
      <c r="BA2122" s="111"/>
      <c r="BB2122" s="220"/>
    </row>
    <row r="2123" spans="1:54" s="12" customFormat="1" ht="24.6" customHeight="1" x14ac:dyDescent="0.3">
      <c r="A2123" s="235" t="s">
        <v>505</v>
      </c>
      <c r="B2123" s="235" t="s">
        <v>7954</v>
      </c>
      <c r="C2123" s="111">
        <v>70</v>
      </c>
      <c r="D2123" s="111">
        <v>702</v>
      </c>
      <c r="E2123" s="111"/>
      <c r="F2123" s="286" t="s">
        <v>9407</v>
      </c>
      <c r="G2123" s="232" t="str">
        <f t="shared" si="52"/>
        <v>7070250977714</v>
      </c>
      <c r="H2123" s="119" t="s">
        <v>9408</v>
      </c>
      <c r="I2123" s="119">
        <v>50977714</v>
      </c>
      <c r="J2123" s="119" t="s">
        <v>9409</v>
      </c>
      <c r="K2123" s="236" t="s">
        <v>44</v>
      </c>
      <c r="L2123" s="233">
        <v>3114048224</v>
      </c>
      <c r="M2123" s="234"/>
      <c r="N2123" s="216" t="s">
        <v>8021</v>
      </c>
      <c r="O2123" s="235" t="s">
        <v>47</v>
      </c>
      <c r="P2123" s="237" t="s">
        <v>48</v>
      </c>
      <c r="Q2123" s="241">
        <v>46192</v>
      </c>
      <c r="R2123" s="216" t="s">
        <v>8942</v>
      </c>
      <c r="S2123" s="240" t="s">
        <v>49</v>
      </c>
      <c r="T2123" s="216" t="s">
        <v>8626</v>
      </c>
      <c r="U2123" s="235" t="s">
        <v>60</v>
      </c>
      <c r="V2123" s="112"/>
      <c r="W2123" s="111"/>
      <c r="X2123" s="111"/>
      <c r="Y2123" s="111"/>
      <c r="Z2123" s="111"/>
      <c r="AA2123" s="111"/>
      <c r="AB2123" s="111"/>
      <c r="AC2123" s="111"/>
      <c r="AD2123" s="111"/>
      <c r="AE2123" s="111"/>
      <c r="AF2123" s="111"/>
      <c r="AG2123" s="111"/>
      <c r="AH2123" s="111"/>
      <c r="AI2123" s="111"/>
      <c r="AJ2123" s="111"/>
      <c r="AK2123" s="111"/>
      <c r="AL2123" s="111"/>
      <c r="AM2123" s="111"/>
      <c r="AN2123" s="111"/>
      <c r="AO2123" s="111"/>
      <c r="AP2123" s="111"/>
      <c r="AQ2123" s="111"/>
      <c r="AR2123" s="111"/>
      <c r="AS2123" s="111"/>
      <c r="AT2123" s="111"/>
      <c r="AU2123" s="325" t="s">
        <v>53</v>
      </c>
      <c r="AV2123" s="111"/>
      <c r="AW2123" s="111"/>
      <c r="AX2123" s="111"/>
      <c r="AY2123" s="111"/>
      <c r="AZ2123" s="111"/>
      <c r="BA2123" s="111"/>
      <c r="BB2123" s="220"/>
    </row>
    <row r="2124" spans="1:54" s="12" customFormat="1" ht="24.6" customHeight="1" x14ac:dyDescent="0.3">
      <c r="A2124" s="235" t="s">
        <v>505</v>
      </c>
      <c r="B2124" s="235" t="s">
        <v>7954</v>
      </c>
      <c r="C2124" s="111">
        <v>70</v>
      </c>
      <c r="D2124" s="111">
        <v>702</v>
      </c>
      <c r="E2124" s="111"/>
      <c r="F2124" s="286" t="s">
        <v>7962</v>
      </c>
      <c r="G2124" s="232" t="str">
        <f t="shared" si="52"/>
        <v>7070222884959</v>
      </c>
      <c r="H2124" s="119" t="s">
        <v>9410</v>
      </c>
      <c r="I2124" s="119">
        <v>22884959</v>
      </c>
      <c r="J2124" s="119" t="s">
        <v>9411</v>
      </c>
      <c r="K2124" s="236" t="s">
        <v>44</v>
      </c>
      <c r="L2124" s="233">
        <v>3229469111</v>
      </c>
      <c r="M2124" s="234"/>
      <c r="N2124" s="216" t="s">
        <v>8021</v>
      </c>
      <c r="O2124" s="235" t="s">
        <v>47</v>
      </c>
      <c r="P2124" s="237" t="s">
        <v>48</v>
      </c>
      <c r="Q2124" s="241">
        <v>46224</v>
      </c>
      <c r="R2124" s="216" t="s">
        <v>8625</v>
      </c>
      <c r="S2124" s="240" t="s">
        <v>49</v>
      </c>
      <c r="T2124" s="216" t="s">
        <v>8626</v>
      </c>
      <c r="U2124" s="235" t="s">
        <v>60</v>
      </c>
      <c r="V2124" s="112"/>
      <c r="W2124" s="111"/>
      <c r="X2124" s="111"/>
      <c r="Y2124" s="111"/>
      <c r="Z2124" s="111"/>
      <c r="AA2124" s="111"/>
      <c r="AB2124" s="111"/>
      <c r="AC2124" s="111"/>
      <c r="AD2124" s="111"/>
      <c r="AE2124" s="111"/>
      <c r="AF2124" s="111"/>
      <c r="AG2124" s="111"/>
      <c r="AH2124" s="111"/>
      <c r="AI2124" s="111"/>
      <c r="AJ2124" s="111"/>
      <c r="AK2124" s="111"/>
      <c r="AL2124" s="111"/>
      <c r="AM2124" s="111"/>
      <c r="AN2124" s="111"/>
      <c r="AO2124" s="111"/>
      <c r="AP2124" s="111"/>
      <c r="AQ2124" s="111"/>
      <c r="AR2124" s="111"/>
      <c r="AS2124" s="111"/>
      <c r="AT2124" s="111"/>
      <c r="AU2124" s="325" t="s">
        <v>53</v>
      </c>
      <c r="AV2124" s="111"/>
      <c r="AW2124" s="111"/>
      <c r="AX2124" s="111"/>
      <c r="AY2124" s="111"/>
      <c r="AZ2124" s="111"/>
      <c r="BA2124" s="111"/>
      <c r="BB2124" s="220"/>
    </row>
    <row r="2125" spans="1:54" s="12" customFormat="1" ht="16.5" hidden="1" customHeight="1" x14ac:dyDescent="0.3">
      <c r="A2125" s="235" t="s">
        <v>505</v>
      </c>
      <c r="B2125" s="235" t="s">
        <v>7954</v>
      </c>
      <c r="C2125" s="111">
        <v>70</v>
      </c>
      <c r="D2125" s="111">
        <v>702</v>
      </c>
      <c r="E2125" s="111"/>
      <c r="F2125" s="217" t="s">
        <v>7974</v>
      </c>
      <c r="G2125" s="232" t="str">
        <f t="shared" si="52"/>
        <v>707029018423650</v>
      </c>
      <c r="H2125" s="119" t="s">
        <v>7994</v>
      </c>
      <c r="I2125" s="119">
        <v>9018423650</v>
      </c>
      <c r="J2125" s="119" t="s">
        <v>8017</v>
      </c>
      <c r="K2125" s="236" t="s">
        <v>230</v>
      </c>
      <c r="L2125" s="233">
        <v>3104072355</v>
      </c>
      <c r="M2125" s="234"/>
      <c r="N2125" s="216" t="s">
        <v>780</v>
      </c>
      <c r="O2125" s="235" t="s">
        <v>260</v>
      </c>
      <c r="P2125" s="237" t="s">
        <v>80</v>
      </c>
      <c r="Q2125" s="241">
        <v>45617</v>
      </c>
      <c r="R2125" s="243">
        <v>0.88</v>
      </c>
      <c r="S2125" s="240" t="s">
        <v>49</v>
      </c>
      <c r="T2125" s="285" t="s">
        <v>8626</v>
      </c>
      <c r="U2125" s="111" t="s">
        <v>60</v>
      </c>
      <c r="V2125" s="112"/>
      <c r="W2125" s="111"/>
      <c r="X2125" s="111"/>
      <c r="Y2125" s="111"/>
      <c r="Z2125" s="111"/>
      <c r="AA2125" s="111"/>
      <c r="AB2125" s="111"/>
      <c r="AC2125" s="111"/>
      <c r="AD2125" s="111"/>
      <c r="AE2125" s="111"/>
      <c r="AF2125" s="111"/>
      <c r="AG2125" s="111"/>
      <c r="AH2125" s="111"/>
      <c r="AI2125" s="111"/>
      <c r="AJ2125" s="111"/>
      <c r="AK2125" s="111"/>
      <c r="AL2125" s="111"/>
      <c r="AM2125" s="111"/>
      <c r="AN2125" s="111"/>
      <c r="AO2125" s="111"/>
      <c r="AP2125" s="111"/>
      <c r="AQ2125" s="111"/>
      <c r="AR2125" s="111"/>
      <c r="AS2125" s="111"/>
      <c r="AT2125" s="111"/>
      <c r="AU2125" s="325" t="s">
        <v>53</v>
      </c>
      <c r="AV2125" s="111"/>
      <c r="AW2125" s="111"/>
      <c r="AX2125" s="111"/>
      <c r="AY2125" s="111"/>
      <c r="AZ2125" s="111"/>
      <c r="BA2125" s="111"/>
      <c r="BB2125" s="220"/>
    </row>
    <row r="2126" spans="1:54" s="12" customFormat="1" ht="16.5" hidden="1" customHeight="1" x14ac:dyDescent="0.3">
      <c r="A2126" s="235" t="s">
        <v>505</v>
      </c>
      <c r="B2126" s="235" t="s">
        <v>505</v>
      </c>
      <c r="C2126" s="111">
        <v>70</v>
      </c>
      <c r="D2126" s="111">
        <v>771</v>
      </c>
      <c r="E2126" s="111"/>
      <c r="F2126" s="286" t="s">
        <v>8130</v>
      </c>
      <c r="G2126" s="232" t="str">
        <f t="shared" si="52"/>
        <v>707719194169</v>
      </c>
      <c r="H2126" s="119" t="s">
        <v>8183</v>
      </c>
      <c r="I2126" s="119">
        <v>9194169</v>
      </c>
      <c r="J2126" s="119" t="s">
        <v>8216</v>
      </c>
      <c r="K2126" s="236" t="s">
        <v>230</v>
      </c>
      <c r="L2126" s="233">
        <v>3146355767</v>
      </c>
      <c r="M2126" s="234" t="s">
        <v>9672</v>
      </c>
      <c r="N2126" s="216" t="s">
        <v>8021</v>
      </c>
      <c r="O2126" s="235" t="s">
        <v>2797</v>
      </c>
      <c r="P2126" s="237" t="s">
        <v>80</v>
      </c>
      <c r="Q2126" s="13">
        <v>46206</v>
      </c>
      <c r="R2126" s="12">
        <v>79</v>
      </c>
      <c r="S2126" s="12" t="s">
        <v>49</v>
      </c>
      <c r="U2126" s="12" t="s">
        <v>60</v>
      </c>
      <c r="V2126" s="241">
        <v>45476</v>
      </c>
      <c r="W2126" s="243">
        <v>0.8</v>
      </c>
      <c r="X2126" s="240" t="s">
        <v>49</v>
      </c>
      <c r="Y2126" s="111"/>
      <c r="Z2126" s="235" t="s">
        <v>50</v>
      </c>
      <c r="AA2126" s="111"/>
      <c r="AB2126" s="111"/>
      <c r="AC2126" s="111"/>
      <c r="AD2126" s="111"/>
      <c r="AE2126" s="111"/>
      <c r="AF2126" s="111"/>
      <c r="AG2126" s="111"/>
      <c r="AH2126" s="111"/>
      <c r="AI2126" s="111"/>
      <c r="AJ2126" s="111"/>
      <c r="AK2126" s="111"/>
      <c r="AL2126" s="111"/>
      <c r="AM2126" s="111"/>
      <c r="AN2126" s="111"/>
      <c r="AO2126" s="111"/>
      <c r="AP2126" s="111"/>
      <c r="AQ2126" s="111"/>
      <c r="AR2126" s="111"/>
      <c r="AS2126" s="111"/>
      <c r="AT2126" s="111"/>
      <c r="AU2126" s="235" t="s">
        <v>1208</v>
      </c>
      <c r="AV2126" s="111"/>
      <c r="AW2126" s="111"/>
      <c r="AX2126" s="111"/>
      <c r="AY2126" s="111"/>
      <c r="AZ2126" s="111"/>
      <c r="BA2126" s="111"/>
      <c r="BB2126" s="220"/>
    </row>
    <row r="2127" spans="1:54" s="12" customFormat="1" ht="16.5" hidden="1" customHeight="1" x14ac:dyDescent="0.3">
      <c r="A2127" s="235" t="s">
        <v>505</v>
      </c>
      <c r="B2127" s="235" t="s">
        <v>505</v>
      </c>
      <c r="C2127" s="111">
        <v>70</v>
      </c>
      <c r="D2127" s="111">
        <v>771</v>
      </c>
      <c r="E2127" s="111"/>
      <c r="F2127" s="217" t="s">
        <v>8131</v>
      </c>
      <c r="G2127" s="232" t="str">
        <f t="shared" si="52"/>
        <v>707719623522-5</v>
      </c>
      <c r="H2127" s="119" t="s">
        <v>8184</v>
      </c>
      <c r="I2127" s="119" t="s">
        <v>8217</v>
      </c>
      <c r="J2127" s="119" t="s">
        <v>989</v>
      </c>
      <c r="K2127" s="236" t="s">
        <v>230</v>
      </c>
      <c r="L2127" s="233"/>
      <c r="M2127" s="234"/>
      <c r="N2127" s="216" t="s">
        <v>780</v>
      </c>
      <c r="O2127" s="235" t="s">
        <v>260</v>
      </c>
      <c r="P2127" s="237" t="s">
        <v>80</v>
      </c>
      <c r="Q2127" s="241">
        <v>45553</v>
      </c>
      <c r="R2127" s="243">
        <v>0.82</v>
      </c>
      <c r="S2127" s="240" t="s">
        <v>49</v>
      </c>
      <c r="T2127" s="111"/>
      <c r="U2127" s="235" t="s">
        <v>50</v>
      </c>
      <c r="V2127" s="111"/>
      <c r="W2127" s="111"/>
      <c r="X2127" s="111"/>
      <c r="Y2127" s="111"/>
      <c r="Z2127" s="111"/>
      <c r="AA2127" s="111"/>
      <c r="AB2127" s="111"/>
      <c r="AC2127" s="111"/>
      <c r="AD2127" s="111"/>
      <c r="AE2127" s="111"/>
      <c r="AF2127" s="111"/>
      <c r="AG2127" s="111"/>
      <c r="AH2127" s="111"/>
      <c r="AI2127" s="111"/>
      <c r="AJ2127" s="111"/>
      <c r="AK2127" s="111"/>
      <c r="AL2127" s="111"/>
      <c r="AM2127" s="111"/>
      <c r="AN2127" s="111"/>
      <c r="AO2127" s="111"/>
      <c r="AP2127" s="111"/>
      <c r="AQ2127" s="111"/>
      <c r="AR2127" s="111"/>
      <c r="AS2127" s="111"/>
      <c r="AT2127" s="111"/>
      <c r="AU2127" s="235" t="s">
        <v>1208</v>
      </c>
      <c r="AV2127" s="111"/>
      <c r="AW2127" s="111"/>
      <c r="AX2127" s="111"/>
      <c r="AY2127" s="111"/>
      <c r="AZ2127" s="111"/>
      <c r="BA2127" s="111"/>
      <c r="BB2127" s="220"/>
    </row>
    <row r="2128" spans="1:54" s="12" customFormat="1" ht="25.95" hidden="1" customHeight="1" x14ac:dyDescent="0.3">
      <c r="A2128" s="235" t="s">
        <v>505</v>
      </c>
      <c r="B2128" s="235" t="s">
        <v>505</v>
      </c>
      <c r="C2128" s="111">
        <v>70</v>
      </c>
      <c r="D2128" s="111">
        <v>771</v>
      </c>
      <c r="E2128" s="235" t="s">
        <v>8337</v>
      </c>
      <c r="F2128" s="286" t="s">
        <v>8311</v>
      </c>
      <c r="G2128" s="232" t="str">
        <f t="shared" ref="G2128:G2136" si="53">C2128&amp;D2128&amp;I2128</f>
        <v>707719020247794</v>
      </c>
      <c r="H2128" s="236" t="s">
        <v>710</v>
      </c>
      <c r="I2128" s="119">
        <v>9020247794</v>
      </c>
      <c r="J2128" s="236" t="s">
        <v>8312</v>
      </c>
      <c r="K2128" s="236" t="s">
        <v>133</v>
      </c>
      <c r="L2128" s="233">
        <v>3045840565</v>
      </c>
      <c r="M2128" s="267" t="s">
        <v>8650</v>
      </c>
      <c r="N2128" s="216" t="s">
        <v>127</v>
      </c>
      <c r="O2128" s="235" t="s">
        <v>2822</v>
      </c>
      <c r="P2128" s="268" t="s">
        <v>48</v>
      </c>
      <c r="Q2128" s="13">
        <v>46072</v>
      </c>
      <c r="R2128" s="16">
        <v>0.86</v>
      </c>
      <c r="S2128" s="240" t="s">
        <v>49</v>
      </c>
      <c r="T2128" s="111"/>
      <c r="U2128" s="235" t="s">
        <v>60</v>
      </c>
      <c r="V2128" s="241">
        <v>45741</v>
      </c>
      <c r="W2128" s="243" t="s">
        <v>1937</v>
      </c>
      <c r="X2128" s="240" t="s">
        <v>49</v>
      </c>
      <c r="Y2128" s="111"/>
      <c r="Z2128" s="235" t="s">
        <v>2881</v>
      </c>
      <c r="AA2128" s="111"/>
      <c r="AB2128" s="111"/>
      <c r="AC2128" s="111"/>
      <c r="AD2128" s="111"/>
      <c r="AE2128" s="111"/>
      <c r="AF2128" s="111"/>
      <c r="AG2128" s="111"/>
      <c r="AH2128" s="111"/>
      <c r="AI2128" s="111"/>
      <c r="AJ2128" s="111"/>
      <c r="AK2128" s="111"/>
      <c r="AL2128" s="111"/>
      <c r="AM2128" s="111"/>
      <c r="AN2128" s="111"/>
      <c r="AO2128" s="111"/>
      <c r="AP2128" s="111"/>
      <c r="AQ2128" s="111"/>
      <c r="AR2128" s="111"/>
      <c r="AS2128" s="111"/>
      <c r="AT2128" s="111"/>
      <c r="AU2128" s="235" t="s">
        <v>1208</v>
      </c>
      <c r="AV2128" s="111"/>
      <c r="AW2128" s="111"/>
      <c r="AX2128" s="111"/>
      <c r="AY2128" s="111"/>
      <c r="AZ2128" s="111"/>
      <c r="BA2128" s="111"/>
      <c r="BB2128" s="220"/>
    </row>
    <row r="2129" spans="1:54" s="12" customFormat="1" ht="28.2" hidden="1" customHeight="1" x14ac:dyDescent="0.3">
      <c r="A2129" s="235" t="s">
        <v>505</v>
      </c>
      <c r="B2129" s="235" t="s">
        <v>505</v>
      </c>
      <c r="C2129" s="111">
        <v>70</v>
      </c>
      <c r="D2129" s="111">
        <v>771</v>
      </c>
      <c r="E2129" s="235" t="s">
        <v>5590</v>
      </c>
      <c r="F2129" s="217" t="s">
        <v>8313</v>
      </c>
      <c r="G2129" s="232" t="str">
        <f t="shared" si="53"/>
        <v>707719017484310</v>
      </c>
      <c r="H2129" s="236" t="s">
        <v>710</v>
      </c>
      <c r="I2129" s="119">
        <v>9017484310</v>
      </c>
      <c r="J2129" s="236" t="s">
        <v>8315</v>
      </c>
      <c r="K2129" s="236" t="s">
        <v>133</v>
      </c>
      <c r="L2129" s="233">
        <v>3045840565</v>
      </c>
      <c r="M2129" s="267" t="s">
        <v>788</v>
      </c>
      <c r="N2129" s="216" t="s">
        <v>127</v>
      </c>
      <c r="O2129" s="235" t="s">
        <v>2822</v>
      </c>
      <c r="P2129" s="268" t="s">
        <v>48</v>
      </c>
      <c r="Q2129" s="241">
        <v>45737</v>
      </c>
      <c r="R2129" s="243">
        <v>0.86</v>
      </c>
      <c r="S2129" s="240" t="s">
        <v>49</v>
      </c>
      <c r="T2129" s="111"/>
      <c r="U2129" s="235" t="s">
        <v>2881</v>
      </c>
      <c r="V2129" s="111"/>
      <c r="W2129" s="111"/>
      <c r="X2129" s="111"/>
      <c r="Y2129" s="111"/>
      <c r="Z2129" s="111"/>
      <c r="AA2129" s="111"/>
      <c r="AB2129" s="111"/>
      <c r="AC2129" s="111"/>
      <c r="AD2129" s="111"/>
      <c r="AE2129" s="111"/>
      <c r="AF2129" s="111"/>
      <c r="AG2129" s="111"/>
      <c r="AH2129" s="111"/>
      <c r="AI2129" s="111"/>
      <c r="AJ2129" s="111"/>
      <c r="AK2129" s="111"/>
      <c r="AL2129" s="111"/>
      <c r="AM2129" s="111"/>
      <c r="AN2129" s="111"/>
      <c r="AO2129" s="111"/>
      <c r="AP2129" s="111"/>
      <c r="AQ2129" s="111"/>
      <c r="AR2129" s="111"/>
      <c r="AS2129" s="111"/>
      <c r="AT2129" s="111"/>
      <c r="AU2129" s="235" t="s">
        <v>1208</v>
      </c>
      <c r="AV2129" s="111"/>
      <c r="AW2129" s="111"/>
      <c r="AX2129" s="111"/>
      <c r="AY2129" s="111"/>
      <c r="AZ2129" s="111"/>
      <c r="BA2129" s="111"/>
      <c r="BB2129" s="220"/>
    </row>
    <row r="2130" spans="1:54" s="12" customFormat="1" ht="16.5" hidden="1" customHeight="1" x14ac:dyDescent="0.3">
      <c r="A2130" s="235" t="s">
        <v>505</v>
      </c>
      <c r="B2130" s="235" t="s">
        <v>505</v>
      </c>
      <c r="C2130" s="111">
        <v>70</v>
      </c>
      <c r="D2130" s="111">
        <v>771</v>
      </c>
      <c r="E2130" s="235" t="s">
        <v>8337</v>
      </c>
      <c r="F2130" s="286" t="s">
        <v>8649</v>
      </c>
      <c r="G2130" s="232" t="str">
        <f t="shared" si="53"/>
        <v>707719020247794</v>
      </c>
      <c r="H2130" s="236" t="s">
        <v>710</v>
      </c>
      <c r="I2130" s="119">
        <v>9020247794</v>
      </c>
      <c r="J2130" s="236" t="s">
        <v>8315</v>
      </c>
      <c r="K2130" s="236" t="s">
        <v>133</v>
      </c>
      <c r="L2130" s="233">
        <v>3133115681</v>
      </c>
      <c r="M2130" s="267" t="s">
        <v>8650</v>
      </c>
      <c r="N2130" s="216" t="s">
        <v>127</v>
      </c>
      <c r="O2130" s="235" t="s">
        <v>2822</v>
      </c>
      <c r="P2130" s="268" t="s">
        <v>48</v>
      </c>
      <c r="Q2130" s="241">
        <v>46098</v>
      </c>
      <c r="R2130" s="216">
        <v>88</v>
      </c>
      <c r="S2130" s="240" t="s">
        <v>49</v>
      </c>
      <c r="T2130" s="111"/>
      <c r="U2130" s="235" t="s">
        <v>60</v>
      </c>
      <c r="V2130" s="111"/>
      <c r="W2130" s="111"/>
      <c r="X2130" s="111"/>
      <c r="Y2130" s="111"/>
      <c r="Z2130" s="111"/>
      <c r="AA2130" s="111"/>
      <c r="AB2130" s="111"/>
      <c r="AC2130" s="111"/>
      <c r="AD2130" s="111"/>
      <c r="AE2130" s="111"/>
      <c r="AF2130" s="111"/>
      <c r="AG2130" s="111"/>
      <c r="AH2130" s="111"/>
      <c r="AI2130" s="111"/>
      <c r="AJ2130" s="111"/>
      <c r="AK2130" s="111"/>
      <c r="AL2130" s="111"/>
      <c r="AM2130" s="111"/>
      <c r="AN2130" s="111"/>
      <c r="AO2130" s="111"/>
      <c r="AP2130" s="111"/>
      <c r="AQ2130" s="111"/>
      <c r="AR2130" s="111"/>
      <c r="AS2130" s="111"/>
      <c r="AT2130" s="111"/>
      <c r="AU2130" s="235" t="s">
        <v>1208</v>
      </c>
      <c r="AV2130" s="111"/>
      <c r="AW2130" s="111"/>
      <c r="AX2130" s="111"/>
      <c r="AY2130" s="111"/>
      <c r="AZ2130" s="111"/>
      <c r="BA2130" s="111"/>
      <c r="BB2130" s="220"/>
    </row>
    <row r="2131" spans="1:54" s="12" customFormat="1" ht="16.5" hidden="1" customHeight="1" x14ac:dyDescent="0.3">
      <c r="A2131" s="235" t="s">
        <v>505</v>
      </c>
      <c r="B2131" s="235" t="s">
        <v>505</v>
      </c>
      <c r="C2131" s="111">
        <v>70</v>
      </c>
      <c r="D2131" s="111">
        <v>771</v>
      </c>
      <c r="E2131" s="235" t="s">
        <v>8337</v>
      </c>
      <c r="F2131" s="286" t="s">
        <v>8655</v>
      </c>
      <c r="G2131" s="232" t="str">
        <f t="shared" si="53"/>
        <v>707719020247794</v>
      </c>
      <c r="H2131" s="236" t="s">
        <v>710</v>
      </c>
      <c r="I2131" s="119">
        <v>9020247794</v>
      </c>
      <c r="J2131" s="236" t="s">
        <v>8314</v>
      </c>
      <c r="K2131" s="236" t="s">
        <v>133</v>
      </c>
      <c r="L2131" s="233">
        <v>3125761926</v>
      </c>
      <c r="M2131" s="267" t="s">
        <v>8650</v>
      </c>
      <c r="N2131" s="216" t="s">
        <v>127</v>
      </c>
      <c r="O2131" s="235" t="s">
        <v>2822</v>
      </c>
      <c r="P2131" s="268" t="s">
        <v>48</v>
      </c>
      <c r="Q2131" s="13">
        <v>46072</v>
      </c>
      <c r="R2131" s="16">
        <v>0.83</v>
      </c>
      <c r="S2131" s="240" t="s">
        <v>49</v>
      </c>
      <c r="T2131" s="111"/>
      <c r="U2131" s="235" t="s">
        <v>50</v>
      </c>
      <c r="V2131" s="241">
        <v>45737</v>
      </c>
      <c r="W2131" s="243" t="s">
        <v>1937</v>
      </c>
      <c r="X2131" s="240" t="s">
        <v>49</v>
      </c>
      <c r="Y2131" s="111"/>
      <c r="Z2131" s="235" t="s">
        <v>8317</v>
      </c>
      <c r="AA2131" s="111"/>
      <c r="AB2131" s="111"/>
      <c r="AC2131" s="111"/>
      <c r="AD2131" s="111"/>
      <c r="AE2131" s="111"/>
      <c r="AF2131" s="111"/>
      <c r="AG2131" s="111"/>
      <c r="AH2131" s="111"/>
      <c r="AI2131" s="111"/>
      <c r="AJ2131" s="111"/>
      <c r="AK2131" s="111"/>
      <c r="AL2131" s="111"/>
      <c r="AM2131" s="111"/>
      <c r="AN2131" s="111"/>
      <c r="AO2131" s="111"/>
      <c r="AP2131" s="111"/>
      <c r="AQ2131" s="111"/>
      <c r="AR2131" s="111"/>
      <c r="AS2131" s="111"/>
      <c r="AT2131" s="111"/>
      <c r="AU2131" s="235" t="s">
        <v>1208</v>
      </c>
      <c r="AV2131" s="111"/>
      <c r="AW2131" s="111"/>
      <c r="AX2131" s="111"/>
      <c r="AY2131" s="111"/>
      <c r="AZ2131" s="111"/>
      <c r="BA2131" s="111"/>
      <c r="BB2131" s="220"/>
    </row>
    <row r="2132" spans="1:54" s="12" customFormat="1" ht="16.5" hidden="1" customHeight="1" x14ac:dyDescent="0.3">
      <c r="A2132" s="235" t="s">
        <v>505</v>
      </c>
      <c r="B2132" s="235" t="s">
        <v>505</v>
      </c>
      <c r="C2132" s="111">
        <v>70</v>
      </c>
      <c r="D2132" s="111">
        <v>771</v>
      </c>
      <c r="E2132" s="235" t="s">
        <v>8656</v>
      </c>
      <c r="F2132" s="286" t="s">
        <v>8657</v>
      </c>
      <c r="G2132" s="232" t="str">
        <f t="shared" si="53"/>
        <v>70771830507103</v>
      </c>
      <c r="H2132" s="236" t="s">
        <v>833</v>
      </c>
      <c r="I2132" s="119">
        <v>830507103</v>
      </c>
      <c r="J2132" s="236" t="s">
        <v>8658</v>
      </c>
      <c r="K2132" s="236" t="s">
        <v>230</v>
      </c>
      <c r="L2132" s="233">
        <v>3128038861</v>
      </c>
      <c r="M2132" s="267"/>
      <c r="N2132" s="216" t="s">
        <v>127</v>
      </c>
      <c r="O2132" s="235" t="s">
        <v>2822</v>
      </c>
      <c r="P2132" s="268" t="s">
        <v>48</v>
      </c>
      <c r="Q2132" s="241">
        <v>46086</v>
      </c>
      <c r="R2132" s="243" t="s">
        <v>5043</v>
      </c>
      <c r="S2132" s="240" t="s">
        <v>210</v>
      </c>
      <c r="T2132" s="111"/>
      <c r="U2132" s="235" t="s">
        <v>2456</v>
      </c>
      <c r="V2132" s="111"/>
      <c r="W2132" s="111"/>
      <c r="X2132" s="111"/>
      <c r="Y2132" s="111"/>
      <c r="Z2132" s="111"/>
      <c r="AA2132" s="111"/>
      <c r="AB2132" s="111"/>
      <c r="AC2132" s="111"/>
      <c r="AD2132" s="111"/>
      <c r="AE2132" s="111"/>
      <c r="AF2132" s="111"/>
      <c r="AG2132" s="111"/>
      <c r="AH2132" s="111"/>
      <c r="AI2132" s="111"/>
      <c r="AJ2132" s="111"/>
      <c r="AK2132" s="111"/>
      <c r="AL2132" s="111"/>
      <c r="AM2132" s="111"/>
      <c r="AN2132" s="111"/>
      <c r="AO2132" s="111"/>
      <c r="AP2132" s="111"/>
      <c r="AQ2132" s="111"/>
      <c r="AR2132" s="111"/>
      <c r="AS2132" s="111"/>
      <c r="AT2132" s="111"/>
      <c r="AU2132" s="235" t="s">
        <v>1208</v>
      </c>
      <c r="AV2132" s="111"/>
      <c r="AW2132" s="111"/>
      <c r="AX2132" s="111"/>
      <c r="AY2132" s="111"/>
      <c r="AZ2132" s="111"/>
      <c r="BA2132" s="111"/>
      <c r="BB2132" s="220"/>
    </row>
    <row r="2133" spans="1:54" s="12" customFormat="1" ht="16.5" hidden="1" customHeight="1" x14ac:dyDescent="0.3">
      <c r="A2133" s="235" t="s">
        <v>505</v>
      </c>
      <c r="B2133" s="235" t="s">
        <v>505</v>
      </c>
      <c r="C2133" s="111">
        <v>70</v>
      </c>
      <c r="D2133" s="111">
        <v>771</v>
      </c>
      <c r="E2133" s="235" t="s">
        <v>8337</v>
      </c>
      <c r="F2133" s="392" t="s">
        <v>8664</v>
      </c>
      <c r="G2133" s="232" t="str">
        <f t="shared" si="53"/>
        <v>707719020247794</v>
      </c>
      <c r="H2133" s="236" t="s">
        <v>710</v>
      </c>
      <c r="I2133" s="119">
        <v>9020247794</v>
      </c>
      <c r="J2133" s="236" t="s">
        <v>8665</v>
      </c>
      <c r="K2133" s="236" t="s">
        <v>133</v>
      </c>
      <c r="L2133" s="233">
        <v>3105274935</v>
      </c>
      <c r="M2133" s="267" t="s">
        <v>8650</v>
      </c>
      <c r="N2133" s="216" t="s">
        <v>127</v>
      </c>
      <c r="O2133" s="235" t="s">
        <v>2822</v>
      </c>
      <c r="P2133" s="268" t="s">
        <v>48</v>
      </c>
      <c r="Q2133" s="241">
        <v>46070</v>
      </c>
      <c r="R2133" s="243">
        <v>0.83</v>
      </c>
      <c r="S2133" s="240" t="s">
        <v>49</v>
      </c>
      <c r="T2133" s="111"/>
      <c r="U2133" s="235" t="s">
        <v>60</v>
      </c>
      <c r="V2133" s="287">
        <v>45741</v>
      </c>
      <c r="W2133" s="235" t="s">
        <v>1937</v>
      </c>
      <c r="X2133" s="235" t="s">
        <v>49</v>
      </c>
      <c r="Y2133" s="111"/>
      <c r="Z2133" s="235" t="s">
        <v>60</v>
      </c>
      <c r="AA2133" s="111"/>
      <c r="AB2133" s="111"/>
      <c r="AC2133" s="111"/>
      <c r="AD2133" s="111"/>
      <c r="AE2133" s="111"/>
      <c r="AF2133" s="111"/>
      <c r="AG2133" s="111"/>
      <c r="AH2133" s="111"/>
      <c r="AI2133" s="111"/>
      <c r="AJ2133" s="111"/>
      <c r="AK2133" s="111"/>
      <c r="AL2133" s="111"/>
      <c r="AM2133" s="111"/>
      <c r="AN2133" s="111"/>
      <c r="AO2133" s="111"/>
      <c r="AP2133" s="111"/>
      <c r="AQ2133" s="111"/>
      <c r="AR2133" s="111"/>
      <c r="AS2133" s="111"/>
      <c r="AT2133" s="111"/>
      <c r="AU2133" s="235" t="s">
        <v>1208</v>
      </c>
      <c r="AV2133" s="111"/>
      <c r="AW2133" s="111"/>
      <c r="AX2133" s="111"/>
      <c r="AY2133" s="111"/>
      <c r="AZ2133" s="111"/>
      <c r="BA2133" s="111"/>
      <c r="BB2133" s="220"/>
    </row>
    <row r="2134" spans="1:54" s="12" customFormat="1" ht="16.5" hidden="1" customHeight="1" x14ac:dyDescent="0.3">
      <c r="A2134" s="235" t="s">
        <v>505</v>
      </c>
      <c r="B2134" s="235" t="s">
        <v>505</v>
      </c>
      <c r="C2134" s="111">
        <v>70</v>
      </c>
      <c r="D2134" s="111">
        <v>771</v>
      </c>
      <c r="E2134" s="235" t="s">
        <v>9629</v>
      </c>
      <c r="F2134" s="392" t="s">
        <v>9630</v>
      </c>
      <c r="G2134" s="232" t="str">
        <f t="shared" si="53"/>
        <v>70771830507103</v>
      </c>
      <c r="H2134" s="236" t="s">
        <v>9631</v>
      </c>
      <c r="I2134" s="119">
        <v>830507103</v>
      </c>
      <c r="J2134" s="236" t="s">
        <v>9632</v>
      </c>
      <c r="K2134" s="236" t="s">
        <v>44</v>
      </c>
      <c r="L2134" s="233">
        <v>3128038861</v>
      </c>
      <c r="M2134" s="267" t="s">
        <v>9633</v>
      </c>
      <c r="N2134" s="216" t="s">
        <v>2901</v>
      </c>
      <c r="O2134" s="235" t="s">
        <v>9634</v>
      </c>
      <c r="P2134" s="268" t="s">
        <v>80</v>
      </c>
      <c r="Q2134" s="241">
        <v>46157</v>
      </c>
      <c r="R2134" s="216" t="s">
        <v>9635</v>
      </c>
      <c r="S2134" s="240" t="s">
        <v>210</v>
      </c>
      <c r="T2134" s="111"/>
      <c r="U2134" s="235" t="s">
        <v>9636</v>
      </c>
      <c r="V2134" s="111"/>
      <c r="W2134" s="111"/>
      <c r="X2134" s="111"/>
      <c r="Y2134" s="111"/>
      <c r="Z2134" s="111"/>
      <c r="AA2134" s="111"/>
      <c r="AB2134" s="111"/>
      <c r="AC2134" s="111"/>
      <c r="AD2134" s="111"/>
      <c r="AE2134" s="111"/>
      <c r="AF2134" s="111"/>
      <c r="AG2134" s="111"/>
      <c r="AH2134" s="111"/>
      <c r="AI2134" s="111"/>
      <c r="AJ2134" s="111"/>
      <c r="AK2134" s="111"/>
      <c r="AL2134" s="111"/>
      <c r="AM2134" s="111"/>
      <c r="AN2134" s="111"/>
      <c r="AO2134" s="111"/>
      <c r="AP2134" s="111"/>
      <c r="AQ2134" s="111"/>
      <c r="AR2134" s="111"/>
      <c r="AS2134" s="111"/>
      <c r="AT2134" s="111"/>
      <c r="AU2134" s="235" t="s">
        <v>53</v>
      </c>
      <c r="AV2134" s="111"/>
      <c r="AW2134" s="111"/>
      <c r="AX2134" s="111"/>
      <c r="AY2134" s="111"/>
      <c r="AZ2134" s="111"/>
      <c r="BA2134" s="111"/>
      <c r="BB2134" s="220"/>
    </row>
    <row r="2135" spans="1:54" s="12" customFormat="1" ht="16.5" hidden="1" customHeight="1" x14ac:dyDescent="0.3">
      <c r="A2135" s="235" t="s">
        <v>505</v>
      </c>
      <c r="B2135" s="235" t="s">
        <v>505</v>
      </c>
      <c r="C2135" s="111">
        <v>70</v>
      </c>
      <c r="D2135" s="111">
        <v>771</v>
      </c>
      <c r="E2135" s="235" t="s">
        <v>9642</v>
      </c>
      <c r="F2135" s="392" t="s">
        <v>9643</v>
      </c>
      <c r="G2135" s="232" t="str">
        <f t="shared" si="53"/>
        <v>70771830507103</v>
      </c>
      <c r="H2135" s="236" t="s">
        <v>9644</v>
      </c>
      <c r="I2135" s="119">
        <v>830507103</v>
      </c>
      <c r="J2135" s="236" t="s">
        <v>9645</v>
      </c>
      <c r="K2135" s="236" t="s">
        <v>44</v>
      </c>
      <c r="L2135" s="233">
        <v>3128038861</v>
      </c>
      <c r="M2135" s="267" t="s">
        <v>207</v>
      </c>
      <c r="N2135" s="216" t="s">
        <v>127</v>
      </c>
      <c r="O2135" s="235" t="s">
        <v>2822</v>
      </c>
      <c r="P2135" s="268" t="s">
        <v>48</v>
      </c>
      <c r="Q2135" s="241">
        <v>46162</v>
      </c>
      <c r="R2135" s="216">
        <v>84</v>
      </c>
      <c r="S2135" s="240" t="s">
        <v>49</v>
      </c>
      <c r="T2135" s="111"/>
      <c r="U2135" s="235" t="s">
        <v>60</v>
      </c>
      <c r="V2135" s="111"/>
      <c r="W2135" s="111"/>
      <c r="X2135" s="111"/>
      <c r="Y2135" s="111"/>
      <c r="Z2135" s="111"/>
      <c r="AA2135" s="111"/>
      <c r="AB2135" s="111"/>
      <c r="AC2135" s="111"/>
      <c r="AD2135" s="111"/>
      <c r="AE2135" s="111"/>
      <c r="AF2135" s="111"/>
      <c r="AG2135" s="111"/>
      <c r="AH2135" s="111"/>
      <c r="AI2135" s="111"/>
      <c r="AJ2135" s="111"/>
      <c r="AK2135" s="111"/>
      <c r="AL2135" s="111"/>
      <c r="AM2135" s="111"/>
      <c r="AN2135" s="111"/>
      <c r="AO2135" s="111"/>
      <c r="AP2135" s="111"/>
      <c r="AQ2135" s="111"/>
      <c r="AR2135" s="111"/>
      <c r="AS2135" s="111"/>
      <c r="AT2135" s="111"/>
      <c r="AU2135" s="235" t="s">
        <v>53</v>
      </c>
      <c r="AV2135" s="111"/>
      <c r="AW2135" s="111"/>
      <c r="AX2135" s="111"/>
      <c r="AY2135" s="111"/>
      <c r="AZ2135" s="111"/>
      <c r="BA2135" s="111"/>
      <c r="BB2135" s="220"/>
    </row>
    <row r="2136" spans="1:54" s="12" customFormat="1" ht="16.5" hidden="1" customHeight="1" x14ac:dyDescent="0.3">
      <c r="A2136" s="235" t="s">
        <v>505</v>
      </c>
      <c r="B2136" s="235" t="s">
        <v>505</v>
      </c>
      <c r="C2136" s="111">
        <v>70</v>
      </c>
      <c r="D2136" s="111">
        <v>771</v>
      </c>
      <c r="E2136" s="235" t="s">
        <v>9642</v>
      </c>
      <c r="F2136" s="392" t="s">
        <v>9646</v>
      </c>
      <c r="G2136" s="232" t="str">
        <f t="shared" si="53"/>
        <v>70771830507103</v>
      </c>
      <c r="H2136" s="236" t="s">
        <v>9644</v>
      </c>
      <c r="I2136" s="119">
        <v>830507103</v>
      </c>
      <c r="J2136" s="236" t="s">
        <v>9647</v>
      </c>
      <c r="K2136" s="236" t="s">
        <v>44</v>
      </c>
      <c r="L2136" s="233">
        <v>3128038861</v>
      </c>
      <c r="M2136" s="267" t="s">
        <v>207</v>
      </c>
      <c r="N2136" s="216" t="s">
        <v>127</v>
      </c>
      <c r="O2136" s="235" t="s">
        <v>2822</v>
      </c>
      <c r="P2136" s="268" t="s">
        <v>48</v>
      </c>
      <c r="Q2136" s="241">
        <v>46162</v>
      </c>
      <c r="R2136" s="216">
        <v>87</v>
      </c>
      <c r="S2136" s="240" t="s">
        <v>49</v>
      </c>
      <c r="T2136" s="111"/>
      <c r="U2136" s="235" t="s">
        <v>60</v>
      </c>
      <c r="V2136" s="111"/>
      <c r="W2136" s="111"/>
      <c r="X2136" s="111"/>
      <c r="Y2136" s="111"/>
      <c r="Z2136" s="111"/>
      <c r="AA2136" s="111"/>
      <c r="AB2136" s="111"/>
      <c r="AC2136" s="111"/>
      <c r="AD2136" s="111"/>
      <c r="AE2136" s="111"/>
      <c r="AF2136" s="111"/>
      <c r="AG2136" s="111"/>
      <c r="AH2136" s="111"/>
      <c r="AI2136" s="111"/>
      <c r="AJ2136" s="111"/>
      <c r="AK2136" s="111"/>
      <c r="AL2136" s="111"/>
      <c r="AM2136" s="111"/>
      <c r="AN2136" s="111"/>
      <c r="AO2136" s="111"/>
      <c r="AP2136" s="111"/>
      <c r="AQ2136" s="111"/>
      <c r="AR2136" s="111"/>
      <c r="AS2136" s="111"/>
      <c r="AT2136" s="111"/>
      <c r="AU2136" s="235" t="s">
        <v>53</v>
      </c>
      <c r="AV2136" s="111"/>
      <c r="AW2136" s="111"/>
      <c r="AX2136" s="111"/>
      <c r="AY2136" s="111"/>
      <c r="AZ2136" s="111"/>
      <c r="BA2136" s="111"/>
      <c r="BB2136" s="220"/>
    </row>
    <row r="2137" spans="1:54" s="12" customFormat="1" ht="16.5" hidden="1" customHeight="1" x14ac:dyDescent="0.3">
      <c r="A2137" s="235" t="s">
        <v>505</v>
      </c>
      <c r="B2137" s="235" t="s">
        <v>505</v>
      </c>
      <c r="C2137" s="111">
        <v>70</v>
      </c>
      <c r="D2137" s="111">
        <v>771</v>
      </c>
      <c r="E2137" s="111"/>
      <c r="F2137" s="217" t="s">
        <v>8132</v>
      </c>
      <c r="G2137" s="232" t="str">
        <f t="shared" si="52"/>
        <v>70771901219075-2</v>
      </c>
      <c r="H2137" s="119" t="s">
        <v>7992</v>
      </c>
      <c r="I2137" s="119" t="s">
        <v>7995</v>
      </c>
      <c r="J2137" s="119" t="s">
        <v>8218</v>
      </c>
      <c r="K2137" s="236" t="s">
        <v>133</v>
      </c>
      <c r="L2137" s="233"/>
      <c r="M2137" s="234"/>
      <c r="N2137" s="216" t="s">
        <v>127</v>
      </c>
      <c r="O2137" s="235" t="s">
        <v>2822</v>
      </c>
      <c r="P2137" s="237" t="s">
        <v>48</v>
      </c>
      <c r="Q2137" s="241">
        <v>45475</v>
      </c>
      <c r="R2137" s="243" t="s">
        <v>8263</v>
      </c>
      <c r="S2137" s="240" t="s">
        <v>49</v>
      </c>
      <c r="T2137" s="111"/>
      <c r="U2137" s="235" t="s">
        <v>50</v>
      </c>
      <c r="V2137" s="111"/>
      <c r="W2137" s="111"/>
      <c r="X2137" s="111"/>
      <c r="Y2137" s="111"/>
      <c r="Z2137" s="111"/>
      <c r="AA2137" s="111"/>
      <c r="AB2137" s="111"/>
      <c r="AC2137" s="111"/>
      <c r="AD2137" s="111"/>
      <c r="AE2137" s="111"/>
      <c r="AF2137" s="111"/>
      <c r="AG2137" s="111"/>
      <c r="AH2137" s="111"/>
      <c r="AI2137" s="111"/>
      <c r="AJ2137" s="111"/>
      <c r="AK2137" s="111"/>
      <c r="AL2137" s="111"/>
      <c r="AM2137" s="111"/>
      <c r="AN2137" s="111"/>
      <c r="AO2137" s="111"/>
      <c r="AP2137" s="111"/>
      <c r="AQ2137" s="111"/>
      <c r="AR2137" s="111"/>
      <c r="AS2137" s="111"/>
      <c r="AT2137" s="111"/>
      <c r="AU2137" s="235" t="s">
        <v>1208</v>
      </c>
      <c r="AV2137" s="111"/>
      <c r="AW2137" s="111"/>
      <c r="AX2137" s="111"/>
      <c r="AY2137" s="111"/>
      <c r="AZ2137" s="111"/>
      <c r="BA2137" s="111"/>
      <c r="BB2137" s="220"/>
    </row>
    <row r="2138" spans="1:54" s="12" customFormat="1" ht="16.5" hidden="1" customHeight="1" x14ac:dyDescent="0.3">
      <c r="A2138" s="235" t="s">
        <v>505</v>
      </c>
      <c r="B2138" s="235" t="s">
        <v>505</v>
      </c>
      <c r="C2138" s="111">
        <v>70</v>
      </c>
      <c r="D2138" s="111">
        <v>771</v>
      </c>
      <c r="E2138" s="111" t="s">
        <v>8651</v>
      </c>
      <c r="F2138" s="286" t="s">
        <v>8662</v>
      </c>
      <c r="G2138" s="232" t="str">
        <f t="shared" si="52"/>
        <v>707718230020607</v>
      </c>
      <c r="H2138" s="236" t="s">
        <v>8660</v>
      </c>
      <c r="I2138" s="119">
        <v>8230020607</v>
      </c>
      <c r="J2138" s="236" t="s">
        <v>8663</v>
      </c>
      <c r="K2138" s="236" t="s">
        <v>133</v>
      </c>
      <c r="L2138" s="233">
        <v>3137460736</v>
      </c>
      <c r="M2138" s="234"/>
      <c r="N2138" s="216" t="s">
        <v>127</v>
      </c>
      <c r="O2138" s="235" t="s">
        <v>2822</v>
      </c>
      <c r="P2138" s="237" t="s">
        <v>48</v>
      </c>
      <c r="Q2138" s="13">
        <v>46101</v>
      </c>
      <c r="R2138" s="12" t="s">
        <v>176</v>
      </c>
      <c r="S2138" s="12" t="s">
        <v>49</v>
      </c>
      <c r="T2138" s="111"/>
      <c r="U2138" s="235" t="s">
        <v>50</v>
      </c>
      <c r="V2138" s="287">
        <v>45744</v>
      </c>
      <c r="W2138" s="288" t="s">
        <v>186</v>
      </c>
      <c r="X2138" s="235" t="s">
        <v>49</v>
      </c>
      <c r="Y2138" s="111"/>
      <c r="Z2138" s="235" t="s">
        <v>50</v>
      </c>
      <c r="AA2138" s="111"/>
      <c r="AB2138" s="111"/>
      <c r="AC2138" s="241">
        <v>45497</v>
      </c>
      <c r="AD2138" s="243">
        <v>0.83499999999999996</v>
      </c>
      <c r="AE2138" s="240" t="s">
        <v>49</v>
      </c>
      <c r="AF2138" s="235" t="s">
        <v>50</v>
      </c>
      <c r="AG2138" s="111"/>
      <c r="AH2138" s="111"/>
      <c r="AI2138" s="111"/>
      <c r="AJ2138" s="111"/>
      <c r="AK2138" s="111"/>
      <c r="AL2138" s="111"/>
      <c r="AM2138" s="111"/>
      <c r="AN2138" s="111"/>
      <c r="AO2138" s="111"/>
      <c r="AP2138" s="111"/>
      <c r="AQ2138" s="111"/>
      <c r="AR2138" s="111"/>
      <c r="AS2138" s="111"/>
      <c r="AT2138" s="111"/>
      <c r="AU2138" s="235" t="s">
        <v>1208</v>
      </c>
      <c r="AV2138" s="111"/>
      <c r="AW2138" s="111"/>
      <c r="AX2138" s="111"/>
      <c r="AY2138" s="111"/>
      <c r="AZ2138" s="111"/>
      <c r="BA2138" s="111"/>
      <c r="BB2138" s="220"/>
    </row>
    <row r="2139" spans="1:54" s="12" customFormat="1" ht="16.5" hidden="1" customHeight="1" x14ac:dyDescent="0.3">
      <c r="A2139" s="235" t="s">
        <v>505</v>
      </c>
      <c r="B2139" s="235" t="s">
        <v>505</v>
      </c>
      <c r="C2139" s="111">
        <v>70</v>
      </c>
      <c r="D2139" s="111">
        <v>771</v>
      </c>
      <c r="E2139" s="111" t="s">
        <v>8651</v>
      </c>
      <c r="F2139" s="286" t="s">
        <v>8133</v>
      </c>
      <c r="G2139" s="232" t="str">
        <f t="shared" si="52"/>
        <v>707718230016973</v>
      </c>
      <c r="H2139" s="119" t="s">
        <v>8652</v>
      </c>
      <c r="I2139" s="119">
        <v>8230016973</v>
      </c>
      <c r="J2139" s="236" t="s">
        <v>8654</v>
      </c>
      <c r="K2139" s="236" t="s">
        <v>133</v>
      </c>
      <c r="L2139" s="233">
        <v>3249373519</v>
      </c>
      <c r="M2139" s="234"/>
      <c r="N2139" s="216" t="s">
        <v>127</v>
      </c>
      <c r="O2139" s="235" t="s">
        <v>2822</v>
      </c>
      <c r="P2139" s="237" t="s">
        <v>48</v>
      </c>
      <c r="Q2139" s="13">
        <v>46092</v>
      </c>
      <c r="R2139" s="12">
        <v>80</v>
      </c>
      <c r="S2139" s="12" t="s">
        <v>49</v>
      </c>
      <c r="T2139" s="111"/>
      <c r="U2139" s="235" t="s">
        <v>50</v>
      </c>
      <c r="V2139" s="241">
        <v>45474</v>
      </c>
      <c r="W2139" s="243" t="s">
        <v>176</v>
      </c>
      <c r="X2139" s="240" t="s">
        <v>49</v>
      </c>
      <c r="Y2139" s="111"/>
      <c r="Z2139" s="235" t="s">
        <v>50</v>
      </c>
      <c r="AA2139" s="111"/>
      <c r="AB2139" s="111"/>
      <c r="AC2139" s="111"/>
      <c r="AD2139" s="111"/>
      <c r="AE2139" s="111"/>
      <c r="AF2139" s="111"/>
      <c r="AG2139" s="111"/>
      <c r="AH2139" s="111"/>
      <c r="AI2139" s="111"/>
      <c r="AJ2139" s="111"/>
      <c r="AK2139" s="111"/>
      <c r="AL2139" s="111"/>
      <c r="AM2139" s="111"/>
      <c r="AN2139" s="111"/>
      <c r="AO2139" s="111"/>
      <c r="AP2139" s="111"/>
      <c r="AQ2139" s="111"/>
      <c r="AR2139" s="111"/>
      <c r="AS2139" s="111"/>
      <c r="AT2139" s="111"/>
      <c r="AU2139" s="235" t="s">
        <v>1208</v>
      </c>
      <c r="AV2139" s="111"/>
      <c r="AW2139" s="111"/>
      <c r="AX2139" s="111"/>
      <c r="AY2139" s="111"/>
      <c r="AZ2139" s="111"/>
      <c r="BA2139" s="111"/>
      <c r="BB2139" s="220"/>
    </row>
    <row r="2140" spans="1:54" s="12" customFormat="1" ht="16.5" hidden="1" customHeight="1" x14ac:dyDescent="0.3">
      <c r="A2140" s="235" t="s">
        <v>505</v>
      </c>
      <c r="B2140" s="235" t="s">
        <v>505</v>
      </c>
      <c r="C2140" s="111">
        <v>70</v>
      </c>
      <c r="D2140" s="111">
        <v>771</v>
      </c>
      <c r="E2140" s="111"/>
      <c r="F2140" s="286" t="s">
        <v>8134</v>
      </c>
      <c r="G2140" s="232" t="str">
        <f t="shared" si="52"/>
        <v>70771901219075-2</v>
      </c>
      <c r="H2140" s="119" t="s">
        <v>7992</v>
      </c>
      <c r="I2140" s="119" t="s">
        <v>7995</v>
      </c>
      <c r="J2140" s="119" t="s">
        <v>8220</v>
      </c>
      <c r="K2140" s="236" t="s">
        <v>133</v>
      </c>
      <c r="L2140" s="233"/>
      <c r="M2140" s="234"/>
      <c r="N2140" s="216" t="s">
        <v>127</v>
      </c>
      <c r="O2140" s="235" t="s">
        <v>2822</v>
      </c>
      <c r="P2140" s="237" t="s">
        <v>48</v>
      </c>
      <c r="Q2140" s="241">
        <v>45525</v>
      </c>
      <c r="R2140" s="243" t="s">
        <v>146</v>
      </c>
      <c r="S2140" s="240" t="s">
        <v>49</v>
      </c>
      <c r="T2140" s="111"/>
      <c r="U2140" s="235" t="s">
        <v>50</v>
      </c>
      <c r="V2140" s="111"/>
      <c r="W2140" s="111"/>
      <c r="X2140" s="111"/>
      <c r="Y2140" s="111"/>
      <c r="Z2140" s="111"/>
      <c r="AA2140" s="111"/>
      <c r="AB2140" s="111"/>
      <c r="AC2140" s="111"/>
      <c r="AD2140" s="111"/>
      <c r="AE2140" s="111"/>
      <c r="AF2140" s="111"/>
      <c r="AG2140" s="111"/>
      <c r="AH2140" s="111"/>
      <c r="AI2140" s="111"/>
      <c r="AJ2140" s="111"/>
      <c r="AK2140" s="111"/>
      <c r="AL2140" s="111"/>
      <c r="AM2140" s="111"/>
      <c r="AN2140" s="111"/>
      <c r="AO2140" s="111"/>
      <c r="AP2140" s="111"/>
      <c r="AQ2140" s="111"/>
      <c r="AR2140" s="111"/>
      <c r="AS2140" s="111"/>
      <c r="AT2140" s="111"/>
      <c r="AU2140" s="235" t="s">
        <v>1208</v>
      </c>
      <c r="AV2140" s="111"/>
      <c r="AW2140" s="111"/>
      <c r="AX2140" s="111"/>
      <c r="AY2140" s="111"/>
      <c r="AZ2140" s="111"/>
      <c r="BA2140" s="111"/>
      <c r="BB2140" s="220"/>
    </row>
    <row r="2141" spans="1:54" s="12" customFormat="1" ht="16.5" hidden="1" customHeight="1" x14ac:dyDescent="0.3">
      <c r="A2141" s="235" t="s">
        <v>505</v>
      </c>
      <c r="B2141" s="235" t="s">
        <v>505</v>
      </c>
      <c r="C2141" s="111">
        <v>70</v>
      </c>
      <c r="D2141" s="111">
        <v>771</v>
      </c>
      <c r="E2141" s="111" t="s">
        <v>9612</v>
      </c>
      <c r="F2141" s="286" t="s">
        <v>3801</v>
      </c>
      <c r="G2141" s="232" t="str">
        <f t="shared" si="52"/>
        <v>70771823001697</v>
      </c>
      <c r="H2141" s="119" t="s">
        <v>9613</v>
      </c>
      <c r="I2141" s="119">
        <v>823001697</v>
      </c>
      <c r="J2141" s="236" t="s">
        <v>8315</v>
      </c>
      <c r="K2141" s="236" t="s">
        <v>133</v>
      </c>
      <c r="L2141" s="233">
        <v>3233086263</v>
      </c>
      <c r="M2141" s="234" t="s">
        <v>9614</v>
      </c>
      <c r="N2141" s="216" t="s">
        <v>127</v>
      </c>
      <c r="O2141" s="235" t="s">
        <v>2822</v>
      </c>
      <c r="P2141" s="237" t="s">
        <v>48</v>
      </c>
      <c r="Q2141" s="13">
        <v>46126</v>
      </c>
      <c r="R2141" s="12">
        <v>80</v>
      </c>
      <c r="S2141" s="240" t="s">
        <v>49</v>
      </c>
      <c r="T2141" s="111"/>
      <c r="U2141" s="235" t="s">
        <v>50</v>
      </c>
      <c r="V2141" s="241">
        <v>45497</v>
      </c>
      <c r="W2141" s="243" t="s">
        <v>146</v>
      </c>
      <c r="X2141" s="240" t="s">
        <v>49</v>
      </c>
      <c r="Y2141" s="111"/>
      <c r="Z2141" s="235" t="s">
        <v>60</v>
      </c>
      <c r="AA2141" s="111"/>
      <c r="AB2141" s="111"/>
      <c r="AC2141" s="111"/>
      <c r="AD2141" s="111"/>
      <c r="AE2141" s="111"/>
      <c r="AF2141" s="111"/>
      <c r="AG2141" s="111"/>
      <c r="AH2141" s="111"/>
      <c r="AI2141" s="111"/>
      <c r="AJ2141" s="111"/>
      <c r="AK2141" s="111"/>
      <c r="AL2141" s="111"/>
      <c r="AM2141" s="111"/>
      <c r="AN2141" s="111"/>
      <c r="AO2141" s="111"/>
      <c r="AP2141" s="111"/>
      <c r="AQ2141" s="111"/>
      <c r="AR2141" s="111"/>
      <c r="AS2141" s="111"/>
      <c r="AT2141" s="111"/>
      <c r="AU2141" s="235" t="s">
        <v>1208</v>
      </c>
      <c r="AV2141" s="111"/>
      <c r="AW2141" s="111"/>
      <c r="AX2141" s="111"/>
      <c r="AY2141" s="111"/>
      <c r="AZ2141" s="111"/>
      <c r="BA2141" s="111"/>
      <c r="BB2141" s="220"/>
    </row>
    <row r="2142" spans="1:54" s="12" customFormat="1" ht="16.5" hidden="1" customHeight="1" x14ac:dyDescent="0.3">
      <c r="A2142" s="235" t="s">
        <v>505</v>
      </c>
      <c r="B2142" s="235" t="s">
        <v>505</v>
      </c>
      <c r="C2142" s="111">
        <v>70</v>
      </c>
      <c r="D2142" s="111">
        <v>771</v>
      </c>
      <c r="E2142" s="111" t="s">
        <v>9612</v>
      </c>
      <c r="F2142" s="286" t="s">
        <v>9615</v>
      </c>
      <c r="G2142" s="232" t="str">
        <f t="shared" si="52"/>
        <v>70771823001697</v>
      </c>
      <c r="H2142" s="119" t="s">
        <v>9613</v>
      </c>
      <c r="I2142" s="119">
        <v>823001697</v>
      </c>
      <c r="J2142" s="119" t="s">
        <v>2586</v>
      </c>
      <c r="K2142" s="236" t="s">
        <v>133</v>
      </c>
      <c r="L2142" s="233">
        <v>3205086368</v>
      </c>
      <c r="M2142" s="234" t="s">
        <v>9616</v>
      </c>
      <c r="N2142" s="216" t="s">
        <v>127</v>
      </c>
      <c r="O2142" s="235" t="s">
        <v>2822</v>
      </c>
      <c r="P2142" s="237" t="s">
        <v>48</v>
      </c>
      <c r="Q2142" s="257">
        <v>46134</v>
      </c>
      <c r="R2142" s="214">
        <v>78</v>
      </c>
      <c r="S2142" s="240" t="s">
        <v>49</v>
      </c>
      <c r="T2142" s="111"/>
      <c r="U2142" s="235" t="s">
        <v>50</v>
      </c>
      <c r="V2142" s="241">
        <v>45474</v>
      </c>
      <c r="W2142" s="243" t="s">
        <v>176</v>
      </c>
      <c r="X2142" s="240" t="s">
        <v>49</v>
      </c>
      <c r="Y2142" s="111"/>
      <c r="Z2142" s="235" t="s">
        <v>60</v>
      </c>
      <c r="AA2142" s="111"/>
      <c r="AB2142" s="111"/>
      <c r="AC2142" s="111"/>
      <c r="AD2142" s="111"/>
      <c r="AE2142" s="111"/>
      <c r="AF2142" s="111"/>
      <c r="AG2142" s="111"/>
      <c r="AH2142" s="111"/>
      <c r="AI2142" s="111"/>
      <c r="AJ2142" s="111"/>
      <c r="AK2142" s="111"/>
      <c r="AL2142" s="111"/>
      <c r="AM2142" s="111"/>
      <c r="AN2142" s="111"/>
      <c r="AO2142" s="111"/>
      <c r="AP2142" s="111"/>
      <c r="AQ2142" s="111"/>
      <c r="AR2142" s="111"/>
      <c r="AS2142" s="111"/>
      <c r="AT2142" s="111"/>
      <c r="AU2142" s="235" t="s">
        <v>1208</v>
      </c>
      <c r="AV2142" s="111"/>
      <c r="AW2142" s="111"/>
      <c r="AX2142" s="111"/>
      <c r="AY2142" s="111"/>
      <c r="AZ2142" s="111"/>
      <c r="BA2142" s="111"/>
      <c r="BB2142" s="220"/>
    </row>
    <row r="2143" spans="1:54" s="12" customFormat="1" ht="16.5" hidden="1" customHeight="1" x14ac:dyDescent="0.3">
      <c r="A2143" s="235" t="s">
        <v>505</v>
      </c>
      <c r="B2143" s="235" t="s">
        <v>505</v>
      </c>
      <c r="C2143" s="111">
        <v>70</v>
      </c>
      <c r="D2143" s="111">
        <v>771</v>
      </c>
      <c r="E2143" s="111"/>
      <c r="F2143" s="286" t="s">
        <v>9665</v>
      </c>
      <c r="G2143" s="232" t="str">
        <f t="shared" si="52"/>
        <v>707719197900</v>
      </c>
      <c r="H2143" s="236" t="s">
        <v>9666</v>
      </c>
      <c r="I2143" s="119">
        <v>9197900</v>
      </c>
      <c r="J2143" s="119" t="s">
        <v>9626</v>
      </c>
      <c r="K2143" s="236" t="s">
        <v>44</v>
      </c>
      <c r="L2143" s="233">
        <v>3226656171</v>
      </c>
      <c r="M2143" s="234"/>
      <c r="N2143" s="216" t="s">
        <v>8021</v>
      </c>
      <c r="O2143" s="235" t="s">
        <v>2797</v>
      </c>
      <c r="P2143" s="237" t="s">
        <v>80</v>
      </c>
      <c r="Q2143" s="241">
        <v>46215</v>
      </c>
      <c r="R2143" s="216">
        <v>79</v>
      </c>
      <c r="S2143" s="240" t="s">
        <v>49</v>
      </c>
      <c r="T2143" s="111"/>
      <c r="U2143" s="235" t="s">
        <v>60</v>
      </c>
      <c r="V2143" s="241"/>
      <c r="W2143" s="243"/>
      <c r="X2143" s="240"/>
      <c r="Y2143" s="111"/>
      <c r="Z2143" s="235"/>
      <c r="AA2143" s="111"/>
      <c r="AB2143" s="111"/>
      <c r="AC2143" s="111"/>
      <c r="AD2143" s="111"/>
      <c r="AE2143" s="111"/>
      <c r="AF2143" s="111"/>
      <c r="AG2143" s="111"/>
      <c r="AH2143" s="111"/>
      <c r="AI2143" s="111"/>
      <c r="AJ2143" s="111"/>
      <c r="AK2143" s="111"/>
      <c r="AL2143" s="111"/>
      <c r="AM2143" s="111"/>
      <c r="AN2143" s="111"/>
      <c r="AO2143" s="111"/>
      <c r="AP2143" s="111"/>
      <c r="AQ2143" s="111"/>
      <c r="AR2143" s="111"/>
      <c r="AS2143" s="111"/>
      <c r="AT2143" s="111"/>
      <c r="AU2143" s="235" t="s">
        <v>53</v>
      </c>
      <c r="AV2143" s="111"/>
      <c r="AW2143" s="111"/>
      <c r="AX2143" s="111"/>
      <c r="AY2143" s="111"/>
      <c r="AZ2143" s="111"/>
      <c r="BA2143" s="111"/>
      <c r="BB2143" s="220"/>
    </row>
    <row r="2144" spans="1:54" s="12" customFormat="1" ht="16.5" hidden="1" customHeight="1" x14ac:dyDescent="0.3">
      <c r="A2144" s="235" t="s">
        <v>505</v>
      </c>
      <c r="B2144" s="235" t="s">
        <v>505</v>
      </c>
      <c r="C2144" s="111">
        <v>70</v>
      </c>
      <c r="D2144" s="111">
        <v>771</v>
      </c>
      <c r="E2144" s="111"/>
      <c r="F2144" s="286" t="s">
        <v>9667</v>
      </c>
      <c r="G2144" s="232" t="str">
        <f t="shared" si="52"/>
        <v>7077123197299</v>
      </c>
      <c r="H2144" s="236" t="s">
        <v>9668</v>
      </c>
      <c r="I2144" s="119">
        <v>23197299</v>
      </c>
      <c r="J2144" s="119" t="s">
        <v>9669</v>
      </c>
      <c r="K2144" s="236" t="s">
        <v>44</v>
      </c>
      <c r="L2144" s="233">
        <v>3003181903</v>
      </c>
      <c r="M2144" s="234"/>
      <c r="N2144" s="216" t="s">
        <v>8021</v>
      </c>
      <c r="O2144" s="235" t="s">
        <v>2797</v>
      </c>
      <c r="P2144" s="237" t="s">
        <v>8022</v>
      </c>
      <c r="Q2144" s="241">
        <v>46213</v>
      </c>
      <c r="R2144" s="216" t="s">
        <v>7837</v>
      </c>
      <c r="S2144" s="240" t="s">
        <v>49</v>
      </c>
      <c r="T2144" s="111"/>
      <c r="U2144" s="235" t="s">
        <v>60</v>
      </c>
      <c r="V2144" s="241"/>
      <c r="W2144" s="243"/>
      <c r="X2144" s="240"/>
      <c r="Y2144" s="111"/>
      <c r="Z2144" s="235"/>
      <c r="AA2144" s="111"/>
      <c r="AB2144" s="111"/>
      <c r="AC2144" s="111"/>
      <c r="AD2144" s="111"/>
      <c r="AE2144" s="111"/>
      <c r="AF2144" s="111"/>
      <c r="AG2144" s="111"/>
      <c r="AH2144" s="111"/>
      <c r="AI2144" s="111"/>
      <c r="AJ2144" s="111"/>
      <c r="AK2144" s="111"/>
      <c r="AL2144" s="111"/>
      <c r="AM2144" s="111"/>
      <c r="AN2144" s="111"/>
      <c r="AO2144" s="111"/>
      <c r="AP2144" s="111"/>
      <c r="AQ2144" s="111"/>
      <c r="AR2144" s="111"/>
      <c r="AS2144" s="111"/>
      <c r="AT2144" s="111"/>
      <c r="AU2144" s="235" t="s">
        <v>53</v>
      </c>
      <c r="AV2144" s="111"/>
      <c r="AW2144" s="111"/>
      <c r="AX2144" s="111"/>
      <c r="AY2144" s="111"/>
      <c r="AZ2144" s="111"/>
      <c r="BA2144" s="111"/>
      <c r="BB2144" s="220"/>
    </row>
    <row r="2145" spans="1:54" s="12" customFormat="1" ht="16.5" hidden="1" customHeight="1" x14ac:dyDescent="0.3">
      <c r="A2145" s="235" t="s">
        <v>505</v>
      </c>
      <c r="B2145" s="235" t="s">
        <v>505</v>
      </c>
      <c r="C2145" s="111">
        <v>70</v>
      </c>
      <c r="D2145" s="111">
        <v>771</v>
      </c>
      <c r="E2145" s="111"/>
      <c r="F2145" s="286" t="s">
        <v>9676</v>
      </c>
      <c r="G2145" s="232" t="str">
        <f t="shared" si="52"/>
        <v>7077123196473</v>
      </c>
      <c r="H2145" s="236" t="s">
        <v>9677</v>
      </c>
      <c r="I2145" s="119">
        <v>23196473</v>
      </c>
      <c r="J2145" s="119" t="s">
        <v>9645</v>
      </c>
      <c r="K2145" s="236" t="s">
        <v>44</v>
      </c>
      <c r="L2145" s="233">
        <v>3043856253</v>
      </c>
      <c r="M2145" s="234"/>
      <c r="N2145" s="216" t="s">
        <v>8021</v>
      </c>
      <c r="O2145" s="235" t="s">
        <v>2797</v>
      </c>
      <c r="P2145" s="237" t="s">
        <v>80</v>
      </c>
      <c r="Q2145" s="388">
        <v>46186</v>
      </c>
      <c r="R2145" s="146">
        <v>83</v>
      </c>
      <c r="S2145" s="240" t="s">
        <v>49</v>
      </c>
      <c r="T2145" s="111"/>
      <c r="U2145" s="235" t="s">
        <v>60</v>
      </c>
      <c r="V2145" s="241"/>
      <c r="W2145" s="243"/>
      <c r="X2145" s="240"/>
      <c r="Y2145" s="111"/>
      <c r="Z2145" s="235"/>
      <c r="AA2145" s="111"/>
      <c r="AB2145" s="111"/>
      <c r="AC2145" s="111"/>
      <c r="AD2145" s="111"/>
      <c r="AE2145" s="111"/>
      <c r="AF2145" s="111"/>
      <c r="AG2145" s="111"/>
      <c r="AH2145" s="111"/>
      <c r="AI2145" s="111"/>
      <c r="AJ2145" s="111"/>
      <c r="AK2145" s="111"/>
      <c r="AL2145" s="111"/>
      <c r="AM2145" s="111"/>
      <c r="AN2145" s="111"/>
      <c r="AO2145" s="111"/>
      <c r="AP2145" s="111"/>
      <c r="AQ2145" s="111"/>
      <c r="AR2145" s="111"/>
      <c r="AS2145" s="111"/>
      <c r="AT2145" s="111"/>
      <c r="AU2145" s="235" t="s">
        <v>53</v>
      </c>
      <c r="AV2145" s="111"/>
      <c r="AW2145" s="111"/>
      <c r="AX2145" s="111"/>
      <c r="AY2145" s="111"/>
      <c r="AZ2145" s="111"/>
      <c r="BA2145" s="111"/>
      <c r="BB2145" s="220"/>
    </row>
    <row r="2146" spans="1:54" s="12" customFormat="1" ht="16.5" customHeight="1" x14ac:dyDescent="0.3">
      <c r="A2146" s="235" t="s">
        <v>505</v>
      </c>
      <c r="B2146" s="235" t="s">
        <v>505</v>
      </c>
      <c r="C2146" s="111">
        <v>70</v>
      </c>
      <c r="D2146" s="111">
        <v>771</v>
      </c>
      <c r="E2146" s="111"/>
      <c r="F2146" s="286" t="s">
        <v>8135</v>
      </c>
      <c r="G2146" s="232" t="str">
        <f t="shared" si="52"/>
        <v>7077164928558</v>
      </c>
      <c r="H2146" s="119" t="s">
        <v>9670</v>
      </c>
      <c r="I2146" s="119">
        <v>64928558</v>
      </c>
      <c r="J2146" s="119" t="s">
        <v>9671</v>
      </c>
      <c r="K2146" s="236" t="s">
        <v>44</v>
      </c>
      <c r="L2146" s="233">
        <v>3145586369</v>
      </c>
      <c r="M2146" s="234"/>
      <c r="N2146" s="216" t="s">
        <v>8021</v>
      </c>
      <c r="O2146" s="235" t="s">
        <v>47</v>
      </c>
      <c r="P2146" s="237" t="s">
        <v>48</v>
      </c>
      <c r="Q2146" s="362">
        <v>46214</v>
      </c>
      <c r="R2146" s="215">
        <v>82</v>
      </c>
      <c r="S2146" s="240" t="s">
        <v>49</v>
      </c>
      <c r="T2146" s="111"/>
      <c r="U2146" s="235" t="s">
        <v>50</v>
      </c>
      <c r="V2146" s="241">
        <v>45496</v>
      </c>
      <c r="W2146" s="243">
        <v>0.84</v>
      </c>
      <c r="X2146" s="240" t="s">
        <v>49</v>
      </c>
      <c r="Y2146" s="111"/>
      <c r="Z2146" s="235" t="s">
        <v>60</v>
      </c>
      <c r="AA2146" s="111"/>
      <c r="AB2146" s="111"/>
      <c r="AC2146" s="111"/>
      <c r="AD2146" s="111"/>
      <c r="AE2146" s="111"/>
      <c r="AF2146" s="111"/>
      <c r="AG2146" s="111"/>
      <c r="AH2146" s="111"/>
      <c r="AI2146" s="111"/>
      <c r="AJ2146" s="111"/>
      <c r="AK2146" s="111"/>
      <c r="AL2146" s="111"/>
      <c r="AM2146" s="111"/>
      <c r="AN2146" s="111"/>
      <c r="AO2146" s="111"/>
      <c r="AP2146" s="111"/>
      <c r="AQ2146" s="111"/>
      <c r="AR2146" s="111"/>
      <c r="AS2146" s="111"/>
      <c r="AT2146" s="111"/>
      <c r="AU2146" s="235" t="s">
        <v>1208</v>
      </c>
      <c r="AV2146" s="111"/>
      <c r="AW2146" s="111"/>
      <c r="AX2146" s="111"/>
      <c r="AY2146" s="111"/>
      <c r="AZ2146" s="111"/>
      <c r="BA2146" s="111"/>
      <c r="BB2146" s="220"/>
    </row>
    <row r="2147" spans="1:54" s="12" customFormat="1" ht="16.5" hidden="1" customHeight="1" x14ac:dyDescent="0.3">
      <c r="A2147" s="235" t="s">
        <v>505</v>
      </c>
      <c r="B2147" s="235" t="s">
        <v>505</v>
      </c>
      <c r="C2147" s="111">
        <v>70</v>
      </c>
      <c r="D2147" s="111">
        <v>771</v>
      </c>
      <c r="E2147" s="111" t="s">
        <v>9612</v>
      </c>
      <c r="F2147" s="286" t="s">
        <v>8136</v>
      </c>
      <c r="G2147" s="232" t="str">
        <f t="shared" si="52"/>
        <v>707718230016973</v>
      </c>
      <c r="H2147" s="119" t="s">
        <v>9613</v>
      </c>
      <c r="I2147" s="119">
        <v>8230016973</v>
      </c>
      <c r="J2147" s="119" t="s">
        <v>8222</v>
      </c>
      <c r="K2147" s="236" t="s">
        <v>133</v>
      </c>
      <c r="L2147" s="233">
        <v>3218464131</v>
      </c>
      <c r="M2147" s="234"/>
      <c r="N2147" s="216" t="s">
        <v>127</v>
      </c>
      <c r="O2147" s="235" t="s">
        <v>2822</v>
      </c>
      <c r="P2147" s="237" t="s">
        <v>48</v>
      </c>
      <c r="Q2147" s="13">
        <v>46125</v>
      </c>
      <c r="R2147" s="12">
        <v>85</v>
      </c>
      <c r="S2147" s="240" t="s">
        <v>49</v>
      </c>
      <c r="T2147" s="111"/>
      <c r="U2147" s="235" t="s">
        <v>50</v>
      </c>
      <c r="V2147" s="241">
        <v>45527</v>
      </c>
      <c r="W2147" s="243" t="s">
        <v>176</v>
      </c>
      <c r="X2147" s="240" t="s">
        <v>49</v>
      </c>
      <c r="Y2147" s="111"/>
      <c r="Z2147" s="235" t="s">
        <v>60</v>
      </c>
      <c r="AA2147" s="111"/>
      <c r="AB2147" s="111"/>
      <c r="AC2147" s="111"/>
      <c r="AD2147" s="111"/>
      <c r="AE2147" s="111"/>
      <c r="AF2147" s="111"/>
      <c r="AG2147" s="111"/>
      <c r="AH2147" s="111"/>
      <c r="AI2147" s="111"/>
      <c r="AJ2147" s="111"/>
      <c r="AK2147" s="111"/>
      <c r="AL2147" s="111"/>
      <c r="AM2147" s="111"/>
      <c r="AN2147" s="111"/>
      <c r="AO2147" s="111"/>
      <c r="AP2147" s="111"/>
      <c r="AQ2147" s="111"/>
      <c r="AR2147" s="111"/>
      <c r="AS2147" s="111"/>
      <c r="AT2147" s="111"/>
      <c r="AU2147" s="235" t="s">
        <v>1208</v>
      </c>
      <c r="AV2147" s="111"/>
      <c r="AW2147" s="111"/>
      <c r="AX2147" s="111"/>
      <c r="AY2147" s="111"/>
      <c r="AZ2147" s="111"/>
      <c r="BA2147" s="111"/>
      <c r="BB2147" s="220"/>
    </row>
    <row r="2148" spans="1:54" s="12" customFormat="1" ht="16.5" hidden="1" customHeight="1" x14ac:dyDescent="0.3">
      <c r="A2148" s="235" t="s">
        <v>505</v>
      </c>
      <c r="B2148" s="235" t="s">
        <v>505</v>
      </c>
      <c r="C2148" s="111">
        <v>70</v>
      </c>
      <c r="D2148" s="111">
        <v>771</v>
      </c>
      <c r="E2148" s="111"/>
      <c r="F2148" s="217" t="s">
        <v>8137</v>
      </c>
      <c r="G2148" s="232" t="str">
        <f t="shared" si="52"/>
        <v>70771901219075-2</v>
      </c>
      <c r="H2148" s="119" t="s">
        <v>7992</v>
      </c>
      <c r="I2148" s="119" t="s">
        <v>7995</v>
      </c>
      <c r="J2148" s="119" t="s">
        <v>2586</v>
      </c>
      <c r="K2148" s="236" t="s">
        <v>133</v>
      </c>
      <c r="L2148" s="233"/>
      <c r="M2148" s="234"/>
      <c r="N2148" s="216" t="s">
        <v>127</v>
      </c>
      <c r="O2148" s="235" t="s">
        <v>2822</v>
      </c>
      <c r="P2148" s="237" t="s">
        <v>48</v>
      </c>
      <c r="Q2148" s="241">
        <v>45525</v>
      </c>
      <c r="R2148" s="243">
        <v>0.77</v>
      </c>
      <c r="S2148" s="240" t="s">
        <v>49</v>
      </c>
      <c r="T2148" s="111"/>
      <c r="U2148" s="235" t="s">
        <v>50</v>
      </c>
      <c r="V2148" s="111"/>
      <c r="W2148" s="111"/>
      <c r="X2148" s="111"/>
      <c r="Y2148" s="111"/>
      <c r="Z2148" s="111"/>
      <c r="AA2148" s="111"/>
      <c r="AB2148" s="111"/>
      <c r="AC2148" s="111"/>
      <c r="AD2148" s="111"/>
      <c r="AE2148" s="111"/>
      <c r="AF2148" s="111"/>
      <c r="AG2148" s="111"/>
      <c r="AH2148" s="111"/>
      <c r="AI2148" s="111"/>
      <c r="AJ2148" s="111"/>
      <c r="AK2148" s="111"/>
      <c r="AL2148" s="111"/>
      <c r="AM2148" s="111"/>
      <c r="AN2148" s="111"/>
      <c r="AO2148" s="111"/>
      <c r="AP2148" s="111"/>
      <c r="AQ2148" s="111"/>
      <c r="AR2148" s="111"/>
      <c r="AS2148" s="111"/>
      <c r="AT2148" s="111"/>
      <c r="AU2148" s="235" t="s">
        <v>1208</v>
      </c>
      <c r="AV2148" s="111"/>
      <c r="AW2148" s="111"/>
      <c r="AX2148" s="111"/>
      <c r="AY2148" s="111"/>
      <c r="AZ2148" s="111"/>
      <c r="BA2148" s="111"/>
      <c r="BB2148" s="220"/>
    </row>
    <row r="2149" spans="1:54" s="12" customFormat="1" ht="16.5" hidden="1" customHeight="1" x14ac:dyDescent="0.3">
      <c r="A2149" s="235" t="s">
        <v>505</v>
      </c>
      <c r="B2149" s="235" t="s">
        <v>505</v>
      </c>
      <c r="C2149" s="111">
        <v>70</v>
      </c>
      <c r="D2149" s="111">
        <v>771</v>
      </c>
      <c r="E2149" s="111"/>
      <c r="F2149" s="217" t="s">
        <v>8138</v>
      </c>
      <c r="G2149" s="232" t="str">
        <f t="shared" si="52"/>
        <v>707711102583097</v>
      </c>
      <c r="H2149" s="119" t="s">
        <v>8185</v>
      </c>
      <c r="I2149" s="119">
        <v>1102583097</v>
      </c>
      <c r="J2149" s="119" t="s">
        <v>8223</v>
      </c>
      <c r="K2149" s="236" t="s">
        <v>230</v>
      </c>
      <c r="L2149" s="233"/>
      <c r="M2149" s="234"/>
      <c r="N2149" s="216" t="s">
        <v>780</v>
      </c>
      <c r="O2149" s="235" t="s">
        <v>260</v>
      </c>
      <c r="P2149" s="237" t="s">
        <v>80</v>
      </c>
      <c r="Q2149" s="241">
        <v>45539</v>
      </c>
      <c r="R2149" s="243">
        <v>0.89500000000000002</v>
      </c>
      <c r="S2149" s="240" t="s">
        <v>210</v>
      </c>
      <c r="T2149" s="111"/>
      <c r="U2149" s="235" t="s">
        <v>50</v>
      </c>
      <c r="V2149" s="111"/>
      <c r="W2149" s="111"/>
      <c r="X2149" s="111"/>
      <c r="Y2149" s="111"/>
      <c r="Z2149" s="111"/>
      <c r="AA2149" s="111"/>
      <c r="AB2149" s="111"/>
      <c r="AC2149" s="111"/>
      <c r="AD2149" s="111"/>
      <c r="AE2149" s="111"/>
      <c r="AF2149" s="111"/>
      <c r="AG2149" s="111"/>
      <c r="AH2149" s="111"/>
      <c r="AI2149" s="111"/>
      <c r="AJ2149" s="111"/>
      <c r="AK2149" s="111"/>
      <c r="AL2149" s="111"/>
      <c r="AM2149" s="111"/>
      <c r="AN2149" s="111"/>
      <c r="AO2149" s="111"/>
      <c r="AP2149" s="111"/>
      <c r="AQ2149" s="111"/>
      <c r="AR2149" s="111"/>
      <c r="AS2149" s="111"/>
      <c r="AT2149" s="111"/>
      <c r="AU2149" s="235" t="s">
        <v>1208</v>
      </c>
      <c r="AV2149" s="111"/>
      <c r="AW2149" s="111"/>
      <c r="AX2149" s="111"/>
      <c r="AY2149" s="111"/>
      <c r="AZ2149" s="111"/>
      <c r="BA2149" s="111"/>
      <c r="BB2149" s="220"/>
    </row>
    <row r="2150" spans="1:54" s="12" customFormat="1" ht="16.5" customHeight="1" x14ac:dyDescent="0.3">
      <c r="A2150" s="235" t="s">
        <v>505</v>
      </c>
      <c r="B2150" s="235" t="s">
        <v>505</v>
      </c>
      <c r="C2150" s="111">
        <v>70</v>
      </c>
      <c r="D2150" s="111">
        <v>771</v>
      </c>
      <c r="E2150" s="111"/>
      <c r="F2150" s="286" t="s">
        <v>9660</v>
      </c>
      <c r="G2150" s="232" t="str">
        <f t="shared" si="52"/>
        <v>7077123197470</v>
      </c>
      <c r="H2150" s="236" t="s">
        <v>9662</v>
      </c>
      <c r="I2150" s="119">
        <v>23197470</v>
      </c>
      <c r="J2150" s="119" t="s">
        <v>9661</v>
      </c>
      <c r="K2150" s="236" t="s">
        <v>44</v>
      </c>
      <c r="L2150" s="233">
        <v>3116300292</v>
      </c>
      <c r="M2150" s="234"/>
      <c r="N2150" s="216" t="s">
        <v>8021</v>
      </c>
      <c r="O2150" s="235" t="s">
        <v>47</v>
      </c>
      <c r="P2150" s="237" t="s">
        <v>48</v>
      </c>
      <c r="Q2150" s="241">
        <v>46197</v>
      </c>
      <c r="R2150" s="216" t="s">
        <v>8538</v>
      </c>
      <c r="S2150" s="240" t="s">
        <v>49</v>
      </c>
      <c r="T2150" s="111"/>
      <c r="U2150" s="235" t="s">
        <v>60</v>
      </c>
      <c r="V2150" s="111"/>
      <c r="W2150" s="111"/>
      <c r="X2150" s="111"/>
      <c r="Y2150" s="111"/>
      <c r="Z2150" s="111"/>
      <c r="AA2150" s="111"/>
      <c r="AB2150" s="111"/>
      <c r="AC2150" s="111"/>
      <c r="AD2150" s="111"/>
      <c r="AE2150" s="111"/>
      <c r="AF2150" s="111"/>
      <c r="AG2150" s="111"/>
      <c r="AH2150" s="111"/>
      <c r="AI2150" s="111"/>
      <c r="AJ2150" s="111"/>
      <c r="AK2150" s="111"/>
      <c r="AL2150" s="111"/>
      <c r="AM2150" s="111"/>
      <c r="AN2150" s="111"/>
      <c r="AO2150" s="111"/>
      <c r="AP2150" s="111"/>
      <c r="AQ2150" s="111"/>
      <c r="AR2150" s="111"/>
      <c r="AS2150" s="111"/>
      <c r="AT2150" s="111"/>
      <c r="AU2150" s="235" t="s">
        <v>53</v>
      </c>
      <c r="AV2150" s="111"/>
      <c r="AW2150" s="111"/>
      <c r="AX2150" s="111"/>
      <c r="AY2150" s="111"/>
      <c r="AZ2150" s="111"/>
      <c r="BA2150" s="111"/>
      <c r="BB2150" s="220"/>
    </row>
    <row r="2151" spans="1:54" s="12" customFormat="1" ht="16.5" customHeight="1" x14ac:dyDescent="0.3">
      <c r="A2151" s="235" t="s">
        <v>505</v>
      </c>
      <c r="B2151" s="235" t="s">
        <v>505</v>
      </c>
      <c r="C2151" s="111">
        <v>70</v>
      </c>
      <c r="D2151" s="111">
        <v>771</v>
      </c>
      <c r="E2151" s="111"/>
      <c r="F2151" s="286" t="s">
        <v>8139</v>
      </c>
      <c r="G2151" s="232" t="str">
        <f t="shared" si="52"/>
        <v>7077164929819</v>
      </c>
      <c r="H2151" s="119" t="s">
        <v>9675</v>
      </c>
      <c r="I2151" s="119">
        <v>64929819</v>
      </c>
      <c r="J2151" s="119" t="s">
        <v>8216</v>
      </c>
      <c r="K2151" s="236" t="s">
        <v>44</v>
      </c>
      <c r="L2151" s="233">
        <v>3043982575</v>
      </c>
      <c r="M2151" s="234"/>
      <c r="N2151" s="216" t="s">
        <v>8021</v>
      </c>
      <c r="O2151" s="235" t="s">
        <v>47</v>
      </c>
      <c r="P2151" s="237" t="s">
        <v>48</v>
      </c>
      <c r="Q2151" s="13">
        <v>46218</v>
      </c>
      <c r="R2151" s="12">
        <v>83</v>
      </c>
      <c r="S2151" s="240" t="s">
        <v>49</v>
      </c>
      <c r="U2151" s="12" t="s">
        <v>60</v>
      </c>
      <c r="V2151" s="241">
        <v>45449</v>
      </c>
      <c r="W2151" s="243" t="s">
        <v>167</v>
      </c>
      <c r="X2151" s="240" t="s">
        <v>49</v>
      </c>
      <c r="Y2151" s="111"/>
      <c r="Z2151" s="235" t="s">
        <v>50</v>
      </c>
      <c r="AA2151" s="111"/>
      <c r="AB2151" s="111"/>
      <c r="AC2151" s="111"/>
      <c r="AD2151" s="111"/>
      <c r="AE2151" s="111"/>
      <c r="AF2151" s="111"/>
      <c r="AG2151" s="111"/>
      <c r="AH2151" s="111"/>
      <c r="AI2151" s="111"/>
      <c r="AJ2151" s="111"/>
      <c r="AK2151" s="111"/>
      <c r="AL2151" s="111"/>
      <c r="AM2151" s="111"/>
      <c r="AN2151" s="111"/>
      <c r="AO2151" s="111"/>
      <c r="AP2151" s="111"/>
      <c r="AQ2151" s="111"/>
      <c r="AR2151" s="111"/>
      <c r="AS2151" s="111"/>
      <c r="AT2151" s="111"/>
      <c r="AU2151" s="235" t="s">
        <v>1208</v>
      </c>
      <c r="AV2151" s="111"/>
      <c r="AW2151" s="111"/>
      <c r="AX2151" s="111"/>
      <c r="AY2151" s="111"/>
      <c r="AZ2151" s="111"/>
      <c r="BA2151" s="111"/>
      <c r="BB2151" s="220"/>
    </row>
    <row r="2152" spans="1:54" s="12" customFormat="1" ht="16.5" customHeight="1" x14ac:dyDescent="0.3">
      <c r="A2152" s="235" t="s">
        <v>505</v>
      </c>
      <c r="B2152" s="235" t="s">
        <v>505</v>
      </c>
      <c r="C2152" s="111">
        <v>70</v>
      </c>
      <c r="D2152" s="111">
        <v>771</v>
      </c>
      <c r="E2152" s="111"/>
      <c r="F2152" s="286" t="s">
        <v>8140</v>
      </c>
      <c r="G2152" s="232" t="str">
        <f t="shared" si="52"/>
        <v>7077128488565</v>
      </c>
      <c r="H2152" s="119" t="s">
        <v>9625</v>
      </c>
      <c r="I2152" s="119">
        <v>28488565</v>
      </c>
      <c r="J2152" s="119" t="s">
        <v>9626</v>
      </c>
      <c r="K2152" s="236" t="s">
        <v>44</v>
      </c>
      <c r="L2152" s="233">
        <v>3137673377</v>
      </c>
      <c r="M2152" s="234"/>
      <c r="N2152" s="216" t="s">
        <v>8021</v>
      </c>
      <c r="O2152" s="235" t="s">
        <v>47</v>
      </c>
      <c r="P2152" s="237" t="s">
        <v>48</v>
      </c>
      <c r="Q2152" s="13">
        <v>46148</v>
      </c>
      <c r="R2152" s="12">
        <v>74</v>
      </c>
      <c r="S2152" s="240" t="s">
        <v>49</v>
      </c>
      <c r="T2152" s="111"/>
      <c r="U2152" s="235" t="s">
        <v>50</v>
      </c>
      <c r="V2152" s="241">
        <v>45462</v>
      </c>
      <c r="W2152" s="243" t="s">
        <v>167</v>
      </c>
      <c r="X2152" s="240" t="s">
        <v>49</v>
      </c>
      <c r="Y2152" s="111"/>
      <c r="Z2152" s="235" t="s">
        <v>60</v>
      </c>
      <c r="AA2152" s="111"/>
      <c r="AB2152" s="111"/>
      <c r="AC2152" s="111"/>
      <c r="AD2152" s="111"/>
      <c r="AE2152" s="111"/>
      <c r="AF2152" s="111"/>
      <c r="AG2152" s="111"/>
      <c r="AH2152" s="111"/>
      <c r="AI2152" s="111"/>
      <c r="AJ2152" s="111"/>
      <c r="AK2152" s="111"/>
      <c r="AL2152" s="111"/>
      <c r="AM2152" s="111"/>
      <c r="AN2152" s="111"/>
      <c r="AO2152" s="111"/>
      <c r="AP2152" s="111"/>
      <c r="AQ2152" s="111"/>
      <c r="AR2152" s="111"/>
      <c r="AS2152" s="111"/>
      <c r="AT2152" s="111"/>
      <c r="AU2152" s="235" t="s">
        <v>1208</v>
      </c>
      <c r="AV2152" s="111"/>
      <c r="AW2152" s="111"/>
      <c r="AX2152" s="111"/>
      <c r="AY2152" s="111"/>
      <c r="AZ2152" s="111"/>
      <c r="BA2152" s="111"/>
      <c r="BB2152" s="220"/>
    </row>
    <row r="2153" spans="1:54" s="12" customFormat="1" ht="16.5" hidden="1" customHeight="1" x14ac:dyDescent="0.3">
      <c r="A2153" s="235" t="s">
        <v>505</v>
      </c>
      <c r="B2153" s="235" t="s">
        <v>505</v>
      </c>
      <c r="C2153" s="111">
        <v>70</v>
      </c>
      <c r="D2153" s="111">
        <v>771</v>
      </c>
      <c r="E2153" s="111"/>
      <c r="F2153" s="217" t="s">
        <v>8141</v>
      </c>
      <c r="G2153" s="232" t="str">
        <f t="shared" si="52"/>
        <v>707719195122</v>
      </c>
      <c r="H2153" s="119" t="s">
        <v>8186</v>
      </c>
      <c r="I2153" s="119">
        <v>9195122</v>
      </c>
      <c r="J2153" s="119" t="s">
        <v>8224</v>
      </c>
      <c r="K2153" s="236" t="s">
        <v>230</v>
      </c>
      <c r="L2153" s="233"/>
      <c r="M2153" s="234"/>
      <c r="N2153" s="216" t="s">
        <v>432</v>
      </c>
      <c r="O2153" s="235" t="s">
        <v>432</v>
      </c>
      <c r="P2153" s="237" t="s">
        <v>261</v>
      </c>
      <c r="Q2153" s="241">
        <v>45609</v>
      </c>
      <c r="R2153" s="243">
        <v>0.86</v>
      </c>
      <c r="S2153" s="240" t="s">
        <v>49</v>
      </c>
      <c r="T2153" s="111"/>
      <c r="U2153" s="235" t="s">
        <v>50</v>
      </c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  <c r="AG2153" s="111"/>
      <c r="AH2153" s="111"/>
      <c r="AI2153" s="111"/>
      <c r="AJ2153" s="111"/>
      <c r="AK2153" s="111"/>
      <c r="AL2153" s="111"/>
      <c r="AM2153" s="111"/>
      <c r="AN2153" s="111"/>
      <c r="AO2153" s="111"/>
      <c r="AP2153" s="111"/>
      <c r="AQ2153" s="111"/>
      <c r="AR2153" s="111"/>
      <c r="AS2153" s="111"/>
      <c r="AT2153" s="111"/>
      <c r="AU2153" s="235" t="s">
        <v>1208</v>
      </c>
      <c r="AV2153" s="111"/>
      <c r="AW2153" s="111"/>
      <c r="AX2153" s="111"/>
      <c r="AY2153" s="111"/>
      <c r="AZ2153" s="111"/>
      <c r="BA2153" s="111"/>
      <c r="BB2153" s="220"/>
    </row>
    <row r="2154" spans="1:54" s="12" customFormat="1" ht="16.5" hidden="1" customHeight="1" x14ac:dyDescent="0.3">
      <c r="A2154" s="235" t="s">
        <v>505</v>
      </c>
      <c r="B2154" s="235" t="s">
        <v>505</v>
      </c>
      <c r="C2154" s="111">
        <v>70</v>
      </c>
      <c r="D2154" s="111">
        <v>771</v>
      </c>
      <c r="E2154" s="235" t="s">
        <v>8651</v>
      </c>
      <c r="F2154" s="286" t="s">
        <v>8666</v>
      </c>
      <c r="G2154" s="232" t="str">
        <f t="shared" si="52"/>
        <v>707718230016973</v>
      </c>
      <c r="H2154" s="236" t="s">
        <v>8652</v>
      </c>
      <c r="I2154" s="119">
        <v>8230016973</v>
      </c>
      <c r="J2154" s="236" t="s">
        <v>8667</v>
      </c>
      <c r="K2154" s="236" t="s">
        <v>133</v>
      </c>
      <c r="L2154" s="233">
        <v>3215255528</v>
      </c>
      <c r="M2154" s="234" t="s">
        <v>9611</v>
      </c>
      <c r="N2154" s="216" t="s">
        <v>127</v>
      </c>
      <c r="O2154" s="235" t="s">
        <v>2822</v>
      </c>
      <c r="P2154" s="237" t="s">
        <v>48</v>
      </c>
      <c r="Q2154" s="13">
        <v>46097</v>
      </c>
      <c r="R2154" s="12" t="s">
        <v>1906</v>
      </c>
      <c r="S2154" s="240" t="s">
        <v>49</v>
      </c>
      <c r="T2154" s="111"/>
      <c r="U2154" s="235" t="s">
        <v>50</v>
      </c>
      <c r="V2154" s="287">
        <v>45751</v>
      </c>
      <c r="W2154" s="235" t="s">
        <v>1937</v>
      </c>
      <c r="X2154" s="235" t="s">
        <v>49</v>
      </c>
      <c r="Y2154" s="111"/>
      <c r="Z2154" s="235" t="s">
        <v>60</v>
      </c>
      <c r="AA2154" s="111"/>
      <c r="AB2154" s="111"/>
      <c r="AC2154" s="241">
        <v>45510</v>
      </c>
      <c r="AD2154" s="243" t="s">
        <v>176</v>
      </c>
      <c r="AE2154" s="240" t="s">
        <v>49</v>
      </c>
      <c r="AF2154" s="235" t="s">
        <v>60</v>
      </c>
      <c r="AG2154" s="111"/>
      <c r="AH2154" s="111"/>
      <c r="AI2154" s="111"/>
      <c r="AJ2154" s="111"/>
      <c r="AK2154" s="111"/>
      <c r="AL2154" s="111"/>
      <c r="AM2154" s="111"/>
      <c r="AN2154" s="111"/>
      <c r="AO2154" s="111"/>
      <c r="AP2154" s="111"/>
      <c r="AQ2154" s="111"/>
      <c r="AR2154" s="111"/>
      <c r="AS2154" s="111"/>
      <c r="AT2154" s="111"/>
      <c r="AU2154" s="235" t="s">
        <v>1208</v>
      </c>
      <c r="AV2154" s="111"/>
      <c r="AW2154" s="111"/>
      <c r="AX2154" s="111"/>
      <c r="AY2154" s="111"/>
      <c r="AZ2154" s="111"/>
      <c r="BA2154" s="111"/>
      <c r="BB2154" s="220"/>
    </row>
    <row r="2155" spans="1:54" s="12" customFormat="1" ht="16.5" hidden="1" customHeight="1" x14ac:dyDescent="0.3">
      <c r="A2155" s="235" t="s">
        <v>505</v>
      </c>
      <c r="B2155" s="235" t="s">
        <v>505</v>
      </c>
      <c r="C2155" s="111">
        <v>70</v>
      </c>
      <c r="D2155" s="111">
        <v>771</v>
      </c>
      <c r="E2155" s="111" t="s">
        <v>9627</v>
      </c>
      <c r="F2155" s="286" t="s">
        <v>8142</v>
      </c>
      <c r="G2155" s="232" t="str">
        <f t="shared" si="52"/>
        <v>70771823002060</v>
      </c>
      <c r="H2155" s="236" t="s">
        <v>8660</v>
      </c>
      <c r="I2155" s="119">
        <v>823002060</v>
      </c>
      <c r="J2155" s="119" t="s">
        <v>8225</v>
      </c>
      <c r="K2155" s="236" t="s">
        <v>133</v>
      </c>
      <c r="L2155" s="233">
        <v>3212224053</v>
      </c>
      <c r="M2155" s="234"/>
      <c r="N2155" s="216" t="s">
        <v>127</v>
      </c>
      <c r="O2155" s="235" t="s">
        <v>2822</v>
      </c>
      <c r="P2155" s="237" t="s">
        <v>48</v>
      </c>
      <c r="Q2155" s="13">
        <v>46157</v>
      </c>
      <c r="R2155" s="12">
        <v>85</v>
      </c>
      <c r="S2155" s="240" t="s">
        <v>49</v>
      </c>
      <c r="T2155" s="111"/>
      <c r="U2155" s="235" t="s">
        <v>50</v>
      </c>
      <c r="V2155" s="241">
        <v>45526</v>
      </c>
      <c r="W2155" s="243" t="s">
        <v>176</v>
      </c>
      <c r="X2155" s="240" t="s">
        <v>49</v>
      </c>
      <c r="Y2155" s="111"/>
      <c r="Z2155" s="235" t="s">
        <v>60</v>
      </c>
      <c r="AA2155" s="111"/>
      <c r="AB2155" s="111"/>
      <c r="AC2155" s="111"/>
      <c r="AD2155" s="111"/>
      <c r="AE2155" s="111"/>
      <c r="AF2155" s="111"/>
      <c r="AG2155" s="111"/>
      <c r="AH2155" s="111"/>
      <c r="AI2155" s="111"/>
      <c r="AJ2155" s="111"/>
      <c r="AK2155" s="111"/>
      <c r="AL2155" s="111"/>
      <c r="AM2155" s="111"/>
      <c r="AN2155" s="111"/>
      <c r="AO2155" s="111"/>
      <c r="AP2155" s="111"/>
      <c r="AQ2155" s="111"/>
      <c r="AR2155" s="111"/>
      <c r="AS2155" s="111"/>
      <c r="AT2155" s="111"/>
      <c r="AU2155" s="235" t="s">
        <v>1208</v>
      </c>
      <c r="AV2155" s="111"/>
      <c r="AW2155" s="111"/>
      <c r="AX2155" s="111"/>
      <c r="AY2155" s="111"/>
      <c r="AZ2155" s="111"/>
      <c r="BA2155" s="111"/>
      <c r="BB2155" s="220"/>
    </row>
    <row r="2156" spans="1:54" s="12" customFormat="1" ht="16.5" hidden="1" customHeight="1" x14ac:dyDescent="0.3">
      <c r="A2156" s="235" t="s">
        <v>505</v>
      </c>
      <c r="B2156" s="235" t="s">
        <v>505</v>
      </c>
      <c r="C2156" s="111">
        <v>70</v>
      </c>
      <c r="D2156" s="111">
        <v>771</v>
      </c>
      <c r="E2156" s="111" t="s">
        <v>9612</v>
      </c>
      <c r="F2156" s="286" t="s">
        <v>8143</v>
      </c>
      <c r="G2156" s="232" t="str">
        <f t="shared" si="52"/>
        <v>70771823002060</v>
      </c>
      <c r="H2156" s="119" t="s">
        <v>8660</v>
      </c>
      <c r="I2156" s="119">
        <v>823002060</v>
      </c>
      <c r="J2156" s="119" t="s">
        <v>2591</v>
      </c>
      <c r="K2156" s="236" t="s">
        <v>230</v>
      </c>
      <c r="L2156" s="233">
        <v>3217040047</v>
      </c>
      <c r="M2156" s="234"/>
      <c r="N2156" s="216" t="s">
        <v>127</v>
      </c>
      <c r="O2156" s="235" t="s">
        <v>2822</v>
      </c>
      <c r="P2156" s="237" t="s">
        <v>48</v>
      </c>
      <c r="Q2156" s="241">
        <v>46125</v>
      </c>
      <c r="R2156" s="216">
        <v>83</v>
      </c>
      <c r="S2156" s="240" t="s">
        <v>49</v>
      </c>
      <c r="T2156" s="111"/>
      <c r="U2156" s="235" t="s">
        <v>50</v>
      </c>
      <c r="V2156" s="287">
        <v>45463</v>
      </c>
      <c r="W2156" s="386" t="s">
        <v>1906</v>
      </c>
      <c r="X2156" s="111" t="s">
        <v>49</v>
      </c>
      <c r="Y2156" s="111"/>
      <c r="Z2156" s="235" t="s">
        <v>60</v>
      </c>
      <c r="AA2156" s="111"/>
      <c r="AB2156" s="111"/>
      <c r="AC2156" s="111"/>
      <c r="AD2156" s="111"/>
      <c r="AE2156" s="111"/>
      <c r="AF2156" s="111"/>
      <c r="AG2156" s="111"/>
      <c r="AH2156" s="111"/>
      <c r="AI2156" s="111"/>
      <c r="AJ2156" s="111"/>
      <c r="AK2156" s="111"/>
      <c r="AL2156" s="111"/>
      <c r="AM2156" s="111"/>
      <c r="AN2156" s="111"/>
      <c r="AO2156" s="111"/>
      <c r="AP2156" s="111"/>
      <c r="AQ2156" s="111"/>
      <c r="AR2156" s="111"/>
      <c r="AS2156" s="111"/>
      <c r="AT2156" s="111"/>
      <c r="AU2156" s="235" t="s">
        <v>1208</v>
      </c>
      <c r="AV2156" s="111"/>
      <c r="AW2156" s="111"/>
      <c r="AX2156" s="111"/>
      <c r="AY2156" s="111"/>
      <c r="AZ2156" s="111"/>
      <c r="BA2156" s="111"/>
      <c r="BB2156" s="220"/>
    </row>
    <row r="2157" spans="1:54" s="12" customFormat="1" ht="16.5" hidden="1" customHeight="1" x14ac:dyDescent="0.3">
      <c r="A2157" s="235" t="s">
        <v>505</v>
      </c>
      <c r="B2157" s="235" t="s">
        <v>505</v>
      </c>
      <c r="C2157" s="111">
        <v>70</v>
      </c>
      <c r="D2157" s="111">
        <v>771</v>
      </c>
      <c r="E2157" s="111"/>
      <c r="F2157" s="286" t="s">
        <v>8144</v>
      </c>
      <c r="G2157" s="232" t="str">
        <f t="shared" si="52"/>
        <v>70771823001697</v>
      </c>
      <c r="H2157" s="119" t="s">
        <v>9613</v>
      </c>
      <c r="I2157" s="119">
        <v>823001697</v>
      </c>
      <c r="J2157" s="119" t="s">
        <v>8226</v>
      </c>
      <c r="K2157" s="236" t="s">
        <v>230</v>
      </c>
      <c r="L2157" s="233">
        <v>3237197043</v>
      </c>
      <c r="M2157" s="391" t="s">
        <v>9617</v>
      </c>
      <c r="N2157" s="216" t="s">
        <v>127</v>
      </c>
      <c r="O2157" s="235" t="s">
        <v>2822</v>
      </c>
      <c r="P2157" s="237" t="s">
        <v>102</v>
      </c>
      <c r="Q2157" s="13">
        <v>46134</v>
      </c>
      <c r="R2157" s="12">
        <v>87</v>
      </c>
      <c r="S2157" s="240" t="s">
        <v>49</v>
      </c>
      <c r="T2157" s="111"/>
      <c r="U2157" s="235" t="s">
        <v>50</v>
      </c>
      <c r="V2157" s="241">
        <v>45512</v>
      </c>
      <c r="W2157" s="243" t="s">
        <v>176</v>
      </c>
      <c r="X2157" s="240" t="s">
        <v>49</v>
      </c>
      <c r="Y2157" s="111"/>
      <c r="Z2157" s="111"/>
      <c r="AA2157" s="111"/>
      <c r="AB2157" s="111"/>
      <c r="AC2157" s="111"/>
      <c r="AD2157" s="111"/>
      <c r="AE2157" s="111"/>
      <c r="AF2157" s="111"/>
      <c r="AG2157" s="111"/>
      <c r="AH2157" s="111"/>
      <c r="AI2157" s="111"/>
      <c r="AJ2157" s="111"/>
      <c r="AK2157" s="111"/>
      <c r="AL2157" s="111"/>
      <c r="AM2157" s="111"/>
      <c r="AN2157" s="111"/>
      <c r="AO2157" s="111"/>
      <c r="AP2157" s="111"/>
      <c r="AQ2157" s="111"/>
      <c r="AR2157" s="111"/>
      <c r="AS2157" s="111"/>
      <c r="AT2157" s="111"/>
      <c r="AU2157" s="235" t="s">
        <v>1208</v>
      </c>
      <c r="AV2157" s="111"/>
      <c r="AW2157" s="111"/>
      <c r="AX2157" s="111"/>
      <c r="AY2157" s="111"/>
      <c r="AZ2157" s="111"/>
      <c r="BA2157" s="111"/>
      <c r="BB2157" s="220"/>
    </row>
    <row r="2158" spans="1:54" s="12" customFormat="1" ht="16.5" hidden="1" customHeight="1" x14ac:dyDescent="0.3">
      <c r="A2158" s="235" t="s">
        <v>505</v>
      </c>
      <c r="B2158" s="235" t="s">
        <v>505</v>
      </c>
      <c r="C2158" s="111">
        <v>70</v>
      </c>
      <c r="D2158" s="111">
        <v>771</v>
      </c>
      <c r="E2158" s="111"/>
      <c r="F2158" s="217" t="s">
        <v>8145</v>
      </c>
      <c r="G2158" s="232" t="str">
        <f t="shared" si="52"/>
        <v>707719196792</v>
      </c>
      <c r="H2158" s="119" t="s">
        <v>8187</v>
      </c>
      <c r="I2158" s="119">
        <v>9196792</v>
      </c>
      <c r="J2158" s="119" t="s">
        <v>8227</v>
      </c>
      <c r="K2158" s="236" t="s">
        <v>230</v>
      </c>
      <c r="L2158" s="233"/>
      <c r="M2158" s="234"/>
      <c r="N2158" s="216" t="s">
        <v>432</v>
      </c>
      <c r="O2158" s="235" t="s">
        <v>432</v>
      </c>
      <c r="P2158" s="237" t="s">
        <v>261</v>
      </c>
      <c r="Q2158" s="241">
        <v>45611</v>
      </c>
      <c r="R2158" s="243">
        <v>0.86</v>
      </c>
      <c r="S2158" s="240" t="s">
        <v>49</v>
      </c>
      <c r="T2158" s="111"/>
      <c r="U2158" s="235" t="s">
        <v>50</v>
      </c>
      <c r="V2158" s="111"/>
      <c r="W2158" s="111"/>
      <c r="X2158" s="111"/>
      <c r="Y2158" s="111"/>
      <c r="Z2158" s="111"/>
      <c r="AA2158" s="111"/>
      <c r="AB2158" s="111"/>
      <c r="AC2158" s="111"/>
      <c r="AD2158" s="111"/>
      <c r="AE2158" s="111"/>
      <c r="AF2158" s="111"/>
      <c r="AG2158" s="111"/>
      <c r="AH2158" s="111"/>
      <c r="AI2158" s="111"/>
      <c r="AJ2158" s="111"/>
      <c r="AK2158" s="111"/>
      <c r="AL2158" s="111"/>
      <c r="AM2158" s="111"/>
      <c r="AN2158" s="111"/>
      <c r="AO2158" s="111"/>
      <c r="AP2158" s="111"/>
      <c r="AQ2158" s="111"/>
      <c r="AR2158" s="111"/>
      <c r="AS2158" s="111"/>
      <c r="AT2158" s="111"/>
      <c r="AU2158" s="235" t="s">
        <v>1208</v>
      </c>
      <c r="AV2158" s="111"/>
      <c r="AW2158" s="111"/>
      <c r="AX2158" s="111"/>
      <c r="AY2158" s="111"/>
      <c r="AZ2158" s="111"/>
      <c r="BA2158" s="111"/>
      <c r="BB2158" s="220"/>
    </row>
    <row r="2159" spans="1:54" s="12" customFormat="1" ht="16.5" hidden="1" customHeight="1" x14ac:dyDescent="0.3">
      <c r="A2159" s="235" t="s">
        <v>505</v>
      </c>
      <c r="B2159" s="235" t="s">
        <v>505</v>
      </c>
      <c r="C2159" s="111">
        <v>70</v>
      </c>
      <c r="D2159" s="111">
        <v>771</v>
      </c>
      <c r="E2159" s="111"/>
      <c r="F2159" s="217" t="s">
        <v>8146</v>
      </c>
      <c r="G2159" s="232" t="str">
        <f t="shared" si="52"/>
        <v>7077112698200</v>
      </c>
      <c r="H2159" s="119" t="s">
        <v>8188</v>
      </c>
      <c r="I2159" s="119">
        <v>12698200</v>
      </c>
      <c r="J2159" s="119" t="s">
        <v>8228</v>
      </c>
      <c r="K2159" s="236" t="s">
        <v>230</v>
      </c>
      <c r="L2159" s="233"/>
      <c r="M2159" s="234"/>
      <c r="N2159" s="216" t="s">
        <v>8021</v>
      </c>
      <c r="O2159" s="235" t="s">
        <v>101</v>
      </c>
      <c r="P2159" s="237" t="s">
        <v>48</v>
      </c>
      <c r="Q2159" s="241">
        <v>45475</v>
      </c>
      <c r="R2159" s="243" t="s">
        <v>167</v>
      </c>
      <c r="S2159" s="240" t="s">
        <v>49</v>
      </c>
      <c r="T2159" s="111"/>
      <c r="U2159" s="235" t="s">
        <v>50</v>
      </c>
      <c r="V2159" s="111"/>
      <c r="W2159" s="111"/>
      <c r="X2159" s="111"/>
      <c r="Y2159" s="111"/>
      <c r="Z2159" s="111"/>
      <c r="AA2159" s="111"/>
      <c r="AB2159" s="111"/>
      <c r="AC2159" s="111"/>
      <c r="AD2159" s="111"/>
      <c r="AE2159" s="111"/>
      <c r="AF2159" s="111"/>
      <c r="AG2159" s="111"/>
      <c r="AH2159" s="111"/>
      <c r="AI2159" s="111"/>
      <c r="AJ2159" s="111"/>
      <c r="AK2159" s="111"/>
      <c r="AL2159" s="111"/>
      <c r="AM2159" s="111"/>
      <c r="AN2159" s="111"/>
      <c r="AO2159" s="111"/>
      <c r="AP2159" s="111"/>
      <c r="AQ2159" s="111"/>
      <c r="AR2159" s="111"/>
      <c r="AS2159" s="111"/>
      <c r="AT2159" s="111"/>
      <c r="AU2159" s="235" t="s">
        <v>1208</v>
      </c>
      <c r="AV2159" s="111"/>
      <c r="AW2159" s="111"/>
      <c r="AX2159" s="111"/>
      <c r="AY2159" s="111"/>
      <c r="AZ2159" s="111"/>
      <c r="BA2159" s="111"/>
      <c r="BB2159" s="220"/>
    </row>
    <row r="2160" spans="1:54" s="12" customFormat="1" ht="16.5" hidden="1" customHeight="1" x14ac:dyDescent="0.3">
      <c r="A2160" s="235" t="s">
        <v>505</v>
      </c>
      <c r="B2160" s="235" t="s">
        <v>505</v>
      </c>
      <c r="C2160" s="111">
        <v>70</v>
      </c>
      <c r="D2160" s="111">
        <v>771</v>
      </c>
      <c r="E2160" s="111"/>
      <c r="F2160" s="217" t="s">
        <v>8147</v>
      </c>
      <c r="G2160" s="232" t="str">
        <f t="shared" si="52"/>
        <v>70771</v>
      </c>
      <c r="H2160" s="119" t="s">
        <v>8189</v>
      </c>
      <c r="I2160" s="119"/>
      <c r="J2160" s="119" t="s">
        <v>8229</v>
      </c>
      <c r="K2160" s="236" t="s">
        <v>230</v>
      </c>
      <c r="L2160" s="233"/>
      <c r="M2160" s="234"/>
      <c r="N2160" s="216" t="s">
        <v>780</v>
      </c>
      <c r="O2160" s="235" t="s">
        <v>260</v>
      </c>
      <c r="P2160" s="237" t="s">
        <v>80</v>
      </c>
      <c r="Q2160" s="241">
        <v>45636</v>
      </c>
      <c r="R2160" s="243">
        <v>0.81</v>
      </c>
      <c r="S2160" s="240" t="s">
        <v>49</v>
      </c>
      <c r="T2160" s="111"/>
      <c r="U2160" s="235" t="s">
        <v>50</v>
      </c>
      <c r="V2160" s="111"/>
      <c r="W2160" s="111"/>
      <c r="X2160" s="111"/>
      <c r="Y2160" s="111"/>
      <c r="Z2160" s="111"/>
      <c r="AA2160" s="111"/>
      <c r="AB2160" s="111"/>
      <c r="AC2160" s="111"/>
      <c r="AD2160" s="111"/>
      <c r="AE2160" s="111"/>
      <c r="AF2160" s="111"/>
      <c r="AG2160" s="111"/>
      <c r="AH2160" s="111"/>
      <c r="AI2160" s="111"/>
      <c r="AJ2160" s="111"/>
      <c r="AK2160" s="111"/>
      <c r="AL2160" s="111"/>
      <c r="AM2160" s="111"/>
      <c r="AN2160" s="111"/>
      <c r="AO2160" s="111"/>
      <c r="AP2160" s="111"/>
      <c r="AQ2160" s="111"/>
      <c r="AR2160" s="111"/>
      <c r="AS2160" s="111"/>
      <c r="AT2160" s="111"/>
      <c r="AU2160" s="235" t="s">
        <v>1208</v>
      </c>
      <c r="AV2160" s="111"/>
      <c r="AW2160" s="111"/>
      <c r="AX2160" s="111"/>
      <c r="AY2160" s="111"/>
      <c r="AZ2160" s="111"/>
      <c r="BA2160" s="111"/>
      <c r="BB2160" s="220"/>
    </row>
    <row r="2161" spans="1:54" s="12" customFormat="1" ht="16.5" hidden="1" customHeight="1" x14ac:dyDescent="0.3">
      <c r="A2161" s="235" t="s">
        <v>505</v>
      </c>
      <c r="B2161" s="235" t="s">
        <v>505</v>
      </c>
      <c r="C2161" s="111">
        <v>70</v>
      </c>
      <c r="D2161" s="111">
        <v>771</v>
      </c>
      <c r="E2161" s="235" t="s">
        <v>8651</v>
      </c>
      <c r="F2161" s="286" t="s">
        <v>8148</v>
      </c>
      <c r="G2161" s="232" t="str">
        <f t="shared" si="52"/>
        <v>707718230016973</v>
      </c>
      <c r="H2161" s="236" t="s">
        <v>8652</v>
      </c>
      <c r="I2161" s="119">
        <v>8230016973</v>
      </c>
      <c r="J2161" s="119" t="s">
        <v>8230</v>
      </c>
      <c r="K2161" s="236" t="s">
        <v>133</v>
      </c>
      <c r="L2161" s="233">
        <v>3182570629</v>
      </c>
      <c r="M2161" s="234"/>
      <c r="N2161" s="216" t="s">
        <v>127</v>
      </c>
      <c r="O2161" s="235" t="s">
        <v>2822</v>
      </c>
      <c r="P2161" s="237" t="s">
        <v>48</v>
      </c>
      <c r="Q2161" s="13">
        <v>46093</v>
      </c>
      <c r="R2161" s="12" t="s">
        <v>146</v>
      </c>
      <c r="S2161" s="240" t="s">
        <v>49</v>
      </c>
      <c r="T2161" s="111"/>
      <c r="U2161" s="235" t="s">
        <v>50</v>
      </c>
      <c r="V2161" s="13">
        <v>45719</v>
      </c>
      <c r="W2161" s="12" t="s">
        <v>146</v>
      </c>
      <c r="X2161" s="12" t="s">
        <v>49</v>
      </c>
      <c r="Y2161" s="111"/>
      <c r="Z2161" s="235" t="s">
        <v>60</v>
      </c>
      <c r="AA2161" s="111"/>
      <c r="AB2161" s="111"/>
      <c r="AC2161" s="241">
        <v>45463</v>
      </c>
      <c r="AD2161" s="243" t="s">
        <v>1906</v>
      </c>
      <c r="AE2161" s="240" t="s">
        <v>49</v>
      </c>
      <c r="AF2161" s="235" t="s">
        <v>60</v>
      </c>
      <c r="AG2161" s="111"/>
      <c r="AH2161" s="111"/>
      <c r="AI2161" s="111"/>
      <c r="AJ2161" s="111"/>
      <c r="AK2161" s="111"/>
      <c r="AL2161" s="111"/>
      <c r="AM2161" s="111"/>
      <c r="AN2161" s="111"/>
      <c r="AO2161" s="111"/>
      <c r="AP2161" s="111"/>
      <c r="AQ2161" s="111"/>
      <c r="AR2161" s="111"/>
      <c r="AS2161" s="111"/>
      <c r="AT2161" s="111"/>
      <c r="AU2161" s="235" t="s">
        <v>1208</v>
      </c>
      <c r="AV2161" s="111"/>
      <c r="AW2161" s="111"/>
      <c r="AX2161" s="111"/>
      <c r="AY2161" s="111"/>
      <c r="AZ2161" s="111"/>
      <c r="BA2161" s="111"/>
      <c r="BB2161" s="220"/>
    </row>
    <row r="2162" spans="1:54" s="12" customFormat="1" ht="16.5" customHeight="1" x14ac:dyDescent="0.3">
      <c r="A2162" s="235" t="s">
        <v>505</v>
      </c>
      <c r="B2162" s="235" t="s">
        <v>505</v>
      </c>
      <c r="C2162" s="111">
        <v>70</v>
      </c>
      <c r="D2162" s="111">
        <v>771</v>
      </c>
      <c r="E2162" s="111"/>
      <c r="F2162" s="286" t="s">
        <v>8149</v>
      </c>
      <c r="G2162" s="232" t="str">
        <f t="shared" si="52"/>
        <v>7077123197470</v>
      </c>
      <c r="H2162" s="119" t="s">
        <v>8190</v>
      </c>
      <c r="I2162" s="119">
        <v>23197470</v>
      </c>
      <c r="J2162" s="119" t="s">
        <v>8231</v>
      </c>
      <c r="K2162" s="236" t="s">
        <v>230</v>
      </c>
      <c r="L2162" s="233">
        <v>3116300292</v>
      </c>
      <c r="M2162" s="234"/>
      <c r="N2162" s="216" t="s">
        <v>8021</v>
      </c>
      <c r="O2162" s="235" t="s">
        <v>47</v>
      </c>
      <c r="P2162" s="237" t="s">
        <v>48</v>
      </c>
      <c r="Q2162" s="13">
        <v>46162</v>
      </c>
      <c r="R2162" s="12" t="s">
        <v>8538</v>
      </c>
      <c r="S2162" s="240" t="s">
        <v>49</v>
      </c>
      <c r="T2162" s="111"/>
      <c r="U2162" s="235" t="s">
        <v>50</v>
      </c>
      <c r="V2162" s="241">
        <v>45448</v>
      </c>
      <c r="W2162" s="243" t="s">
        <v>176</v>
      </c>
      <c r="X2162" s="240" t="s">
        <v>49</v>
      </c>
      <c r="Y2162" s="111"/>
      <c r="Z2162" s="235" t="s">
        <v>60</v>
      </c>
      <c r="AA2162" s="111"/>
      <c r="AB2162" s="111"/>
      <c r="AC2162" s="111"/>
      <c r="AD2162" s="111"/>
      <c r="AE2162" s="111"/>
      <c r="AF2162" s="111"/>
      <c r="AG2162" s="111"/>
      <c r="AH2162" s="111"/>
      <c r="AI2162" s="111"/>
      <c r="AJ2162" s="111"/>
      <c r="AK2162" s="111"/>
      <c r="AL2162" s="111"/>
      <c r="AM2162" s="111"/>
      <c r="AN2162" s="111"/>
      <c r="AO2162" s="111"/>
      <c r="AP2162" s="111"/>
      <c r="AQ2162" s="111"/>
      <c r="AR2162" s="111"/>
      <c r="AS2162" s="111"/>
      <c r="AT2162" s="111"/>
      <c r="AU2162" s="235" t="s">
        <v>1208</v>
      </c>
      <c r="AV2162" s="111"/>
      <c r="AW2162" s="111"/>
      <c r="AX2162" s="111"/>
      <c r="AY2162" s="111"/>
      <c r="AZ2162" s="111"/>
      <c r="BA2162" s="111"/>
      <c r="BB2162" s="220"/>
    </row>
    <row r="2163" spans="1:54" s="12" customFormat="1" ht="16.5" hidden="1" customHeight="1" x14ac:dyDescent="0.3">
      <c r="A2163" s="235" t="s">
        <v>505</v>
      </c>
      <c r="B2163" s="235" t="s">
        <v>505</v>
      </c>
      <c r="C2163" s="111">
        <v>70</v>
      </c>
      <c r="D2163" s="111">
        <v>771</v>
      </c>
      <c r="E2163" s="235" t="s">
        <v>8651</v>
      </c>
      <c r="F2163" s="286" t="s">
        <v>8150</v>
      </c>
      <c r="G2163" s="232" t="str">
        <f t="shared" si="52"/>
        <v>7077182300607</v>
      </c>
      <c r="H2163" s="236" t="s">
        <v>8660</v>
      </c>
      <c r="I2163" s="119">
        <v>82300607</v>
      </c>
      <c r="J2163" s="119" t="s">
        <v>8232</v>
      </c>
      <c r="K2163" s="236" t="s">
        <v>133</v>
      </c>
      <c r="L2163" s="233">
        <v>3248558014</v>
      </c>
      <c r="M2163" s="234"/>
      <c r="N2163" s="216" t="s">
        <v>127</v>
      </c>
      <c r="O2163" s="235" t="s">
        <v>2822</v>
      </c>
      <c r="P2163" s="237" t="s">
        <v>48</v>
      </c>
      <c r="Q2163" s="13">
        <v>46100</v>
      </c>
      <c r="R2163" s="16">
        <v>0.83</v>
      </c>
      <c r="S2163" s="12" t="s">
        <v>74</v>
      </c>
      <c r="T2163" s="111"/>
      <c r="U2163" s="235" t="s">
        <v>50</v>
      </c>
      <c r="V2163" s="287">
        <v>45729</v>
      </c>
      <c r="W2163" s="235" t="s">
        <v>1937</v>
      </c>
      <c r="X2163" s="235" t="s">
        <v>49</v>
      </c>
      <c r="Y2163" s="111"/>
      <c r="Z2163" s="235" t="s">
        <v>60</v>
      </c>
      <c r="AA2163" s="111"/>
      <c r="AB2163" s="111"/>
      <c r="AC2163" s="241">
        <v>45447</v>
      </c>
      <c r="AD2163" s="243">
        <v>0.81</v>
      </c>
      <c r="AE2163" s="240" t="s">
        <v>49</v>
      </c>
      <c r="AF2163" s="235" t="s">
        <v>60</v>
      </c>
      <c r="AG2163" s="111"/>
      <c r="AH2163" s="111"/>
      <c r="AI2163" s="111"/>
      <c r="AJ2163" s="111"/>
      <c r="AK2163" s="111"/>
      <c r="AL2163" s="111"/>
      <c r="AM2163" s="111"/>
      <c r="AN2163" s="111"/>
      <c r="AO2163" s="111"/>
      <c r="AP2163" s="111"/>
      <c r="AQ2163" s="111"/>
      <c r="AR2163" s="111"/>
      <c r="AS2163" s="111"/>
      <c r="AT2163" s="111"/>
      <c r="AU2163" s="235" t="s">
        <v>1208</v>
      </c>
      <c r="AV2163" s="111"/>
      <c r="AW2163" s="111"/>
      <c r="AX2163" s="111"/>
      <c r="AY2163" s="111"/>
      <c r="AZ2163" s="111"/>
      <c r="BA2163" s="111"/>
      <c r="BB2163" s="220"/>
    </row>
    <row r="2164" spans="1:54" s="12" customFormat="1" ht="16.5" hidden="1" customHeight="1" x14ac:dyDescent="0.3">
      <c r="A2164" s="235" t="s">
        <v>505</v>
      </c>
      <c r="B2164" s="235" t="s">
        <v>505</v>
      </c>
      <c r="C2164" s="111">
        <v>70</v>
      </c>
      <c r="D2164" s="111">
        <v>771</v>
      </c>
      <c r="E2164" s="111"/>
      <c r="F2164" s="217" t="s">
        <v>8151</v>
      </c>
      <c r="G2164" s="232" t="str">
        <f t="shared" si="52"/>
        <v>707711102834938</v>
      </c>
      <c r="H2164" s="119" t="s">
        <v>8191</v>
      </c>
      <c r="I2164" s="119">
        <v>1102834938</v>
      </c>
      <c r="J2164" s="119" t="s">
        <v>989</v>
      </c>
      <c r="K2164" s="236" t="s">
        <v>230</v>
      </c>
      <c r="L2164" s="233"/>
      <c r="M2164" s="234"/>
      <c r="N2164" s="216" t="s">
        <v>8021</v>
      </c>
      <c r="O2164" s="235" t="s">
        <v>2797</v>
      </c>
      <c r="P2164" s="237" t="s">
        <v>80</v>
      </c>
      <c r="Q2164" s="241">
        <v>45495</v>
      </c>
      <c r="R2164" s="243">
        <v>0.79</v>
      </c>
      <c r="S2164" s="240" t="s">
        <v>49</v>
      </c>
      <c r="T2164" s="111"/>
      <c r="U2164" s="235" t="s">
        <v>50</v>
      </c>
      <c r="V2164" s="111"/>
      <c r="W2164" s="111"/>
      <c r="X2164" s="111"/>
      <c r="Y2164" s="111"/>
      <c r="Z2164" s="111"/>
      <c r="AA2164" s="111"/>
      <c r="AB2164" s="111"/>
      <c r="AC2164" s="111"/>
      <c r="AD2164" s="111"/>
      <c r="AE2164" s="111"/>
      <c r="AF2164" s="111"/>
      <c r="AG2164" s="111"/>
      <c r="AH2164" s="111"/>
      <c r="AI2164" s="111"/>
      <c r="AJ2164" s="111"/>
      <c r="AK2164" s="111"/>
      <c r="AL2164" s="111"/>
      <c r="AM2164" s="111"/>
      <c r="AN2164" s="111"/>
      <c r="AO2164" s="111"/>
      <c r="AP2164" s="111"/>
      <c r="AQ2164" s="111"/>
      <c r="AR2164" s="111"/>
      <c r="AS2164" s="111"/>
      <c r="AT2164" s="111"/>
      <c r="AU2164" s="235" t="s">
        <v>1208</v>
      </c>
      <c r="AV2164" s="111"/>
      <c r="AW2164" s="111"/>
      <c r="AX2164" s="111"/>
      <c r="AY2164" s="111"/>
      <c r="AZ2164" s="111"/>
      <c r="BA2164" s="111"/>
      <c r="BB2164" s="220"/>
    </row>
    <row r="2165" spans="1:54" s="12" customFormat="1" ht="16.5" hidden="1" customHeight="1" x14ac:dyDescent="0.3">
      <c r="A2165" s="235" t="s">
        <v>505</v>
      </c>
      <c r="B2165" s="235" t="s">
        <v>505</v>
      </c>
      <c r="C2165" s="111">
        <v>70</v>
      </c>
      <c r="D2165" s="111">
        <v>771</v>
      </c>
      <c r="E2165" s="235" t="s">
        <v>8651</v>
      </c>
      <c r="F2165" s="286" t="s">
        <v>8152</v>
      </c>
      <c r="G2165" s="232" t="str">
        <f t="shared" si="52"/>
        <v>7077180230016973</v>
      </c>
      <c r="H2165" s="119" t="s">
        <v>8652</v>
      </c>
      <c r="I2165" s="119">
        <v>80230016973</v>
      </c>
      <c r="J2165" s="119" t="s">
        <v>8233</v>
      </c>
      <c r="K2165" s="236" t="s">
        <v>230</v>
      </c>
      <c r="L2165" s="233">
        <v>3135278384</v>
      </c>
      <c r="M2165" s="234" t="s">
        <v>8653</v>
      </c>
      <c r="N2165" s="216" t="s">
        <v>127</v>
      </c>
      <c r="O2165" s="235" t="s">
        <v>2822</v>
      </c>
      <c r="P2165" s="237" t="s">
        <v>48</v>
      </c>
      <c r="Q2165" s="13">
        <v>46085</v>
      </c>
      <c r="R2165" s="12">
        <v>83</v>
      </c>
      <c r="S2165" s="12" t="s">
        <v>49</v>
      </c>
      <c r="T2165" s="111"/>
      <c r="U2165" s="235" t="s">
        <v>50</v>
      </c>
      <c r="V2165" s="241">
        <v>45526</v>
      </c>
      <c r="W2165" s="243">
        <v>0.78</v>
      </c>
      <c r="X2165" s="240" t="s">
        <v>49</v>
      </c>
      <c r="Y2165" s="111"/>
      <c r="Z2165" s="235" t="s">
        <v>50</v>
      </c>
      <c r="AA2165" s="111"/>
      <c r="AB2165" s="111"/>
      <c r="AC2165" s="111"/>
      <c r="AD2165" s="111"/>
      <c r="AE2165" s="111"/>
      <c r="AF2165" s="111"/>
      <c r="AG2165" s="111"/>
      <c r="AH2165" s="111"/>
      <c r="AI2165" s="111"/>
      <c r="AJ2165" s="111"/>
      <c r="AK2165" s="111"/>
      <c r="AL2165" s="111"/>
      <c r="AM2165" s="111"/>
      <c r="AN2165" s="111"/>
      <c r="AO2165" s="111"/>
      <c r="AP2165" s="111"/>
      <c r="AQ2165" s="111"/>
      <c r="AR2165" s="111"/>
      <c r="AS2165" s="111"/>
      <c r="AT2165" s="111"/>
      <c r="AU2165" s="235" t="s">
        <v>1208</v>
      </c>
      <c r="AV2165" s="111"/>
      <c r="AW2165" s="111"/>
      <c r="AX2165" s="111"/>
      <c r="AY2165" s="111"/>
      <c r="AZ2165" s="111"/>
      <c r="BA2165" s="111"/>
      <c r="BB2165" s="220"/>
    </row>
    <row r="2166" spans="1:54" s="12" customFormat="1" ht="16.5" customHeight="1" x14ac:dyDescent="0.3">
      <c r="A2166" s="235" t="s">
        <v>505</v>
      </c>
      <c r="B2166" s="235" t="s">
        <v>505</v>
      </c>
      <c r="C2166" s="111">
        <v>70</v>
      </c>
      <c r="D2166" s="111">
        <v>771</v>
      </c>
      <c r="E2166" s="111"/>
      <c r="F2166" s="286" t="s">
        <v>8153</v>
      </c>
      <c r="G2166" s="232" t="str">
        <f t="shared" si="52"/>
        <v>707719192911</v>
      </c>
      <c r="H2166" s="119" t="s">
        <v>8192</v>
      </c>
      <c r="I2166" s="119">
        <v>9192911</v>
      </c>
      <c r="J2166" s="119" t="s">
        <v>8234</v>
      </c>
      <c r="K2166" s="236" t="s">
        <v>230</v>
      </c>
      <c r="L2166" s="233">
        <v>3226611856</v>
      </c>
      <c r="M2166" s="234" t="s">
        <v>9641</v>
      </c>
      <c r="N2166" s="216" t="s">
        <v>8021</v>
      </c>
      <c r="O2166" s="235" t="s">
        <v>47</v>
      </c>
      <c r="P2166" s="237" t="s">
        <v>48</v>
      </c>
      <c r="Q2166" s="13">
        <v>46156</v>
      </c>
      <c r="R2166" s="12" t="s">
        <v>8503</v>
      </c>
      <c r="S2166" s="240" t="s">
        <v>49</v>
      </c>
      <c r="T2166" s="111"/>
      <c r="U2166" s="235" t="s">
        <v>50</v>
      </c>
      <c r="V2166" s="241">
        <v>45448</v>
      </c>
      <c r="W2166" s="243">
        <v>0.86</v>
      </c>
      <c r="X2166" s="240" t="s">
        <v>49</v>
      </c>
      <c r="Y2166" s="111"/>
      <c r="Z2166" s="235" t="s">
        <v>60</v>
      </c>
      <c r="AA2166" s="111"/>
      <c r="AB2166" s="111"/>
      <c r="AC2166" s="111"/>
      <c r="AD2166" s="111"/>
      <c r="AE2166" s="111"/>
      <c r="AF2166" s="111"/>
      <c r="AG2166" s="111"/>
      <c r="AH2166" s="111"/>
      <c r="AI2166" s="111"/>
      <c r="AJ2166" s="111"/>
      <c r="AK2166" s="111"/>
      <c r="AL2166" s="111"/>
      <c r="AM2166" s="111"/>
      <c r="AN2166" s="111"/>
      <c r="AO2166" s="111"/>
      <c r="AP2166" s="111"/>
      <c r="AQ2166" s="111"/>
      <c r="AR2166" s="111"/>
      <c r="AS2166" s="111"/>
      <c r="AT2166" s="111"/>
      <c r="AU2166" s="235" t="s">
        <v>1208</v>
      </c>
      <c r="AV2166" s="111"/>
      <c r="AW2166" s="111"/>
      <c r="AX2166" s="111"/>
      <c r="AY2166" s="111"/>
      <c r="AZ2166" s="111"/>
      <c r="BA2166" s="111"/>
      <c r="BB2166" s="220"/>
    </row>
    <row r="2167" spans="1:54" s="12" customFormat="1" ht="16.5" customHeight="1" x14ac:dyDescent="0.3">
      <c r="A2167" s="235" t="s">
        <v>505</v>
      </c>
      <c r="B2167" s="235" t="s">
        <v>505</v>
      </c>
      <c r="C2167" s="111">
        <v>70</v>
      </c>
      <c r="D2167" s="111">
        <v>771</v>
      </c>
      <c r="E2167" s="111"/>
      <c r="F2167" s="286" t="s">
        <v>8154</v>
      </c>
      <c r="G2167" s="232" t="str">
        <f t="shared" si="52"/>
        <v>7077133067341</v>
      </c>
      <c r="H2167" s="119" t="s">
        <v>8193</v>
      </c>
      <c r="I2167" s="119">
        <v>33067341</v>
      </c>
      <c r="J2167" s="119" t="s">
        <v>8235</v>
      </c>
      <c r="K2167" s="236" t="s">
        <v>230</v>
      </c>
      <c r="L2167" s="233">
        <v>3215088829</v>
      </c>
      <c r="M2167" s="234"/>
      <c r="N2167" s="216" t="s">
        <v>8021</v>
      </c>
      <c r="O2167" s="235" t="s">
        <v>47</v>
      </c>
      <c r="P2167" s="237" t="s">
        <v>48</v>
      </c>
      <c r="Q2167" s="13">
        <v>46163</v>
      </c>
      <c r="R2167" s="12">
        <v>83</v>
      </c>
      <c r="S2167" s="240" t="s">
        <v>49</v>
      </c>
      <c r="T2167" s="111"/>
      <c r="U2167" s="235" t="s">
        <v>50</v>
      </c>
      <c r="V2167" s="241">
        <v>45496</v>
      </c>
      <c r="W2167" s="243" t="s">
        <v>167</v>
      </c>
      <c r="X2167" s="240" t="s">
        <v>49</v>
      </c>
      <c r="Y2167" s="111"/>
      <c r="Z2167" s="235" t="s">
        <v>60</v>
      </c>
      <c r="AA2167" s="111"/>
      <c r="AB2167" s="111"/>
      <c r="AC2167" s="111"/>
      <c r="AD2167" s="111"/>
      <c r="AE2167" s="111"/>
      <c r="AF2167" s="111"/>
      <c r="AG2167" s="111"/>
      <c r="AH2167" s="111"/>
      <c r="AI2167" s="111"/>
      <c r="AJ2167" s="111"/>
      <c r="AK2167" s="111"/>
      <c r="AL2167" s="111"/>
      <c r="AM2167" s="111"/>
      <c r="AN2167" s="111"/>
      <c r="AO2167" s="111"/>
      <c r="AP2167" s="111"/>
      <c r="AQ2167" s="111"/>
      <c r="AR2167" s="111"/>
      <c r="AS2167" s="111"/>
      <c r="AT2167" s="111"/>
      <c r="AU2167" s="235" t="s">
        <v>1208</v>
      </c>
      <c r="AV2167" s="111"/>
      <c r="AW2167" s="111"/>
      <c r="AX2167" s="111"/>
      <c r="AY2167" s="111"/>
      <c r="AZ2167" s="111"/>
      <c r="BA2167" s="111"/>
      <c r="BB2167" s="220"/>
    </row>
    <row r="2168" spans="1:54" s="12" customFormat="1" ht="16.5" hidden="1" customHeight="1" x14ac:dyDescent="0.3">
      <c r="A2168" s="235" t="s">
        <v>505</v>
      </c>
      <c r="B2168" s="235" t="s">
        <v>505</v>
      </c>
      <c r="C2168" s="111">
        <v>70</v>
      </c>
      <c r="D2168" s="111">
        <v>771</v>
      </c>
      <c r="E2168" s="111" t="s">
        <v>9620</v>
      </c>
      <c r="F2168" s="286" t="s">
        <v>8155</v>
      </c>
      <c r="G2168" s="232" t="str">
        <f t="shared" si="52"/>
        <v>7077180230016973</v>
      </c>
      <c r="H2168" s="119" t="s">
        <v>8652</v>
      </c>
      <c r="I2168" s="119">
        <v>80230016973</v>
      </c>
      <c r="J2168" s="119" t="s">
        <v>8236</v>
      </c>
      <c r="K2168" s="236" t="s">
        <v>230</v>
      </c>
      <c r="L2168" s="233">
        <v>3205893804</v>
      </c>
      <c r="M2168" s="234" t="s">
        <v>9624</v>
      </c>
      <c r="N2168" s="216" t="s">
        <v>127</v>
      </c>
      <c r="O2168" s="235" t="s">
        <v>2822</v>
      </c>
      <c r="P2168" s="237" t="s">
        <v>48</v>
      </c>
      <c r="Q2168" s="13">
        <v>46149</v>
      </c>
      <c r="R2168" s="12" t="s">
        <v>8588</v>
      </c>
      <c r="S2168" s="240" t="s">
        <v>49</v>
      </c>
      <c r="T2168" s="111"/>
      <c r="U2168" s="235" t="s">
        <v>50</v>
      </c>
      <c r="V2168" s="241">
        <v>45509</v>
      </c>
      <c r="W2168" s="243" t="s">
        <v>176</v>
      </c>
      <c r="X2168" s="240" t="s">
        <v>49</v>
      </c>
      <c r="Y2168" s="111"/>
      <c r="Z2168" s="235" t="s">
        <v>60</v>
      </c>
      <c r="AA2168" s="111"/>
      <c r="AB2168" s="111"/>
      <c r="AC2168" s="111"/>
      <c r="AD2168" s="111"/>
      <c r="AE2168" s="111"/>
      <c r="AF2168" s="111"/>
      <c r="AG2168" s="111"/>
      <c r="AH2168" s="111"/>
      <c r="AI2168" s="111"/>
      <c r="AJ2168" s="111"/>
      <c r="AK2168" s="111"/>
      <c r="AL2168" s="111"/>
      <c r="AM2168" s="111"/>
      <c r="AN2168" s="111"/>
      <c r="AO2168" s="111"/>
      <c r="AP2168" s="111"/>
      <c r="AQ2168" s="111"/>
      <c r="AR2168" s="111"/>
      <c r="AS2168" s="111"/>
      <c r="AT2168" s="111"/>
      <c r="AU2168" s="235" t="s">
        <v>1208</v>
      </c>
      <c r="AV2168" s="111"/>
      <c r="AW2168" s="111"/>
      <c r="AX2168" s="111"/>
      <c r="AY2168" s="111"/>
      <c r="AZ2168" s="111"/>
      <c r="BA2168" s="111"/>
      <c r="BB2168" s="220"/>
    </row>
    <row r="2169" spans="1:54" s="12" customFormat="1" ht="16.5" hidden="1" customHeight="1" x14ac:dyDescent="0.3">
      <c r="A2169" s="235" t="s">
        <v>505</v>
      </c>
      <c r="B2169" s="235" t="s">
        <v>505</v>
      </c>
      <c r="C2169" s="111">
        <v>70</v>
      </c>
      <c r="D2169" s="111">
        <v>771</v>
      </c>
      <c r="E2169" s="111" t="s">
        <v>8659</v>
      </c>
      <c r="F2169" s="286" t="s">
        <v>8156</v>
      </c>
      <c r="G2169" s="232" t="str">
        <f t="shared" si="52"/>
        <v>707718230020607</v>
      </c>
      <c r="H2169" s="236" t="s">
        <v>8660</v>
      </c>
      <c r="I2169" s="119">
        <v>8230020607</v>
      </c>
      <c r="J2169" s="236" t="s">
        <v>8661</v>
      </c>
      <c r="K2169" s="236" t="s">
        <v>133</v>
      </c>
      <c r="L2169" s="233">
        <v>3002488508</v>
      </c>
      <c r="M2169" s="234"/>
      <c r="N2169" s="216" t="s">
        <v>127</v>
      </c>
      <c r="O2169" s="235" t="s">
        <v>2822</v>
      </c>
      <c r="P2169" s="237" t="s">
        <v>48</v>
      </c>
      <c r="Q2169" s="13">
        <v>46101</v>
      </c>
      <c r="R2169" s="16">
        <v>0.85</v>
      </c>
      <c r="S2169" s="12" t="s">
        <v>49</v>
      </c>
      <c r="T2169" s="111"/>
      <c r="U2169" s="235" t="s">
        <v>50</v>
      </c>
      <c r="V2169" s="287">
        <v>45741</v>
      </c>
      <c r="W2169" s="235" t="s">
        <v>201</v>
      </c>
      <c r="X2169" s="235" t="s">
        <v>49</v>
      </c>
      <c r="Y2169" s="111"/>
      <c r="Z2169" s="235" t="s">
        <v>60</v>
      </c>
      <c r="AA2169" s="111"/>
      <c r="AB2169" s="111"/>
      <c r="AC2169" s="241">
        <v>45398</v>
      </c>
      <c r="AD2169" s="243">
        <v>0.81</v>
      </c>
      <c r="AE2169" s="240" t="s">
        <v>49</v>
      </c>
      <c r="AF2169" s="235" t="s">
        <v>60</v>
      </c>
      <c r="AG2169" s="111"/>
      <c r="AH2169" s="111"/>
      <c r="AI2169" s="111"/>
      <c r="AJ2169" s="111"/>
      <c r="AK2169" s="111"/>
      <c r="AL2169" s="111"/>
      <c r="AM2169" s="111"/>
      <c r="AN2169" s="111"/>
      <c r="AO2169" s="111"/>
      <c r="AP2169" s="111"/>
      <c r="AQ2169" s="111"/>
      <c r="AR2169" s="111"/>
      <c r="AS2169" s="111"/>
      <c r="AT2169" s="111"/>
      <c r="AU2169" s="235" t="s">
        <v>1208</v>
      </c>
      <c r="AV2169" s="111"/>
      <c r="AW2169" s="111"/>
      <c r="AX2169" s="111"/>
      <c r="AY2169" s="111"/>
      <c r="AZ2169" s="111"/>
      <c r="BA2169" s="111"/>
      <c r="BB2169" s="220"/>
    </row>
    <row r="2170" spans="1:54" s="12" customFormat="1" ht="16.5" hidden="1" customHeight="1" x14ac:dyDescent="0.3">
      <c r="A2170" s="235" t="s">
        <v>505</v>
      </c>
      <c r="B2170" s="235" t="s">
        <v>505</v>
      </c>
      <c r="C2170" s="111">
        <v>70</v>
      </c>
      <c r="D2170" s="111">
        <v>771</v>
      </c>
      <c r="E2170" s="111" t="s">
        <v>8659</v>
      </c>
      <c r="F2170" s="286" t="s">
        <v>5522</v>
      </c>
      <c r="G2170" s="232" t="str">
        <f t="shared" si="52"/>
        <v>707718230016973</v>
      </c>
      <c r="H2170" s="236" t="s">
        <v>8652</v>
      </c>
      <c r="I2170" s="119">
        <v>8230016973</v>
      </c>
      <c r="J2170" s="119" t="s">
        <v>8237</v>
      </c>
      <c r="K2170" s="236" t="s">
        <v>230</v>
      </c>
      <c r="L2170" s="233">
        <v>3116620153</v>
      </c>
      <c r="M2170" s="234" t="s">
        <v>9628</v>
      </c>
      <c r="N2170" s="216" t="s">
        <v>127</v>
      </c>
      <c r="O2170" s="235" t="s">
        <v>2822</v>
      </c>
      <c r="P2170" s="237" t="s">
        <v>48</v>
      </c>
      <c r="Q2170" s="13">
        <v>46164</v>
      </c>
      <c r="R2170" s="12">
        <v>78</v>
      </c>
      <c r="S2170" s="12" t="s">
        <v>49</v>
      </c>
      <c r="T2170" s="111"/>
      <c r="U2170" s="235" t="s">
        <v>50</v>
      </c>
      <c r="V2170" s="241">
        <v>45406</v>
      </c>
      <c r="W2170" s="243">
        <v>0.81</v>
      </c>
      <c r="X2170" s="240" t="s">
        <v>49</v>
      </c>
      <c r="Y2170" s="111"/>
      <c r="Z2170" s="111"/>
      <c r="AA2170" s="111"/>
      <c r="AB2170" s="111"/>
      <c r="AC2170" s="111"/>
      <c r="AD2170" s="111"/>
      <c r="AE2170" s="111"/>
      <c r="AF2170" s="111"/>
      <c r="AG2170" s="111"/>
      <c r="AH2170" s="111"/>
      <c r="AI2170" s="111"/>
      <c r="AJ2170" s="111"/>
      <c r="AK2170" s="111"/>
      <c r="AL2170" s="111"/>
      <c r="AM2170" s="111"/>
      <c r="AN2170" s="111"/>
      <c r="AO2170" s="111"/>
      <c r="AP2170" s="111"/>
      <c r="AQ2170" s="111"/>
      <c r="AR2170" s="111"/>
      <c r="AS2170" s="111"/>
      <c r="AT2170" s="111"/>
      <c r="AU2170" s="235" t="s">
        <v>1208</v>
      </c>
      <c r="AV2170" s="111"/>
      <c r="AW2170" s="111"/>
      <c r="AX2170" s="111"/>
      <c r="AY2170" s="111"/>
      <c r="AZ2170" s="111"/>
      <c r="BA2170" s="111"/>
      <c r="BB2170" s="220"/>
    </row>
    <row r="2171" spans="1:54" s="12" customFormat="1" ht="16.5" hidden="1" customHeight="1" x14ac:dyDescent="0.3">
      <c r="A2171" s="235" t="s">
        <v>505</v>
      </c>
      <c r="B2171" s="235" t="s">
        <v>505</v>
      </c>
      <c r="C2171" s="111">
        <v>70</v>
      </c>
      <c r="D2171" s="111">
        <v>771</v>
      </c>
      <c r="E2171" s="111" t="s">
        <v>9620</v>
      </c>
      <c r="F2171" s="392" t="s">
        <v>9621</v>
      </c>
      <c r="G2171" s="232" t="str">
        <f t="shared" si="52"/>
        <v>7077180230016973</v>
      </c>
      <c r="H2171" s="119" t="s">
        <v>8652</v>
      </c>
      <c r="I2171" s="119">
        <v>80230016973</v>
      </c>
      <c r="J2171" s="119" t="s">
        <v>9622</v>
      </c>
      <c r="K2171" s="236" t="s">
        <v>44</v>
      </c>
      <c r="L2171" s="233">
        <v>3214182260</v>
      </c>
      <c r="M2171" s="234" t="s">
        <v>9623</v>
      </c>
      <c r="N2171" s="216" t="s">
        <v>127</v>
      </c>
      <c r="O2171" s="235" t="s">
        <v>2822</v>
      </c>
      <c r="P2171" s="237" t="s">
        <v>48</v>
      </c>
      <c r="Q2171" s="241">
        <v>46153</v>
      </c>
      <c r="R2171" s="216">
        <v>85</v>
      </c>
      <c r="S2171" s="240" t="s">
        <v>49</v>
      </c>
      <c r="T2171" s="111"/>
      <c r="U2171" s="235" t="s">
        <v>50</v>
      </c>
      <c r="V2171" s="111"/>
      <c r="W2171" s="111"/>
      <c r="X2171" s="111"/>
      <c r="Y2171" s="111"/>
      <c r="Z2171" s="111"/>
      <c r="AA2171" s="111"/>
      <c r="AB2171" s="111"/>
      <c r="AC2171" s="111"/>
      <c r="AD2171" s="111"/>
      <c r="AE2171" s="111"/>
      <c r="AF2171" s="111"/>
      <c r="AG2171" s="111"/>
      <c r="AH2171" s="111"/>
      <c r="AI2171" s="111"/>
      <c r="AJ2171" s="111"/>
      <c r="AK2171" s="111"/>
      <c r="AL2171" s="111"/>
      <c r="AM2171" s="111"/>
      <c r="AN2171" s="111"/>
      <c r="AO2171" s="111"/>
      <c r="AP2171" s="111"/>
      <c r="AQ2171" s="111"/>
      <c r="AR2171" s="111"/>
      <c r="AS2171" s="111"/>
      <c r="AT2171" s="111"/>
      <c r="AU2171" s="235" t="s">
        <v>1208</v>
      </c>
      <c r="AV2171" s="111"/>
      <c r="AW2171" s="111"/>
      <c r="AX2171" s="111"/>
      <c r="AY2171" s="111"/>
      <c r="AZ2171" s="111"/>
      <c r="BA2171" s="111"/>
      <c r="BB2171" s="220"/>
    </row>
    <row r="2172" spans="1:54" s="12" customFormat="1" ht="16.5" hidden="1" customHeight="1" x14ac:dyDescent="0.3">
      <c r="A2172" s="235" t="s">
        <v>505</v>
      </c>
      <c r="B2172" s="235" t="s">
        <v>505</v>
      </c>
      <c r="C2172" s="111">
        <v>70</v>
      </c>
      <c r="D2172" s="111">
        <v>771</v>
      </c>
      <c r="E2172" s="111" t="s">
        <v>9620</v>
      </c>
      <c r="F2172" s="392" t="s">
        <v>9657</v>
      </c>
      <c r="G2172" s="232" t="str">
        <f t="shared" si="52"/>
        <v>7077180230016973</v>
      </c>
      <c r="H2172" s="119" t="s">
        <v>8652</v>
      </c>
      <c r="I2172" s="119">
        <v>80230016973</v>
      </c>
      <c r="J2172" s="119" t="s">
        <v>9658</v>
      </c>
      <c r="K2172" s="236" t="s">
        <v>133</v>
      </c>
      <c r="L2172" s="233">
        <v>3137756610</v>
      </c>
      <c r="M2172" s="234" t="s">
        <v>9659</v>
      </c>
      <c r="N2172" s="216" t="s">
        <v>127</v>
      </c>
      <c r="O2172" s="235" t="s">
        <v>2822</v>
      </c>
      <c r="P2172" s="237" t="s">
        <v>48</v>
      </c>
      <c r="Q2172" s="241">
        <v>46189</v>
      </c>
      <c r="R2172" s="216">
        <v>80</v>
      </c>
      <c r="S2172" s="240" t="s">
        <v>49</v>
      </c>
      <c r="T2172" s="111"/>
      <c r="U2172" s="235" t="s">
        <v>60</v>
      </c>
      <c r="V2172" s="111"/>
      <c r="W2172" s="111"/>
      <c r="X2172" s="111"/>
      <c r="Y2172" s="111"/>
      <c r="Z2172" s="111"/>
      <c r="AA2172" s="111"/>
      <c r="AB2172" s="111"/>
      <c r="AC2172" s="111"/>
      <c r="AD2172" s="111"/>
      <c r="AE2172" s="111"/>
      <c r="AF2172" s="111"/>
      <c r="AG2172" s="111"/>
      <c r="AH2172" s="111"/>
      <c r="AI2172" s="111"/>
      <c r="AJ2172" s="111"/>
      <c r="AK2172" s="111"/>
      <c r="AL2172" s="111"/>
      <c r="AM2172" s="111"/>
      <c r="AN2172" s="111"/>
      <c r="AO2172" s="111"/>
      <c r="AP2172" s="111"/>
      <c r="AQ2172" s="111"/>
      <c r="AR2172" s="111"/>
      <c r="AS2172" s="111"/>
      <c r="AT2172" s="111"/>
      <c r="AU2172" s="235" t="s">
        <v>53</v>
      </c>
      <c r="AV2172" s="111"/>
      <c r="AW2172" s="111"/>
      <c r="AX2172" s="111"/>
      <c r="AY2172" s="111"/>
      <c r="AZ2172" s="111"/>
      <c r="BA2172" s="111"/>
      <c r="BB2172" s="220"/>
    </row>
    <row r="2173" spans="1:54" s="12" customFormat="1" ht="16.5" hidden="1" customHeight="1" x14ac:dyDescent="0.3">
      <c r="A2173" s="235" t="s">
        <v>505</v>
      </c>
      <c r="B2173" s="235" t="s">
        <v>505</v>
      </c>
      <c r="C2173" s="111">
        <v>70</v>
      </c>
      <c r="D2173" s="111">
        <v>771</v>
      </c>
      <c r="E2173" s="111" t="s">
        <v>9612</v>
      </c>
      <c r="F2173" s="392" t="s">
        <v>9663</v>
      </c>
      <c r="G2173" s="232" t="str">
        <f t="shared" si="52"/>
        <v>70771823002060</v>
      </c>
      <c r="H2173" s="236" t="s">
        <v>8660</v>
      </c>
      <c r="I2173" s="119">
        <v>823002060</v>
      </c>
      <c r="J2173" s="119" t="s">
        <v>9664</v>
      </c>
      <c r="K2173" s="236" t="s">
        <v>44</v>
      </c>
      <c r="L2173" s="233">
        <v>3234858433</v>
      </c>
      <c r="M2173" s="234"/>
      <c r="N2173" s="216" t="s">
        <v>127</v>
      </c>
      <c r="O2173" s="235" t="s">
        <v>2822</v>
      </c>
      <c r="P2173" s="237" t="s">
        <v>48</v>
      </c>
      <c r="Q2173" s="241">
        <v>46192</v>
      </c>
      <c r="R2173" s="216">
        <v>85</v>
      </c>
      <c r="S2173" s="240" t="s">
        <v>49</v>
      </c>
      <c r="T2173" s="111"/>
      <c r="U2173" s="235" t="s">
        <v>60</v>
      </c>
      <c r="V2173" s="111"/>
      <c r="W2173" s="111"/>
      <c r="X2173" s="111"/>
      <c r="Y2173" s="111"/>
      <c r="Z2173" s="111"/>
      <c r="AA2173" s="111"/>
      <c r="AB2173" s="111"/>
      <c r="AC2173" s="111"/>
      <c r="AD2173" s="111"/>
      <c r="AE2173" s="111"/>
      <c r="AF2173" s="111"/>
      <c r="AG2173" s="111"/>
      <c r="AH2173" s="111"/>
      <c r="AI2173" s="111"/>
      <c r="AJ2173" s="111"/>
      <c r="AK2173" s="111"/>
      <c r="AL2173" s="111"/>
      <c r="AM2173" s="111"/>
      <c r="AN2173" s="111"/>
      <c r="AO2173" s="111"/>
      <c r="AP2173" s="111"/>
      <c r="AQ2173" s="111"/>
      <c r="AR2173" s="111"/>
      <c r="AS2173" s="111"/>
      <c r="AT2173" s="111"/>
      <c r="AU2173" s="235" t="s">
        <v>53</v>
      </c>
      <c r="AV2173" s="111"/>
      <c r="AW2173" s="111"/>
      <c r="AX2173" s="111"/>
      <c r="AY2173" s="111"/>
      <c r="AZ2173" s="111"/>
      <c r="BA2173" s="111"/>
      <c r="BB2173" s="220"/>
    </row>
    <row r="2174" spans="1:54" s="12" customFormat="1" ht="16.5" hidden="1" customHeight="1" x14ac:dyDescent="0.3">
      <c r="A2174" s="235" t="s">
        <v>505</v>
      </c>
      <c r="B2174" s="235" t="s">
        <v>505</v>
      </c>
      <c r="C2174" s="111">
        <v>70</v>
      </c>
      <c r="D2174" s="111">
        <v>771</v>
      </c>
      <c r="E2174" s="111"/>
      <c r="F2174" s="217" t="s">
        <v>8157</v>
      </c>
      <c r="G2174" s="232" t="str">
        <f t="shared" si="52"/>
        <v>7077192537901</v>
      </c>
      <c r="H2174" s="119" t="s">
        <v>8194</v>
      </c>
      <c r="I2174" s="119">
        <v>92537901</v>
      </c>
      <c r="J2174" s="119" t="s">
        <v>8238</v>
      </c>
      <c r="K2174" s="236" t="s">
        <v>230</v>
      </c>
      <c r="L2174" s="233"/>
      <c r="M2174" s="234"/>
      <c r="N2174" s="216" t="s">
        <v>432</v>
      </c>
      <c r="O2174" s="235" t="s">
        <v>432</v>
      </c>
      <c r="P2174" s="237" t="s">
        <v>261</v>
      </c>
      <c r="Q2174" s="241">
        <v>45602</v>
      </c>
      <c r="R2174" s="243">
        <v>0.86</v>
      </c>
      <c r="S2174" s="240" t="s">
        <v>49</v>
      </c>
      <c r="T2174" s="111"/>
      <c r="U2174" s="235" t="s">
        <v>50</v>
      </c>
      <c r="V2174" s="111"/>
      <c r="W2174" s="111"/>
      <c r="X2174" s="111"/>
      <c r="Y2174" s="111"/>
      <c r="Z2174" s="111"/>
      <c r="AA2174" s="111"/>
      <c r="AB2174" s="111"/>
      <c r="AC2174" s="111"/>
      <c r="AD2174" s="111"/>
      <c r="AE2174" s="111"/>
      <c r="AF2174" s="111"/>
      <c r="AG2174" s="111"/>
      <c r="AH2174" s="111"/>
      <c r="AI2174" s="111"/>
      <c r="AJ2174" s="111"/>
      <c r="AK2174" s="111"/>
      <c r="AL2174" s="111"/>
      <c r="AM2174" s="111"/>
      <c r="AN2174" s="111"/>
      <c r="AO2174" s="111"/>
      <c r="AP2174" s="111"/>
      <c r="AQ2174" s="111"/>
      <c r="AR2174" s="111"/>
      <c r="AS2174" s="111"/>
      <c r="AT2174" s="111"/>
      <c r="AU2174" s="235" t="s">
        <v>1208</v>
      </c>
      <c r="AV2174" s="111"/>
      <c r="AW2174" s="111"/>
      <c r="AX2174" s="111"/>
      <c r="AY2174" s="111"/>
      <c r="AZ2174" s="111"/>
      <c r="BA2174" s="111"/>
      <c r="BB2174" s="220"/>
    </row>
    <row r="2175" spans="1:54" s="12" customFormat="1" ht="16.5" hidden="1" customHeight="1" x14ac:dyDescent="0.3">
      <c r="A2175" s="235" t="s">
        <v>505</v>
      </c>
      <c r="B2175" s="235" t="s">
        <v>505</v>
      </c>
      <c r="C2175" s="111">
        <v>70</v>
      </c>
      <c r="D2175" s="111">
        <v>771</v>
      </c>
      <c r="E2175" s="111"/>
      <c r="F2175" s="217" t="s">
        <v>8158</v>
      </c>
      <c r="G2175" s="232" t="str">
        <f t="shared" si="52"/>
        <v>7077123197719</v>
      </c>
      <c r="H2175" s="119" t="s">
        <v>8195</v>
      </c>
      <c r="I2175" s="119">
        <v>23197719</v>
      </c>
      <c r="J2175" s="119" t="s">
        <v>8224</v>
      </c>
      <c r="K2175" s="236" t="s">
        <v>230</v>
      </c>
      <c r="L2175" s="233"/>
      <c r="M2175" s="234"/>
      <c r="N2175" s="216" t="s">
        <v>780</v>
      </c>
      <c r="O2175" s="235" t="s">
        <v>260</v>
      </c>
      <c r="P2175" s="237" t="s">
        <v>80</v>
      </c>
      <c r="Q2175" s="241">
        <v>45637</v>
      </c>
      <c r="R2175" s="243">
        <v>0.79</v>
      </c>
      <c r="S2175" s="240" t="s">
        <v>49</v>
      </c>
      <c r="T2175" s="111"/>
      <c r="U2175" s="235" t="s">
        <v>50</v>
      </c>
      <c r="V2175" s="111"/>
      <c r="W2175" s="111"/>
      <c r="X2175" s="111"/>
      <c r="Y2175" s="111"/>
      <c r="Z2175" s="111"/>
      <c r="AA2175" s="111"/>
      <c r="AB2175" s="111"/>
      <c r="AC2175" s="111"/>
      <c r="AD2175" s="111"/>
      <c r="AE2175" s="111"/>
      <c r="AF2175" s="111"/>
      <c r="AG2175" s="111"/>
      <c r="AH2175" s="111"/>
      <c r="AI2175" s="111"/>
      <c r="AJ2175" s="111"/>
      <c r="AK2175" s="111"/>
      <c r="AL2175" s="111"/>
      <c r="AM2175" s="111"/>
      <c r="AN2175" s="111"/>
      <c r="AO2175" s="111"/>
      <c r="AP2175" s="111"/>
      <c r="AQ2175" s="111"/>
      <c r="AR2175" s="111"/>
      <c r="AS2175" s="111"/>
      <c r="AT2175" s="111"/>
      <c r="AU2175" s="235" t="s">
        <v>1208</v>
      </c>
      <c r="AV2175" s="111"/>
      <c r="AW2175" s="111"/>
      <c r="AX2175" s="111"/>
      <c r="AY2175" s="111"/>
      <c r="AZ2175" s="111"/>
      <c r="BA2175" s="111"/>
      <c r="BB2175" s="220"/>
    </row>
    <row r="2176" spans="1:54" s="12" customFormat="1" ht="16.5" hidden="1" customHeight="1" x14ac:dyDescent="0.3">
      <c r="A2176" s="235" t="s">
        <v>505</v>
      </c>
      <c r="B2176" s="235" t="s">
        <v>505</v>
      </c>
      <c r="C2176" s="111">
        <v>70</v>
      </c>
      <c r="D2176" s="111">
        <v>771</v>
      </c>
      <c r="E2176" s="111"/>
      <c r="F2176" s="217" t="s">
        <v>8159</v>
      </c>
      <c r="G2176" s="232" t="str">
        <f t="shared" si="52"/>
        <v>707719193613</v>
      </c>
      <c r="H2176" s="119" t="s">
        <v>8196</v>
      </c>
      <c r="I2176" s="119">
        <v>9193613</v>
      </c>
      <c r="J2176" s="119" t="s">
        <v>8224</v>
      </c>
      <c r="K2176" s="236" t="s">
        <v>230</v>
      </c>
      <c r="L2176" s="233"/>
      <c r="M2176" s="234"/>
      <c r="N2176" s="216" t="s">
        <v>780</v>
      </c>
      <c r="O2176" s="235" t="s">
        <v>260</v>
      </c>
      <c r="P2176" s="237" t="s">
        <v>80</v>
      </c>
      <c r="Q2176" s="241">
        <v>45637</v>
      </c>
      <c r="R2176" s="243">
        <v>0.84</v>
      </c>
      <c r="S2176" s="240" t="s">
        <v>49</v>
      </c>
      <c r="T2176" s="111"/>
      <c r="U2176" s="235" t="s">
        <v>50</v>
      </c>
      <c r="V2176" s="111"/>
      <c r="W2176" s="111"/>
      <c r="X2176" s="111"/>
      <c r="Y2176" s="111"/>
      <c r="Z2176" s="111"/>
      <c r="AA2176" s="111"/>
      <c r="AB2176" s="111"/>
      <c r="AC2176" s="111"/>
      <c r="AD2176" s="111"/>
      <c r="AE2176" s="111"/>
      <c r="AF2176" s="111"/>
      <c r="AG2176" s="111"/>
      <c r="AH2176" s="111"/>
      <c r="AI2176" s="111"/>
      <c r="AJ2176" s="111"/>
      <c r="AK2176" s="111"/>
      <c r="AL2176" s="111"/>
      <c r="AM2176" s="111"/>
      <c r="AN2176" s="111"/>
      <c r="AO2176" s="111"/>
      <c r="AP2176" s="111"/>
      <c r="AQ2176" s="111"/>
      <c r="AR2176" s="111"/>
      <c r="AS2176" s="111"/>
      <c r="AT2176" s="111"/>
      <c r="AU2176" s="235" t="s">
        <v>1208</v>
      </c>
      <c r="AV2176" s="111"/>
      <c r="AW2176" s="111"/>
      <c r="AX2176" s="111"/>
      <c r="AY2176" s="111"/>
      <c r="AZ2176" s="111"/>
      <c r="BA2176" s="111"/>
      <c r="BB2176" s="220"/>
    </row>
    <row r="2177" spans="1:54" s="12" customFormat="1" ht="16.5" hidden="1" customHeight="1" x14ac:dyDescent="0.3">
      <c r="A2177" s="235" t="s">
        <v>505</v>
      </c>
      <c r="B2177" s="235" t="s">
        <v>505</v>
      </c>
      <c r="C2177" s="111">
        <v>70</v>
      </c>
      <c r="D2177" s="111">
        <v>771</v>
      </c>
      <c r="E2177" s="111"/>
      <c r="F2177" s="217" t="s">
        <v>8160</v>
      </c>
      <c r="G2177" s="232" t="str">
        <f t="shared" si="52"/>
        <v>70771901219075-2</v>
      </c>
      <c r="H2177" s="119" t="s">
        <v>7992</v>
      </c>
      <c r="I2177" s="119" t="s">
        <v>7995</v>
      </c>
      <c r="J2177" s="119" t="s">
        <v>8239</v>
      </c>
      <c r="K2177" s="236" t="s">
        <v>133</v>
      </c>
      <c r="L2177" s="233"/>
      <c r="M2177" s="234"/>
      <c r="N2177" s="216" t="s">
        <v>127</v>
      </c>
      <c r="O2177" s="235" t="s">
        <v>2822</v>
      </c>
      <c r="P2177" s="237" t="s">
        <v>48</v>
      </c>
      <c r="Q2177" s="241">
        <v>45398</v>
      </c>
      <c r="R2177" s="243" t="s">
        <v>146</v>
      </c>
      <c r="S2177" s="240" t="s">
        <v>49</v>
      </c>
      <c r="T2177" s="111"/>
      <c r="U2177" s="235" t="s">
        <v>50</v>
      </c>
      <c r="V2177" s="111"/>
      <c r="W2177" s="111"/>
      <c r="X2177" s="111"/>
      <c r="Y2177" s="111"/>
      <c r="Z2177" s="111"/>
      <c r="AA2177" s="111"/>
      <c r="AB2177" s="111"/>
      <c r="AC2177" s="111"/>
      <c r="AD2177" s="111"/>
      <c r="AE2177" s="111"/>
      <c r="AF2177" s="111"/>
      <c r="AG2177" s="111"/>
      <c r="AH2177" s="111"/>
      <c r="AI2177" s="111"/>
      <c r="AJ2177" s="111"/>
      <c r="AK2177" s="111"/>
      <c r="AL2177" s="111"/>
      <c r="AM2177" s="111"/>
      <c r="AN2177" s="111"/>
      <c r="AO2177" s="111"/>
      <c r="AP2177" s="111"/>
      <c r="AQ2177" s="111"/>
      <c r="AR2177" s="111"/>
      <c r="AS2177" s="111"/>
      <c r="AT2177" s="111"/>
      <c r="AU2177" s="235" t="s">
        <v>1208</v>
      </c>
      <c r="AV2177" s="111"/>
      <c r="AW2177" s="111"/>
      <c r="AX2177" s="111"/>
      <c r="AY2177" s="111"/>
      <c r="AZ2177" s="111"/>
      <c r="BA2177" s="111"/>
      <c r="BB2177" s="220"/>
    </row>
    <row r="2178" spans="1:54" s="12" customFormat="1" ht="16.5" hidden="1" customHeight="1" x14ac:dyDescent="0.3">
      <c r="A2178" s="235" t="s">
        <v>505</v>
      </c>
      <c r="B2178" s="235" t="s">
        <v>505</v>
      </c>
      <c r="C2178" s="111">
        <v>70</v>
      </c>
      <c r="D2178" s="111">
        <v>771</v>
      </c>
      <c r="E2178" s="111"/>
      <c r="F2178" s="217" t="s">
        <v>8161</v>
      </c>
      <c r="G2178" s="232" t="str">
        <f t="shared" si="52"/>
        <v>7077171677469</v>
      </c>
      <c r="H2178" s="119" t="s">
        <v>8197</v>
      </c>
      <c r="I2178" s="119">
        <v>71677469</v>
      </c>
      <c r="J2178" s="119" t="s">
        <v>8240</v>
      </c>
      <c r="K2178" s="236" t="s">
        <v>230</v>
      </c>
      <c r="L2178" s="233"/>
      <c r="M2178" s="234"/>
      <c r="N2178" s="216" t="s">
        <v>780</v>
      </c>
      <c r="O2178" s="235" t="s">
        <v>260</v>
      </c>
      <c r="P2178" s="237" t="s">
        <v>80</v>
      </c>
      <c r="Q2178" s="241">
        <v>45605</v>
      </c>
      <c r="R2178" s="243" t="s">
        <v>8262</v>
      </c>
      <c r="S2178" s="240" t="s">
        <v>49</v>
      </c>
      <c r="T2178" s="111"/>
      <c r="U2178" s="235" t="s">
        <v>50</v>
      </c>
      <c r="V2178" s="111"/>
      <c r="W2178" s="111"/>
      <c r="X2178" s="111"/>
      <c r="Y2178" s="111"/>
      <c r="Z2178" s="111"/>
      <c r="AA2178" s="111"/>
      <c r="AB2178" s="111"/>
      <c r="AC2178" s="111"/>
      <c r="AD2178" s="111"/>
      <c r="AE2178" s="111"/>
      <c r="AF2178" s="111"/>
      <c r="AG2178" s="111"/>
      <c r="AH2178" s="111"/>
      <c r="AI2178" s="111"/>
      <c r="AJ2178" s="111"/>
      <c r="AK2178" s="111"/>
      <c r="AL2178" s="111"/>
      <c r="AM2178" s="111"/>
      <c r="AN2178" s="111"/>
      <c r="AO2178" s="111"/>
      <c r="AP2178" s="111"/>
      <c r="AQ2178" s="111"/>
      <c r="AR2178" s="111"/>
      <c r="AS2178" s="111"/>
      <c r="AT2178" s="111"/>
      <c r="AU2178" s="235" t="s">
        <v>1208</v>
      </c>
      <c r="AV2178" s="111"/>
      <c r="AW2178" s="111"/>
      <c r="AX2178" s="111"/>
      <c r="AY2178" s="111"/>
      <c r="AZ2178" s="111"/>
      <c r="BA2178" s="111"/>
      <c r="BB2178" s="220"/>
    </row>
    <row r="2179" spans="1:54" s="12" customFormat="1" ht="16.5" hidden="1" customHeight="1" x14ac:dyDescent="0.3">
      <c r="A2179" s="235" t="s">
        <v>505</v>
      </c>
      <c r="B2179" s="235" t="s">
        <v>505</v>
      </c>
      <c r="C2179" s="111">
        <v>70</v>
      </c>
      <c r="D2179" s="111">
        <v>771</v>
      </c>
      <c r="E2179" s="111"/>
      <c r="F2179" s="217" t="s">
        <v>8162</v>
      </c>
      <c r="G2179" s="232" t="str">
        <f t="shared" si="52"/>
        <v>7077132738742</v>
      </c>
      <c r="H2179" s="119" t="s">
        <v>8198</v>
      </c>
      <c r="I2179" s="119">
        <v>32738742</v>
      </c>
      <c r="J2179" s="119" t="s">
        <v>8241</v>
      </c>
      <c r="K2179" s="236" t="s">
        <v>230</v>
      </c>
      <c r="L2179" s="233"/>
      <c r="M2179" s="234"/>
      <c r="N2179" s="216" t="s">
        <v>432</v>
      </c>
      <c r="O2179" s="235" t="s">
        <v>432</v>
      </c>
      <c r="P2179" s="237" t="s">
        <v>48</v>
      </c>
      <c r="Q2179" s="241">
        <v>45636</v>
      </c>
      <c r="R2179" s="243">
        <v>0.86</v>
      </c>
      <c r="S2179" s="240" t="s">
        <v>49</v>
      </c>
      <c r="T2179" s="111"/>
      <c r="U2179" s="235" t="s">
        <v>50</v>
      </c>
      <c r="V2179" s="111"/>
      <c r="W2179" s="111"/>
      <c r="X2179" s="111"/>
      <c r="Y2179" s="111"/>
      <c r="Z2179" s="111"/>
      <c r="AA2179" s="111"/>
      <c r="AB2179" s="111"/>
      <c r="AC2179" s="111"/>
      <c r="AD2179" s="111"/>
      <c r="AE2179" s="111"/>
      <c r="AF2179" s="111"/>
      <c r="AG2179" s="111"/>
      <c r="AH2179" s="111"/>
      <c r="AI2179" s="111"/>
      <c r="AJ2179" s="111"/>
      <c r="AK2179" s="111"/>
      <c r="AL2179" s="111"/>
      <c r="AM2179" s="111"/>
      <c r="AN2179" s="111"/>
      <c r="AO2179" s="111"/>
      <c r="AP2179" s="111"/>
      <c r="AQ2179" s="111"/>
      <c r="AR2179" s="111"/>
      <c r="AS2179" s="111"/>
      <c r="AT2179" s="111"/>
      <c r="AU2179" s="235" t="s">
        <v>1208</v>
      </c>
      <c r="AV2179" s="111"/>
      <c r="AW2179" s="111"/>
      <c r="AX2179" s="111"/>
      <c r="AY2179" s="111"/>
      <c r="AZ2179" s="111"/>
      <c r="BA2179" s="111"/>
      <c r="BB2179" s="220"/>
    </row>
    <row r="2180" spans="1:54" s="12" customFormat="1" ht="16.5" hidden="1" customHeight="1" x14ac:dyDescent="0.3">
      <c r="A2180" s="235" t="s">
        <v>505</v>
      </c>
      <c r="B2180" s="235" t="s">
        <v>505</v>
      </c>
      <c r="C2180" s="111">
        <v>70</v>
      </c>
      <c r="D2180" s="111">
        <v>771</v>
      </c>
      <c r="E2180" s="111"/>
      <c r="F2180" s="217" t="s">
        <v>8163</v>
      </c>
      <c r="G2180" s="232" t="str">
        <f t="shared" si="52"/>
        <v>7077164930523</v>
      </c>
      <c r="H2180" s="119" t="s">
        <v>8199</v>
      </c>
      <c r="I2180" s="119">
        <v>64930523</v>
      </c>
      <c r="J2180" s="119" t="s">
        <v>8242</v>
      </c>
      <c r="K2180" s="236" t="s">
        <v>230</v>
      </c>
      <c r="L2180" s="233"/>
      <c r="M2180" s="234"/>
      <c r="N2180" s="216" t="s">
        <v>780</v>
      </c>
      <c r="O2180" s="235" t="s">
        <v>260</v>
      </c>
      <c r="P2180" s="237" t="s">
        <v>80</v>
      </c>
      <c r="Q2180" s="241">
        <v>45602</v>
      </c>
      <c r="R2180" s="243">
        <v>0.86</v>
      </c>
      <c r="S2180" s="240" t="s">
        <v>49</v>
      </c>
      <c r="T2180" s="111"/>
      <c r="U2180" s="235" t="s">
        <v>50</v>
      </c>
      <c r="V2180" s="111"/>
      <c r="W2180" s="111"/>
      <c r="X2180" s="111"/>
      <c r="Y2180" s="111"/>
      <c r="Z2180" s="111"/>
      <c r="AA2180" s="111"/>
      <c r="AB2180" s="111"/>
      <c r="AC2180" s="111"/>
      <c r="AD2180" s="111"/>
      <c r="AE2180" s="111"/>
      <c r="AF2180" s="111"/>
      <c r="AG2180" s="111"/>
      <c r="AH2180" s="111"/>
      <c r="AI2180" s="111"/>
      <c r="AJ2180" s="111"/>
      <c r="AK2180" s="111"/>
      <c r="AL2180" s="111"/>
      <c r="AM2180" s="111"/>
      <c r="AN2180" s="111"/>
      <c r="AO2180" s="111"/>
      <c r="AP2180" s="111"/>
      <c r="AQ2180" s="111"/>
      <c r="AR2180" s="111"/>
      <c r="AS2180" s="111"/>
      <c r="AT2180" s="111"/>
      <c r="AU2180" s="235" t="s">
        <v>1208</v>
      </c>
      <c r="AV2180" s="111"/>
      <c r="AW2180" s="111"/>
      <c r="AX2180" s="111"/>
      <c r="AY2180" s="111"/>
      <c r="AZ2180" s="111"/>
      <c r="BA2180" s="111"/>
      <c r="BB2180" s="220"/>
    </row>
    <row r="2181" spans="1:54" s="12" customFormat="1" ht="16.5" customHeight="1" x14ac:dyDescent="0.3">
      <c r="A2181" s="235" t="s">
        <v>505</v>
      </c>
      <c r="B2181" s="235" t="s">
        <v>505</v>
      </c>
      <c r="C2181" s="111">
        <v>70</v>
      </c>
      <c r="D2181" s="111">
        <v>771</v>
      </c>
      <c r="E2181" s="111"/>
      <c r="F2181" s="286" t="s">
        <v>8164</v>
      </c>
      <c r="G2181" s="232" t="str">
        <f t="shared" ref="G2181:G2206" si="54">C2181&amp;D2181&amp;I2181</f>
        <v>707711102576368</v>
      </c>
      <c r="H2181" s="119" t="s">
        <v>8200</v>
      </c>
      <c r="I2181" s="119">
        <v>1102576368</v>
      </c>
      <c r="J2181" s="119" t="s">
        <v>8243</v>
      </c>
      <c r="K2181" s="236" t="s">
        <v>230</v>
      </c>
      <c r="L2181" s="233">
        <v>3008806441</v>
      </c>
      <c r="M2181" s="234"/>
      <c r="N2181" s="216" t="s">
        <v>8021</v>
      </c>
      <c r="O2181" s="235" t="s">
        <v>47</v>
      </c>
      <c r="P2181" s="237" t="s">
        <v>48</v>
      </c>
      <c r="Q2181" s="13">
        <v>46197</v>
      </c>
      <c r="R2181" s="12" t="s">
        <v>8538</v>
      </c>
      <c r="S2181" s="240" t="s">
        <v>49</v>
      </c>
      <c r="T2181" s="111"/>
      <c r="U2181" s="235" t="s">
        <v>50</v>
      </c>
      <c r="V2181" s="241">
        <v>45495</v>
      </c>
      <c r="W2181" s="243" t="s">
        <v>167</v>
      </c>
      <c r="X2181" s="240" t="s">
        <v>49</v>
      </c>
      <c r="Y2181" s="111"/>
      <c r="Z2181" s="235" t="s">
        <v>60</v>
      </c>
      <c r="AA2181" s="111"/>
      <c r="AB2181" s="111"/>
      <c r="AC2181" s="111"/>
      <c r="AD2181" s="111"/>
      <c r="AE2181" s="111"/>
      <c r="AF2181" s="111"/>
      <c r="AG2181" s="111"/>
      <c r="AH2181" s="111"/>
      <c r="AI2181" s="111"/>
      <c r="AJ2181" s="111"/>
      <c r="AK2181" s="111"/>
      <c r="AL2181" s="111"/>
      <c r="AM2181" s="111"/>
      <c r="AN2181" s="111"/>
      <c r="AO2181" s="111"/>
      <c r="AP2181" s="111"/>
      <c r="AQ2181" s="111"/>
      <c r="AR2181" s="111"/>
      <c r="AS2181" s="111"/>
      <c r="AT2181" s="111"/>
      <c r="AU2181" s="235" t="s">
        <v>1208</v>
      </c>
      <c r="AV2181" s="111"/>
      <c r="AW2181" s="111"/>
      <c r="AX2181" s="111"/>
      <c r="AY2181" s="111"/>
      <c r="AZ2181" s="111"/>
      <c r="BA2181" s="111"/>
      <c r="BB2181" s="220"/>
    </row>
    <row r="2182" spans="1:54" s="12" customFormat="1" ht="16.5" customHeight="1" x14ac:dyDescent="0.3">
      <c r="A2182" s="235" t="s">
        <v>505</v>
      </c>
      <c r="B2182" s="235" t="s">
        <v>505</v>
      </c>
      <c r="C2182" s="111">
        <v>70</v>
      </c>
      <c r="D2182" s="111">
        <v>771</v>
      </c>
      <c r="E2182" s="111"/>
      <c r="F2182" s="286" t="s">
        <v>9673</v>
      </c>
      <c r="G2182" s="232" t="str">
        <f t="shared" si="54"/>
        <v>7077123197588</v>
      </c>
      <c r="H2182" s="119" t="s">
        <v>8201</v>
      </c>
      <c r="I2182" s="119">
        <v>23197588</v>
      </c>
      <c r="J2182" s="119" t="s">
        <v>8244</v>
      </c>
      <c r="K2182" s="236" t="s">
        <v>230</v>
      </c>
      <c r="L2182" s="233">
        <v>3007667967</v>
      </c>
      <c r="M2182" s="234" t="s">
        <v>9674</v>
      </c>
      <c r="N2182" s="216" t="s">
        <v>8021</v>
      </c>
      <c r="O2182" s="235" t="s">
        <v>47</v>
      </c>
      <c r="P2182" s="237" t="s">
        <v>48</v>
      </c>
      <c r="Q2182" s="13">
        <v>46210</v>
      </c>
      <c r="R2182" s="12">
        <v>82</v>
      </c>
      <c r="S2182" s="240" t="s">
        <v>49</v>
      </c>
      <c r="U2182" s="12" t="s">
        <v>60</v>
      </c>
      <c r="V2182" s="241">
        <v>45476</v>
      </c>
      <c r="W2182" s="243" t="s">
        <v>167</v>
      </c>
      <c r="X2182" s="240" t="s">
        <v>49</v>
      </c>
      <c r="Y2182" s="111"/>
      <c r="Z2182" s="235" t="s">
        <v>50</v>
      </c>
      <c r="AA2182" s="111"/>
      <c r="AB2182" s="111"/>
      <c r="AC2182" s="111"/>
      <c r="AD2182" s="111"/>
      <c r="AE2182" s="111"/>
      <c r="AF2182" s="111"/>
      <c r="AG2182" s="111"/>
      <c r="AH2182" s="111"/>
      <c r="AI2182" s="111"/>
      <c r="AJ2182" s="111"/>
      <c r="AK2182" s="111"/>
      <c r="AL2182" s="111"/>
      <c r="AM2182" s="111"/>
      <c r="AN2182" s="111"/>
      <c r="AO2182" s="111"/>
      <c r="AP2182" s="111"/>
      <c r="AQ2182" s="111"/>
      <c r="AR2182" s="111"/>
      <c r="AS2182" s="111"/>
      <c r="AT2182" s="111"/>
      <c r="AU2182" s="235" t="s">
        <v>1208</v>
      </c>
      <c r="AV2182" s="111"/>
      <c r="AW2182" s="111"/>
      <c r="AX2182" s="111"/>
      <c r="AY2182" s="111"/>
      <c r="AZ2182" s="111"/>
      <c r="BA2182" s="111"/>
      <c r="BB2182" s="220"/>
    </row>
    <row r="2183" spans="1:54" s="12" customFormat="1" ht="16.5" hidden="1" customHeight="1" x14ac:dyDescent="0.3">
      <c r="A2183" s="235" t="s">
        <v>505</v>
      </c>
      <c r="B2183" s="235" t="s">
        <v>505</v>
      </c>
      <c r="C2183" s="111">
        <v>70</v>
      </c>
      <c r="D2183" s="111">
        <v>771</v>
      </c>
      <c r="E2183" s="111" t="s">
        <v>9618</v>
      </c>
      <c r="F2183" s="286" t="s">
        <v>8165</v>
      </c>
      <c r="G2183" s="232" t="str">
        <f t="shared" si="54"/>
        <v>707718230016973</v>
      </c>
      <c r="H2183" s="119" t="s">
        <v>9613</v>
      </c>
      <c r="I2183" s="119">
        <v>8230016973</v>
      </c>
      <c r="J2183" s="119" t="s">
        <v>8219</v>
      </c>
      <c r="K2183" s="236" t="s">
        <v>133</v>
      </c>
      <c r="L2183" s="233">
        <v>3145433905</v>
      </c>
      <c r="M2183" s="234" t="s">
        <v>9619</v>
      </c>
      <c r="N2183" s="216" t="s">
        <v>127</v>
      </c>
      <c r="O2183" s="235" t="s">
        <v>2822</v>
      </c>
      <c r="P2183" s="237" t="s">
        <v>48</v>
      </c>
      <c r="Q2183" s="13">
        <v>46135</v>
      </c>
      <c r="R2183" s="12">
        <v>81</v>
      </c>
      <c r="S2183" s="240" t="s">
        <v>49</v>
      </c>
      <c r="T2183" s="111"/>
      <c r="U2183" s="235" t="s">
        <v>50</v>
      </c>
      <c r="V2183" s="241">
        <v>45538</v>
      </c>
      <c r="W2183" s="243" t="s">
        <v>1906</v>
      </c>
      <c r="X2183" s="240" t="s">
        <v>49</v>
      </c>
      <c r="Y2183" s="111"/>
      <c r="Z2183" s="235" t="s">
        <v>60</v>
      </c>
      <c r="AA2183" s="111"/>
      <c r="AB2183" s="111"/>
      <c r="AC2183" s="111"/>
      <c r="AD2183" s="111"/>
      <c r="AE2183" s="111"/>
      <c r="AF2183" s="111"/>
      <c r="AG2183" s="111"/>
      <c r="AH2183" s="111"/>
      <c r="AI2183" s="111"/>
      <c r="AJ2183" s="111"/>
      <c r="AK2183" s="111"/>
      <c r="AL2183" s="111"/>
      <c r="AM2183" s="111"/>
      <c r="AN2183" s="111"/>
      <c r="AO2183" s="111"/>
      <c r="AP2183" s="111"/>
      <c r="AQ2183" s="111"/>
      <c r="AR2183" s="111"/>
      <c r="AS2183" s="111"/>
      <c r="AT2183" s="111"/>
      <c r="AU2183" s="235" t="s">
        <v>1208</v>
      </c>
      <c r="AV2183" s="111"/>
      <c r="AW2183" s="111"/>
      <c r="AX2183" s="111"/>
      <c r="AY2183" s="111"/>
      <c r="AZ2183" s="111"/>
      <c r="BA2183" s="111"/>
      <c r="BB2183" s="220"/>
    </row>
    <row r="2184" spans="1:54" s="12" customFormat="1" ht="16.5" hidden="1" customHeight="1" x14ac:dyDescent="0.3">
      <c r="A2184" s="235" t="s">
        <v>505</v>
      </c>
      <c r="B2184" s="235" t="s">
        <v>505</v>
      </c>
      <c r="C2184" s="111">
        <v>70</v>
      </c>
      <c r="D2184" s="111">
        <v>771</v>
      </c>
      <c r="E2184" s="111"/>
      <c r="F2184" s="217" t="s">
        <v>8166</v>
      </c>
      <c r="G2184" s="232" t="str">
        <f t="shared" si="54"/>
        <v>707719143980</v>
      </c>
      <c r="H2184" s="119" t="s">
        <v>8202</v>
      </c>
      <c r="I2184" s="119">
        <v>9143980</v>
      </c>
      <c r="J2184" s="119" t="s">
        <v>8235</v>
      </c>
      <c r="K2184" s="236" t="s">
        <v>230</v>
      </c>
      <c r="L2184" s="233"/>
      <c r="M2184" s="234"/>
      <c r="N2184" s="216" t="s">
        <v>780</v>
      </c>
      <c r="O2184" s="235" t="s">
        <v>260</v>
      </c>
      <c r="P2184" s="237" t="s">
        <v>80</v>
      </c>
      <c r="Q2184" s="241">
        <v>45553</v>
      </c>
      <c r="R2184" s="243" t="s">
        <v>8264</v>
      </c>
      <c r="S2184" s="240" t="s">
        <v>49</v>
      </c>
      <c r="T2184" s="111"/>
      <c r="U2184" s="235" t="s">
        <v>50</v>
      </c>
      <c r="V2184" s="111"/>
      <c r="W2184" s="111"/>
      <c r="X2184" s="111"/>
      <c r="Y2184" s="111"/>
      <c r="Z2184" s="111"/>
      <c r="AA2184" s="111"/>
      <c r="AB2184" s="111"/>
      <c r="AC2184" s="111"/>
      <c r="AD2184" s="111"/>
      <c r="AE2184" s="111"/>
      <c r="AF2184" s="111"/>
      <c r="AG2184" s="111"/>
      <c r="AH2184" s="111"/>
      <c r="AI2184" s="111"/>
      <c r="AJ2184" s="111"/>
      <c r="AK2184" s="111"/>
      <c r="AL2184" s="111"/>
      <c r="AM2184" s="111"/>
      <c r="AN2184" s="111"/>
      <c r="AO2184" s="111"/>
      <c r="AP2184" s="111"/>
      <c r="AQ2184" s="111"/>
      <c r="AR2184" s="111"/>
      <c r="AS2184" s="111"/>
      <c r="AT2184" s="111"/>
      <c r="AU2184" s="235" t="s">
        <v>1208</v>
      </c>
      <c r="AV2184" s="111"/>
      <c r="AW2184" s="111"/>
      <c r="AX2184" s="111"/>
      <c r="AY2184" s="111"/>
      <c r="AZ2184" s="111"/>
      <c r="BA2184" s="111"/>
      <c r="BB2184" s="220"/>
    </row>
    <row r="2185" spans="1:54" s="12" customFormat="1" ht="16.5" hidden="1" customHeight="1" x14ac:dyDescent="0.3">
      <c r="A2185" s="235" t="s">
        <v>505</v>
      </c>
      <c r="B2185" s="235" t="s">
        <v>505</v>
      </c>
      <c r="C2185" s="111">
        <v>70</v>
      </c>
      <c r="D2185" s="111">
        <v>771</v>
      </c>
      <c r="E2185" s="111"/>
      <c r="F2185" s="217" t="s">
        <v>8167</v>
      </c>
      <c r="G2185" s="232" t="str">
        <f t="shared" si="54"/>
        <v>70771901219075-2</v>
      </c>
      <c r="H2185" s="119" t="s">
        <v>7992</v>
      </c>
      <c r="I2185" s="119" t="s">
        <v>7995</v>
      </c>
      <c r="J2185" s="119" t="s">
        <v>8245</v>
      </c>
      <c r="K2185" s="236" t="s">
        <v>133</v>
      </c>
      <c r="L2185" s="233"/>
      <c r="M2185" s="234"/>
      <c r="N2185" s="216" t="s">
        <v>127</v>
      </c>
      <c r="O2185" s="235" t="s">
        <v>2822</v>
      </c>
      <c r="P2185" s="237" t="s">
        <v>48</v>
      </c>
      <c r="Q2185" s="241">
        <v>45554</v>
      </c>
      <c r="R2185" s="243" t="s">
        <v>1937</v>
      </c>
      <c r="S2185" s="240" t="s">
        <v>49</v>
      </c>
      <c r="T2185" s="111"/>
      <c r="U2185" s="235" t="s">
        <v>50</v>
      </c>
      <c r="V2185" s="111"/>
      <c r="W2185" s="111"/>
      <c r="X2185" s="111"/>
      <c r="Y2185" s="111"/>
      <c r="Z2185" s="111"/>
      <c r="AA2185" s="111"/>
      <c r="AB2185" s="111"/>
      <c r="AC2185" s="111"/>
      <c r="AD2185" s="111"/>
      <c r="AE2185" s="111"/>
      <c r="AF2185" s="111"/>
      <c r="AG2185" s="111"/>
      <c r="AH2185" s="111"/>
      <c r="AI2185" s="111"/>
      <c r="AJ2185" s="111"/>
      <c r="AK2185" s="111"/>
      <c r="AL2185" s="111"/>
      <c r="AM2185" s="111"/>
      <c r="AN2185" s="111"/>
      <c r="AO2185" s="111"/>
      <c r="AP2185" s="111"/>
      <c r="AQ2185" s="111"/>
      <c r="AR2185" s="111"/>
      <c r="AS2185" s="111"/>
      <c r="AT2185" s="111"/>
      <c r="AU2185" s="235" t="s">
        <v>1208</v>
      </c>
      <c r="AV2185" s="111"/>
      <c r="AW2185" s="111"/>
      <c r="AX2185" s="111"/>
      <c r="AY2185" s="111"/>
      <c r="AZ2185" s="111"/>
      <c r="BA2185" s="111"/>
      <c r="BB2185" s="220"/>
    </row>
    <row r="2186" spans="1:54" s="12" customFormat="1" ht="16.5" hidden="1" customHeight="1" x14ac:dyDescent="0.3">
      <c r="A2186" s="235" t="s">
        <v>505</v>
      </c>
      <c r="B2186" s="235" t="s">
        <v>505</v>
      </c>
      <c r="C2186" s="111">
        <v>70</v>
      </c>
      <c r="D2186" s="111">
        <v>771</v>
      </c>
      <c r="E2186" s="111"/>
      <c r="F2186" s="217" t="s">
        <v>8168</v>
      </c>
      <c r="G2186" s="232" t="str">
        <f t="shared" si="54"/>
        <v>70771901217075-2</v>
      </c>
      <c r="H2186" s="119" t="s">
        <v>7992</v>
      </c>
      <c r="I2186" s="119" t="s">
        <v>8246</v>
      </c>
      <c r="J2186" s="119" t="s">
        <v>8247</v>
      </c>
      <c r="K2186" s="236" t="s">
        <v>230</v>
      </c>
      <c r="L2186" s="233"/>
      <c r="M2186" s="234"/>
      <c r="N2186" s="216" t="s">
        <v>127</v>
      </c>
      <c r="O2186" s="235" t="s">
        <v>2822</v>
      </c>
      <c r="P2186" s="237" t="s">
        <v>48</v>
      </c>
      <c r="Q2186" s="241">
        <v>45539</v>
      </c>
      <c r="R2186" s="243" t="s">
        <v>176</v>
      </c>
      <c r="S2186" s="240" t="s">
        <v>49</v>
      </c>
      <c r="T2186" s="111"/>
      <c r="U2186" s="235" t="s">
        <v>50</v>
      </c>
      <c r="V2186" s="111"/>
      <c r="W2186" s="111"/>
      <c r="X2186" s="111"/>
      <c r="Y2186" s="111"/>
      <c r="Z2186" s="111"/>
      <c r="AA2186" s="111"/>
      <c r="AB2186" s="111"/>
      <c r="AC2186" s="111"/>
      <c r="AD2186" s="111"/>
      <c r="AE2186" s="111"/>
      <c r="AF2186" s="111"/>
      <c r="AG2186" s="111"/>
      <c r="AH2186" s="111"/>
      <c r="AI2186" s="111"/>
      <c r="AJ2186" s="111"/>
      <c r="AK2186" s="111"/>
      <c r="AL2186" s="111"/>
      <c r="AM2186" s="111"/>
      <c r="AN2186" s="111"/>
      <c r="AO2186" s="111"/>
      <c r="AP2186" s="111"/>
      <c r="AQ2186" s="111"/>
      <c r="AR2186" s="111"/>
      <c r="AS2186" s="111"/>
      <c r="AT2186" s="111"/>
      <c r="AU2186" s="235" t="s">
        <v>1208</v>
      </c>
      <c r="AV2186" s="111"/>
      <c r="AW2186" s="111"/>
      <c r="AX2186" s="111"/>
      <c r="AY2186" s="111"/>
      <c r="AZ2186" s="111"/>
      <c r="BA2186" s="111"/>
      <c r="BB2186" s="220"/>
    </row>
    <row r="2187" spans="1:54" s="12" customFormat="1" ht="16.5" hidden="1" customHeight="1" x14ac:dyDescent="0.3">
      <c r="A2187" s="235" t="s">
        <v>505</v>
      </c>
      <c r="B2187" s="235" t="s">
        <v>505</v>
      </c>
      <c r="C2187" s="111">
        <v>70</v>
      </c>
      <c r="D2187" s="111">
        <v>771</v>
      </c>
      <c r="E2187" s="111"/>
      <c r="F2187" s="217" t="s">
        <v>302</v>
      </c>
      <c r="G2187" s="232" t="str">
        <f t="shared" si="54"/>
        <v>707711102582136</v>
      </c>
      <c r="H2187" s="119" t="s">
        <v>8203</v>
      </c>
      <c r="I2187" s="119">
        <v>1102582136</v>
      </c>
      <c r="J2187" s="119" t="s">
        <v>8248</v>
      </c>
      <c r="K2187" s="236" t="s">
        <v>230</v>
      </c>
      <c r="L2187" s="233"/>
      <c r="M2187" s="234"/>
      <c r="N2187" s="216" t="s">
        <v>780</v>
      </c>
      <c r="O2187" s="235" t="s">
        <v>260</v>
      </c>
      <c r="P2187" s="237" t="s">
        <v>80</v>
      </c>
      <c r="Q2187" s="241">
        <v>45600</v>
      </c>
      <c r="R2187" s="243">
        <v>0.85</v>
      </c>
      <c r="S2187" s="240" t="s">
        <v>49</v>
      </c>
      <c r="T2187" s="111"/>
      <c r="U2187" s="235" t="s">
        <v>50</v>
      </c>
      <c r="V2187" s="111"/>
      <c r="W2187" s="111"/>
      <c r="X2187" s="111"/>
      <c r="Y2187" s="111"/>
      <c r="Z2187" s="111"/>
      <c r="AA2187" s="111"/>
      <c r="AB2187" s="111"/>
      <c r="AC2187" s="111"/>
      <c r="AD2187" s="111"/>
      <c r="AE2187" s="111"/>
      <c r="AF2187" s="111"/>
      <c r="AG2187" s="111"/>
      <c r="AH2187" s="111"/>
      <c r="AI2187" s="111"/>
      <c r="AJ2187" s="111"/>
      <c r="AK2187" s="111"/>
      <c r="AL2187" s="111"/>
      <c r="AM2187" s="111"/>
      <c r="AN2187" s="111"/>
      <c r="AO2187" s="111"/>
      <c r="AP2187" s="111"/>
      <c r="AQ2187" s="111"/>
      <c r="AR2187" s="111"/>
      <c r="AS2187" s="111"/>
      <c r="AT2187" s="111"/>
      <c r="AU2187" s="235" t="s">
        <v>1208</v>
      </c>
      <c r="AV2187" s="111"/>
      <c r="AW2187" s="111"/>
      <c r="AX2187" s="111"/>
      <c r="AY2187" s="111"/>
      <c r="AZ2187" s="111"/>
      <c r="BA2187" s="111"/>
      <c r="BB2187" s="220"/>
    </row>
    <row r="2188" spans="1:54" s="12" customFormat="1" ht="16.5" customHeight="1" x14ac:dyDescent="0.3">
      <c r="A2188" s="235" t="s">
        <v>505</v>
      </c>
      <c r="B2188" s="235" t="s">
        <v>505</v>
      </c>
      <c r="C2188" s="111">
        <v>70</v>
      </c>
      <c r="D2188" s="111">
        <v>771</v>
      </c>
      <c r="E2188" s="111"/>
      <c r="F2188" s="217" t="s">
        <v>8169</v>
      </c>
      <c r="G2188" s="232" t="str">
        <f t="shared" si="54"/>
        <v>7077142209654</v>
      </c>
      <c r="H2188" s="119" t="s">
        <v>8204</v>
      </c>
      <c r="I2188" s="119">
        <v>42209654</v>
      </c>
      <c r="J2188" s="119" t="s">
        <v>8249</v>
      </c>
      <c r="K2188" s="236" t="s">
        <v>230</v>
      </c>
      <c r="L2188" s="233"/>
      <c r="M2188" s="234"/>
      <c r="N2188" s="216" t="s">
        <v>8021</v>
      </c>
      <c r="O2188" s="235" t="s">
        <v>47</v>
      </c>
      <c r="P2188" s="237" t="s">
        <v>48</v>
      </c>
      <c r="Q2188" s="241">
        <v>45462</v>
      </c>
      <c r="R2188" s="243" t="s">
        <v>1937</v>
      </c>
      <c r="S2188" s="240" t="s">
        <v>49</v>
      </c>
      <c r="T2188" s="111"/>
      <c r="U2188" s="235" t="s">
        <v>50</v>
      </c>
      <c r="V2188" s="111"/>
      <c r="W2188" s="111"/>
      <c r="X2188" s="111"/>
      <c r="Y2188" s="111"/>
      <c r="Z2188" s="111"/>
      <c r="AA2188" s="111"/>
      <c r="AB2188" s="111"/>
      <c r="AC2188" s="111"/>
      <c r="AD2188" s="111"/>
      <c r="AE2188" s="111"/>
      <c r="AF2188" s="111"/>
      <c r="AG2188" s="111"/>
      <c r="AH2188" s="111"/>
      <c r="AI2188" s="111"/>
      <c r="AJ2188" s="111"/>
      <c r="AK2188" s="111"/>
      <c r="AL2188" s="111"/>
      <c r="AM2188" s="111"/>
      <c r="AN2188" s="111"/>
      <c r="AO2188" s="111"/>
      <c r="AP2188" s="111"/>
      <c r="AQ2188" s="111"/>
      <c r="AR2188" s="111"/>
      <c r="AS2188" s="111"/>
      <c r="AT2188" s="111"/>
      <c r="AU2188" s="235" t="s">
        <v>1208</v>
      </c>
      <c r="AV2188" s="111"/>
      <c r="AW2188" s="111"/>
      <c r="AX2188" s="111"/>
      <c r="AY2188" s="111"/>
      <c r="AZ2188" s="111"/>
      <c r="BA2188" s="111"/>
      <c r="BB2188" s="220"/>
    </row>
    <row r="2189" spans="1:54" s="12" customFormat="1" ht="16.5" hidden="1" customHeight="1" x14ac:dyDescent="0.3">
      <c r="A2189" s="235" t="s">
        <v>505</v>
      </c>
      <c r="B2189" s="235" t="s">
        <v>505</v>
      </c>
      <c r="C2189" s="111">
        <v>70</v>
      </c>
      <c r="D2189" s="111">
        <v>771</v>
      </c>
      <c r="E2189" s="111"/>
      <c r="F2189" s="217" t="s">
        <v>8170</v>
      </c>
      <c r="G2189" s="232" t="str">
        <f t="shared" si="54"/>
        <v>7077192029387</v>
      </c>
      <c r="H2189" s="119" t="s">
        <v>8205</v>
      </c>
      <c r="I2189" s="119">
        <v>92029387</v>
      </c>
      <c r="J2189" s="119" t="s">
        <v>8250</v>
      </c>
      <c r="K2189" s="236" t="s">
        <v>230</v>
      </c>
      <c r="L2189" s="233"/>
      <c r="M2189" s="234"/>
      <c r="N2189" s="216" t="s">
        <v>780</v>
      </c>
      <c r="O2189" s="235" t="s">
        <v>275</v>
      </c>
      <c r="P2189" s="237" t="s">
        <v>80</v>
      </c>
      <c r="Q2189" s="241">
        <v>45603</v>
      </c>
      <c r="R2189" s="243">
        <v>0.83</v>
      </c>
      <c r="S2189" s="240" t="s">
        <v>49</v>
      </c>
      <c r="T2189" s="111"/>
      <c r="U2189" s="235" t="s">
        <v>50</v>
      </c>
      <c r="V2189" s="111"/>
      <c r="W2189" s="111"/>
      <c r="X2189" s="111"/>
      <c r="Y2189" s="111"/>
      <c r="Z2189" s="111"/>
      <c r="AA2189" s="111"/>
      <c r="AB2189" s="111"/>
      <c r="AC2189" s="111"/>
      <c r="AD2189" s="111"/>
      <c r="AE2189" s="111"/>
      <c r="AF2189" s="111"/>
      <c r="AG2189" s="111"/>
      <c r="AH2189" s="111"/>
      <c r="AI2189" s="111"/>
      <c r="AJ2189" s="111"/>
      <c r="AK2189" s="111"/>
      <c r="AL2189" s="111"/>
      <c r="AM2189" s="111"/>
      <c r="AN2189" s="111"/>
      <c r="AO2189" s="111"/>
      <c r="AP2189" s="111"/>
      <c r="AQ2189" s="111"/>
      <c r="AR2189" s="111"/>
      <c r="AS2189" s="111"/>
      <c r="AT2189" s="111"/>
      <c r="AU2189" s="235" t="s">
        <v>1208</v>
      </c>
      <c r="AV2189" s="111"/>
      <c r="AW2189" s="111"/>
      <c r="AX2189" s="111"/>
      <c r="AY2189" s="111"/>
      <c r="AZ2189" s="111"/>
      <c r="BA2189" s="111"/>
      <c r="BB2189" s="220"/>
    </row>
    <row r="2190" spans="1:54" s="12" customFormat="1" ht="16.5" hidden="1" customHeight="1" x14ac:dyDescent="0.3">
      <c r="A2190" s="235" t="s">
        <v>505</v>
      </c>
      <c r="B2190" s="235" t="s">
        <v>505</v>
      </c>
      <c r="C2190" s="111">
        <v>70</v>
      </c>
      <c r="D2190" s="111">
        <v>771</v>
      </c>
      <c r="E2190" s="111" t="s">
        <v>9612</v>
      </c>
      <c r="F2190" s="286" t="s">
        <v>9656</v>
      </c>
      <c r="G2190" s="232" t="str">
        <f t="shared" si="54"/>
        <v>707718230016973</v>
      </c>
      <c r="H2190" s="119" t="s">
        <v>9613</v>
      </c>
      <c r="I2190" s="119">
        <v>8230016973</v>
      </c>
      <c r="J2190" s="111" t="s">
        <v>8251</v>
      </c>
      <c r="K2190" s="236" t="s">
        <v>230</v>
      </c>
      <c r="L2190" s="233">
        <v>3212105630</v>
      </c>
      <c r="M2190" s="234"/>
      <c r="N2190" s="216" t="s">
        <v>127</v>
      </c>
      <c r="O2190" s="235" t="s">
        <v>2822</v>
      </c>
      <c r="P2190" s="237" t="s">
        <v>48</v>
      </c>
      <c r="Q2190" s="13">
        <v>46127</v>
      </c>
      <c r="R2190" s="12" t="s">
        <v>2768</v>
      </c>
      <c r="S2190" s="240" t="s">
        <v>49</v>
      </c>
      <c r="T2190" s="111"/>
      <c r="U2190" s="235" t="s">
        <v>50</v>
      </c>
      <c r="V2190" s="241">
        <v>45412</v>
      </c>
      <c r="W2190" s="243" t="s">
        <v>81</v>
      </c>
      <c r="X2190" s="240" t="s">
        <v>49</v>
      </c>
      <c r="Y2190" s="111"/>
      <c r="Z2190" s="235" t="s">
        <v>60</v>
      </c>
      <c r="AA2190" s="111"/>
      <c r="AB2190" s="111"/>
      <c r="AC2190" s="111"/>
      <c r="AD2190" s="111"/>
      <c r="AE2190" s="111"/>
      <c r="AF2190" s="111"/>
      <c r="AG2190" s="111"/>
      <c r="AH2190" s="111"/>
      <c r="AI2190" s="111"/>
      <c r="AJ2190" s="111"/>
      <c r="AK2190" s="111"/>
      <c r="AL2190" s="111"/>
      <c r="AM2190" s="111"/>
      <c r="AN2190" s="111"/>
      <c r="AO2190" s="111"/>
      <c r="AP2190" s="111"/>
      <c r="AQ2190" s="111"/>
      <c r="AR2190" s="111"/>
      <c r="AS2190" s="111"/>
      <c r="AT2190" s="111"/>
      <c r="AU2190" s="235" t="s">
        <v>1208</v>
      </c>
      <c r="AV2190" s="111"/>
      <c r="AW2190" s="111"/>
      <c r="AX2190" s="111"/>
      <c r="AY2190" s="111"/>
      <c r="AZ2190" s="111"/>
      <c r="BA2190" s="111"/>
      <c r="BB2190" s="220"/>
    </row>
    <row r="2191" spans="1:54" s="12" customFormat="1" ht="16.5" hidden="1" customHeight="1" x14ac:dyDescent="0.3">
      <c r="A2191" s="235" t="s">
        <v>505</v>
      </c>
      <c r="B2191" s="235" t="s">
        <v>505</v>
      </c>
      <c r="C2191" s="111">
        <v>70</v>
      </c>
      <c r="D2191" s="111">
        <v>771</v>
      </c>
      <c r="E2191" s="111"/>
      <c r="F2191" s="217" t="s">
        <v>9655</v>
      </c>
      <c r="G2191" s="232" t="str">
        <f t="shared" si="54"/>
        <v>70771901219075-5</v>
      </c>
      <c r="H2191" s="119" t="s">
        <v>7992</v>
      </c>
      <c r="I2191" s="119" t="s">
        <v>8221</v>
      </c>
      <c r="J2191" s="119" t="s">
        <v>8252</v>
      </c>
      <c r="K2191" s="236" t="s">
        <v>133</v>
      </c>
      <c r="L2191" s="233"/>
      <c r="M2191" s="234"/>
      <c r="N2191" s="216" t="s">
        <v>127</v>
      </c>
      <c r="O2191" s="235" t="s">
        <v>2822</v>
      </c>
      <c r="P2191" s="237" t="s">
        <v>48</v>
      </c>
      <c r="Q2191" s="241">
        <v>45547</v>
      </c>
      <c r="R2191" s="243" t="s">
        <v>146</v>
      </c>
      <c r="S2191" s="240" t="s">
        <v>49</v>
      </c>
      <c r="T2191" s="111"/>
      <c r="U2191" s="235" t="s">
        <v>50</v>
      </c>
      <c r="V2191" s="111"/>
      <c r="W2191" s="111"/>
      <c r="X2191" s="111"/>
      <c r="Y2191" s="111"/>
      <c r="Z2191" s="111"/>
      <c r="AA2191" s="111"/>
      <c r="AB2191" s="111"/>
      <c r="AC2191" s="111"/>
      <c r="AD2191" s="111"/>
      <c r="AE2191" s="111"/>
      <c r="AF2191" s="111"/>
      <c r="AG2191" s="111"/>
      <c r="AH2191" s="111"/>
      <c r="AI2191" s="111"/>
      <c r="AJ2191" s="111"/>
      <c r="AK2191" s="111"/>
      <c r="AL2191" s="111"/>
      <c r="AM2191" s="111"/>
      <c r="AN2191" s="111"/>
      <c r="AO2191" s="111"/>
      <c r="AP2191" s="111"/>
      <c r="AQ2191" s="111"/>
      <c r="AR2191" s="111"/>
      <c r="AS2191" s="111"/>
      <c r="AT2191" s="111"/>
      <c r="AU2191" s="235" t="s">
        <v>1208</v>
      </c>
      <c r="AV2191" s="111"/>
      <c r="AW2191" s="111"/>
      <c r="AX2191" s="111"/>
      <c r="AY2191" s="111"/>
      <c r="AZ2191" s="111"/>
      <c r="BA2191" s="111"/>
      <c r="BB2191" s="220"/>
    </row>
    <row r="2192" spans="1:54" s="12" customFormat="1" ht="16.5" hidden="1" customHeight="1" x14ac:dyDescent="0.3">
      <c r="A2192" s="235" t="s">
        <v>505</v>
      </c>
      <c r="B2192" s="235" t="s">
        <v>505</v>
      </c>
      <c r="C2192" s="111">
        <v>70</v>
      </c>
      <c r="D2192" s="111">
        <v>771</v>
      </c>
      <c r="E2192" s="111"/>
      <c r="F2192" s="217" t="s">
        <v>8171</v>
      </c>
      <c r="G2192" s="232" t="str">
        <f t="shared" si="54"/>
        <v>70771901219075-2</v>
      </c>
      <c r="H2192" s="119" t="s">
        <v>7992</v>
      </c>
      <c r="I2192" s="119" t="s">
        <v>7995</v>
      </c>
      <c r="J2192" s="119" t="s">
        <v>8253</v>
      </c>
      <c r="K2192" s="236" t="s">
        <v>230</v>
      </c>
      <c r="L2192" s="233"/>
      <c r="M2192" s="234"/>
      <c r="N2192" s="216" t="s">
        <v>127</v>
      </c>
      <c r="O2192" s="235" t="s">
        <v>2822</v>
      </c>
      <c r="P2192" s="237" t="s">
        <v>48</v>
      </c>
      <c r="Q2192" s="241">
        <v>45537</v>
      </c>
      <c r="R2192" s="243" t="s">
        <v>8265</v>
      </c>
      <c r="S2192" s="240" t="s">
        <v>49</v>
      </c>
      <c r="T2192" s="111"/>
      <c r="U2192" s="235" t="s">
        <v>50</v>
      </c>
      <c r="V2192" s="111"/>
      <c r="W2192" s="111"/>
      <c r="X2192" s="111"/>
      <c r="Y2192" s="111"/>
      <c r="Z2192" s="111"/>
      <c r="AA2192" s="111"/>
      <c r="AB2192" s="111"/>
      <c r="AC2192" s="111"/>
      <c r="AD2192" s="111"/>
      <c r="AE2192" s="111"/>
      <c r="AF2192" s="111"/>
      <c r="AG2192" s="111"/>
      <c r="AH2192" s="111"/>
      <c r="AI2192" s="111"/>
      <c r="AJ2192" s="111"/>
      <c r="AK2192" s="111"/>
      <c r="AL2192" s="111"/>
      <c r="AM2192" s="111"/>
      <c r="AN2192" s="111"/>
      <c r="AO2192" s="111"/>
      <c r="AP2192" s="111"/>
      <c r="AQ2192" s="111"/>
      <c r="AR2192" s="111"/>
      <c r="AS2192" s="111"/>
      <c r="AT2192" s="111"/>
      <c r="AU2192" s="235" t="s">
        <v>1208</v>
      </c>
      <c r="AV2192" s="111"/>
      <c r="AW2192" s="111"/>
      <c r="AX2192" s="111"/>
      <c r="AY2192" s="111"/>
      <c r="AZ2192" s="111"/>
      <c r="BA2192" s="111"/>
      <c r="BB2192" s="220"/>
    </row>
    <row r="2193" spans="1:54" s="12" customFormat="1" ht="16.5" hidden="1" customHeight="1" x14ac:dyDescent="0.3">
      <c r="A2193" s="235" t="s">
        <v>505</v>
      </c>
      <c r="B2193" s="235" t="s">
        <v>505</v>
      </c>
      <c r="C2193" s="111">
        <v>70</v>
      </c>
      <c r="D2193" s="111">
        <v>771</v>
      </c>
      <c r="E2193" s="111"/>
      <c r="F2193" s="217" t="s">
        <v>8172</v>
      </c>
      <c r="G2193" s="232" t="str">
        <f t="shared" si="54"/>
        <v>707716813296</v>
      </c>
      <c r="H2193" s="119" t="s">
        <v>8206</v>
      </c>
      <c r="I2193" s="119">
        <v>6813296</v>
      </c>
      <c r="J2193" s="119" t="s">
        <v>8254</v>
      </c>
      <c r="K2193" s="236" t="s">
        <v>230</v>
      </c>
      <c r="L2193" s="233"/>
      <c r="M2193" s="234"/>
      <c r="N2193" s="216" t="s">
        <v>780</v>
      </c>
      <c r="O2193" s="235" t="s">
        <v>260</v>
      </c>
      <c r="P2193" s="237" t="s">
        <v>8022</v>
      </c>
      <c r="Q2193" s="241">
        <v>45630</v>
      </c>
      <c r="R2193" s="243">
        <v>0.84</v>
      </c>
      <c r="S2193" s="240" t="s">
        <v>49</v>
      </c>
      <c r="T2193" s="111"/>
      <c r="U2193" s="235" t="s">
        <v>50</v>
      </c>
      <c r="V2193" s="111"/>
      <c r="W2193" s="111"/>
      <c r="X2193" s="111"/>
      <c r="Y2193" s="111"/>
      <c r="Z2193" s="111"/>
      <c r="AA2193" s="111"/>
      <c r="AB2193" s="111"/>
      <c r="AC2193" s="111"/>
      <c r="AD2193" s="111"/>
      <c r="AE2193" s="111"/>
      <c r="AF2193" s="111"/>
      <c r="AG2193" s="111"/>
      <c r="AH2193" s="111"/>
      <c r="AI2193" s="111"/>
      <c r="AJ2193" s="111"/>
      <c r="AK2193" s="111"/>
      <c r="AL2193" s="111"/>
      <c r="AM2193" s="111"/>
      <c r="AN2193" s="111"/>
      <c r="AO2193" s="111"/>
      <c r="AP2193" s="111"/>
      <c r="AQ2193" s="111"/>
      <c r="AR2193" s="111"/>
      <c r="AS2193" s="111"/>
      <c r="AT2193" s="111"/>
      <c r="AU2193" s="235" t="s">
        <v>1208</v>
      </c>
      <c r="AV2193" s="111"/>
      <c r="AW2193" s="111"/>
      <c r="AX2193" s="111"/>
      <c r="AY2193" s="111"/>
      <c r="AZ2193" s="111"/>
      <c r="BA2193" s="111"/>
      <c r="BB2193" s="220"/>
    </row>
    <row r="2194" spans="1:54" s="12" customFormat="1" ht="16.5" hidden="1" customHeight="1" x14ac:dyDescent="0.3">
      <c r="A2194" s="235" t="s">
        <v>505</v>
      </c>
      <c r="B2194" s="235" t="s">
        <v>505</v>
      </c>
      <c r="C2194" s="111">
        <v>70</v>
      </c>
      <c r="D2194" s="111">
        <v>771</v>
      </c>
      <c r="E2194" s="111"/>
      <c r="F2194" s="217" t="s">
        <v>8173</v>
      </c>
      <c r="G2194" s="232" t="str">
        <f t="shared" si="54"/>
        <v>707711102578116</v>
      </c>
      <c r="H2194" s="119" t="s">
        <v>8207</v>
      </c>
      <c r="I2194" s="119">
        <v>1102578116</v>
      </c>
      <c r="J2194" s="119" t="s">
        <v>8255</v>
      </c>
      <c r="K2194" s="236" t="s">
        <v>230</v>
      </c>
      <c r="L2194" s="233"/>
      <c r="M2194" s="234"/>
      <c r="N2194" s="216" t="s">
        <v>780</v>
      </c>
      <c r="O2194" s="235" t="s">
        <v>260</v>
      </c>
      <c r="P2194" s="237" t="s">
        <v>8022</v>
      </c>
      <c r="Q2194" s="241">
        <v>45643</v>
      </c>
      <c r="R2194" s="243" t="s">
        <v>167</v>
      </c>
      <c r="S2194" s="240" t="s">
        <v>49</v>
      </c>
      <c r="T2194" s="111"/>
      <c r="U2194" s="235" t="s">
        <v>50</v>
      </c>
      <c r="V2194" s="111"/>
      <c r="W2194" s="111"/>
      <c r="X2194" s="111"/>
      <c r="Y2194" s="111"/>
      <c r="Z2194" s="111"/>
      <c r="AA2194" s="111"/>
      <c r="AB2194" s="111"/>
      <c r="AC2194" s="111"/>
      <c r="AD2194" s="111"/>
      <c r="AE2194" s="111"/>
      <c r="AF2194" s="111"/>
      <c r="AG2194" s="111"/>
      <c r="AH2194" s="111"/>
      <c r="AI2194" s="111"/>
      <c r="AJ2194" s="111"/>
      <c r="AK2194" s="111"/>
      <c r="AL2194" s="111"/>
      <c r="AM2194" s="111"/>
      <c r="AN2194" s="111"/>
      <c r="AO2194" s="111"/>
      <c r="AP2194" s="111"/>
      <c r="AQ2194" s="111"/>
      <c r="AR2194" s="111"/>
      <c r="AS2194" s="111"/>
      <c r="AT2194" s="111"/>
      <c r="AU2194" s="235" t="s">
        <v>1208</v>
      </c>
      <c r="AV2194" s="111"/>
      <c r="AW2194" s="111"/>
      <c r="AX2194" s="111"/>
      <c r="AY2194" s="111"/>
      <c r="AZ2194" s="111"/>
      <c r="BA2194" s="111"/>
      <c r="BB2194" s="220"/>
    </row>
    <row r="2195" spans="1:54" s="12" customFormat="1" ht="16.5" hidden="1" customHeight="1" x14ac:dyDescent="0.3">
      <c r="A2195" s="235" t="s">
        <v>505</v>
      </c>
      <c r="B2195" s="235" t="s">
        <v>505</v>
      </c>
      <c r="C2195" s="111">
        <v>70</v>
      </c>
      <c r="D2195" s="111">
        <v>771</v>
      </c>
      <c r="E2195" s="111"/>
      <c r="F2195" s="217" t="s">
        <v>8174</v>
      </c>
      <c r="G2195" s="232" t="str">
        <f t="shared" si="54"/>
        <v>707711127654883</v>
      </c>
      <c r="H2195" s="119" t="s">
        <v>8208</v>
      </c>
      <c r="I2195" s="119">
        <v>1127654883</v>
      </c>
      <c r="J2195" s="119" t="s">
        <v>8256</v>
      </c>
      <c r="K2195" s="236" t="s">
        <v>230</v>
      </c>
      <c r="L2195" s="233"/>
      <c r="M2195" s="234"/>
      <c r="N2195" s="216" t="s">
        <v>780</v>
      </c>
      <c r="O2195" s="235" t="s">
        <v>260</v>
      </c>
      <c r="P2195" s="237" t="s">
        <v>8022</v>
      </c>
      <c r="Q2195" s="241">
        <v>45540</v>
      </c>
      <c r="R2195" s="243" t="s">
        <v>146</v>
      </c>
      <c r="S2195" s="240" t="s">
        <v>49</v>
      </c>
      <c r="T2195" s="111"/>
      <c r="U2195" s="235" t="s">
        <v>50</v>
      </c>
      <c r="V2195" s="111"/>
      <c r="W2195" s="111"/>
      <c r="X2195" s="111"/>
      <c r="Y2195" s="111"/>
      <c r="Z2195" s="111"/>
      <c r="AA2195" s="111"/>
      <c r="AB2195" s="111"/>
      <c r="AC2195" s="111"/>
      <c r="AD2195" s="111"/>
      <c r="AE2195" s="111"/>
      <c r="AF2195" s="111"/>
      <c r="AG2195" s="111"/>
      <c r="AH2195" s="111"/>
      <c r="AI2195" s="111"/>
      <c r="AJ2195" s="111"/>
      <c r="AK2195" s="111"/>
      <c r="AL2195" s="111"/>
      <c r="AM2195" s="111"/>
      <c r="AN2195" s="111"/>
      <c r="AO2195" s="111"/>
      <c r="AP2195" s="111"/>
      <c r="AQ2195" s="111"/>
      <c r="AR2195" s="111"/>
      <c r="AS2195" s="111"/>
      <c r="AT2195" s="111"/>
      <c r="AU2195" s="235" t="s">
        <v>1208</v>
      </c>
      <c r="AV2195" s="111"/>
      <c r="AW2195" s="111"/>
      <c r="AX2195" s="111"/>
      <c r="AY2195" s="111"/>
      <c r="AZ2195" s="111"/>
      <c r="BA2195" s="111"/>
      <c r="BB2195" s="220"/>
    </row>
    <row r="2196" spans="1:54" s="12" customFormat="1" ht="16.5" customHeight="1" x14ac:dyDescent="0.3">
      <c r="A2196" s="235" t="s">
        <v>505</v>
      </c>
      <c r="B2196" s="235" t="s">
        <v>505</v>
      </c>
      <c r="C2196" s="111">
        <v>70</v>
      </c>
      <c r="D2196" s="111">
        <v>771</v>
      </c>
      <c r="E2196" s="111"/>
      <c r="F2196" s="286" t="s">
        <v>8175</v>
      </c>
      <c r="G2196" s="232" t="str">
        <f t="shared" si="54"/>
        <v>7077192127910</v>
      </c>
      <c r="H2196" s="119" t="s">
        <v>8209</v>
      </c>
      <c r="I2196" s="119">
        <v>92127910</v>
      </c>
      <c r="J2196" s="119" t="s">
        <v>8257</v>
      </c>
      <c r="K2196" s="236" t="s">
        <v>230</v>
      </c>
      <c r="L2196" s="233">
        <v>3215830695</v>
      </c>
      <c r="M2196" s="234"/>
      <c r="N2196" s="216" t="s">
        <v>8021</v>
      </c>
      <c r="O2196" s="235" t="s">
        <v>47</v>
      </c>
      <c r="P2196" s="237" t="s">
        <v>48</v>
      </c>
      <c r="Q2196" s="393">
        <v>46183</v>
      </c>
      <c r="R2196" s="302">
        <v>76</v>
      </c>
      <c r="S2196" s="240" t="s">
        <v>49</v>
      </c>
      <c r="T2196" s="111"/>
      <c r="U2196" s="235" t="s">
        <v>50</v>
      </c>
      <c r="V2196" s="241">
        <v>45524</v>
      </c>
      <c r="W2196" s="243" t="s">
        <v>167</v>
      </c>
      <c r="X2196" s="240" t="s">
        <v>49</v>
      </c>
      <c r="Y2196" s="111"/>
      <c r="Z2196" s="235" t="s">
        <v>60</v>
      </c>
      <c r="AA2196" s="111"/>
      <c r="AB2196" s="111"/>
      <c r="AC2196" s="111"/>
      <c r="AD2196" s="111"/>
      <c r="AE2196" s="111"/>
      <c r="AF2196" s="111"/>
      <c r="AG2196" s="111"/>
      <c r="AH2196" s="111"/>
      <c r="AI2196" s="111"/>
      <c r="AJ2196" s="111"/>
      <c r="AK2196" s="111"/>
      <c r="AL2196" s="111"/>
      <c r="AM2196" s="111"/>
      <c r="AN2196" s="111"/>
      <c r="AO2196" s="111"/>
      <c r="AP2196" s="111"/>
      <c r="AQ2196" s="111"/>
      <c r="AR2196" s="111"/>
      <c r="AS2196" s="111"/>
      <c r="AT2196" s="111"/>
      <c r="AU2196" s="235" t="s">
        <v>1208</v>
      </c>
      <c r="AV2196" s="111"/>
      <c r="AW2196" s="111"/>
      <c r="AX2196" s="111"/>
      <c r="AY2196" s="111"/>
      <c r="AZ2196" s="111"/>
      <c r="BA2196" s="111"/>
      <c r="BB2196" s="220"/>
    </row>
    <row r="2197" spans="1:54" s="12" customFormat="1" ht="16.5" hidden="1" customHeight="1" x14ac:dyDescent="0.3">
      <c r="A2197" s="235" t="s">
        <v>505</v>
      </c>
      <c r="B2197" s="235" t="s">
        <v>505</v>
      </c>
      <c r="C2197" s="111">
        <v>70</v>
      </c>
      <c r="D2197" s="111">
        <v>771</v>
      </c>
      <c r="E2197" s="111"/>
      <c r="F2197" s="217" t="s">
        <v>8176</v>
      </c>
      <c r="G2197" s="232" t="str">
        <f t="shared" si="54"/>
        <v>70771830507103</v>
      </c>
      <c r="H2197" s="119" t="s">
        <v>833</v>
      </c>
      <c r="I2197" s="119">
        <v>830507103</v>
      </c>
      <c r="J2197" s="119" t="s">
        <v>8258</v>
      </c>
      <c r="K2197" s="236" t="s">
        <v>230</v>
      </c>
      <c r="L2197" s="233"/>
      <c r="M2197" s="234"/>
      <c r="N2197" s="216" t="s">
        <v>780</v>
      </c>
      <c r="O2197" s="235" t="s">
        <v>260</v>
      </c>
      <c r="P2197" s="237" t="s">
        <v>80</v>
      </c>
      <c r="Q2197" s="241">
        <v>45496</v>
      </c>
      <c r="R2197" s="243">
        <v>0.92</v>
      </c>
      <c r="S2197" s="240" t="s">
        <v>210</v>
      </c>
      <c r="T2197" s="111"/>
      <c r="U2197" s="235" t="s">
        <v>50</v>
      </c>
      <c r="V2197" s="111"/>
      <c r="W2197" s="111"/>
      <c r="X2197" s="111"/>
      <c r="Y2197" s="111"/>
      <c r="Z2197" s="111"/>
      <c r="AA2197" s="111"/>
      <c r="AB2197" s="111"/>
      <c r="AC2197" s="111"/>
      <c r="AD2197" s="111"/>
      <c r="AE2197" s="111"/>
      <c r="AF2197" s="111"/>
      <c r="AG2197" s="111"/>
      <c r="AH2197" s="111"/>
      <c r="AI2197" s="111"/>
      <c r="AJ2197" s="111"/>
      <c r="AK2197" s="111"/>
      <c r="AL2197" s="111"/>
      <c r="AM2197" s="111"/>
      <c r="AN2197" s="111"/>
      <c r="AO2197" s="111"/>
      <c r="AP2197" s="111"/>
      <c r="AQ2197" s="111"/>
      <c r="AR2197" s="111"/>
      <c r="AS2197" s="111"/>
      <c r="AT2197" s="111"/>
      <c r="AU2197" s="235" t="s">
        <v>1208</v>
      </c>
      <c r="AV2197" s="111"/>
      <c r="AW2197" s="111"/>
      <c r="AX2197" s="111"/>
      <c r="AY2197" s="111"/>
      <c r="AZ2197" s="111"/>
      <c r="BA2197" s="111"/>
      <c r="BB2197" s="220"/>
    </row>
    <row r="2198" spans="1:54" s="12" customFormat="1" ht="16.5" hidden="1" customHeight="1" x14ac:dyDescent="0.3">
      <c r="A2198" s="235" t="s">
        <v>505</v>
      </c>
      <c r="B2198" s="235" t="s">
        <v>505</v>
      </c>
      <c r="C2198" s="111">
        <v>70</v>
      </c>
      <c r="D2198" s="111">
        <v>771</v>
      </c>
      <c r="E2198" s="111"/>
      <c r="F2198" s="217" t="s">
        <v>8177</v>
      </c>
      <c r="G2198" s="232" t="str">
        <f t="shared" si="54"/>
        <v>707711182578129</v>
      </c>
      <c r="H2198" s="119" t="s">
        <v>8210</v>
      </c>
      <c r="I2198" s="119">
        <v>1182578129</v>
      </c>
      <c r="J2198" s="119" t="s">
        <v>8223</v>
      </c>
      <c r="K2198" s="236" t="s">
        <v>230</v>
      </c>
      <c r="L2198" s="233"/>
      <c r="M2198" s="234"/>
      <c r="N2198" s="216" t="s">
        <v>780</v>
      </c>
      <c r="O2198" s="235" t="s">
        <v>260</v>
      </c>
      <c r="P2198" s="237" t="s">
        <v>80</v>
      </c>
      <c r="Q2198" s="241">
        <v>45608</v>
      </c>
      <c r="R2198" s="243" t="s">
        <v>8262</v>
      </c>
      <c r="S2198" s="240" t="s">
        <v>49</v>
      </c>
      <c r="T2198" s="111"/>
      <c r="U2198" s="235" t="s">
        <v>50</v>
      </c>
      <c r="V2198" s="111"/>
      <c r="W2198" s="111"/>
      <c r="X2198" s="111"/>
      <c r="Y2198" s="111"/>
      <c r="Z2198" s="111"/>
      <c r="AA2198" s="111"/>
      <c r="AB2198" s="111"/>
      <c r="AC2198" s="111"/>
      <c r="AD2198" s="111"/>
      <c r="AE2198" s="111"/>
      <c r="AF2198" s="111"/>
      <c r="AG2198" s="111"/>
      <c r="AH2198" s="111"/>
      <c r="AI2198" s="111"/>
      <c r="AJ2198" s="111"/>
      <c r="AK2198" s="111"/>
      <c r="AL2198" s="111"/>
      <c r="AM2198" s="111"/>
      <c r="AN2198" s="111"/>
      <c r="AO2198" s="111"/>
      <c r="AP2198" s="111"/>
      <c r="AQ2198" s="111"/>
      <c r="AR2198" s="111"/>
      <c r="AS2198" s="111"/>
      <c r="AT2198" s="111"/>
      <c r="AU2198" s="235" t="s">
        <v>1208</v>
      </c>
      <c r="AV2198" s="111"/>
      <c r="AW2198" s="111"/>
      <c r="AX2198" s="111"/>
      <c r="AY2198" s="111"/>
      <c r="AZ2198" s="111"/>
      <c r="BA2198" s="111"/>
      <c r="BB2198" s="220"/>
    </row>
    <row r="2199" spans="1:54" s="12" customFormat="1" ht="16.5" hidden="1" customHeight="1" x14ac:dyDescent="0.3">
      <c r="A2199" s="235" t="s">
        <v>505</v>
      </c>
      <c r="B2199" s="235" t="s">
        <v>505</v>
      </c>
      <c r="C2199" s="111">
        <v>70</v>
      </c>
      <c r="D2199" s="111">
        <v>771</v>
      </c>
      <c r="E2199" s="111"/>
      <c r="F2199" s="217" t="s">
        <v>8178</v>
      </c>
      <c r="G2199" s="232" t="str">
        <f t="shared" si="54"/>
        <v>707719004344405</v>
      </c>
      <c r="H2199" s="119" t="s">
        <v>8211</v>
      </c>
      <c r="I2199" s="119">
        <v>9004344405</v>
      </c>
      <c r="J2199" s="119" t="s">
        <v>8227</v>
      </c>
      <c r="K2199" s="236" t="s">
        <v>230</v>
      </c>
      <c r="L2199" s="233"/>
      <c r="M2199" s="234"/>
      <c r="N2199" s="216" t="s">
        <v>780</v>
      </c>
      <c r="O2199" s="235" t="s">
        <v>260</v>
      </c>
      <c r="P2199" s="237" t="s">
        <v>80</v>
      </c>
      <c r="Q2199" s="241">
        <v>45631</v>
      </c>
      <c r="R2199" s="243">
        <v>0.86</v>
      </c>
      <c r="S2199" s="240" t="s">
        <v>49</v>
      </c>
      <c r="T2199" s="111"/>
      <c r="U2199" s="235" t="s">
        <v>50</v>
      </c>
      <c r="V2199" s="111"/>
      <c r="W2199" s="111"/>
      <c r="X2199" s="111"/>
      <c r="Y2199" s="111"/>
      <c r="Z2199" s="111"/>
      <c r="AA2199" s="111"/>
      <c r="AB2199" s="111"/>
      <c r="AC2199" s="111"/>
      <c r="AD2199" s="111"/>
      <c r="AE2199" s="111"/>
      <c r="AF2199" s="111"/>
      <c r="AG2199" s="111"/>
      <c r="AH2199" s="111"/>
      <c r="AI2199" s="111"/>
      <c r="AJ2199" s="111"/>
      <c r="AK2199" s="111"/>
      <c r="AL2199" s="111"/>
      <c r="AM2199" s="111"/>
      <c r="AN2199" s="111"/>
      <c r="AO2199" s="111"/>
      <c r="AP2199" s="111"/>
      <c r="AQ2199" s="111"/>
      <c r="AR2199" s="111"/>
      <c r="AS2199" s="111"/>
      <c r="AT2199" s="111"/>
      <c r="AU2199" s="235" t="s">
        <v>1208</v>
      </c>
      <c r="AV2199" s="111"/>
      <c r="AW2199" s="111"/>
      <c r="AX2199" s="111"/>
      <c r="AY2199" s="111"/>
      <c r="AZ2199" s="111"/>
      <c r="BA2199" s="111"/>
      <c r="BB2199" s="220"/>
    </row>
    <row r="2200" spans="1:54" s="12" customFormat="1" ht="16.5" hidden="1" customHeight="1" x14ac:dyDescent="0.3">
      <c r="A2200" s="235" t="s">
        <v>505</v>
      </c>
      <c r="B2200" s="235" t="s">
        <v>505</v>
      </c>
      <c r="C2200" s="111">
        <v>70</v>
      </c>
      <c r="D2200" s="111">
        <v>771</v>
      </c>
      <c r="E2200" s="111"/>
      <c r="F2200" s="217" t="s">
        <v>8179</v>
      </c>
      <c r="G2200" s="232" t="str">
        <f t="shared" si="54"/>
        <v>7077192131513</v>
      </c>
      <c r="H2200" s="119" t="s">
        <v>8212</v>
      </c>
      <c r="I2200" s="119">
        <v>92131513</v>
      </c>
      <c r="J2200" s="119" t="s">
        <v>8259</v>
      </c>
      <c r="K2200" s="236" t="s">
        <v>230</v>
      </c>
      <c r="L2200" s="233"/>
      <c r="M2200" s="234"/>
      <c r="N2200" s="216" t="s">
        <v>780</v>
      </c>
      <c r="O2200" s="235" t="s">
        <v>260</v>
      </c>
      <c r="P2200" s="237" t="s">
        <v>80</v>
      </c>
      <c r="Q2200" s="241">
        <v>45635</v>
      </c>
      <c r="R2200" s="243">
        <v>0.83</v>
      </c>
      <c r="S2200" s="240" t="s">
        <v>49</v>
      </c>
      <c r="T2200" s="111"/>
      <c r="U2200" s="235" t="s">
        <v>50</v>
      </c>
      <c r="V2200" s="111"/>
      <c r="W2200" s="111"/>
      <c r="X2200" s="111"/>
      <c r="Y2200" s="111"/>
      <c r="Z2200" s="111"/>
      <c r="AA2200" s="111"/>
      <c r="AB2200" s="111"/>
      <c r="AC2200" s="111"/>
      <c r="AD2200" s="111"/>
      <c r="AE2200" s="111"/>
      <c r="AF2200" s="111"/>
      <c r="AG2200" s="111"/>
      <c r="AH2200" s="111"/>
      <c r="AI2200" s="111"/>
      <c r="AJ2200" s="111"/>
      <c r="AK2200" s="111"/>
      <c r="AL2200" s="111"/>
      <c r="AM2200" s="111"/>
      <c r="AN2200" s="111"/>
      <c r="AO2200" s="111"/>
      <c r="AP2200" s="111"/>
      <c r="AQ2200" s="111"/>
      <c r="AR2200" s="111"/>
      <c r="AS2200" s="111"/>
      <c r="AT2200" s="111"/>
      <c r="AU2200" s="235" t="s">
        <v>1208</v>
      </c>
      <c r="AV2200" s="111"/>
      <c r="AW2200" s="111"/>
      <c r="AX2200" s="111"/>
      <c r="AY2200" s="111"/>
      <c r="AZ2200" s="111"/>
      <c r="BA2200" s="111"/>
      <c r="BB2200" s="220"/>
    </row>
    <row r="2201" spans="1:54" s="12" customFormat="1" ht="16.5" hidden="1" customHeight="1" x14ac:dyDescent="0.3">
      <c r="A2201" s="235" t="s">
        <v>505</v>
      </c>
      <c r="B2201" s="235" t="s">
        <v>505</v>
      </c>
      <c r="C2201" s="111">
        <v>70</v>
      </c>
      <c r="D2201" s="111">
        <v>771</v>
      </c>
      <c r="E2201" s="111"/>
      <c r="F2201" s="217" t="s">
        <v>8180</v>
      </c>
      <c r="G2201" s="232" t="str">
        <f t="shared" si="54"/>
        <v>7077164930449</v>
      </c>
      <c r="H2201" s="119" t="s">
        <v>8213</v>
      </c>
      <c r="I2201" s="119">
        <v>64930449</v>
      </c>
      <c r="J2201" s="119" t="s">
        <v>8260</v>
      </c>
      <c r="K2201" s="236" t="s">
        <v>230</v>
      </c>
      <c r="L2201" s="233"/>
      <c r="M2201" s="234"/>
      <c r="N2201" s="216" t="s">
        <v>780</v>
      </c>
      <c r="O2201" s="235" t="s">
        <v>260</v>
      </c>
      <c r="P2201" s="237" t="s">
        <v>80</v>
      </c>
      <c r="Q2201" s="241">
        <v>45630</v>
      </c>
      <c r="R2201" s="243">
        <v>0.85</v>
      </c>
      <c r="S2201" s="240" t="s">
        <v>49</v>
      </c>
      <c r="T2201" s="111"/>
      <c r="U2201" s="235" t="s">
        <v>50</v>
      </c>
      <c r="V2201" s="111"/>
      <c r="W2201" s="111"/>
      <c r="X2201" s="111"/>
      <c r="Y2201" s="111"/>
      <c r="Z2201" s="111"/>
      <c r="AA2201" s="111"/>
      <c r="AB2201" s="111"/>
      <c r="AC2201" s="111"/>
      <c r="AD2201" s="111"/>
      <c r="AE2201" s="111"/>
      <c r="AF2201" s="111"/>
      <c r="AG2201" s="111"/>
      <c r="AH2201" s="111"/>
      <c r="AI2201" s="111"/>
      <c r="AJ2201" s="111"/>
      <c r="AK2201" s="111"/>
      <c r="AL2201" s="111"/>
      <c r="AM2201" s="111"/>
      <c r="AN2201" s="111"/>
      <c r="AO2201" s="111"/>
      <c r="AP2201" s="111"/>
      <c r="AQ2201" s="111"/>
      <c r="AR2201" s="111"/>
      <c r="AS2201" s="111"/>
      <c r="AT2201" s="111"/>
      <c r="AU2201" s="235" t="s">
        <v>1208</v>
      </c>
      <c r="AV2201" s="111"/>
      <c r="AW2201" s="111"/>
      <c r="AX2201" s="111"/>
      <c r="AY2201" s="111"/>
      <c r="AZ2201" s="111"/>
      <c r="BA2201" s="111"/>
      <c r="BB2201" s="220"/>
    </row>
    <row r="2202" spans="1:54" s="12" customFormat="1" ht="16.5" hidden="1" customHeight="1" x14ac:dyDescent="0.3">
      <c r="A2202" s="235" t="s">
        <v>505</v>
      </c>
      <c r="B2202" s="235" t="s">
        <v>505</v>
      </c>
      <c r="C2202" s="111">
        <v>70</v>
      </c>
      <c r="D2202" s="111">
        <v>771</v>
      </c>
      <c r="E2202" s="111"/>
      <c r="F2202" s="217" t="s">
        <v>8181</v>
      </c>
      <c r="G2202" s="232" t="str">
        <f t="shared" si="54"/>
        <v>7077172198012</v>
      </c>
      <c r="H2202" s="119" t="s">
        <v>8214</v>
      </c>
      <c r="I2202" s="119">
        <v>72198012</v>
      </c>
      <c r="J2202" s="119" t="s">
        <v>8261</v>
      </c>
      <c r="K2202" s="236" t="s">
        <v>230</v>
      </c>
      <c r="L2202" s="233"/>
      <c r="M2202" s="234"/>
      <c r="N2202" s="216" t="s">
        <v>780</v>
      </c>
      <c r="O2202" s="235" t="s">
        <v>260</v>
      </c>
      <c r="P2202" s="237" t="s">
        <v>80</v>
      </c>
      <c r="Q2202" s="241">
        <v>45639</v>
      </c>
      <c r="R2202" s="243">
        <v>0.83</v>
      </c>
      <c r="S2202" s="240" t="s">
        <v>49</v>
      </c>
      <c r="T2202" s="111"/>
      <c r="U2202" s="235" t="s">
        <v>50</v>
      </c>
      <c r="V2202" s="111"/>
      <c r="W2202" s="111"/>
      <c r="X2202" s="111"/>
      <c r="Y2202" s="111"/>
      <c r="Z2202" s="111"/>
      <c r="AA2202" s="111"/>
      <c r="AB2202" s="111"/>
      <c r="AC2202" s="111"/>
      <c r="AD2202" s="111"/>
      <c r="AE2202" s="111"/>
      <c r="AF2202" s="111"/>
      <c r="AG2202" s="111"/>
      <c r="AH2202" s="111"/>
      <c r="AI2202" s="111"/>
      <c r="AJ2202" s="111"/>
      <c r="AK2202" s="111"/>
      <c r="AL2202" s="111"/>
      <c r="AM2202" s="111"/>
      <c r="AN2202" s="111"/>
      <c r="AO2202" s="111"/>
      <c r="AP2202" s="111"/>
      <c r="AQ2202" s="111"/>
      <c r="AR2202" s="111"/>
      <c r="AS2202" s="111"/>
      <c r="AT2202" s="111"/>
      <c r="AU2202" s="235" t="s">
        <v>1208</v>
      </c>
      <c r="AV2202" s="111"/>
      <c r="AW2202" s="111"/>
      <c r="AX2202" s="111"/>
      <c r="AY2202" s="111"/>
      <c r="AZ2202" s="111"/>
      <c r="BA2202" s="111"/>
      <c r="BB2202" s="220"/>
    </row>
    <row r="2203" spans="1:54" s="12" customFormat="1" ht="16.5" customHeight="1" x14ac:dyDescent="0.3">
      <c r="A2203" s="235" t="s">
        <v>505</v>
      </c>
      <c r="B2203" s="235" t="s">
        <v>505</v>
      </c>
      <c r="C2203" s="111">
        <v>70</v>
      </c>
      <c r="D2203" s="111">
        <v>771</v>
      </c>
      <c r="E2203" s="111"/>
      <c r="F2203" s="286" t="s">
        <v>9637</v>
      </c>
      <c r="G2203" s="232" t="str">
        <f t="shared" si="54"/>
        <v>7077164929819</v>
      </c>
      <c r="H2203" s="236" t="s">
        <v>9638</v>
      </c>
      <c r="I2203" s="119">
        <v>64929819</v>
      </c>
      <c r="J2203" s="119" t="s">
        <v>9639</v>
      </c>
      <c r="K2203" s="236" t="s">
        <v>44</v>
      </c>
      <c r="L2203" s="233">
        <v>3043912575</v>
      </c>
      <c r="M2203" s="234" t="s">
        <v>9640</v>
      </c>
      <c r="N2203" s="216" t="s">
        <v>8021</v>
      </c>
      <c r="O2203" s="235" t="s">
        <v>47</v>
      </c>
      <c r="P2203" s="237" t="s">
        <v>48</v>
      </c>
      <c r="Q2203" s="241">
        <v>46155</v>
      </c>
      <c r="R2203" s="216">
        <v>79</v>
      </c>
      <c r="S2203" s="240" t="s">
        <v>49</v>
      </c>
      <c r="T2203" s="111"/>
      <c r="U2203" s="235" t="s">
        <v>60</v>
      </c>
      <c r="V2203" s="111"/>
      <c r="W2203" s="111"/>
      <c r="X2203" s="111"/>
      <c r="Y2203" s="111"/>
      <c r="Z2203" s="111"/>
      <c r="AA2203" s="111"/>
      <c r="AB2203" s="111"/>
      <c r="AC2203" s="111"/>
      <c r="AD2203" s="111"/>
      <c r="AE2203" s="111"/>
      <c r="AF2203" s="111"/>
      <c r="AG2203" s="111"/>
      <c r="AH2203" s="111"/>
      <c r="AI2203" s="111"/>
      <c r="AJ2203" s="111"/>
      <c r="AK2203" s="111"/>
      <c r="AL2203" s="111"/>
      <c r="AM2203" s="111"/>
      <c r="AN2203" s="111"/>
      <c r="AO2203" s="111"/>
      <c r="AP2203" s="111"/>
      <c r="AQ2203" s="111"/>
      <c r="AR2203" s="111"/>
      <c r="AS2203" s="111"/>
      <c r="AT2203" s="111"/>
      <c r="AU2203" s="235" t="s">
        <v>53</v>
      </c>
      <c r="AV2203" s="111"/>
      <c r="AW2203" s="111"/>
      <c r="AX2203" s="111"/>
      <c r="AY2203" s="111"/>
      <c r="AZ2203" s="111"/>
      <c r="BA2203" s="111"/>
      <c r="BB2203" s="220"/>
    </row>
    <row r="2204" spans="1:54" s="12" customFormat="1" ht="16.5" customHeight="1" x14ac:dyDescent="0.3">
      <c r="A2204" s="235" t="s">
        <v>505</v>
      </c>
      <c r="B2204" s="235" t="s">
        <v>505</v>
      </c>
      <c r="C2204" s="111">
        <v>70</v>
      </c>
      <c r="D2204" s="111">
        <v>771</v>
      </c>
      <c r="E2204" s="111"/>
      <c r="F2204" s="286" t="s">
        <v>9648</v>
      </c>
      <c r="G2204" s="232" t="str">
        <f t="shared" si="54"/>
        <v>7077112698200</v>
      </c>
      <c r="H2204" s="236" t="s">
        <v>9649</v>
      </c>
      <c r="I2204" s="119">
        <v>12698200</v>
      </c>
      <c r="J2204" s="119" t="s">
        <v>9650</v>
      </c>
      <c r="K2204" s="236" t="s">
        <v>44</v>
      </c>
      <c r="L2204" s="233">
        <v>3023013936</v>
      </c>
      <c r="M2204" s="234"/>
      <c r="N2204" s="216" t="s">
        <v>8021</v>
      </c>
      <c r="O2204" s="235" t="s">
        <v>47</v>
      </c>
      <c r="P2204" s="237" t="s">
        <v>48</v>
      </c>
      <c r="Q2204" s="241">
        <v>46184</v>
      </c>
      <c r="R2204" s="216" t="s">
        <v>8558</v>
      </c>
      <c r="S2204" s="240" t="s">
        <v>49</v>
      </c>
      <c r="T2204" s="111"/>
      <c r="U2204" s="235" t="s">
        <v>60</v>
      </c>
      <c r="V2204" s="111"/>
      <c r="W2204" s="111"/>
      <c r="X2204" s="111"/>
      <c r="Y2204" s="111"/>
      <c r="Z2204" s="111"/>
      <c r="AA2204" s="111"/>
      <c r="AB2204" s="111"/>
      <c r="AC2204" s="111"/>
      <c r="AD2204" s="111"/>
      <c r="AE2204" s="111"/>
      <c r="AF2204" s="111"/>
      <c r="AG2204" s="111"/>
      <c r="AH2204" s="111"/>
      <c r="AI2204" s="111"/>
      <c r="AJ2204" s="111"/>
      <c r="AK2204" s="111"/>
      <c r="AL2204" s="111"/>
      <c r="AM2204" s="111"/>
      <c r="AN2204" s="111"/>
      <c r="AO2204" s="111"/>
      <c r="AP2204" s="111"/>
      <c r="AQ2204" s="111"/>
      <c r="AR2204" s="111"/>
      <c r="AS2204" s="111"/>
      <c r="AT2204" s="111"/>
      <c r="AU2204" s="235" t="s">
        <v>53</v>
      </c>
      <c r="AV2204" s="111"/>
      <c r="AW2204" s="111"/>
      <c r="AX2204" s="111"/>
      <c r="AY2204" s="111"/>
      <c r="AZ2204" s="111"/>
      <c r="BA2204" s="111"/>
      <c r="BB2204" s="220"/>
    </row>
    <row r="2205" spans="1:54" s="12" customFormat="1" ht="16.5" customHeight="1" x14ac:dyDescent="0.3">
      <c r="A2205" s="235" t="s">
        <v>505</v>
      </c>
      <c r="B2205" s="235" t="s">
        <v>505</v>
      </c>
      <c r="C2205" s="111">
        <v>70</v>
      </c>
      <c r="D2205" s="111">
        <v>771</v>
      </c>
      <c r="E2205" s="111"/>
      <c r="F2205" s="286" t="s">
        <v>9651</v>
      </c>
      <c r="G2205" s="232" t="str">
        <f t="shared" si="54"/>
        <v>7077164930303</v>
      </c>
      <c r="H2205" s="236" t="s">
        <v>9652</v>
      </c>
      <c r="I2205" s="119">
        <v>64930303</v>
      </c>
      <c r="J2205" s="119" t="s">
        <v>9653</v>
      </c>
      <c r="K2205" s="236" t="s">
        <v>44</v>
      </c>
      <c r="L2205" s="233">
        <v>3145522086</v>
      </c>
      <c r="M2205" s="234" t="s">
        <v>9654</v>
      </c>
      <c r="N2205" s="216" t="s">
        <v>8021</v>
      </c>
      <c r="O2205" s="235" t="s">
        <v>47</v>
      </c>
      <c r="P2205" s="237" t="s">
        <v>48</v>
      </c>
      <c r="Q2205" s="241">
        <v>46176</v>
      </c>
      <c r="R2205" s="216">
        <v>79</v>
      </c>
      <c r="S2205" s="240" t="s">
        <v>49</v>
      </c>
      <c r="T2205" s="111"/>
      <c r="U2205" s="235" t="s">
        <v>60</v>
      </c>
      <c r="V2205" s="111"/>
      <c r="W2205" s="111"/>
      <c r="X2205" s="111"/>
      <c r="Y2205" s="111"/>
      <c r="Z2205" s="111"/>
      <c r="AA2205" s="111"/>
      <c r="AB2205" s="111"/>
      <c r="AC2205" s="111"/>
      <c r="AD2205" s="111"/>
      <c r="AE2205" s="111"/>
      <c r="AF2205" s="111"/>
      <c r="AG2205" s="111"/>
      <c r="AH2205" s="111"/>
      <c r="AI2205" s="111"/>
      <c r="AJ2205" s="111"/>
      <c r="AK2205" s="111"/>
      <c r="AL2205" s="111"/>
      <c r="AM2205" s="111"/>
      <c r="AN2205" s="111"/>
      <c r="AO2205" s="111"/>
      <c r="AP2205" s="111"/>
      <c r="AQ2205" s="111"/>
      <c r="AR2205" s="111"/>
      <c r="AS2205" s="111"/>
      <c r="AT2205" s="111"/>
      <c r="AU2205" s="235" t="s">
        <v>53</v>
      </c>
      <c r="AV2205" s="111"/>
      <c r="AW2205" s="111"/>
      <c r="AX2205" s="111"/>
      <c r="AY2205" s="111"/>
      <c r="AZ2205" s="111"/>
      <c r="BA2205" s="111"/>
      <c r="BB2205" s="220"/>
    </row>
    <row r="2206" spans="1:54" s="12" customFormat="1" ht="16.5" customHeight="1" x14ac:dyDescent="0.3">
      <c r="A2206" s="235" t="s">
        <v>505</v>
      </c>
      <c r="B2206" s="235" t="s">
        <v>505</v>
      </c>
      <c r="C2206" s="111">
        <v>70</v>
      </c>
      <c r="D2206" s="111">
        <v>771</v>
      </c>
      <c r="E2206" s="111"/>
      <c r="F2206" s="286" t="s">
        <v>8182</v>
      </c>
      <c r="G2206" s="232" t="str">
        <f t="shared" si="54"/>
        <v>7077192696010</v>
      </c>
      <c r="H2206" s="119" t="s">
        <v>8215</v>
      </c>
      <c r="I2206" s="119">
        <v>92696010</v>
      </c>
      <c r="J2206" s="119" t="s">
        <v>8235</v>
      </c>
      <c r="K2206" s="236" t="s">
        <v>230</v>
      </c>
      <c r="L2206" s="233">
        <v>3026962682</v>
      </c>
      <c r="M2206" s="234"/>
      <c r="N2206" s="216" t="s">
        <v>8021</v>
      </c>
      <c r="O2206" s="235" t="s">
        <v>47</v>
      </c>
      <c r="P2206" s="237" t="s">
        <v>48</v>
      </c>
      <c r="Q2206" s="13">
        <v>46220</v>
      </c>
      <c r="R2206" s="12">
        <v>81</v>
      </c>
      <c r="S2206" s="240" t="s">
        <v>49</v>
      </c>
      <c r="U2206" s="12" t="s">
        <v>60</v>
      </c>
      <c r="V2206" s="241">
        <v>45505</v>
      </c>
      <c r="W2206" s="243" t="s">
        <v>167</v>
      </c>
      <c r="X2206" s="240" t="s">
        <v>49</v>
      </c>
      <c r="Y2206" s="111"/>
      <c r="Z2206" s="235" t="s">
        <v>50</v>
      </c>
      <c r="AA2206" s="111"/>
      <c r="AB2206" s="111"/>
      <c r="AC2206" s="111"/>
      <c r="AD2206" s="111"/>
      <c r="AE2206" s="111"/>
      <c r="AF2206" s="111"/>
      <c r="AG2206" s="111"/>
      <c r="AH2206" s="111"/>
      <c r="AI2206" s="111"/>
      <c r="AJ2206" s="111"/>
      <c r="AK2206" s="111"/>
      <c r="AL2206" s="111"/>
      <c r="AM2206" s="111"/>
      <c r="AN2206" s="111"/>
      <c r="AO2206" s="111"/>
      <c r="AP2206" s="111"/>
      <c r="AQ2206" s="111"/>
      <c r="AR2206" s="111"/>
      <c r="AS2206" s="111"/>
      <c r="AT2206" s="111"/>
      <c r="AU2206" s="235" t="s">
        <v>53</v>
      </c>
      <c r="AV2206" s="111"/>
      <c r="AW2206" s="111"/>
      <c r="AX2206" s="111"/>
      <c r="AY2206" s="111"/>
      <c r="AZ2206" s="111"/>
      <c r="BA2206" s="111"/>
      <c r="BB2206" s="220"/>
    </row>
    <row r="2207" spans="1:54" s="12" customFormat="1" ht="14.4" hidden="1" x14ac:dyDescent="0.3">
      <c r="A2207" s="215" t="s">
        <v>39</v>
      </c>
      <c r="B2207" s="230" t="s">
        <v>5815</v>
      </c>
      <c r="C2207" s="215">
        <v>70</v>
      </c>
      <c r="D2207" s="215">
        <v>708</v>
      </c>
      <c r="E2207" s="215"/>
      <c r="F2207" s="215" t="s">
        <v>5816</v>
      </c>
      <c r="G2207" s="215" t="str">
        <f t="shared" ref="G2207:G2272" si="55">C2207&amp;D2207&amp;I2207</f>
        <v>70708</v>
      </c>
      <c r="H2207" s="215"/>
      <c r="I2207" s="215"/>
      <c r="J2207" s="215" t="s">
        <v>5817</v>
      </c>
      <c r="K2207" s="215" t="s">
        <v>230</v>
      </c>
      <c r="L2207" s="215">
        <v>3216159686</v>
      </c>
      <c r="M2207" s="215" t="s">
        <v>45</v>
      </c>
      <c r="N2207" s="215" t="s">
        <v>46</v>
      </c>
      <c r="O2207" s="215" t="s">
        <v>101</v>
      </c>
      <c r="P2207" s="231" t="s">
        <v>102</v>
      </c>
      <c r="Q2207" s="215"/>
      <c r="R2207" s="215"/>
      <c r="S2207" s="215"/>
      <c r="T2207" s="249"/>
      <c r="U2207" s="254"/>
      <c r="V2207" s="250"/>
      <c r="W2207" s="215"/>
      <c r="X2207" s="215"/>
      <c r="Y2207" s="215"/>
      <c r="Z2207" s="215"/>
      <c r="AA2207" s="215"/>
      <c r="AB2207" s="215"/>
      <c r="AC2207" s="215"/>
      <c r="AD2207" s="215"/>
      <c r="AE2207" s="215"/>
      <c r="AF2207" s="215"/>
      <c r="AG2207" s="215"/>
      <c r="AH2207" s="215"/>
      <c r="AI2207" s="215"/>
      <c r="AJ2207" s="215"/>
      <c r="AK2207" s="215"/>
      <c r="AL2207" s="215"/>
      <c r="AM2207" s="215"/>
      <c r="AN2207" s="215"/>
      <c r="AO2207" s="215"/>
      <c r="AP2207" s="215"/>
      <c r="AQ2207" s="215"/>
      <c r="AR2207" s="215"/>
      <c r="AS2207" s="215"/>
      <c r="AT2207" s="215"/>
      <c r="AU2207" s="327" t="s">
        <v>1208</v>
      </c>
      <c r="AV2207" s="215"/>
      <c r="AW2207" s="215"/>
      <c r="AX2207" s="215"/>
      <c r="AY2207" s="215"/>
      <c r="AZ2207" s="215"/>
      <c r="BA2207" s="215"/>
    </row>
    <row r="2208" spans="1:54" s="12" customFormat="1" ht="14.4" hidden="1" x14ac:dyDescent="0.3">
      <c r="A2208" s="12" t="s">
        <v>39</v>
      </c>
      <c r="B2208" s="167" t="s">
        <v>5815</v>
      </c>
      <c r="C2208" s="12">
        <v>70</v>
      </c>
      <c r="D2208" s="12">
        <v>708</v>
      </c>
      <c r="F2208" s="12" t="s">
        <v>5818</v>
      </c>
      <c r="G2208" s="12" t="str">
        <f t="shared" si="55"/>
        <v>70708</v>
      </c>
      <c r="J2208" s="12" t="s">
        <v>5819</v>
      </c>
      <c r="K2208" s="12" t="s">
        <v>230</v>
      </c>
      <c r="L2208" s="12">
        <v>3235310640</v>
      </c>
      <c r="M2208" s="12" t="s">
        <v>45</v>
      </c>
      <c r="N2208" s="12" t="s">
        <v>46</v>
      </c>
      <c r="O2208" s="12" t="s">
        <v>101</v>
      </c>
      <c r="P2208" s="88" t="s">
        <v>102</v>
      </c>
      <c r="U2208" s="215"/>
      <c r="AU2208" s="328" t="s">
        <v>1208</v>
      </c>
    </row>
    <row r="2209" spans="1:51" s="12" customFormat="1" ht="14.4" hidden="1" x14ac:dyDescent="0.3">
      <c r="A2209" s="12" t="s">
        <v>39</v>
      </c>
      <c r="B2209" s="167" t="s">
        <v>5815</v>
      </c>
      <c r="C2209" s="12">
        <v>70</v>
      </c>
      <c r="D2209" s="12">
        <v>708</v>
      </c>
      <c r="F2209" s="12" t="s">
        <v>5820</v>
      </c>
      <c r="G2209" s="12" t="str">
        <f t="shared" si="55"/>
        <v>707081103166801</v>
      </c>
      <c r="I2209" s="12">
        <v>1103166801</v>
      </c>
      <c r="J2209" s="12" t="s">
        <v>5821</v>
      </c>
      <c r="K2209" s="12" t="s">
        <v>230</v>
      </c>
      <c r="L2209" s="12">
        <v>3105110009</v>
      </c>
      <c r="M2209" s="12" t="s">
        <v>45</v>
      </c>
      <c r="N2209" s="12" t="s">
        <v>46</v>
      </c>
      <c r="O2209" s="12" t="s">
        <v>101</v>
      </c>
      <c r="P2209" s="88" t="s">
        <v>102</v>
      </c>
      <c r="AU2209" s="328" t="s">
        <v>1208</v>
      </c>
    </row>
    <row r="2210" spans="1:51" s="12" customFormat="1" ht="14.4" hidden="1" x14ac:dyDescent="0.3">
      <c r="A2210" s="12" t="s">
        <v>39</v>
      </c>
      <c r="B2210" s="167" t="s">
        <v>5815</v>
      </c>
      <c r="C2210" s="12">
        <v>70</v>
      </c>
      <c r="D2210" s="12">
        <v>708</v>
      </c>
      <c r="F2210" s="12" t="s">
        <v>5822</v>
      </c>
      <c r="G2210" s="12" t="str">
        <f t="shared" si="55"/>
        <v>7070810885710</v>
      </c>
      <c r="I2210" s="12">
        <v>10885710</v>
      </c>
      <c r="J2210" s="12" t="s">
        <v>5823</v>
      </c>
      <c r="K2210" s="12" t="s">
        <v>230</v>
      </c>
      <c r="L2210" s="12" t="s">
        <v>45</v>
      </c>
      <c r="M2210" s="12" t="s">
        <v>45</v>
      </c>
      <c r="N2210" s="12" t="s">
        <v>46</v>
      </c>
      <c r="O2210" s="12" t="s">
        <v>101</v>
      </c>
      <c r="P2210" s="88" t="s">
        <v>102</v>
      </c>
      <c r="AU2210" s="328" t="s">
        <v>1208</v>
      </c>
    </row>
    <row r="2211" spans="1:51" s="12" customFormat="1" ht="14.4" hidden="1" x14ac:dyDescent="0.3">
      <c r="A2211" s="12" t="s">
        <v>39</v>
      </c>
      <c r="B2211" s="167" t="s">
        <v>5815</v>
      </c>
      <c r="C2211" s="12">
        <v>70</v>
      </c>
      <c r="D2211" s="12">
        <v>708</v>
      </c>
      <c r="F2211" s="12" t="s">
        <v>5824</v>
      </c>
      <c r="G2211" s="12" t="str">
        <f t="shared" si="55"/>
        <v>7070810885420</v>
      </c>
      <c r="I2211" s="12">
        <v>10885420</v>
      </c>
      <c r="J2211" s="12" t="s">
        <v>5825</v>
      </c>
      <c r="K2211" s="12" t="s">
        <v>230</v>
      </c>
      <c r="L2211" s="12" t="s">
        <v>45</v>
      </c>
      <c r="M2211" s="12" t="s">
        <v>45</v>
      </c>
      <c r="N2211" s="12" t="s">
        <v>46</v>
      </c>
      <c r="O2211" s="12" t="s">
        <v>101</v>
      </c>
      <c r="P2211" s="88" t="s">
        <v>102</v>
      </c>
      <c r="AU2211" s="328" t="s">
        <v>1208</v>
      </c>
    </row>
    <row r="2212" spans="1:51" s="12" customFormat="1" ht="14.4" hidden="1" x14ac:dyDescent="0.3">
      <c r="A2212" s="12" t="s">
        <v>39</v>
      </c>
      <c r="B2212" s="167" t="s">
        <v>5815</v>
      </c>
      <c r="C2212" s="12">
        <v>70</v>
      </c>
      <c r="D2212" s="12">
        <v>708</v>
      </c>
      <c r="F2212" s="12" t="s">
        <v>5826</v>
      </c>
      <c r="G2212" s="12" t="str">
        <f t="shared" si="55"/>
        <v>7070872236922</v>
      </c>
      <c r="I2212" s="12">
        <v>72236922</v>
      </c>
      <c r="J2212" s="12" t="s">
        <v>5827</v>
      </c>
      <c r="K2212" s="12" t="s">
        <v>230</v>
      </c>
      <c r="L2212" s="12">
        <v>3226744636</v>
      </c>
      <c r="M2212" s="17" t="s">
        <v>5828</v>
      </c>
      <c r="N2212" s="12" t="s">
        <v>46</v>
      </c>
      <c r="O2212" s="12" t="s">
        <v>101</v>
      </c>
      <c r="P2212" s="88" t="s">
        <v>102</v>
      </c>
      <c r="AU2212" s="328" t="s">
        <v>1208</v>
      </c>
    </row>
    <row r="2213" spans="1:51" s="12" customFormat="1" ht="14.4" hidden="1" x14ac:dyDescent="0.3">
      <c r="A2213" s="12" t="s">
        <v>39</v>
      </c>
      <c r="B2213" s="167" t="s">
        <v>5815</v>
      </c>
      <c r="C2213" s="12">
        <v>70</v>
      </c>
      <c r="D2213" s="12">
        <v>708</v>
      </c>
      <c r="F2213" s="12" t="s">
        <v>5829</v>
      </c>
      <c r="G2213" s="12" t="str">
        <f t="shared" si="55"/>
        <v>707081005682817</v>
      </c>
      <c r="I2213" s="12">
        <v>1005682817</v>
      </c>
      <c r="J2213" s="12" t="s">
        <v>5830</v>
      </c>
      <c r="K2213" s="12" t="s">
        <v>230</v>
      </c>
      <c r="L2213" s="12">
        <v>3205978526</v>
      </c>
      <c r="M2213" s="17" t="s">
        <v>5831</v>
      </c>
      <c r="N2213" s="12" t="s">
        <v>46</v>
      </c>
      <c r="O2213" s="12" t="s">
        <v>101</v>
      </c>
      <c r="P2213" s="88" t="s">
        <v>102</v>
      </c>
      <c r="AU2213" s="328" t="s">
        <v>1208</v>
      </c>
    </row>
    <row r="2214" spans="1:51" s="12" customFormat="1" ht="14.4" hidden="1" x14ac:dyDescent="0.3">
      <c r="A2214" s="12" t="s">
        <v>39</v>
      </c>
      <c r="B2214" s="167" t="s">
        <v>5815</v>
      </c>
      <c r="C2214" s="12">
        <v>70</v>
      </c>
      <c r="D2214" s="12">
        <v>708</v>
      </c>
      <c r="F2214" s="12" t="s">
        <v>5832</v>
      </c>
      <c r="G2214" s="12" t="str">
        <f t="shared" si="55"/>
        <v>707081104432577</v>
      </c>
      <c r="I2214" s="12">
        <v>1104432577</v>
      </c>
      <c r="J2214" s="12" t="s">
        <v>5833</v>
      </c>
      <c r="K2214" s="12" t="s">
        <v>230</v>
      </c>
      <c r="L2214" s="12">
        <v>3005173890</v>
      </c>
      <c r="M2214" s="17" t="s">
        <v>5834</v>
      </c>
      <c r="N2214" s="12" t="s">
        <v>46</v>
      </c>
      <c r="O2214" s="12" t="s">
        <v>101</v>
      </c>
      <c r="P2214" s="88" t="s">
        <v>102</v>
      </c>
      <c r="AU2214" s="328" t="s">
        <v>1208</v>
      </c>
    </row>
    <row r="2215" spans="1:51" s="12" customFormat="1" ht="14.4" hidden="1" x14ac:dyDescent="0.3">
      <c r="A2215" s="12" t="s">
        <v>39</v>
      </c>
      <c r="B2215" s="167" t="s">
        <v>5815</v>
      </c>
      <c r="C2215" s="12">
        <v>70</v>
      </c>
      <c r="D2215" s="12">
        <v>708</v>
      </c>
      <c r="F2215" s="12" t="s">
        <v>5835</v>
      </c>
      <c r="G2215" s="12" t="str">
        <f t="shared" si="55"/>
        <v>707089254461</v>
      </c>
      <c r="I2215" s="12">
        <v>9254461</v>
      </c>
      <c r="J2215" s="12" t="s">
        <v>5836</v>
      </c>
      <c r="K2215" s="12" t="s">
        <v>230</v>
      </c>
      <c r="L2215" s="12">
        <v>306625225</v>
      </c>
      <c r="M2215" s="12" t="s">
        <v>45</v>
      </c>
      <c r="N2215" s="12" t="s">
        <v>46</v>
      </c>
      <c r="O2215" s="12" t="s">
        <v>101</v>
      </c>
      <c r="P2215" s="88" t="s">
        <v>102</v>
      </c>
      <c r="AU2215" s="328" t="s">
        <v>1208</v>
      </c>
    </row>
    <row r="2216" spans="1:51" s="12" customFormat="1" ht="14.4" x14ac:dyDescent="0.3">
      <c r="A2216" s="12" t="s">
        <v>39</v>
      </c>
      <c r="B2216" s="167" t="s">
        <v>5815</v>
      </c>
      <c r="C2216" s="12">
        <v>70</v>
      </c>
      <c r="D2216" s="12">
        <v>708</v>
      </c>
      <c r="F2216" s="275" t="s">
        <v>9439</v>
      </c>
      <c r="G2216" s="12" t="str">
        <f t="shared" si="55"/>
        <v>707081065875966</v>
      </c>
      <c r="H2216" s="12" t="s">
        <v>9440</v>
      </c>
      <c r="I2216" s="12">
        <v>1065875966</v>
      </c>
      <c r="J2216" s="12" t="s">
        <v>9441</v>
      </c>
      <c r="K2216" s="12" t="s">
        <v>44</v>
      </c>
      <c r="L2216" s="12">
        <v>3137052377</v>
      </c>
      <c r="M2216" s="17" t="s">
        <v>9442</v>
      </c>
      <c r="N2216" s="12" t="s">
        <v>46</v>
      </c>
      <c r="O2216" s="12" t="s">
        <v>47</v>
      </c>
      <c r="P2216" s="88" t="s">
        <v>102</v>
      </c>
      <c r="Q2216" s="13">
        <v>46192</v>
      </c>
      <c r="R2216" s="12" t="s">
        <v>8588</v>
      </c>
      <c r="S2216" s="12" t="s">
        <v>49</v>
      </c>
      <c r="T2216" s="12" t="s">
        <v>5854</v>
      </c>
      <c r="U2216" s="12" t="s">
        <v>60</v>
      </c>
      <c r="AU2216" s="328" t="s">
        <v>1208</v>
      </c>
    </row>
    <row r="2217" spans="1:51" s="12" customFormat="1" ht="14.4" x14ac:dyDescent="0.3">
      <c r="A2217" s="12" t="s">
        <v>39</v>
      </c>
      <c r="B2217" s="167" t="s">
        <v>5815</v>
      </c>
      <c r="C2217" s="12">
        <v>70</v>
      </c>
      <c r="D2217" s="12">
        <v>708</v>
      </c>
      <c r="F2217" s="275" t="s">
        <v>5837</v>
      </c>
      <c r="G2217" s="12" t="str">
        <f t="shared" si="55"/>
        <v>707081063284374</v>
      </c>
      <c r="I2217" s="12">
        <v>1063284374</v>
      </c>
      <c r="J2217" s="12" t="s">
        <v>5838</v>
      </c>
      <c r="K2217" s="12" t="s">
        <v>230</v>
      </c>
      <c r="L2217" s="12">
        <v>3233009969</v>
      </c>
      <c r="M2217" s="12" t="s">
        <v>45</v>
      </c>
      <c r="N2217" s="12" t="s">
        <v>46</v>
      </c>
      <c r="O2217" s="12" t="s">
        <v>47</v>
      </c>
      <c r="P2217" s="88" t="s">
        <v>102</v>
      </c>
      <c r="AU2217" s="328" t="s">
        <v>1208</v>
      </c>
    </row>
    <row r="2218" spans="1:51" s="12" customFormat="1" ht="14.4" x14ac:dyDescent="0.3">
      <c r="A2218" s="12" t="s">
        <v>39</v>
      </c>
      <c r="B2218" s="167" t="s">
        <v>5815</v>
      </c>
      <c r="C2218" s="12">
        <v>70</v>
      </c>
      <c r="D2218" s="12">
        <v>708</v>
      </c>
      <c r="F2218" s="275" t="s">
        <v>5839</v>
      </c>
      <c r="G2218" s="12" t="str">
        <f t="shared" si="55"/>
        <v>707081104429750</v>
      </c>
      <c r="I2218" s="12">
        <v>1104429750</v>
      </c>
      <c r="J2218" s="12" t="s">
        <v>5840</v>
      </c>
      <c r="K2218" s="12" t="s">
        <v>230</v>
      </c>
      <c r="L2218" s="12">
        <v>3113250368</v>
      </c>
      <c r="M2218" s="12" t="s">
        <v>45</v>
      </c>
      <c r="N2218" s="12" t="s">
        <v>46</v>
      </c>
      <c r="O2218" s="12" t="s">
        <v>47</v>
      </c>
      <c r="P2218" s="88" t="s">
        <v>102</v>
      </c>
      <c r="AU2218" s="328" t="s">
        <v>1208</v>
      </c>
    </row>
    <row r="2219" spans="1:51" s="12" customFormat="1" ht="14.4" x14ac:dyDescent="0.3">
      <c r="A2219" s="12" t="s">
        <v>39</v>
      </c>
      <c r="B2219" s="12" t="s">
        <v>5841</v>
      </c>
      <c r="C2219" s="12">
        <v>70</v>
      </c>
      <c r="D2219" s="12">
        <v>708</v>
      </c>
      <c r="F2219" s="275" t="s">
        <v>5842</v>
      </c>
      <c r="G2219" s="12" t="str">
        <f t="shared" si="55"/>
        <v>7070834951009</v>
      </c>
      <c r="I2219" s="12">
        <v>34951009</v>
      </c>
      <c r="J2219" s="12" t="s">
        <v>5843</v>
      </c>
      <c r="K2219" s="12" t="s">
        <v>230</v>
      </c>
      <c r="L2219" s="12">
        <v>3106584302</v>
      </c>
      <c r="M2219" s="17" t="s">
        <v>5844</v>
      </c>
      <c r="N2219" s="12" t="s">
        <v>46</v>
      </c>
      <c r="O2219" s="12" t="s">
        <v>47</v>
      </c>
      <c r="P2219" s="88" t="s">
        <v>102</v>
      </c>
      <c r="AU2219" s="328" t="s">
        <v>1208</v>
      </c>
    </row>
    <row r="2220" spans="1:51" s="12" customFormat="1" ht="14.4" x14ac:dyDescent="0.3">
      <c r="A2220" s="12" t="s">
        <v>39</v>
      </c>
      <c r="B2220" s="12" t="s">
        <v>5815</v>
      </c>
      <c r="C2220" s="12">
        <v>70</v>
      </c>
      <c r="D2220" s="12">
        <v>708</v>
      </c>
      <c r="F2220" s="12" t="s">
        <v>5845</v>
      </c>
      <c r="G2220" s="12" t="str">
        <f t="shared" si="55"/>
        <v>7070834949459</v>
      </c>
      <c r="I2220" s="12">
        <v>34949459</v>
      </c>
      <c r="J2220" s="12" t="s">
        <v>5846</v>
      </c>
      <c r="K2220" s="12" t="s">
        <v>230</v>
      </c>
      <c r="L2220" s="12" t="s">
        <v>45</v>
      </c>
      <c r="M2220" s="12" t="s">
        <v>45</v>
      </c>
      <c r="N2220" s="12" t="s">
        <v>46</v>
      </c>
      <c r="O2220" s="12" t="s">
        <v>47</v>
      </c>
      <c r="P2220" s="88" t="s">
        <v>102</v>
      </c>
      <c r="AU2220" s="328" t="s">
        <v>1208</v>
      </c>
    </row>
    <row r="2221" spans="1:51" s="12" customFormat="1" ht="14.4" x14ac:dyDescent="0.3">
      <c r="A2221" s="12" t="s">
        <v>39</v>
      </c>
      <c r="B2221" s="12" t="s">
        <v>5815</v>
      </c>
      <c r="C2221" s="12">
        <v>70</v>
      </c>
      <c r="D2221" s="12">
        <v>708</v>
      </c>
      <c r="F2221" s="12" t="s">
        <v>5847</v>
      </c>
      <c r="G2221" s="12" t="str">
        <f t="shared" si="55"/>
        <v>7070833197688-2</v>
      </c>
      <c r="I2221" s="12" t="s">
        <v>5848</v>
      </c>
      <c r="J2221" s="12" t="s">
        <v>5849</v>
      </c>
      <c r="K2221" s="12" t="s">
        <v>230</v>
      </c>
      <c r="L2221" s="12">
        <v>3135242735</v>
      </c>
      <c r="M2221" s="17" t="s">
        <v>5850</v>
      </c>
      <c r="N2221" s="12" t="s">
        <v>46</v>
      </c>
      <c r="O2221" s="12" t="s">
        <v>47</v>
      </c>
      <c r="P2221" s="88" t="s">
        <v>102</v>
      </c>
      <c r="AU2221" s="328" t="s">
        <v>1208</v>
      </c>
    </row>
    <row r="2222" spans="1:51" s="12" customFormat="1" ht="14.4" x14ac:dyDescent="0.3">
      <c r="A2222" s="12" t="s">
        <v>39</v>
      </c>
      <c r="B2222" s="12" t="s">
        <v>5815</v>
      </c>
      <c r="C2222" s="12">
        <v>70</v>
      </c>
      <c r="D2222" s="12">
        <v>708</v>
      </c>
      <c r="F2222" s="275" t="s">
        <v>5851</v>
      </c>
      <c r="G2222" s="12" t="str">
        <f t="shared" si="55"/>
        <v>707081104412712</v>
      </c>
      <c r="H2222" s="12" t="s">
        <v>9451</v>
      </c>
      <c r="I2222" s="12">
        <v>1104412712</v>
      </c>
      <c r="J2222" s="12" t="s">
        <v>9452</v>
      </c>
      <c r="K2222" s="12" t="s">
        <v>44</v>
      </c>
      <c r="L2222" s="12">
        <v>3118901728</v>
      </c>
      <c r="M2222" s="17" t="s">
        <v>9453</v>
      </c>
      <c r="N2222" s="12" t="s">
        <v>46</v>
      </c>
      <c r="O2222" s="12" t="s">
        <v>47</v>
      </c>
      <c r="P2222" s="88" t="s">
        <v>102</v>
      </c>
      <c r="Q2222" s="13">
        <v>46212</v>
      </c>
      <c r="R2222" s="12">
        <v>86</v>
      </c>
      <c r="S2222" s="12" t="s">
        <v>49</v>
      </c>
      <c r="T2222" s="12" t="s">
        <v>9420</v>
      </c>
      <c r="U2222" s="12" t="s">
        <v>60</v>
      </c>
      <c r="AU2222" s="328" t="s">
        <v>1208</v>
      </c>
    </row>
    <row r="2223" spans="1:51" s="12" customFormat="1" ht="14.4" x14ac:dyDescent="0.3">
      <c r="A2223" s="12" t="s">
        <v>39</v>
      </c>
      <c r="B2223" s="12" t="s">
        <v>5815</v>
      </c>
      <c r="C2223" s="12">
        <v>70</v>
      </c>
      <c r="D2223" s="12">
        <v>708</v>
      </c>
      <c r="F2223" s="275" t="s">
        <v>5853</v>
      </c>
      <c r="G2223" s="12" t="str">
        <f t="shared" si="55"/>
        <v>7070810141824116</v>
      </c>
      <c r="H2223" s="12" t="s">
        <v>9417</v>
      </c>
      <c r="I2223" s="12">
        <v>10141824116</v>
      </c>
      <c r="J2223" s="12" t="s">
        <v>9418</v>
      </c>
      <c r="K2223" s="12" t="s">
        <v>44</v>
      </c>
      <c r="L2223" s="12">
        <v>3176683942</v>
      </c>
      <c r="M2223" s="12" t="s">
        <v>9419</v>
      </c>
      <c r="N2223" s="12" t="s">
        <v>46</v>
      </c>
      <c r="O2223" s="12" t="s">
        <v>47</v>
      </c>
      <c r="P2223" s="88" t="s">
        <v>102</v>
      </c>
      <c r="Q2223" s="13">
        <v>46164</v>
      </c>
      <c r="R2223" s="12">
        <v>86</v>
      </c>
      <c r="S2223" s="12" t="s">
        <v>49</v>
      </c>
      <c r="T2223" s="12" t="s">
        <v>9420</v>
      </c>
      <c r="U2223" s="12" t="s">
        <v>60</v>
      </c>
      <c r="V2223" s="13">
        <v>45771</v>
      </c>
      <c r="W2223" s="16">
        <v>0.74</v>
      </c>
      <c r="X2223" s="12" t="s">
        <v>49</v>
      </c>
      <c r="Y2223" s="12" t="s">
        <v>5854</v>
      </c>
      <c r="Z2223" s="12" t="s">
        <v>60</v>
      </c>
      <c r="AA2223" s="12" t="s">
        <v>51</v>
      </c>
      <c r="AB2223" s="12" t="s">
        <v>51</v>
      </c>
      <c r="AC2223" s="13">
        <v>45582</v>
      </c>
      <c r="AD2223" s="12" t="s">
        <v>203</v>
      </c>
      <c r="AE2223" s="12" t="s">
        <v>74</v>
      </c>
      <c r="AF2223" s="12" t="s">
        <v>60</v>
      </c>
      <c r="AU2223" s="328" t="s">
        <v>1208</v>
      </c>
      <c r="AX2223" s="12" t="s">
        <v>51</v>
      </c>
      <c r="AY2223" s="12" t="s">
        <v>51</v>
      </c>
    </row>
    <row r="2224" spans="1:51" s="12" customFormat="1" ht="14.4" x14ac:dyDescent="0.3">
      <c r="A2224" s="12" t="s">
        <v>39</v>
      </c>
      <c r="B2224" s="12" t="s">
        <v>5815</v>
      </c>
      <c r="C2224" s="12">
        <v>70</v>
      </c>
      <c r="D2224" s="12">
        <v>708</v>
      </c>
      <c r="F2224" s="12" t="s">
        <v>5855</v>
      </c>
      <c r="G2224" s="12" t="str">
        <f t="shared" si="55"/>
        <v>7070870256882</v>
      </c>
      <c r="I2224" s="12">
        <v>70256882</v>
      </c>
      <c r="J2224" s="12" t="s">
        <v>5856</v>
      </c>
      <c r="K2224" s="12" t="s">
        <v>230</v>
      </c>
      <c r="L2224" s="12" t="s">
        <v>45</v>
      </c>
      <c r="M2224" s="12" t="s">
        <v>45</v>
      </c>
      <c r="N2224" s="12" t="s">
        <v>46</v>
      </c>
      <c r="O2224" s="12" t="s">
        <v>47</v>
      </c>
      <c r="P2224" s="88" t="s">
        <v>102</v>
      </c>
      <c r="AU2224" s="328" t="s">
        <v>1208</v>
      </c>
    </row>
    <row r="2225" spans="1:52" s="12" customFormat="1" ht="14.4" x14ac:dyDescent="0.3">
      <c r="A2225" s="12" t="s">
        <v>39</v>
      </c>
      <c r="B2225" s="12" t="s">
        <v>5815</v>
      </c>
      <c r="C2225" s="12">
        <v>70</v>
      </c>
      <c r="D2225" s="12">
        <v>708</v>
      </c>
      <c r="F2225" s="12" t="s">
        <v>5857</v>
      </c>
      <c r="G2225" s="12" t="str">
        <f t="shared" si="55"/>
        <v>7070833200501</v>
      </c>
      <c r="I2225" s="12">
        <v>33200501</v>
      </c>
      <c r="J2225" s="12" t="s">
        <v>5858</v>
      </c>
      <c r="K2225" s="12" t="s">
        <v>230</v>
      </c>
      <c r="L2225" s="12" t="s">
        <v>45</v>
      </c>
      <c r="M2225" s="12" t="s">
        <v>45</v>
      </c>
      <c r="N2225" s="12" t="s">
        <v>46</v>
      </c>
      <c r="O2225" s="12" t="s">
        <v>47</v>
      </c>
      <c r="P2225" s="88" t="s">
        <v>102</v>
      </c>
      <c r="AU2225" s="328" t="s">
        <v>1208</v>
      </c>
    </row>
    <row r="2226" spans="1:52" s="12" customFormat="1" ht="14.4" x14ac:dyDescent="0.3">
      <c r="A2226" s="12" t="s">
        <v>39</v>
      </c>
      <c r="B2226" s="12" t="s">
        <v>5815</v>
      </c>
      <c r="C2226" s="12">
        <v>70</v>
      </c>
      <c r="D2226" s="12">
        <v>708</v>
      </c>
      <c r="F2226" s="275" t="s">
        <v>5859</v>
      </c>
      <c r="G2226" s="12" t="str">
        <f t="shared" si="55"/>
        <v>7070825806070</v>
      </c>
      <c r="I2226" s="12">
        <v>25806070</v>
      </c>
      <c r="J2226" s="12" t="s">
        <v>5860</v>
      </c>
      <c r="K2226" s="12" t="s">
        <v>230</v>
      </c>
      <c r="L2226" s="12" t="s">
        <v>45</v>
      </c>
      <c r="M2226" s="12" t="s">
        <v>45</v>
      </c>
      <c r="N2226" s="12" t="s">
        <v>46</v>
      </c>
      <c r="O2226" s="12" t="s">
        <v>47</v>
      </c>
      <c r="P2226" s="88" t="s">
        <v>102</v>
      </c>
      <c r="AU2226" s="328" t="s">
        <v>1208</v>
      </c>
    </row>
    <row r="2227" spans="1:52" s="12" customFormat="1" ht="14.4" x14ac:dyDescent="0.3">
      <c r="A2227" s="12" t="s">
        <v>39</v>
      </c>
      <c r="B2227" s="12" t="s">
        <v>5815</v>
      </c>
      <c r="C2227" s="12">
        <v>70</v>
      </c>
      <c r="D2227" s="12">
        <v>708</v>
      </c>
      <c r="F2227" s="275" t="s">
        <v>9462</v>
      </c>
      <c r="G2227" s="12" t="str">
        <f t="shared" si="55"/>
        <v>7070834940445</v>
      </c>
      <c r="H2227" s="12" t="s">
        <v>9463</v>
      </c>
      <c r="I2227" s="12">
        <v>34940445</v>
      </c>
      <c r="J2227" s="12" t="s">
        <v>9464</v>
      </c>
      <c r="K2227" s="12" t="s">
        <v>44</v>
      </c>
      <c r="L2227" s="12">
        <v>3126199186</v>
      </c>
      <c r="M2227" s="12" t="s">
        <v>9465</v>
      </c>
      <c r="N2227" s="12" t="s">
        <v>46</v>
      </c>
      <c r="O2227" s="12" t="s">
        <v>47</v>
      </c>
      <c r="P2227" s="88" t="s">
        <v>102</v>
      </c>
      <c r="Q2227" s="13">
        <v>46220</v>
      </c>
      <c r="R2227" s="12" t="s">
        <v>7842</v>
      </c>
      <c r="S2227" s="12" t="s">
        <v>49</v>
      </c>
      <c r="T2227" s="12" t="s">
        <v>5854</v>
      </c>
      <c r="U2227" s="12" t="s">
        <v>60</v>
      </c>
      <c r="AU2227" s="328" t="s">
        <v>1208</v>
      </c>
    </row>
    <row r="2228" spans="1:52" s="12" customFormat="1" ht="14.4" hidden="1" x14ac:dyDescent="0.3">
      <c r="A2228" s="12" t="s">
        <v>39</v>
      </c>
      <c r="B2228" s="12" t="s">
        <v>5815</v>
      </c>
      <c r="C2228" s="12">
        <v>70</v>
      </c>
      <c r="D2228" s="12">
        <v>708</v>
      </c>
      <c r="F2228" s="12" t="s">
        <v>5861</v>
      </c>
      <c r="G2228" s="12" t="str">
        <f t="shared" si="55"/>
        <v>707089143836</v>
      </c>
      <c r="I2228" s="12">
        <v>9143836</v>
      </c>
      <c r="J2228" s="12" t="s">
        <v>5862</v>
      </c>
      <c r="K2228" s="12" t="s">
        <v>4092</v>
      </c>
      <c r="L2228" s="12">
        <v>3225608516</v>
      </c>
      <c r="M2228" s="17" t="s">
        <v>5863</v>
      </c>
      <c r="N2228" s="12" t="s">
        <v>432</v>
      </c>
      <c r="O2228" s="12" t="s">
        <v>432</v>
      </c>
      <c r="P2228" s="88" t="s">
        <v>261</v>
      </c>
      <c r="AU2228" s="328" t="s">
        <v>1208</v>
      </c>
    </row>
    <row r="2229" spans="1:52" s="12" customFormat="1" ht="14.4" x14ac:dyDescent="0.3">
      <c r="A2229" s="12" t="s">
        <v>39</v>
      </c>
      <c r="B2229" s="12" t="s">
        <v>5815</v>
      </c>
      <c r="C2229" s="12">
        <v>70</v>
      </c>
      <c r="D2229" s="12">
        <v>708</v>
      </c>
      <c r="F2229" s="275" t="s">
        <v>5864</v>
      </c>
      <c r="G2229" s="12" t="str">
        <f t="shared" si="55"/>
        <v>70708108768792</v>
      </c>
      <c r="H2229" s="12" t="s">
        <v>5865</v>
      </c>
      <c r="I2229" s="12">
        <v>108768792</v>
      </c>
      <c r="J2229" s="12" t="s">
        <v>5866</v>
      </c>
      <c r="K2229" s="12" t="s">
        <v>230</v>
      </c>
      <c r="L2229" s="12">
        <v>3145908484</v>
      </c>
      <c r="M2229" s="17" t="s">
        <v>9445</v>
      </c>
      <c r="N2229" s="12" t="s">
        <v>46</v>
      </c>
      <c r="O2229" s="12" t="s">
        <v>47</v>
      </c>
      <c r="P2229" s="88" t="s">
        <v>102</v>
      </c>
      <c r="Q2229" s="13">
        <v>46192</v>
      </c>
      <c r="R2229" s="12">
        <v>99</v>
      </c>
      <c r="S2229" s="12" t="s">
        <v>210</v>
      </c>
      <c r="T2229" s="12" t="s">
        <v>9420</v>
      </c>
      <c r="U2229" s="12" t="s">
        <v>60</v>
      </c>
      <c r="V2229" s="13">
        <v>45875</v>
      </c>
      <c r="W2229" s="16">
        <v>0.84</v>
      </c>
      <c r="X2229" s="12" t="s">
        <v>49</v>
      </c>
      <c r="Y2229" s="12" t="s">
        <v>5854</v>
      </c>
      <c r="Z2229" s="12" t="s">
        <v>60</v>
      </c>
      <c r="AA2229" s="12" t="s">
        <v>51</v>
      </c>
      <c r="AB2229" s="12" t="s">
        <v>51</v>
      </c>
      <c r="AC2229" s="13">
        <v>45595</v>
      </c>
      <c r="AD2229" s="12" t="s">
        <v>167</v>
      </c>
      <c r="AE2229" s="12" t="s">
        <v>74</v>
      </c>
      <c r="AF2229" s="12" t="s">
        <v>60</v>
      </c>
      <c r="AU2229" s="328" t="s">
        <v>1208</v>
      </c>
      <c r="AX2229" s="12" t="s">
        <v>51</v>
      </c>
      <c r="AY2229" s="12" t="s">
        <v>51</v>
      </c>
      <c r="AZ2229" s="12" t="s">
        <v>51</v>
      </c>
    </row>
    <row r="2230" spans="1:52" s="12" customFormat="1" ht="14.4" x14ac:dyDescent="0.3">
      <c r="A2230" s="12" t="s">
        <v>39</v>
      </c>
      <c r="B2230" s="12" t="s">
        <v>5815</v>
      </c>
      <c r="C2230" s="12">
        <v>70</v>
      </c>
      <c r="D2230" s="12">
        <v>708</v>
      </c>
      <c r="F2230" s="275" t="s">
        <v>5867</v>
      </c>
      <c r="G2230" s="12" t="str">
        <f t="shared" si="55"/>
        <v>7070834940183</v>
      </c>
      <c r="H2230" s="12" t="s">
        <v>5868</v>
      </c>
      <c r="I2230" s="12">
        <v>34940183</v>
      </c>
      <c r="J2230" s="12" t="s">
        <v>5869</v>
      </c>
      <c r="K2230" s="12" t="s">
        <v>230</v>
      </c>
      <c r="L2230" s="12">
        <v>3217958027</v>
      </c>
      <c r="M2230" s="12" t="s">
        <v>9425</v>
      </c>
      <c r="N2230" s="12" t="s">
        <v>46</v>
      </c>
      <c r="O2230" s="12" t="s">
        <v>47</v>
      </c>
      <c r="P2230" s="88" t="s">
        <v>102</v>
      </c>
      <c r="Q2230" s="13">
        <v>46163</v>
      </c>
      <c r="R2230" s="12">
        <v>83</v>
      </c>
      <c r="S2230" s="12" t="s">
        <v>49</v>
      </c>
      <c r="T2230" s="12" t="s">
        <v>9420</v>
      </c>
      <c r="U2230" s="12" t="s">
        <v>60</v>
      </c>
      <c r="V2230" s="13">
        <v>45873</v>
      </c>
      <c r="W2230" s="12" t="s">
        <v>5870</v>
      </c>
      <c r="X2230" s="12" t="s">
        <v>49</v>
      </c>
      <c r="Y2230" s="12" t="s">
        <v>5854</v>
      </c>
      <c r="Z2230" s="12" t="s">
        <v>60</v>
      </c>
      <c r="AA2230" s="12" t="s">
        <v>51</v>
      </c>
      <c r="AB2230" s="12" t="s">
        <v>51</v>
      </c>
      <c r="AC2230" s="13">
        <v>45430</v>
      </c>
      <c r="AD2230" s="12" t="s">
        <v>4569</v>
      </c>
      <c r="AE2230" s="12" t="s">
        <v>49</v>
      </c>
      <c r="AF2230" s="12" t="s">
        <v>60</v>
      </c>
      <c r="AU2230" s="328" t="s">
        <v>1208</v>
      </c>
      <c r="AX2230" s="12" t="s">
        <v>51</v>
      </c>
      <c r="AY2230" s="12" t="s">
        <v>51</v>
      </c>
      <c r="AZ2230" s="12" t="s">
        <v>51</v>
      </c>
    </row>
    <row r="2231" spans="1:52" s="12" customFormat="1" ht="14.4" x14ac:dyDescent="0.3">
      <c r="A2231" s="12" t="s">
        <v>39</v>
      </c>
      <c r="B2231" s="12" t="s">
        <v>5815</v>
      </c>
      <c r="C2231" s="12">
        <v>70</v>
      </c>
      <c r="D2231" s="12">
        <v>708</v>
      </c>
      <c r="F2231" s="275" t="s">
        <v>5871</v>
      </c>
      <c r="G2231" s="12" t="str">
        <f t="shared" si="55"/>
        <v>7070823196201</v>
      </c>
      <c r="I2231" s="12">
        <v>23196201</v>
      </c>
      <c r="J2231" s="12" t="s">
        <v>5872</v>
      </c>
      <c r="K2231" s="12" t="s">
        <v>230</v>
      </c>
      <c r="L2231" s="12" t="s">
        <v>45</v>
      </c>
      <c r="M2231" s="12" t="s">
        <v>45</v>
      </c>
      <c r="N2231" s="12" t="s">
        <v>46</v>
      </c>
      <c r="O2231" s="12" t="s">
        <v>47</v>
      </c>
      <c r="P2231" s="88" t="s">
        <v>102</v>
      </c>
      <c r="AU2231" s="328" t="s">
        <v>1208</v>
      </c>
    </row>
    <row r="2232" spans="1:52" s="12" customFormat="1" ht="14.4" hidden="1" x14ac:dyDescent="0.3">
      <c r="A2232" s="12" t="s">
        <v>39</v>
      </c>
      <c r="B2232" s="12" t="s">
        <v>5815</v>
      </c>
      <c r="C2232" s="12">
        <v>70</v>
      </c>
      <c r="D2232" s="12">
        <v>708</v>
      </c>
      <c r="F2232" s="12" t="s">
        <v>5873</v>
      </c>
      <c r="G2232" s="12" t="str">
        <f t="shared" si="55"/>
        <v>707081066724708</v>
      </c>
      <c r="H2232" s="12" t="s">
        <v>5874</v>
      </c>
      <c r="I2232" s="12">
        <v>1066724708</v>
      </c>
      <c r="J2232" s="12" t="s">
        <v>5875</v>
      </c>
      <c r="K2232" s="12" t="s">
        <v>230</v>
      </c>
      <c r="L2232" s="12">
        <v>3214576541</v>
      </c>
      <c r="M2232" s="17" t="s">
        <v>5876</v>
      </c>
      <c r="N2232" s="12" t="s">
        <v>46</v>
      </c>
      <c r="O2232" s="12" t="s">
        <v>2797</v>
      </c>
      <c r="P2232" s="88" t="s">
        <v>80</v>
      </c>
      <c r="Q2232" s="13">
        <v>45859</v>
      </c>
      <c r="R2232" s="16">
        <v>0.65</v>
      </c>
      <c r="S2232" s="12" t="s">
        <v>74</v>
      </c>
      <c r="T2232" s="12" t="s">
        <v>5854</v>
      </c>
      <c r="U2232" s="12" t="s">
        <v>60</v>
      </c>
      <c r="V2232" s="13">
        <v>45590</v>
      </c>
      <c r="W2232" s="12" t="s">
        <v>3015</v>
      </c>
      <c r="X2232" s="12" t="s">
        <v>74</v>
      </c>
      <c r="Y2232" s="12" t="s">
        <v>5854</v>
      </c>
      <c r="Z2232" s="12" t="s">
        <v>60</v>
      </c>
      <c r="AA2232" s="12" t="s">
        <v>51</v>
      </c>
      <c r="AB2232" s="12" t="s">
        <v>51</v>
      </c>
      <c r="AU2232" s="328" t="s">
        <v>1208</v>
      </c>
      <c r="AX2232" s="12" t="s">
        <v>51</v>
      </c>
      <c r="AY2232" s="12" t="s">
        <v>51</v>
      </c>
      <c r="AZ2232" s="12" t="s">
        <v>51</v>
      </c>
    </row>
    <row r="2233" spans="1:52" s="12" customFormat="1" ht="14.4" x14ac:dyDescent="0.3">
      <c r="A2233" s="12" t="s">
        <v>39</v>
      </c>
      <c r="B2233" s="12" t="s">
        <v>5815</v>
      </c>
      <c r="C2233" s="12">
        <v>70</v>
      </c>
      <c r="D2233" s="12">
        <v>708</v>
      </c>
      <c r="F2233" s="275" t="s">
        <v>5877</v>
      </c>
      <c r="G2233" s="12" t="str">
        <f t="shared" si="55"/>
        <v>707087000146135</v>
      </c>
      <c r="H2233" s="12" t="s">
        <v>9448</v>
      </c>
      <c r="I2233" s="12">
        <v>7000146135</v>
      </c>
      <c r="J2233" s="12" t="s">
        <v>9449</v>
      </c>
      <c r="K2233" s="12" t="s">
        <v>44</v>
      </c>
      <c r="L2233" s="12">
        <v>3145900303</v>
      </c>
      <c r="M2233" s="12" t="s">
        <v>9450</v>
      </c>
      <c r="N2233" s="12" t="s">
        <v>46</v>
      </c>
      <c r="O2233" s="12" t="s">
        <v>47</v>
      </c>
      <c r="P2233" s="88" t="s">
        <v>102</v>
      </c>
      <c r="Q2233" s="13">
        <v>46221</v>
      </c>
      <c r="R2233" s="12">
        <v>88</v>
      </c>
      <c r="S2233" s="12" t="s">
        <v>74</v>
      </c>
      <c r="T2233" s="12" t="s">
        <v>9420</v>
      </c>
      <c r="U2233" s="12" t="s">
        <v>60</v>
      </c>
      <c r="AU2233" s="328" t="s">
        <v>1208</v>
      </c>
    </row>
    <row r="2234" spans="1:52" s="12" customFormat="1" ht="14.4" x14ac:dyDescent="0.3">
      <c r="A2234" s="12" t="s">
        <v>39</v>
      </c>
      <c r="B2234" s="12" t="s">
        <v>5815</v>
      </c>
      <c r="C2234" s="12">
        <v>70</v>
      </c>
      <c r="D2234" s="12">
        <v>708</v>
      </c>
      <c r="F2234" s="275" t="s">
        <v>9457</v>
      </c>
      <c r="G2234" s="12" t="str">
        <f t="shared" si="55"/>
        <v>707081104430078</v>
      </c>
      <c r="H2234" s="12" t="s">
        <v>9458</v>
      </c>
      <c r="I2234" s="12">
        <v>1104430078</v>
      </c>
      <c r="J2234" s="12" t="s">
        <v>9459</v>
      </c>
      <c r="K2234" s="12" t="s">
        <v>44</v>
      </c>
      <c r="L2234" s="12">
        <v>3103572211</v>
      </c>
      <c r="M2234" s="12" t="s">
        <v>9460</v>
      </c>
      <c r="N2234" s="12" t="s">
        <v>8021</v>
      </c>
      <c r="O2234" s="12" t="s">
        <v>47</v>
      </c>
      <c r="P2234" s="88" t="s">
        <v>48</v>
      </c>
      <c r="Q2234" s="13">
        <v>46209</v>
      </c>
      <c r="R2234" s="12" t="s">
        <v>9461</v>
      </c>
      <c r="S2234" s="12" t="s">
        <v>74</v>
      </c>
      <c r="T2234" s="12" t="s">
        <v>5854</v>
      </c>
      <c r="U2234" s="12" t="s">
        <v>60</v>
      </c>
      <c r="AU2234" s="328" t="s">
        <v>53</v>
      </c>
    </row>
    <row r="2235" spans="1:52" s="12" customFormat="1" ht="14.4" x14ac:dyDescent="0.3">
      <c r="A2235" s="12" t="s">
        <v>39</v>
      </c>
      <c r="B2235" s="12" t="s">
        <v>5815</v>
      </c>
      <c r="C2235" s="12">
        <v>70</v>
      </c>
      <c r="D2235" s="12">
        <v>708</v>
      </c>
      <c r="F2235" s="275" t="s">
        <v>5878</v>
      </c>
      <c r="G2235" s="12" t="str">
        <f t="shared" si="55"/>
        <v>7070843471265</v>
      </c>
      <c r="I2235" s="12">
        <v>43471265</v>
      </c>
      <c r="J2235" s="12" t="s">
        <v>5879</v>
      </c>
      <c r="K2235" s="12" t="s">
        <v>230</v>
      </c>
      <c r="L2235" s="12" t="s">
        <v>45</v>
      </c>
      <c r="M2235" s="12" t="s">
        <v>45</v>
      </c>
      <c r="N2235" s="12" t="s">
        <v>46</v>
      </c>
      <c r="O2235" s="12" t="s">
        <v>47</v>
      </c>
      <c r="P2235" s="88" t="s">
        <v>102</v>
      </c>
      <c r="AU2235" s="328" t="s">
        <v>1208</v>
      </c>
    </row>
    <row r="2236" spans="1:52" s="12" customFormat="1" ht="14.4" x14ac:dyDescent="0.3">
      <c r="A2236" s="12" t="s">
        <v>39</v>
      </c>
      <c r="B2236" s="12" t="s">
        <v>5815</v>
      </c>
      <c r="C2236" s="12">
        <v>70</v>
      </c>
      <c r="D2236" s="12">
        <v>708</v>
      </c>
      <c r="F2236" s="275" t="s">
        <v>5880</v>
      </c>
      <c r="G2236" s="12" t="str">
        <f t="shared" si="55"/>
        <v>7070834945680</v>
      </c>
      <c r="I2236" s="12">
        <v>34945680</v>
      </c>
      <c r="J2236" s="12" t="s">
        <v>5881</v>
      </c>
      <c r="K2236" s="12" t="s">
        <v>230</v>
      </c>
      <c r="L2236" s="12" t="s">
        <v>45</v>
      </c>
      <c r="M2236" s="12" t="s">
        <v>45</v>
      </c>
      <c r="N2236" s="12" t="s">
        <v>46</v>
      </c>
      <c r="O2236" s="12" t="s">
        <v>47</v>
      </c>
      <c r="P2236" s="88" t="s">
        <v>102</v>
      </c>
      <c r="AU2236" s="328" t="s">
        <v>1208</v>
      </c>
    </row>
    <row r="2237" spans="1:52" s="12" customFormat="1" ht="14.4" x14ac:dyDescent="0.3">
      <c r="A2237" s="12" t="s">
        <v>39</v>
      </c>
      <c r="B2237" s="12" t="s">
        <v>5815</v>
      </c>
      <c r="C2237" s="12">
        <v>70</v>
      </c>
      <c r="D2237" s="12">
        <v>708</v>
      </c>
      <c r="F2237" s="275" t="s">
        <v>8857</v>
      </c>
      <c r="G2237" s="12" t="str">
        <f t="shared" si="55"/>
        <v>70708305817704</v>
      </c>
      <c r="H2237" s="12" t="s">
        <v>8858</v>
      </c>
      <c r="I2237" s="12">
        <v>305817704</v>
      </c>
      <c r="J2237" s="12" t="s">
        <v>5882</v>
      </c>
      <c r="K2237" s="12" t="s">
        <v>230</v>
      </c>
      <c r="L2237" s="12">
        <v>300518796</v>
      </c>
      <c r="M2237" s="12" t="s">
        <v>8859</v>
      </c>
      <c r="N2237" s="12" t="s">
        <v>46</v>
      </c>
      <c r="O2237" s="12" t="s">
        <v>47</v>
      </c>
      <c r="P2237" s="88" t="s">
        <v>102</v>
      </c>
      <c r="Q2237" s="13">
        <v>46036</v>
      </c>
      <c r="R2237" s="12">
        <v>88</v>
      </c>
      <c r="S2237" s="12" t="s">
        <v>49</v>
      </c>
      <c r="T2237" s="12" t="s">
        <v>5854</v>
      </c>
      <c r="U2237" s="12" t="s">
        <v>60</v>
      </c>
      <c r="AU2237" s="328" t="s">
        <v>1208</v>
      </c>
    </row>
    <row r="2238" spans="1:52" s="12" customFormat="1" ht="14.4" x14ac:dyDescent="0.3">
      <c r="A2238" s="12" t="s">
        <v>39</v>
      </c>
      <c r="B2238" s="12" t="s">
        <v>5815</v>
      </c>
      <c r="C2238" s="12">
        <v>70</v>
      </c>
      <c r="D2238" s="12">
        <v>708</v>
      </c>
      <c r="F2238" s="275" t="s">
        <v>5883</v>
      </c>
      <c r="G2238" s="12" t="str">
        <f t="shared" si="55"/>
        <v>707081104409878</v>
      </c>
      <c r="I2238" s="12">
        <v>1104409878</v>
      </c>
      <c r="J2238" s="12" t="s">
        <v>5884</v>
      </c>
      <c r="K2238" s="12" t="s">
        <v>230</v>
      </c>
      <c r="L2238" s="12">
        <v>3135842741</v>
      </c>
      <c r="M2238" s="12" t="s">
        <v>45</v>
      </c>
      <c r="N2238" s="12" t="s">
        <v>46</v>
      </c>
      <c r="O2238" s="12" t="s">
        <v>47</v>
      </c>
      <c r="P2238" s="88" t="s">
        <v>102</v>
      </c>
      <c r="AU2238" s="328" t="s">
        <v>1208</v>
      </c>
    </row>
    <row r="2239" spans="1:52" s="12" customFormat="1" ht="14.4" hidden="1" x14ac:dyDescent="0.3">
      <c r="A2239" s="12" t="s">
        <v>39</v>
      </c>
      <c r="B2239" s="12" t="s">
        <v>5815</v>
      </c>
      <c r="C2239" s="12">
        <v>70</v>
      </c>
      <c r="D2239" s="12">
        <v>708</v>
      </c>
      <c r="F2239" s="12" t="s">
        <v>5885</v>
      </c>
      <c r="G2239" s="12" t="str">
        <f t="shared" si="55"/>
        <v>7070839207179</v>
      </c>
      <c r="I2239" s="12">
        <v>39207179</v>
      </c>
      <c r="J2239" s="12" t="s">
        <v>5886</v>
      </c>
      <c r="K2239" s="12" t="s">
        <v>230</v>
      </c>
      <c r="L2239" s="12" t="s">
        <v>45</v>
      </c>
      <c r="M2239" s="12" t="s">
        <v>45</v>
      </c>
      <c r="N2239" s="12" t="s">
        <v>46</v>
      </c>
      <c r="O2239" s="12" t="s">
        <v>2797</v>
      </c>
      <c r="P2239" s="88" t="s">
        <v>80</v>
      </c>
      <c r="AU2239" s="328" t="s">
        <v>1208</v>
      </c>
    </row>
    <row r="2240" spans="1:52" s="12" customFormat="1" ht="14.4" hidden="1" x14ac:dyDescent="0.3">
      <c r="A2240" s="12" t="s">
        <v>39</v>
      </c>
      <c r="B2240" s="12" t="s">
        <v>5815</v>
      </c>
      <c r="C2240" s="12">
        <v>70</v>
      </c>
      <c r="D2240" s="12">
        <v>708</v>
      </c>
      <c r="F2240" s="12" t="s">
        <v>5887</v>
      </c>
      <c r="G2240" s="12" t="str">
        <f t="shared" si="55"/>
        <v>707088155190</v>
      </c>
      <c r="I2240" s="12">
        <v>8155190</v>
      </c>
      <c r="J2240" s="12" t="s">
        <v>5888</v>
      </c>
      <c r="K2240" s="12" t="s">
        <v>230</v>
      </c>
      <c r="L2240" s="12" t="s">
        <v>45</v>
      </c>
      <c r="M2240" s="12" t="s">
        <v>45</v>
      </c>
      <c r="N2240" s="12" t="s">
        <v>46</v>
      </c>
      <c r="O2240" s="12" t="s">
        <v>2797</v>
      </c>
      <c r="P2240" s="88" t="s">
        <v>80</v>
      </c>
      <c r="AU2240" s="328" t="s">
        <v>1208</v>
      </c>
    </row>
    <row r="2241" spans="1:47" s="12" customFormat="1" ht="14.4" hidden="1" x14ac:dyDescent="0.3">
      <c r="A2241" s="12" t="s">
        <v>39</v>
      </c>
      <c r="B2241" s="12" t="s">
        <v>5815</v>
      </c>
      <c r="C2241" s="12">
        <v>70</v>
      </c>
      <c r="D2241" s="12">
        <v>708</v>
      </c>
      <c r="F2241" s="12" t="s">
        <v>5889</v>
      </c>
      <c r="G2241" s="12" t="str">
        <f t="shared" si="55"/>
        <v>707083529004</v>
      </c>
      <c r="I2241" s="12">
        <v>3529004</v>
      </c>
      <c r="J2241" s="12" t="s">
        <v>5890</v>
      </c>
      <c r="K2241" s="12" t="s">
        <v>230</v>
      </c>
      <c r="L2241" s="12" t="s">
        <v>45</v>
      </c>
      <c r="M2241" s="12" t="s">
        <v>45</v>
      </c>
      <c r="N2241" s="12" t="s">
        <v>46</v>
      </c>
      <c r="O2241" s="12" t="s">
        <v>2797</v>
      </c>
      <c r="P2241" s="88" t="s">
        <v>80</v>
      </c>
      <c r="AU2241" s="328" t="s">
        <v>1208</v>
      </c>
    </row>
    <row r="2242" spans="1:47" s="12" customFormat="1" ht="14.4" hidden="1" x14ac:dyDescent="0.3">
      <c r="A2242" s="12" t="s">
        <v>39</v>
      </c>
      <c r="B2242" s="12" t="s">
        <v>5815</v>
      </c>
      <c r="C2242" s="12">
        <v>70</v>
      </c>
      <c r="D2242" s="12">
        <v>708</v>
      </c>
      <c r="F2242" s="12" t="s">
        <v>5891</v>
      </c>
      <c r="G2242" s="12" t="str">
        <f t="shared" si="55"/>
        <v>7070811044296301</v>
      </c>
      <c r="I2242" s="12">
        <v>11044296301</v>
      </c>
      <c r="J2242" s="12" t="s">
        <v>5892</v>
      </c>
      <c r="K2242" s="12" t="s">
        <v>230</v>
      </c>
      <c r="L2242" s="12" t="s">
        <v>45</v>
      </c>
      <c r="M2242" s="12" t="s">
        <v>45</v>
      </c>
      <c r="N2242" s="12" t="s">
        <v>259</v>
      </c>
      <c r="O2242" s="12" t="s">
        <v>260</v>
      </c>
      <c r="P2242" s="88" t="s">
        <v>261</v>
      </c>
      <c r="AU2242" s="328" t="s">
        <v>1208</v>
      </c>
    </row>
    <row r="2243" spans="1:47" s="12" customFormat="1" ht="14.4" hidden="1" x14ac:dyDescent="0.3">
      <c r="A2243" s="12" t="s">
        <v>39</v>
      </c>
      <c r="B2243" s="12" t="s">
        <v>5815</v>
      </c>
      <c r="C2243" s="12">
        <v>70</v>
      </c>
      <c r="D2243" s="12">
        <v>708</v>
      </c>
      <c r="F2243" s="12" t="s">
        <v>5893</v>
      </c>
      <c r="G2243" s="12" t="str">
        <f t="shared" si="55"/>
        <v>707081005682618-6</v>
      </c>
      <c r="I2243" s="12" t="s">
        <v>5894</v>
      </c>
      <c r="J2243" s="12" t="s">
        <v>5895</v>
      </c>
      <c r="K2243" s="12" t="s">
        <v>230</v>
      </c>
      <c r="L2243" s="12" t="s">
        <v>45</v>
      </c>
      <c r="M2243" s="12" t="s">
        <v>45</v>
      </c>
      <c r="N2243" s="12" t="s">
        <v>259</v>
      </c>
      <c r="O2243" s="12" t="s">
        <v>260</v>
      </c>
      <c r="P2243" s="88" t="s">
        <v>261</v>
      </c>
      <c r="AU2243" s="328" t="s">
        <v>1208</v>
      </c>
    </row>
    <row r="2244" spans="1:47" s="12" customFormat="1" ht="14.4" hidden="1" x14ac:dyDescent="0.3">
      <c r="A2244" s="12" t="s">
        <v>39</v>
      </c>
      <c r="B2244" s="12" t="s">
        <v>5815</v>
      </c>
      <c r="C2244" s="12">
        <v>70</v>
      </c>
      <c r="D2244" s="12">
        <v>708</v>
      </c>
      <c r="F2244" s="12" t="s">
        <v>5896</v>
      </c>
      <c r="G2244" s="12" t="str">
        <f t="shared" si="55"/>
        <v>707081045019250</v>
      </c>
      <c r="I2244" s="12">
        <v>1045019250</v>
      </c>
      <c r="J2244" s="12" t="s">
        <v>4493</v>
      </c>
      <c r="K2244" s="12" t="s">
        <v>230</v>
      </c>
      <c r="L2244" s="12" t="s">
        <v>45</v>
      </c>
      <c r="M2244" s="12" t="s">
        <v>45</v>
      </c>
      <c r="N2244" s="12" t="s">
        <v>259</v>
      </c>
      <c r="O2244" s="12" t="s">
        <v>260</v>
      </c>
      <c r="P2244" s="88" t="s">
        <v>261</v>
      </c>
      <c r="AU2244" s="328" t="s">
        <v>1208</v>
      </c>
    </row>
    <row r="2245" spans="1:47" s="12" customFormat="1" ht="14.4" hidden="1" x14ac:dyDescent="0.3">
      <c r="A2245" s="12" t="s">
        <v>39</v>
      </c>
      <c r="B2245" s="12" t="s">
        <v>5815</v>
      </c>
      <c r="C2245" s="12">
        <v>70</v>
      </c>
      <c r="D2245" s="12">
        <v>708</v>
      </c>
      <c r="F2245" s="12" t="s">
        <v>5897</v>
      </c>
      <c r="G2245" s="12" t="str">
        <f t="shared" si="55"/>
        <v>707081052958054</v>
      </c>
      <c r="I2245" s="12">
        <v>1052958054</v>
      </c>
      <c r="J2245" s="12" t="s">
        <v>5879</v>
      </c>
      <c r="K2245" s="12" t="s">
        <v>230</v>
      </c>
      <c r="L2245" s="12">
        <v>3106603568</v>
      </c>
      <c r="M2245" s="17" t="s">
        <v>5898</v>
      </c>
      <c r="N2245" s="12" t="s">
        <v>259</v>
      </c>
      <c r="O2245" s="12" t="s">
        <v>260</v>
      </c>
      <c r="P2245" s="88" t="s">
        <v>261</v>
      </c>
      <c r="AU2245" s="328" t="s">
        <v>1208</v>
      </c>
    </row>
    <row r="2246" spans="1:47" s="12" customFormat="1" ht="14.4" hidden="1" x14ac:dyDescent="0.3">
      <c r="A2246" s="12" t="s">
        <v>39</v>
      </c>
      <c r="B2246" s="12" t="s">
        <v>5815</v>
      </c>
      <c r="C2246" s="12">
        <v>70</v>
      </c>
      <c r="D2246" s="12">
        <v>708</v>
      </c>
      <c r="F2246" s="12" t="s">
        <v>5899</v>
      </c>
      <c r="G2246" s="12" t="str">
        <f t="shared" si="55"/>
        <v>707081104409878</v>
      </c>
      <c r="I2246" s="12">
        <v>1104409878</v>
      </c>
      <c r="J2246" s="12" t="s">
        <v>5900</v>
      </c>
      <c r="K2246" s="12" t="s">
        <v>230</v>
      </c>
      <c r="L2246" s="12">
        <v>3135842741</v>
      </c>
      <c r="M2246" s="17" t="s">
        <v>5901</v>
      </c>
      <c r="N2246" s="12" t="s">
        <v>259</v>
      </c>
      <c r="O2246" s="12" t="s">
        <v>260</v>
      </c>
      <c r="P2246" s="88" t="s">
        <v>261</v>
      </c>
      <c r="AU2246" s="328" t="s">
        <v>1208</v>
      </c>
    </row>
    <row r="2247" spans="1:47" s="12" customFormat="1" ht="14.4" hidden="1" x14ac:dyDescent="0.3">
      <c r="A2247" s="12" t="s">
        <v>39</v>
      </c>
      <c r="B2247" s="12" t="s">
        <v>5815</v>
      </c>
      <c r="C2247" s="12">
        <v>70</v>
      </c>
      <c r="D2247" s="12">
        <v>708</v>
      </c>
      <c r="F2247" s="12" t="s">
        <v>5902</v>
      </c>
      <c r="G2247" s="12" t="str">
        <f t="shared" si="55"/>
        <v>707081104430766</v>
      </c>
      <c r="I2247" s="12">
        <v>1104430766</v>
      </c>
      <c r="J2247" s="12" t="s">
        <v>5903</v>
      </c>
      <c r="K2247" s="12" t="s">
        <v>230</v>
      </c>
      <c r="L2247" s="12">
        <v>3226789112</v>
      </c>
      <c r="M2247" s="17" t="s">
        <v>5904</v>
      </c>
      <c r="N2247" s="12" t="s">
        <v>259</v>
      </c>
      <c r="O2247" s="12" t="s">
        <v>260</v>
      </c>
      <c r="P2247" s="88" t="s">
        <v>261</v>
      </c>
      <c r="AU2247" s="328" t="s">
        <v>1208</v>
      </c>
    </row>
    <row r="2248" spans="1:47" s="12" customFormat="1" ht="14.4" hidden="1" x14ac:dyDescent="0.3">
      <c r="A2248" s="12" t="s">
        <v>39</v>
      </c>
      <c r="B2248" s="12" t="s">
        <v>5815</v>
      </c>
      <c r="C2248" s="12">
        <v>70</v>
      </c>
      <c r="D2248" s="12">
        <v>708</v>
      </c>
      <c r="F2248" s="12" t="s">
        <v>5905</v>
      </c>
      <c r="G2248" s="12" t="str">
        <f t="shared" si="55"/>
        <v>707081045018064</v>
      </c>
      <c r="I2248" s="12">
        <v>1045018064</v>
      </c>
      <c r="J2248" s="12" t="s">
        <v>5906</v>
      </c>
      <c r="K2248" s="12" t="s">
        <v>230</v>
      </c>
      <c r="L2248" s="12" t="s">
        <v>45</v>
      </c>
      <c r="M2248" s="12" t="s">
        <v>45</v>
      </c>
      <c r="N2248" s="12" t="s">
        <v>259</v>
      </c>
      <c r="O2248" s="12" t="s">
        <v>260</v>
      </c>
      <c r="P2248" s="88" t="s">
        <v>261</v>
      </c>
      <c r="AU2248" s="328" t="s">
        <v>1208</v>
      </c>
    </row>
    <row r="2249" spans="1:47" s="12" customFormat="1" ht="14.4" hidden="1" x14ac:dyDescent="0.3">
      <c r="A2249" s="12" t="s">
        <v>39</v>
      </c>
      <c r="B2249" s="12" t="s">
        <v>5815</v>
      </c>
      <c r="C2249" s="12">
        <v>70</v>
      </c>
      <c r="D2249" s="12">
        <v>708</v>
      </c>
      <c r="F2249" s="12" t="s">
        <v>5907</v>
      </c>
      <c r="G2249" s="12" t="str">
        <f t="shared" si="55"/>
        <v>7070870698756</v>
      </c>
      <c r="I2249" s="12">
        <v>70698756</v>
      </c>
      <c r="J2249" s="12" t="s">
        <v>5908</v>
      </c>
      <c r="K2249" s="12" t="s">
        <v>230</v>
      </c>
      <c r="L2249" s="12" t="s">
        <v>45</v>
      </c>
      <c r="M2249" s="12" t="s">
        <v>45</v>
      </c>
      <c r="N2249" s="12" t="s">
        <v>259</v>
      </c>
      <c r="O2249" s="12" t="s">
        <v>260</v>
      </c>
      <c r="P2249" s="88" t="s">
        <v>261</v>
      </c>
      <c r="AU2249" s="328" t="s">
        <v>1208</v>
      </c>
    </row>
    <row r="2250" spans="1:47" s="12" customFormat="1" ht="14.4" hidden="1" x14ac:dyDescent="0.3">
      <c r="A2250" s="12" t="s">
        <v>39</v>
      </c>
      <c r="B2250" s="12" t="s">
        <v>5815</v>
      </c>
      <c r="C2250" s="12">
        <v>70</v>
      </c>
      <c r="D2250" s="12">
        <v>708</v>
      </c>
      <c r="F2250" s="12" t="s">
        <v>5909</v>
      </c>
      <c r="G2250" s="12" t="str">
        <f t="shared" si="55"/>
        <v>707081045016921</v>
      </c>
      <c r="I2250" s="12">
        <v>1045016921</v>
      </c>
      <c r="J2250" s="12" t="s">
        <v>5910</v>
      </c>
      <c r="K2250" s="12" t="s">
        <v>230</v>
      </c>
      <c r="L2250" s="12" t="s">
        <v>45</v>
      </c>
      <c r="M2250" s="12" t="s">
        <v>45</v>
      </c>
      <c r="N2250" s="12" t="s">
        <v>259</v>
      </c>
      <c r="O2250" s="12" t="s">
        <v>260</v>
      </c>
      <c r="P2250" s="88" t="s">
        <v>261</v>
      </c>
      <c r="AU2250" s="328" t="s">
        <v>1208</v>
      </c>
    </row>
    <row r="2251" spans="1:47" s="12" customFormat="1" ht="14.4" hidden="1" x14ac:dyDescent="0.3">
      <c r="A2251" s="12" t="s">
        <v>39</v>
      </c>
      <c r="B2251" s="12" t="s">
        <v>5815</v>
      </c>
      <c r="C2251" s="12">
        <v>70</v>
      </c>
      <c r="D2251" s="12">
        <v>708</v>
      </c>
      <c r="F2251" s="12" t="s">
        <v>5911</v>
      </c>
      <c r="G2251" s="12" t="str">
        <f t="shared" si="55"/>
        <v>7070810881760</v>
      </c>
      <c r="I2251" s="12">
        <v>10881760</v>
      </c>
      <c r="J2251" s="12" t="s">
        <v>5912</v>
      </c>
      <c r="K2251" s="12" t="s">
        <v>230</v>
      </c>
      <c r="L2251" s="12" t="s">
        <v>45</v>
      </c>
      <c r="M2251" s="12" t="s">
        <v>45</v>
      </c>
      <c r="N2251" s="12" t="s">
        <v>259</v>
      </c>
      <c r="O2251" s="12" t="s">
        <v>260</v>
      </c>
      <c r="P2251" s="88" t="s">
        <v>261</v>
      </c>
      <c r="AU2251" s="328" t="s">
        <v>1208</v>
      </c>
    </row>
    <row r="2252" spans="1:47" s="12" customFormat="1" ht="14.4" hidden="1" x14ac:dyDescent="0.3">
      <c r="A2252" s="12" t="s">
        <v>39</v>
      </c>
      <c r="B2252" s="12" t="s">
        <v>5815</v>
      </c>
      <c r="C2252" s="12">
        <v>70</v>
      </c>
      <c r="D2252" s="12">
        <v>708</v>
      </c>
      <c r="F2252" s="12" t="s">
        <v>5913</v>
      </c>
      <c r="G2252" s="12" t="str">
        <f t="shared" si="55"/>
        <v>7070832773470</v>
      </c>
      <c r="I2252" s="12">
        <v>32773470</v>
      </c>
      <c r="J2252" s="12" t="s">
        <v>5914</v>
      </c>
      <c r="K2252" s="12" t="s">
        <v>230</v>
      </c>
      <c r="L2252" s="12" t="s">
        <v>45</v>
      </c>
      <c r="M2252" s="12" t="s">
        <v>45</v>
      </c>
      <c r="N2252" s="12" t="s">
        <v>259</v>
      </c>
      <c r="O2252" s="12" t="s">
        <v>260</v>
      </c>
      <c r="P2252" s="88" t="s">
        <v>261</v>
      </c>
      <c r="AU2252" s="328" t="s">
        <v>1208</v>
      </c>
    </row>
    <row r="2253" spans="1:47" s="12" customFormat="1" ht="14.4" hidden="1" x14ac:dyDescent="0.3">
      <c r="A2253" s="12" t="s">
        <v>39</v>
      </c>
      <c r="B2253" s="12" t="s">
        <v>5815</v>
      </c>
      <c r="C2253" s="12">
        <v>70</v>
      </c>
      <c r="D2253" s="12">
        <v>708</v>
      </c>
      <c r="F2253" s="12" t="s">
        <v>5915</v>
      </c>
      <c r="G2253" s="12" t="str">
        <f t="shared" si="55"/>
        <v>7070810881748</v>
      </c>
      <c r="I2253" s="12">
        <v>10881748</v>
      </c>
      <c r="J2253" s="12" t="s">
        <v>5916</v>
      </c>
      <c r="K2253" s="12" t="s">
        <v>230</v>
      </c>
      <c r="L2253" s="12" t="s">
        <v>45</v>
      </c>
      <c r="M2253" s="12" t="s">
        <v>45</v>
      </c>
      <c r="N2253" s="12" t="s">
        <v>259</v>
      </c>
      <c r="O2253" s="12" t="s">
        <v>260</v>
      </c>
      <c r="P2253" s="88" t="s">
        <v>261</v>
      </c>
      <c r="AU2253" s="328" t="s">
        <v>1208</v>
      </c>
    </row>
    <row r="2254" spans="1:47" s="12" customFormat="1" ht="14.4" hidden="1" x14ac:dyDescent="0.3">
      <c r="A2254" s="12" t="s">
        <v>39</v>
      </c>
      <c r="B2254" s="12" t="s">
        <v>5815</v>
      </c>
      <c r="C2254" s="12">
        <v>70</v>
      </c>
      <c r="D2254" s="12">
        <v>708</v>
      </c>
      <c r="F2254" s="12" t="s">
        <v>5917</v>
      </c>
      <c r="G2254" s="12" t="str">
        <f t="shared" si="55"/>
        <v>7070810885511</v>
      </c>
      <c r="I2254" s="12">
        <v>10885511</v>
      </c>
      <c r="J2254" s="12" t="s">
        <v>5918</v>
      </c>
      <c r="K2254" s="12" t="s">
        <v>230</v>
      </c>
      <c r="L2254" s="12" t="s">
        <v>45</v>
      </c>
      <c r="M2254" s="12" t="s">
        <v>45</v>
      </c>
      <c r="N2254" s="12" t="s">
        <v>259</v>
      </c>
      <c r="O2254" s="12" t="s">
        <v>260</v>
      </c>
      <c r="P2254" s="88" t="s">
        <v>261</v>
      </c>
      <c r="AU2254" s="328" t="s">
        <v>1208</v>
      </c>
    </row>
    <row r="2255" spans="1:47" s="12" customFormat="1" ht="14.4" hidden="1" x14ac:dyDescent="0.3">
      <c r="A2255" s="12" t="s">
        <v>39</v>
      </c>
      <c r="B2255" s="12" t="s">
        <v>5815</v>
      </c>
      <c r="C2255" s="12">
        <v>70</v>
      </c>
      <c r="D2255" s="12">
        <v>708</v>
      </c>
      <c r="F2255" s="12" t="s">
        <v>5919</v>
      </c>
      <c r="G2255" s="12" t="str">
        <f t="shared" si="55"/>
        <v>7070834940011</v>
      </c>
      <c r="I2255" s="12">
        <v>34940011</v>
      </c>
      <c r="J2255" s="12" t="s">
        <v>5920</v>
      </c>
      <c r="K2255" s="12" t="s">
        <v>230</v>
      </c>
      <c r="L2255" s="12" t="s">
        <v>45</v>
      </c>
      <c r="M2255" s="12" t="s">
        <v>45</v>
      </c>
      <c r="N2255" s="12" t="s">
        <v>259</v>
      </c>
      <c r="O2255" s="12" t="s">
        <v>260</v>
      </c>
      <c r="P2255" s="88" t="s">
        <v>261</v>
      </c>
      <c r="AU2255" s="328" t="s">
        <v>1208</v>
      </c>
    </row>
    <row r="2256" spans="1:47" s="12" customFormat="1" ht="14.4" hidden="1" x14ac:dyDescent="0.3">
      <c r="A2256" s="12" t="s">
        <v>39</v>
      </c>
      <c r="B2256" s="12" t="s">
        <v>5815</v>
      </c>
      <c r="C2256" s="12">
        <v>70</v>
      </c>
      <c r="D2256" s="12">
        <v>708</v>
      </c>
      <c r="F2256" s="12" t="s">
        <v>5921</v>
      </c>
      <c r="G2256" s="12" t="str">
        <f t="shared" si="55"/>
        <v>7070834941772</v>
      </c>
      <c r="I2256" s="12">
        <v>34941772</v>
      </c>
      <c r="J2256" s="12" t="s">
        <v>5922</v>
      </c>
      <c r="K2256" s="12" t="s">
        <v>230</v>
      </c>
      <c r="L2256" s="12" t="s">
        <v>45</v>
      </c>
      <c r="M2256" s="12" t="s">
        <v>45</v>
      </c>
      <c r="N2256" s="12" t="s">
        <v>259</v>
      </c>
      <c r="O2256" s="12" t="s">
        <v>260</v>
      </c>
      <c r="P2256" s="88" t="s">
        <v>261</v>
      </c>
      <c r="AU2256" s="328" t="s">
        <v>1208</v>
      </c>
    </row>
    <row r="2257" spans="1:51" s="12" customFormat="1" ht="14.4" hidden="1" x14ac:dyDescent="0.3">
      <c r="A2257" s="12" t="s">
        <v>39</v>
      </c>
      <c r="B2257" s="12" t="s">
        <v>5815</v>
      </c>
      <c r="C2257" s="12">
        <v>70</v>
      </c>
      <c r="D2257" s="12">
        <v>708</v>
      </c>
      <c r="F2257" s="12" t="s">
        <v>5923</v>
      </c>
      <c r="G2257" s="12" t="str">
        <f t="shared" si="55"/>
        <v>7070810879972</v>
      </c>
      <c r="I2257" s="12">
        <v>10879972</v>
      </c>
      <c r="J2257" s="12" t="s">
        <v>5924</v>
      </c>
      <c r="K2257" s="12" t="s">
        <v>230</v>
      </c>
      <c r="L2257" s="12">
        <v>2954247</v>
      </c>
      <c r="M2257" s="17" t="s">
        <v>5925</v>
      </c>
      <c r="N2257" s="12" t="s">
        <v>259</v>
      </c>
      <c r="O2257" s="12" t="s">
        <v>260</v>
      </c>
      <c r="P2257" s="88" t="s">
        <v>261</v>
      </c>
      <c r="AU2257" s="328" t="s">
        <v>1208</v>
      </c>
    </row>
    <row r="2258" spans="1:51" s="12" customFormat="1" ht="14.4" hidden="1" x14ac:dyDescent="0.3">
      <c r="A2258" s="12" t="s">
        <v>39</v>
      </c>
      <c r="B2258" s="12" t="s">
        <v>5815</v>
      </c>
      <c r="C2258" s="12">
        <v>70</v>
      </c>
      <c r="D2258" s="12">
        <v>708</v>
      </c>
      <c r="F2258" s="275" t="s">
        <v>9430</v>
      </c>
      <c r="G2258" s="12" t="str">
        <f t="shared" si="55"/>
        <v>7070810005680143</v>
      </c>
      <c r="H2258" s="12" t="s">
        <v>9431</v>
      </c>
      <c r="I2258" s="12">
        <v>10005680143</v>
      </c>
      <c r="J2258" s="12" t="s">
        <v>9432</v>
      </c>
      <c r="K2258" s="12" t="s">
        <v>44</v>
      </c>
      <c r="L2258" s="12">
        <v>321585654</v>
      </c>
      <c r="M2258" s="17" t="s">
        <v>9433</v>
      </c>
      <c r="N2258" s="12" t="s">
        <v>259</v>
      </c>
      <c r="O2258" s="12" t="s">
        <v>260</v>
      </c>
      <c r="P2258" s="88" t="s">
        <v>261</v>
      </c>
      <c r="Q2258" s="13">
        <v>46189</v>
      </c>
      <c r="R2258" s="12">
        <v>85</v>
      </c>
      <c r="S2258" s="12" t="s">
        <v>49</v>
      </c>
      <c r="T2258" s="12" t="s">
        <v>9420</v>
      </c>
      <c r="U2258" s="12" t="s">
        <v>2456</v>
      </c>
      <c r="AU2258" s="328" t="s">
        <v>53</v>
      </c>
    </row>
    <row r="2259" spans="1:51" s="12" customFormat="1" ht="14.4" hidden="1" x14ac:dyDescent="0.3">
      <c r="A2259" s="12" t="s">
        <v>39</v>
      </c>
      <c r="B2259" s="12" t="s">
        <v>5815</v>
      </c>
      <c r="C2259" s="12">
        <v>70</v>
      </c>
      <c r="D2259" s="12">
        <v>708</v>
      </c>
      <c r="F2259" s="12" t="s">
        <v>5926</v>
      </c>
      <c r="G2259" s="12" t="str">
        <f t="shared" si="55"/>
        <v>707081104404345</v>
      </c>
      <c r="I2259" s="12">
        <v>1104404345</v>
      </c>
      <c r="J2259" s="12" t="s">
        <v>5927</v>
      </c>
      <c r="K2259" s="12" t="s">
        <v>230</v>
      </c>
      <c r="L2259" s="12" t="s">
        <v>45</v>
      </c>
      <c r="M2259" s="12" t="s">
        <v>45</v>
      </c>
      <c r="N2259" s="12" t="s">
        <v>259</v>
      </c>
      <c r="O2259" s="12" t="s">
        <v>260</v>
      </c>
      <c r="P2259" s="88" t="s">
        <v>261</v>
      </c>
      <c r="AU2259" s="328" t="s">
        <v>1208</v>
      </c>
    </row>
    <row r="2260" spans="1:51" s="12" customFormat="1" ht="14.4" hidden="1" x14ac:dyDescent="0.3">
      <c r="A2260" s="12" t="s">
        <v>39</v>
      </c>
      <c r="B2260" s="12" t="s">
        <v>5815</v>
      </c>
      <c r="C2260" s="12">
        <v>70</v>
      </c>
      <c r="D2260" s="12">
        <v>708</v>
      </c>
      <c r="F2260" s="12" t="s">
        <v>5928</v>
      </c>
      <c r="G2260" s="12" t="str">
        <f t="shared" si="55"/>
        <v>7070810888255</v>
      </c>
      <c r="I2260" s="12">
        <v>10888255</v>
      </c>
      <c r="J2260" s="12" t="s">
        <v>5929</v>
      </c>
      <c r="K2260" s="12" t="s">
        <v>230</v>
      </c>
      <c r="L2260" s="12" t="s">
        <v>45</v>
      </c>
      <c r="M2260" s="12" t="s">
        <v>45</v>
      </c>
      <c r="N2260" s="12" t="s">
        <v>259</v>
      </c>
      <c r="O2260" s="12" t="s">
        <v>260</v>
      </c>
      <c r="P2260" s="88" t="s">
        <v>261</v>
      </c>
      <c r="AU2260" s="328" t="s">
        <v>1208</v>
      </c>
    </row>
    <row r="2261" spans="1:51" s="12" customFormat="1" ht="14.4" hidden="1" x14ac:dyDescent="0.3">
      <c r="A2261" s="12" t="s">
        <v>39</v>
      </c>
      <c r="B2261" s="12" t="s">
        <v>5815</v>
      </c>
      <c r="C2261" s="12">
        <v>70</v>
      </c>
      <c r="D2261" s="12">
        <v>708</v>
      </c>
      <c r="F2261" s="12" t="s">
        <v>5930</v>
      </c>
      <c r="G2261" s="12" t="str">
        <f t="shared" si="55"/>
        <v>7070810879873</v>
      </c>
      <c r="I2261" s="12">
        <v>10879873</v>
      </c>
      <c r="J2261" s="12" t="s">
        <v>5931</v>
      </c>
      <c r="K2261" s="12" t="s">
        <v>230</v>
      </c>
      <c r="L2261" s="12" t="s">
        <v>45</v>
      </c>
      <c r="M2261" s="12" t="s">
        <v>45</v>
      </c>
      <c r="N2261" s="12" t="s">
        <v>259</v>
      </c>
      <c r="O2261" s="12" t="s">
        <v>260</v>
      </c>
      <c r="P2261" s="88" t="s">
        <v>261</v>
      </c>
      <c r="AU2261" s="328" t="s">
        <v>1208</v>
      </c>
    </row>
    <row r="2262" spans="1:51" s="12" customFormat="1" ht="14.4" hidden="1" x14ac:dyDescent="0.3">
      <c r="A2262" s="12" t="s">
        <v>39</v>
      </c>
      <c r="B2262" s="12" t="s">
        <v>5815</v>
      </c>
      <c r="C2262" s="12">
        <v>70</v>
      </c>
      <c r="D2262" s="12">
        <v>708</v>
      </c>
      <c r="F2262" s="12" t="s">
        <v>5932</v>
      </c>
      <c r="G2262" s="12" t="str">
        <f t="shared" si="55"/>
        <v>7070834947744</v>
      </c>
      <c r="I2262" s="12">
        <v>34947744</v>
      </c>
      <c r="J2262" s="12" t="s">
        <v>5933</v>
      </c>
      <c r="K2262" s="12" t="s">
        <v>230</v>
      </c>
      <c r="L2262" s="12" t="s">
        <v>45</v>
      </c>
      <c r="M2262" s="12" t="s">
        <v>45</v>
      </c>
      <c r="N2262" s="12" t="s">
        <v>259</v>
      </c>
      <c r="O2262" s="12" t="s">
        <v>260</v>
      </c>
      <c r="P2262" s="88" t="s">
        <v>261</v>
      </c>
      <c r="AU2262" s="328" t="s">
        <v>1208</v>
      </c>
    </row>
    <row r="2263" spans="1:51" s="12" customFormat="1" ht="14.4" hidden="1" x14ac:dyDescent="0.3">
      <c r="A2263" s="12" t="s">
        <v>39</v>
      </c>
      <c r="B2263" s="12" t="s">
        <v>5815</v>
      </c>
      <c r="C2263" s="12">
        <v>70</v>
      </c>
      <c r="D2263" s="12">
        <v>708</v>
      </c>
      <c r="E2263" s="12" t="s">
        <v>2363</v>
      </c>
      <c r="F2263" s="12" t="s">
        <v>363</v>
      </c>
      <c r="G2263" s="12" t="str">
        <f t="shared" si="55"/>
        <v>707089002769621</v>
      </c>
      <c r="H2263" s="12" t="s">
        <v>5934</v>
      </c>
      <c r="I2263" s="12">
        <v>9002769621</v>
      </c>
      <c r="J2263" s="12" t="s">
        <v>5852</v>
      </c>
      <c r="K2263" s="12" t="s">
        <v>230</v>
      </c>
      <c r="L2263" s="12">
        <v>3013876577</v>
      </c>
      <c r="M2263" s="17" t="s">
        <v>5935</v>
      </c>
      <c r="N2263" s="12" t="s">
        <v>259</v>
      </c>
      <c r="O2263" s="12" t="s">
        <v>260</v>
      </c>
      <c r="P2263" s="88" t="s">
        <v>261</v>
      </c>
      <c r="Q2263" s="13">
        <v>45532</v>
      </c>
      <c r="R2263" s="18">
        <v>0.84250000000000003</v>
      </c>
      <c r="S2263" s="12" t="s">
        <v>74</v>
      </c>
      <c r="T2263" s="12" t="s">
        <v>2824</v>
      </c>
      <c r="U2263" s="12" t="s">
        <v>50</v>
      </c>
      <c r="V2263" s="13">
        <v>45212</v>
      </c>
      <c r="W2263" s="59">
        <v>0.65500000000000003</v>
      </c>
      <c r="X2263" s="12" t="s">
        <v>74</v>
      </c>
      <c r="Z2263" s="12" t="s">
        <v>50</v>
      </c>
      <c r="AU2263" s="328" t="s">
        <v>1208</v>
      </c>
    </row>
    <row r="2264" spans="1:51" s="12" customFormat="1" ht="14.4" hidden="1" x14ac:dyDescent="0.3">
      <c r="A2264" s="12" t="s">
        <v>39</v>
      </c>
      <c r="B2264" s="12" t="s">
        <v>5815</v>
      </c>
      <c r="C2264" s="12">
        <v>70</v>
      </c>
      <c r="D2264" s="12">
        <v>708</v>
      </c>
      <c r="F2264" s="12" t="s">
        <v>5936</v>
      </c>
      <c r="G2264" s="12" t="str">
        <f t="shared" si="55"/>
        <v>7070830571473</v>
      </c>
      <c r="I2264" s="12">
        <v>30571473</v>
      </c>
      <c r="J2264" s="12" t="s">
        <v>5937</v>
      </c>
      <c r="K2264" s="12" t="s">
        <v>230</v>
      </c>
      <c r="L2264" s="12" t="s">
        <v>45</v>
      </c>
      <c r="M2264" s="12" t="s">
        <v>45</v>
      </c>
      <c r="N2264" s="12" t="s">
        <v>259</v>
      </c>
      <c r="O2264" s="12" t="s">
        <v>260</v>
      </c>
      <c r="P2264" s="88" t="s">
        <v>261</v>
      </c>
      <c r="AU2264" s="328" t="s">
        <v>1208</v>
      </c>
    </row>
    <row r="2265" spans="1:51" s="12" customFormat="1" ht="14.4" hidden="1" x14ac:dyDescent="0.3">
      <c r="A2265" s="12" t="s">
        <v>39</v>
      </c>
      <c r="B2265" s="12" t="s">
        <v>5815</v>
      </c>
      <c r="C2265" s="12">
        <v>70</v>
      </c>
      <c r="D2265" s="12">
        <v>708</v>
      </c>
      <c r="F2265" s="12" t="s">
        <v>5938</v>
      </c>
      <c r="G2265" s="12" t="str">
        <f t="shared" si="55"/>
        <v>707088742205</v>
      </c>
      <c r="I2265" s="12">
        <v>8742205</v>
      </c>
      <c r="J2265" s="12" t="s">
        <v>5939</v>
      </c>
      <c r="K2265" s="12" t="s">
        <v>230</v>
      </c>
      <c r="L2265" s="12">
        <v>3114146917</v>
      </c>
      <c r="M2265" s="12" t="s">
        <v>45</v>
      </c>
      <c r="N2265" s="12" t="s">
        <v>259</v>
      </c>
      <c r="O2265" s="12" t="s">
        <v>260</v>
      </c>
      <c r="P2265" s="88" t="s">
        <v>261</v>
      </c>
      <c r="AU2265" s="328" t="s">
        <v>1208</v>
      </c>
    </row>
    <row r="2266" spans="1:51" s="12" customFormat="1" ht="14.4" hidden="1" x14ac:dyDescent="0.3">
      <c r="A2266" s="12" t="s">
        <v>39</v>
      </c>
      <c r="B2266" s="12" t="s">
        <v>5815</v>
      </c>
      <c r="C2266" s="12">
        <v>70</v>
      </c>
      <c r="D2266" s="12">
        <v>708</v>
      </c>
      <c r="F2266" s="12" t="s">
        <v>5940</v>
      </c>
      <c r="G2266" s="12" t="str">
        <f t="shared" si="55"/>
        <v>7070810888601</v>
      </c>
      <c r="I2266" s="12">
        <v>10888601</v>
      </c>
      <c r="J2266" s="12" t="s">
        <v>5941</v>
      </c>
      <c r="K2266" s="12" t="s">
        <v>230</v>
      </c>
      <c r="L2266" s="12" t="s">
        <v>45</v>
      </c>
      <c r="M2266" s="12" t="s">
        <v>45</v>
      </c>
      <c r="N2266" s="12" t="s">
        <v>259</v>
      </c>
      <c r="O2266" s="12" t="s">
        <v>260</v>
      </c>
      <c r="P2266" s="88" t="s">
        <v>261</v>
      </c>
      <c r="AU2266" s="328" t="s">
        <v>1208</v>
      </c>
    </row>
    <row r="2267" spans="1:51" s="12" customFormat="1" ht="14.4" hidden="1" x14ac:dyDescent="0.3">
      <c r="A2267" s="12" t="s">
        <v>39</v>
      </c>
      <c r="B2267" s="12" t="s">
        <v>5815</v>
      </c>
      <c r="C2267" s="12">
        <v>70</v>
      </c>
      <c r="D2267" s="12">
        <v>708</v>
      </c>
      <c r="E2267" s="12" t="s">
        <v>5942</v>
      </c>
      <c r="F2267" s="275" t="s">
        <v>5943</v>
      </c>
      <c r="G2267" s="12" t="str">
        <f t="shared" si="55"/>
        <v>70708890107487</v>
      </c>
      <c r="H2267" s="12" t="s">
        <v>2035</v>
      </c>
      <c r="I2267" s="12">
        <v>890107487</v>
      </c>
      <c r="J2267" s="12" t="s">
        <v>5944</v>
      </c>
      <c r="K2267" s="12" t="s">
        <v>230</v>
      </c>
      <c r="L2267" s="12">
        <v>318285402</v>
      </c>
      <c r="M2267" s="17" t="s">
        <v>5945</v>
      </c>
      <c r="N2267" s="12" t="s">
        <v>2914</v>
      </c>
      <c r="O2267" s="12" t="s">
        <v>2915</v>
      </c>
      <c r="P2267" s="88" t="s">
        <v>102</v>
      </c>
      <c r="Q2267" s="13">
        <v>46120</v>
      </c>
      <c r="R2267" s="12" t="s">
        <v>8587</v>
      </c>
      <c r="S2267" s="12" t="s">
        <v>49</v>
      </c>
      <c r="U2267" s="12" t="s">
        <v>60</v>
      </c>
      <c r="V2267" s="13">
        <v>45642</v>
      </c>
      <c r="W2267" s="16">
        <v>0.93</v>
      </c>
      <c r="X2267" s="12" t="s">
        <v>319</v>
      </c>
      <c r="Y2267" s="12" t="s">
        <v>2824</v>
      </c>
      <c r="Z2267" s="12" t="s">
        <v>50</v>
      </c>
      <c r="AC2267" s="13">
        <v>45097</v>
      </c>
      <c r="AD2267" s="59">
        <v>0.92500000000000004</v>
      </c>
      <c r="AE2267" s="12" t="s">
        <v>319</v>
      </c>
      <c r="AF2267" s="12" t="s">
        <v>60</v>
      </c>
      <c r="AU2267" s="328" t="s">
        <v>1208</v>
      </c>
      <c r="AX2267" s="12" t="s">
        <v>1920</v>
      </c>
      <c r="AY2267" s="12" t="s">
        <v>4668</v>
      </c>
    </row>
    <row r="2268" spans="1:51" s="12" customFormat="1" ht="14.4" hidden="1" x14ac:dyDescent="0.3">
      <c r="A2268" s="12" t="s">
        <v>39</v>
      </c>
      <c r="B2268" s="12" t="s">
        <v>5815</v>
      </c>
      <c r="C2268" s="12">
        <v>70</v>
      </c>
      <c r="D2268" s="12">
        <v>708</v>
      </c>
      <c r="E2268" s="12" t="s">
        <v>2434</v>
      </c>
      <c r="F2268" s="12" t="s">
        <v>5946</v>
      </c>
      <c r="G2268" s="12" t="str">
        <f t="shared" si="55"/>
        <v>707089004805691</v>
      </c>
      <c r="H2268" s="12" t="s">
        <v>5947</v>
      </c>
      <c r="I2268" s="12">
        <v>9004805691</v>
      </c>
      <c r="J2268" s="12" t="s">
        <v>5948</v>
      </c>
      <c r="K2268" s="12" t="s">
        <v>230</v>
      </c>
      <c r="L2268" s="12">
        <v>3216310099</v>
      </c>
      <c r="M2268" s="17" t="s">
        <v>2913</v>
      </c>
      <c r="N2268" s="12" t="s">
        <v>2914</v>
      </c>
      <c r="O2268" s="12" t="s">
        <v>2915</v>
      </c>
      <c r="P2268" s="88" t="s">
        <v>102</v>
      </c>
      <c r="Q2268" s="13">
        <v>45847</v>
      </c>
      <c r="R2268" s="16">
        <v>0.89</v>
      </c>
      <c r="S2268" s="12" t="s">
        <v>49</v>
      </c>
      <c r="T2268" s="12" t="s">
        <v>2824</v>
      </c>
      <c r="U2268" s="12" t="s">
        <v>60</v>
      </c>
      <c r="V2268" s="13">
        <v>45469</v>
      </c>
      <c r="W2268" s="16">
        <v>0.83</v>
      </c>
      <c r="X2268" s="12" t="s">
        <v>74</v>
      </c>
      <c r="Z2268" s="12" t="s">
        <v>50</v>
      </c>
      <c r="AA2268" s="12" t="s">
        <v>51</v>
      </c>
      <c r="AB2268" s="12" t="s">
        <v>51</v>
      </c>
      <c r="AC2268" s="13">
        <v>44532</v>
      </c>
      <c r="AD2268" s="59">
        <v>0.93500000000000005</v>
      </c>
      <c r="AE2268" s="12" t="s">
        <v>210</v>
      </c>
      <c r="AG2268" s="12" t="s">
        <v>50</v>
      </c>
      <c r="AU2268" s="328" t="s">
        <v>1208</v>
      </c>
      <c r="AX2268" s="12" t="s">
        <v>1920</v>
      </c>
      <c r="AY2268" s="12" t="s">
        <v>4668</v>
      </c>
    </row>
    <row r="2269" spans="1:51" s="12" customFormat="1" ht="14.4" hidden="1" x14ac:dyDescent="0.3">
      <c r="A2269" s="12" t="s">
        <v>39</v>
      </c>
      <c r="B2269" s="12" t="s">
        <v>5815</v>
      </c>
      <c r="C2269" s="12">
        <v>70</v>
      </c>
      <c r="D2269" s="12">
        <v>708</v>
      </c>
      <c r="E2269" s="12" t="s">
        <v>2434</v>
      </c>
      <c r="F2269" s="12" t="s">
        <v>5949</v>
      </c>
      <c r="G2269" s="12" t="str">
        <f t="shared" si="55"/>
        <v>707089004805691</v>
      </c>
      <c r="H2269" s="12" t="s">
        <v>5947</v>
      </c>
      <c r="I2269" s="12">
        <v>9004805691</v>
      </c>
      <c r="J2269" s="12" t="s">
        <v>5950</v>
      </c>
      <c r="K2269" s="12" t="s">
        <v>230</v>
      </c>
      <c r="L2269" s="66">
        <v>3107935084</v>
      </c>
      <c r="M2269" s="17" t="s">
        <v>5951</v>
      </c>
      <c r="N2269" s="12" t="s">
        <v>2914</v>
      </c>
      <c r="O2269" s="12" t="s">
        <v>2915</v>
      </c>
      <c r="P2269" s="88" t="s">
        <v>102</v>
      </c>
      <c r="Q2269" s="13">
        <v>45847</v>
      </c>
      <c r="R2269" s="12" t="s">
        <v>1085</v>
      </c>
      <c r="S2269" s="12" t="s">
        <v>210</v>
      </c>
      <c r="T2269" s="12" t="s">
        <v>5952</v>
      </c>
      <c r="U2269" s="12" t="s">
        <v>60</v>
      </c>
      <c r="V2269" s="13">
        <v>45532</v>
      </c>
      <c r="W2269" s="16">
        <v>0.97</v>
      </c>
      <c r="X2269" s="12" t="s">
        <v>319</v>
      </c>
      <c r="Z2269" s="12" t="s">
        <v>50</v>
      </c>
      <c r="AA2269" s="13" t="s">
        <v>51</v>
      </c>
      <c r="AB2269" s="59" t="s">
        <v>51</v>
      </c>
      <c r="AC2269" s="13">
        <v>44873</v>
      </c>
      <c r="AD2269" s="59">
        <v>0.86499999999999999</v>
      </c>
      <c r="AE2269" s="12" t="s">
        <v>74</v>
      </c>
      <c r="AG2269" s="12" t="s">
        <v>2456</v>
      </c>
      <c r="AU2269" s="328" t="s">
        <v>1208</v>
      </c>
    </row>
    <row r="2270" spans="1:51" s="12" customFormat="1" ht="14.4" hidden="1" x14ac:dyDescent="0.3">
      <c r="A2270" s="12" t="s">
        <v>39</v>
      </c>
      <c r="B2270" s="12" t="s">
        <v>5815</v>
      </c>
      <c r="C2270" s="12">
        <v>70</v>
      </c>
      <c r="D2270" s="12">
        <v>708</v>
      </c>
      <c r="F2270" s="12" t="s">
        <v>5953</v>
      </c>
      <c r="G2270" s="12" t="str">
        <f t="shared" si="55"/>
        <v>707081104414198</v>
      </c>
      <c r="I2270" s="12">
        <v>1104414198</v>
      </c>
      <c r="J2270" s="12" t="s">
        <v>5954</v>
      </c>
      <c r="K2270" s="12" t="s">
        <v>4092</v>
      </c>
      <c r="L2270" s="12">
        <v>31059585578</v>
      </c>
      <c r="M2270" s="17" t="s">
        <v>5955</v>
      </c>
      <c r="N2270" s="12" t="s">
        <v>432</v>
      </c>
      <c r="O2270" s="12" t="s">
        <v>432</v>
      </c>
      <c r="P2270" s="88" t="s">
        <v>261</v>
      </c>
      <c r="AU2270" s="328" t="s">
        <v>1208</v>
      </c>
    </row>
    <row r="2271" spans="1:51" s="12" customFormat="1" ht="14.4" hidden="1" x14ac:dyDescent="0.3">
      <c r="A2271" s="12" t="s">
        <v>39</v>
      </c>
      <c r="B2271" s="12" t="s">
        <v>5815</v>
      </c>
      <c r="C2271" s="12">
        <v>70</v>
      </c>
      <c r="D2271" s="12">
        <v>708</v>
      </c>
      <c r="F2271" s="275" t="s">
        <v>5956</v>
      </c>
      <c r="G2271" s="12" t="str">
        <f t="shared" si="55"/>
        <v>7070834943732</v>
      </c>
      <c r="H2271" s="12" t="s">
        <v>9436</v>
      </c>
      <c r="I2271" s="12">
        <v>34943732</v>
      </c>
      <c r="J2271" s="12" t="s">
        <v>9434</v>
      </c>
      <c r="K2271" s="12" t="s">
        <v>4092</v>
      </c>
      <c r="L2271" s="12">
        <v>3106637505</v>
      </c>
      <c r="M2271" s="17" t="s">
        <v>9435</v>
      </c>
      <c r="N2271" s="12" t="s">
        <v>432</v>
      </c>
      <c r="O2271" s="12" t="s">
        <v>432</v>
      </c>
      <c r="P2271" s="88" t="s">
        <v>261</v>
      </c>
      <c r="Q2271" s="13">
        <v>46178</v>
      </c>
      <c r="R2271" s="12" t="s">
        <v>8405</v>
      </c>
      <c r="S2271" s="12" t="s">
        <v>49</v>
      </c>
      <c r="T2271" s="12" t="s">
        <v>9420</v>
      </c>
      <c r="U2271" s="12" t="s">
        <v>2456</v>
      </c>
      <c r="AU2271" s="328" t="s">
        <v>1208</v>
      </c>
    </row>
    <row r="2272" spans="1:51" s="12" customFormat="1" ht="14.4" hidden="1" x14ac:dyDescent="0.3">
      <c r="A2272" s="12" t="s">
        <v>39</v>
      </c>
      <c r="B2272" s="12" t="s">
        <v>5815</v>
      </c>
      <c r="C2272" s="12">
        <v>70</v>
      </c>
      <c r="D2272" s="12">
        <v>708</v>
      </c>
      <c r="F2272" s="88" t="s">
        <v>9738</v>
      </c>
      <c r="G2272" s="12" t="str">
        <f t="shared" si="55"/>
        <v>70708</v>
      </c>
      <c r="H2272" s="12" t="s">
        <v>9739</v>
      </c>
      <c r="J2272" s="12" t="s">
        <v>9740</v>
      </c>
      <c r="K2272" s="12" t="s">
        <v>4092</v>
      </c>
      <c r="M2272" s="17"/>
      <c r="N2272" s="12" t="s">
        <v>432</v>
      </c>
      <c r="O2272" s="12" t="s">
        <v>432</v>
      </c>
      <c r="P2272" s="88" t="s">
        <v>261</v>
      </c>
      <c r="Q2272" s="13"/>
      <c r="AU2272" s="328"/>
    </row>
    <row r="2273" spans="1:47" s="12" customFormat="1" ht="14.4" hidden="1" x14ac:dyDescent="0.3">
      <c r="A2273" s="12" t="s">
        <v>39</v>
      </c>
      <c r="B2273" s="12" t="s">
        <v>5815</v>
      </c>
      <c r="C2273" s="12">
        <v>70</v>
      </c>
      <c r="D2273" s="12">
        <v>708</v>
      </c>
      <c r="F2273" s="12" t="s">
        <v>5957</v>
      </c>
      <c r="G2273" s="12" t="str">
        <f t="shared" ref="G2273:G2341" si="56">C2273&amp;D2273&amp;I2273</f>
        <v>7070810884075</v>
      </c>
      <c r="I2273" s="12">
        <v>10884075</v>
      </c>
      <c r="J2273" s="12" t="s">
        <v>5958</v>
      </c>
      <c r="K2273" s="12" t="s">
        <v>4092</v>
      </c>
      <c r="L2273" s="12">
        <v>3105265094</v>
      </c>
      <c r="M2273" s="17" t="s">
        <v>5959</v>
      </c>
      <c r="N2273" s="12" t="s">
        <v>432</v>
      </c>
      <c r="O2273" s="12" t="s">
        <v>432</v>
      </c>
      <c r="P2273" s="88" t="s">
        <v>261</v>
      </c>
      <c r="AU2273" s="328" t="s">
        <v>1208</v>
      </c>
    </row>
    <row r="2274" spans="1:47" s="12" customFormat="1" ht="14.4" hidden="1" x14ac:dyDescent="0.3">
      <c r="A2274" s="12" t="s">
        <v>39</v>
      </c>
      <c r="B2274" s="12" t="s">
        <v>5815</v>
      </c>
      <c r="C2274" s="12">
        <v>70</v>
      </c>
      <c r="D2274" s="12">
        <v>708</v>
      </c>
      <c r="F2274" s="12" t="s">
        <v>9744</v>
      </c>
      <c r="G2274" s="12" t="str">
        <f t="shared" si="56"/>
        <v>70708</v>
      </c>
      <c r="J2274" s="12" t="s">
        <v>9745</v>
      </c>
      <c r="K2274" s="12" t="s">
        <v>4092</v>
      </c>
      <c r="M2274" s="17"/>
      <c r="N2274" s="12" t="s">
        <v>432</v>
      </c>
      <c r="O2274" s="12" t="s">
        <v>432</v>
      </c>
      <c r="P2274" s="88" t="s">
        <v>261</v>
      </c>
      <c r="AU2274" s="328"/>
    </row>
    <row r="2275" spans="1:47" s="12" customFormat="1" ht="14.4" hidden="1" x14ac:dyDescent="0.3">
      <c r="A2275" s="12" t="s">
        <v>39</v>
      </c>
      <c r="B2275" s="12" t="s">
        <v>5815</v>
      </c>
      <c r="C2275" s="12">
        <v>70</v>
      </c>
      <c r="D2275" s="12">
        <v>708</v>
      </c>
      <c r="F2275" s="12" t="s">
        <v>5960</v>
      </c>
      <c r="G2275" s="12" t="str">
        <f t="shared" si="56"/>
        <v>7070834940032</v>
      </c>
      <c r="I2275" s="12">
        <v>34940032</v>
      </c>
      <c r="J2275" s="12" t="s">
        <v>5879</v>
      </c>
      <c r="K2275" s="12" t="s">
        <v>4092</v>
      </c>
      <c r="L2275" s="12">
        <v>3114140162</v>
      </c>
      <c r="M2275" s="17" t="s">
        <v>5961</v>
      </c>
      <c r="N2275" s="12" t="s">
        <v>432</v>
      </c>
      <c r="O2275" s="12" t="s">
        <v>432</v>
      </c>
      <c r="P2275" s="88" t="s">
        <v>261</v>
      </c>
      <c r="AU2275" s="328" t="s">
        <v>1208</v>
      </c>
    </row>
    <row r="2276" spans="1:47" s="12" customFormat="1" ht="14.4" hidden="1" x14ac:dyDescent="0.3">
      <c r="A2276" s="12" t="s">
        <v>39</v>
      </c>
      <c r="B2276" s="12" t="s">
        <v>5815</v>
      </c>
      <c r="C2276" s="12">
        <v>70</v>
      </c>
      <c r="D2276" s="12">
        <v>708</v>
      </c>
      <c r="F2276" s="12" t="s">
        <v>5962</v>
      </c>
      <c r="G2276" s="12" t="str">
        <f t="shared" si="56"/>
        <v>707089015595848</v>
      </c>
      <c r="I2276" s="12">
        <v>9015595848</v>
      </c>
      <c r="J2276" s="12" t="s">
        <v>5963</v>
      </c>
      <c r="K2276" s="12" t="s">
        <v>4092</v>
      </c>
      <c r="L2276" s="12">
        <v>3237034386</v>
      </c>
      <c r="M2276" s="17" t="s">
        <v>5964</v>
      </c>
      <c r="N2276" s="12" t="s">
        <v>432</v>
      </c>
      <c r="O2276" s="12" t="s">
        <v>432</v>
      </c>
      <c r="P2276" s="88" t="s">
        <v>261</v>
      </c>
      <c r="AU2276" s="328" t="s">
        <v>1208</v>
      </c>
    </row>
    <row r="2277" spans="1:47" s="12" customFormat="1" ht="14.4" hidden="1" x14ac:dyDescent="0.3">
      <c r="A2277" s="12" t="s">
        <v>39</v>
      </c>
      <c r="B2277" s="12" t="s">
        <v>5815</v>
      </c>
      <c r="C2277" s="12">
        <v>70</v>
      </c>
      <c r="D2277" s="12">
        <v>708</v>
      </c>
      <c r="F2277" s="12" t="s">
        <v>9741</v>
      </c>
      <c r="G2277" s="12" t="str">
        <f t="shared" si="56"/>
        <v>70708</v>
      </c>
      <c r="H2277" s="12" t="s">
        <v>9743</v>
      </c>
      <c r="J2277" s="12" t="s">
        <v>9742</v>
      </c>
      <c r="K2277" s="12" t="s">
        <v>4092</v>
      </c>
      <c r="M2277" s="17"/>
      <c r="N2277" s="12" t="s">
        <v>432</v>
      </c>
      <c r="O2277" s="12" t="s">
        <v>432</v>
      </c>
      <c r="P2277" s="88" t="s">
        <v>261</v>
      </c>
      <c r="AU2277" s="328"/>
    </row>
    <row r="2278" spans="1:47" s="12" customFormat="1" ht="14.4" hidden="1" x14ac:dyDescent="0.3">
      <c r="A2278" s="12" t="s">
        <v>39</v>
      </c>
      <c r="B2278" s="12" t="s">
        <v>5815</v>
      </c>
      <c r="C2278" s="12">
        <v>70</v>
      </c>
      <c r="D2278" s="12">
        <v>708</v>
      </c>
      <c r="F2278" s="12" t="s">
        <v>5965</v>
      </c>
      <c r="G2278" s="12" t="str">
        <f t="shared" si="56"/>
        <v>70708349442884</v>
      </c>
      <c r="I2278" s="12">
        <v>349442884</v>
      </c>
      <c r="J2278" s="12" t="s">
        <v>5849</v>
      </c>
      <c r="K2278" s="12" t="s">
        <v>4092</v>
      </c>
      <c r="L2278" s="12" t="s">
        <v>45</v>
      </c>
      <c r="M2278" s="12" t="s">
        <v>45</v>
      </c>
      <c r="N2278" s="12" t="s">
        <v>432</v>
      </c>
      <c r="O2278" s="12" t="s">
        <v>432</v>
      </c>
      <c r="P2278" s="88" t="s">
        <v>261</v>
      </c>
      <c r="AU2278" s="328" t="s">
        <v>1208</v>
      </c>
    </row>
    <row r="2279" spans="1:47" s="12" customFormat="1" ht="14.4" hidden="1" x14ac:dyDescent="0.3">
      <c r="A2279" s="12" t="s">
        <v>39</v>
      </c>
      <c r="B2279" s="12" t="s">
        <v>5815</v>
      </c>
      <c r="C2279" s="12">
        <v>70</v>
      </c>
      <c r="D2279" s="12">
        <v>708</v>
      </c>
      <c r="F2279" s="12" t="s">
        <v>5966</v>
      </c>
      <c r="G2279" s="12" t="str">
        <f t="shared" si="56"/>
        <v>7070811044296301</v>
      </c>
      <c r="I2279" s="12">
        <v>11044296301</v>
      </c>
      <c r="J2279" s="12" t="s">
        <v>5892</v>
      </c>
      <c r="K2279" s="12" t="s">
        <v>4092</v>
      </c>
      <c r="L2279" s="12" t="s">
        <v>45</v>
      </c>
      <c r="M2279" s="12" t="s">
        <v>45</v>
      </c>
      <c r="N2279" s="12" t="s">
        <v>432</v>
      </c>
      <c r="O2279" s="12" t="s">
        <v>432</v>
      </c>
      <c r="P2279" s="88" t="s">
        <v>261</v>
      </c>
      <c r="AU2279" s="328" t="s">
        <v>1208</v>
      </c>
    </row>
    <row r="2280" spans="1:47" s="12" customFormat="1" ht="14.4" hidden="1" x14ac:dyDescent="0.3">
      <c r="A2280" s="12" t="s">
        <v>39</v>
      </c>
      <c r="B2280" s="12" t="s">
        <v>5815</v>
      </c>
      <c r="C2280" s="12">
        <v>70</v>
      </c>
      <c r="D2280" s="12">
        <v>708</v>
      </c>
      <c r="F2280" s="12" t="s">
        <v>5967</v>
      </c>
      <c r="G2280" s="12" t="str">
        <f t="shared" si="56"/>
        <v>70708787393517</v>
      </c>
      <c r="I2280" s="12">
        <v>787393517</v>
      </c>
      <c r="J2280" s="12" t="s">
        <v>5833</v>
      </c>
      <c r="K2280" s="12" t="s">
        <v>4092</v>
      </c>
      <c r="L2280" s="12">
        <v>3024653316</v>
      </c>
      <c r="M2280" s="67" t="s">
        <v>5968</v>
      </c>
      <c r="N2280" s="12" t="s">
        <v>432</v>
      </c>
      <c r="O2280" s="12" t="s">
        <v>432</v>
      </c>
      <c r="P2280" s="88" t="s">
        <v>261</v>
      </c>
      <c r="AU2280" s="328" t="s">
        <v>1208</v>
      </c>
    </row>
    <row r="2281" spans="1:47" s="12" customFormat="1" ht="14.4" hidden="1" x14ac:dyDescent="0.3">
      <c r="A2281" s="12" t="s">
        <v>39</v>
      </c>
      <c r="B2281" s="12" t="s">
        <v>5815</v>
      </c>
      <c r="C2281" s="12">
        <v>70</v>
      </c>
      <c r="D2281" s="12">
        <v>708</v>
      </c>
      <c r="F2281" s="12" t="s">
        <v>5969</v>
      </c>
      <c r="G2281" s="12" t="str">
        <f t="shared" si="56"/>
        <v>7070810879089</v>
      </c>
      <c r="I2281" s="12">
        <v>10879089</v>
      </c>
      <c r="J2281" s="12" t="s">
        <v>5970</v>
      </c>
      <c r="K2281" s="12" t="s">
        <v>4092</v>
      </c>
      <c r="L2281" s="12">
        <v>3136634653</v>
      </c>
      <c r="M2281" s="17" t="s">
        <v>5971</v>
      </c>
      <c r="N2281" s="12" t="s">
        <v>432</v>
      </c>
      <c r="O2281" s="12" t="s">
        <v>432</v>
      </c>
      <c r="P2281" s="88" t="s">
        <v>261</v>
      </c>
      <c r="AU2281" s="328" t="s">
        <v>1208</v>
      </c>
    </row>
    <row r="2282" spans="1:47" s="12" customFormat="1" ht="14.4" hidden="1" x14ac:dyDescent="0.3">
      <c r="A2282" s="12" t="s">
        <v>39</v>
      </c>
      <c r="B2282" s="12" t="s">
        <v>5815</v>
      </c>
      <c r="C2282" s="12">
        <v>70</v>
      </c>
      <c r="D2282" s="12">
        <v>708</v>
      </c>
      <c r="F2282" s="12" t="s">
        <v>5972</v>
      </c>
      <c r="G2282" s="12" t="str">
        <f t="shared" si="56"/>
        <v>7070810881308</v>
      </c>
      <c r="I2282" s="12">
        <v>10881308</v>
      </c>
      <c r="J2282" s="12" t="s">
        <v>5973</v>
      </c>
      <c r="K2282" s="12" t="s">
        <v>4092</v>
      </c>
      <c r="L2282" s="12">
        <v>3117527126</v>
      </c>
      <c r="M2282" s="17" t="s">
        <v>5974</v>
      </c>
      <c r="N2282" s="12" t="s">
        <v>432</v>
      </c>
      <c r="O2282" s="12" t="s">
        <v>432</v>
      </c>
      <c r="P2282" s="88" t="s">
        <v>261</v>
      </c>
      <c r="AU2282" s="328" t="s">
        <v>1208</v>
      </c>
    </row>
    <row r="2283" spans="1:47" s="12" customFormat="1" ht="14.4" hidden="1" x14ac:dyDescent="0.3">
      <c r="A2283" s="12" t="s">
        <v>39</v>
      </c>
      <c r="B2283" s="12" t="s">
        <v>5815</v>
      </c>
      <c r="C2283" s="12">
        <v>70</v>
      </c>
      <c r="D2283" s="12">
        <v>708</v>
      </c>
      <c r="F2283" s="12" t="s">
        <v>5975</v>
      </c>
      <c r="G2283" s="12" t="str">
        <f t="shared" si="56"/>
        <v>7070810879444-6</v>
      </c>
      <c r="I2283" s="12" t="s">
        <v>5976</v>
      </c>
      <c r="J2283" s="12" t="s">
        <v>5977</v>
      </c>
      <c r="K2283" s="12" t="s">
        <v>4092</v>
      </c>
      <c r="L2283" s="12" t="s">
        <v>45</v>
      </c>
      <c r="M2283" s="12" t="s">
        <v>45</v>
      </c>
      <c r="N2283" s="12" t="s">
        <v>432</v>
      </c>
      <c r="O2283" s="12" t="s">
        <v>432</v>
      </c>
      <c r="P2283" s="88" t="s">
        <v>261</v>
      </c>
      <c r="AU2283" s="328" t="s">
        <v>1208</v>
      </c>
    </row>
    <row r="2284" spans="1:47" s="12" customFormat="1" ht="14.4" hidden="1" x14ac:dyDescent="0.3">
      <c r="A2284" s="12" t="s">
        <v>39</v>
      </c>
      <c r="B2284" s="12" t="s">
        <v>5815</v>
      </c>
      <c r="C2284" s="12">
        <v>70</v>
      </c>
      <c r="D2284" s="12">
        <v>708</v>
      </c>
      <c r="F2284" s="12" t="s">
        <v>5978</v>
      </c>
      <c r="G2284" s="12" t="str">
        <f t="shared" si="56"/>
        <v>70708108819631</v>
      </c>
      <c r="I2284" s="12">
        <v>108819631</v>
      </c>
      <c r="J2284" s="12" t="s">
        <v>5979</v>
      </c>
      <c r="K2284" s="12" t="s">
        <v>4092</v>
      </c>
      <c r="L2284" s="12">
        <v>3135483079</v>
      </c>
      <c r="M2284" s="17" t="s">
        <v>5980</v>
      </c>
      <c r="N2284" s="12" t="s">
        <v>432</v>
      </c>
      <c r="O2284" s="12" t="s">
        <v>432</v>
      </c>
      <c r="P2284" s="88" t="s">
        <v>261</v>
      </c>
      <c r="AU2284" s="328" t="s">
        <v>1208</v>
      </c>
    </row>
    <row r="2285" spans="1:47" s="12" customFormat="1" ht="14.4" hidden="1" x14ac:dyDescent="0.3">
      <c r="A2285" s="12" t="s">
        <v>39</v>
      </c>
      <c r="B2285" s="12" t="s">
        <v>5815</v>
      </c>
      <c r="C2285" s="12">
        <v>70</v>
      </c>
      <c r="D2285" s="12">
        <v>708</v>
      </c>
      <c r="F2285" s="12" t="s">
        <v>9731</v>
      </c>
      <c r="G2285" s="12" t="str">
        <f t="shared" si="56"/>
        <v>70708901899151</v>
      </c>
      <c r="H2285" s="12" t="s">
        <v>9732</v>
      </c>
      <c r="I2285" s="12">
        <v>901899151</v>
      </c>
      <c r="J2285" s="12" t="s">
        <v>9733</v>
      </c>
      <c r="K2285" s="12" t="s">
        <v>4092</v>
      </c>
      <c r="M2285" s="17"/>
      <c r="N2285" s="12" t="s">
        <v>432</v>
      </c>
      <c r="O2285" s="12" t="s">
        <v>432</v>
      </c>
      <c r="P2285" s="88" t="s">
        <v>261</v>
      </c>
      <c r="AU2285" s="328"/>
    </row>
    <row r="2286" spans="1:47" s="12" customFormat="1" ht="14.4" hidden="1" x14ac:dyDescent="0.3">
      <c r="A2286" s="12" t="s">
        <v>39</v>
      </c>
      <c r="B2286" s="12" t="s">
        <v>5815</v>
      </c>
      <c r="C2286" s="12">
        <v>70</v>
      </c>
      <c r="D2286" s="12">
        <v>708</v>
      </c>
      <c r="F2286" s="12" t="s">
        <v>5981</v>
      </c>
      <c r="G2286" s="12" t="str">
        <f t="shared" si="56"/>
        <v>7070810888244-8</v>
      </c>
      <c r="I2286" s="12" t="s">
        <v>5982</v>
      </c>
      <c r="J2286" s="12" t="s">
        <v>5983</v>
      </c>
      <c r="K2286" s="12" t="s">
        <v>4092</v>
      </c>
      <c r="L2286" s="12">
        <v>3015221367</v>
      </c>
      <c r="M2286" s="17" t="s">
        <v>5980</v>
      </c>
      <c r="N2286" s="12" t="s">
        <v>432</v>
      </c>
      <c r="O2286" s="12" t="s">
        <v>432</v>
      </c>
      <c r="P2286" s="88" t="s">
        <v>261</v>
      </c>
      <c r="AU2286" s="328" t="s">
        <v>1208</v>
      </c>
    </row>
    <row r="2287" spans="1:47" s="12" customFormat="1" ht="14.4" hidden="1" x14ac:dyDescent="0.3">
      <c r="A2287" s="12" t="s">
        <v>39</v>
      </c>
      <c r="B2287" s="12" t="s">
        <v>5815</v>
      </c>
      <c r="C2287" s="12">
        <v>70</v>
      </c>
      <c r="D2287" s="12">
        <v>708</v>
      </c>
      <c r="F2287" s="12" t="s">
        <v>9735</v>
      </c>
      <c r="G2287" s="12" t="str">
        <f t="shared" si="56"/>
        <v>70708</v>
      </c>
      <c r="H2287" s="12" t="s">
        <v>9736</v>
      </c>
      <c r="J2287" s="12" t="s">
        <v>9737</v>
      </c>
      <c r="K2287" s="12" t="s">
        <v>4092</v>
      </c>
      <c r="M2287" s="17"/>
      <c r="N2287" s="12" t="s">
        <v>432</v>
      </c>
      <c r="O2287" s="12" t="s">
        <v>432</v>
      </c>
      <c r="P2287" s="88" t="s">
        <v>261</v>
      </c>
      <c r="AU2287" s="328"/>
    </row>
    <row r="2288" spans="1:47" s="12" customFormat="1" ht="14.4" hidden="1" x14ac:dyDescent="0.3">
      <c r="A2288" s="12" t="s">
        <v>39</v>
      </c>
      <c r="B2288" s="12" t="s">
        <v>5815</v>
      </c>
      <c r="C2288" s="12">
        <v>70</v>
      </c>
      <c r="D2288" s="12">
        <v>708</v>
      </c>
      <c r="F2288" s="12" t="s">
        <v>9730</v>
      </c>
      <c r="G2288" s="12" t="str">
        <f t="shared" si="56"/>
        <v>7070892099453</v>
      </c>
      <c r="H2288" s="12" t="s">
        <v>9729</v>
      </c>
      <c r="I2288" s="12">
        <v>92099453</v>
      </c>
      <c r="J2288" s="12" t="s">
        <v>9734</v>
      </c>
      <c r="K2288" s="12" t="s">
        <v>4092</v>
      </c>
      <c r="M2288" s="17"/>
      <c r="N2288" s="12" t="s">
        <v>432</v>
      </c>
      <c r="O2288" s="12" t="s">
        <v>432</v>
      </c>
      <c r="P2288" s="88" t="s">
        <v>261</v>
      </c>
      <c r="AU2288" s="328"/>
    </row>
    <row r="2289" spans="1:51" s="12" customFormat="1" ht="14.4" hidden="1" x14ac:dyDescent="0.3">
      <c r="A2289" s="12" t="s">
        <v>39</v>
      </c>
      <c r="B2289" s="12" t="s">
        <v>5815</v>
      </c>
      <c r="C2289" s="12">
        <v>70</v>
      </c>
      <c r="D2289" s="12">
        <v>708</v>
      </c>
      <c r="F2289" s="12" t="s">
        <v>5984</v>
      </c>
      <c r="G2289" s="12" t="str">
        <f t="shared" si="56"/>
        <v>7070892099453</v>
      </c>
      <c r="H2289" s="12" t="s">
        <v>9729</v>
      </c>
      <c r="I2289" s="12">
        <v>92099453</v>
      </c>
      <c r="J2289" s="12" t="s">
        <v>5985</v>
      </c>
      <c r="K2289" s="12" t="s">
        <v>4092</v>
      </c>
      <c r="L2289" s="12" t="s">
        <v>45</v>
      </c>
      <c r="M2289" s="12" t="s">
        <v>45</v>
      </c>
      <c r="N2289" s="12" t="s">
        <v>432</v>
      </c>
      <c r="O2289" s="12" t="s">
        <v>432</v>
      </c>
      <c r="P2289" s="88" t="s">
        <v>261</v>
      </c>
      <c r="AU2289" s="328" t="s">
        <v>1208</v>
      </c>
    </row>
    <row r="2290" spans="1:51" s="12" customFormat="1" ht="14.4" hidden="1" x14ac:dyDescent="0.3">
      <c r="A2290" s="12" t="s">
        <v>39</v>
      </c>
      <c r="B2290" s="12" t="s">
        <v>5815</v>
      </c>
      <c r="C2290" s="12">
        <v>70</v>
      </c>
      <c r="D2290" s="12">
        <v>708</v>
      </c>
      <c r="F2290" s="12" t="s">
        <v>5986</v>
      </c>
      <c r="G2290" s="12" t="str">
        <f t="shared" si="56"/>
        <v>7070834951198</v>
      </c>
      <c r="I2290" s="12">
        <v>34951198</v>
      </c>
      <c r="J2290" s="12" t="s">
        <v>5987</v>
      </c>
      <c r="K2290" s="12" t="s">
        <v>4092</v>
      </c>
      <c r="L2290" s="12" t="s">
        <v>45</v>
      </c>
      <c r="M2290" s="12" t="s">
        <v>45</v>
      </c>
      <c r="N2290" s="12" t="s">
        <v>432</v>
      </c>
      <c r="O2290" s="12" t="s">
        <v>432</v>
      </c>
      <c r="P2290" s="88" t="s">
        <v>261</v>
      </c>
      <c r="AU2290" s="328" t="s">
        <v>1208</v>
      </c>
    </row>
    <row r="2291" spans="1:51" s="12" customFormat="1" ht="14.4" hidden="1" x14ac:dyDescent="0.3">
      <c r="A2291" s="12" t="s">
        <v>39</v>
      </c>
      <c r="B2291" s="12" t="s">
        <v>5815</v>
      </c>
      <c r="C2291" s="12">
        <v>70</v>
      </c>
      <c r="D2291" s="12">
        <v>708</v>
      </c>
      <c r="E2291" s="12" t="s">
        <v>5942</v>
      </c>
      <c r="F2291" s="275" t="s">
        <v>5988</v>
      </c>
      <c r="G2291" s="12" t="str">
        <f t="shared" si="56"/>
        <v>70708890107487</v>
      </c>
      <c r="H2291" s="12" t="s">
        <v>2035</v>
      </c>
      <c r="I2291" s="12">
        <v>890107487</v>
      </c>
      <c r="J2291" s="12" t="s">
        <v>5944</v>
      </c>
      <c r="K2291" s="12" t="s">
        <v>230</v>
      </c>
      <c r="L2291" s="12">
        <v>3182855402</v>
      </c>
      <c r="M2291" s="17" t="s">
        <v>5945</v>
      </c>
      <c r="N2291" s="12" t="s">
        <v>7648</v>
      </c>
      <c r="O2291" s="12" t="s">
        <v>7653</v>
      </c>
      <c r="P2291" s="88" t="s">
        <v>102</v>
      </c>
      <c r="Q2291" s="13">
        <v>46120</v>
      </c>
      <c r="R2291" s="12">
        <v>88</v>
      </c>
      <c r="S2291" s="12" t="s">
        <v>49</v>
      </c>
      <c r="T2291" s="12" t="s">
        <v>7672</v>
      </c>
      <c r="U2291" s="12" t="s">
        <v>60</v>
      </c>
      <c r="V2291" s="13">
        <v>45642</v>
      </c>
      <c r="W2291" s="59">
        <v>0.96499999999999997</v>
      </c>
      <c r="X2291" s="12" t="s">
        <v>319</v>
      </c>
      <c r="Z2291" s="12" t="s">
        <v>60</v>
      </c>
      <c r="AC2291" s="13">
        <v>45097</v>
      </c>
      <c r="AD2291" s="59">
        <v>0.98499999999999999</v>
      </c>
      <c r="AE2291" s="12" t="s">
        <v>74</v>
      </c>
      <c r="AF2291" s="12" t="s">
        <v>50</v>
      </c>
      <c r="AU2291" s="328" t="s">
        <v>1208</v>
      </c>
    </row>
    <row r="2292" spans="1:51" s="12" customFormat="1" ht="14.4" hidden="1" x14ac:dyDescent="0.3">
      <c r="A2292" s="12" t="s">
        <v>39</v>
      </c>
      <c r="B2292" s="12" t="s">
        <v>5815</v>
      </c>
      <c r="C2292" s="12">
        <v>70</v>
      </c>
      <c r="D2292" s="12">
        <v>708</v>
      </c>
      <c r="F2292" s="275" t="s">
        <v>5989</v>
      </c>
      <c r="G2292" s="12" t="str">
        <f t="shared" si="56"/>
        <v>7070811044304851</v>
      </c>
      <c r="H2292" s="12" t="s">
        <v>9446</v>
      </c>
      <c r="I2292" s="12">
        <v>11044304851</v>
      </c>
      <c r="J2292" s="12" t="s">
        <v>5990</v>
      </c>
      <c r="K2292" s="12" t="s">
        <v>4092</v>
      </c>
      <c r="L2292" s="12">
        <v>3106090524</v>
      </c>
      <c r="M2292" s="17" t="s">
        <v>9447</v>
      </c>
      <c r="N2292" s="12" t="s">
        <v>432</v>
      </c>
      <c r="O2292" s="12" t="s">
        <v>432</v>
      </c>
      <c r="P2292" s="88" t="s">
        <v>261</v>
      </c>
      <c r="Q2292" s="13">
        <v>46192</v>
      </c>
      <c r="R2292" s="12">
        <v>94</v>
      </c>
      <c r="S2292" s="12" t="s">
        <v>210</v>
      </c>
      <c r="T2292" s="12" t="s">
        <v>9420</v>
      </c>
      <c r="U2292" s="12" t="s">
        <v>2456</v>
      </c>
      <c r="V2292" s="13">
        <v>45779</v>
      </c>
      <c r="W2292" s="16">
        <v>0.92</v>
      </c>
      <c r="X2292" s="12" t="s">
        <v>210</v>
      </c>
      <c r="Y2292" s="12" t="s">
        <v>5854</v>
      </c>
      <c r="Z2292" s="12" t="s">
        <v>2456</v>
      </c>
      <c r="AA2292" s="12" t="s">
        <v>51</v>
      </c>
      <c r="AB2292" s="12" t="s">
        <v>51</v>
      </c>
      <c r="AC2292" s="13">
        <v>45450</v>
      </c>
      <c r="AD2292" s="16">
        <v>0.92</v>
      </c>
      <c r="AE2292" s="12" t="s">
        <v>210</v>
      </c>
      <c r="AF2292" s="12" t="s">
        <v>2456</v>
      </c>
      <c r="AU2292" s="328" t="s">
        <v>1208</v>
      </c>
      <c r="AX2292" s="12" t="s">
        <v>51</v>
      </c>
      <c r="AY2292" s="12" t="s">
        <v>51</v>
      </c>
    </row>
    <row r="2293" spans="1:51" s="12" customFormat="1" ht="14.4" hidden="1" x14ac:dyDescent="0.3">
      <c r="A2293" s="12" t="s">
        <v>39</v>
      </c>
      <c r="B2293" s="12" t="s">
        <v>5815</v>
      </c>
      <c r="C2293" s="12">
        <v>70</v>
      </c>
      <c r="D2293" s="12">
        <v>708</v>
      </c>
      <c r="F2293" s="12" t="s">
        <v>5991</v>
      </c>
      <c r="G2293" s="12" t="str">
        <f t="shared" si="56"/>
        <v>7070890155995848</v>
      </c>
      <c r="I2293" s="12">
        <v>90155995848</v>
      </c>
      <c r="J2293" s="12" t="s">
        <v>5992</v>
      </c>
      <c r="K2293" s="12" t="s">
        <v>4092</v>
      </c>
      <c r="L2293" s="12">
        <v>3106112902</v>
      </c>
      <c r="M2293" s="12" t="s">
        <v>45</v>
      </c>
      <c r="N2293" s="12" t="s">
        <v>432</v>
      </c>
      <c r="O2293" s="12" t="s">
        <v>432</v>
      </c>
      <c r="P2293" s="88" t="s">
        <v>261</v>
      </c>
      <c r="AU2293" s="328" t="s">
        <v>1208</v>
      </c>
    </row>
    <row r="2294" spans="1:51" s="12" customFormat="1" ht="14.4" hidden="1" x14ac:dyDescent="0.3">
      <c r="A2294" s="12" t="s">
        <v>39</v>
      </c>
      <c r="B2294" s="12" t="s">
        <v>5815</v>
      </c>
      <c r="C2294" s="12">
        <v>70</v>
      </c>
      <c r="D2294" s="12">
        <v>708</v>
      </c>
      <c r="F2294" s="12" t="s">
        <v>5993</v>
      </c>
      <c r="G2294" s="12" t="str">
        <f t="shared" si="56"/>
        <v>707081104406278</v>
      </c>
      <c r="I2294" s="12">
        <v>1104406278</v>
      </c>
      <c r="J2294" s="12" t="s">
        <v>5994</v>
      </c>
      <c r="K2294" s="12" t="s">
        <v>4092</v>
      </c>
      <c r="L2294" s="12">
        <v>3012303948</v>
      </c>
      <c r="M2294" s="12" t="s">
        <v>45</v>
      </c>
      <c r="N2294" s="12" t="s">
        <v>432</v>
      </c>
      <c r="O2294" s="12" t="s">
        <v>432</v>
      </c>
      <c r="P2294" s="88" t="s">
        <v>261</v>
      </c>
      <c r="AU2294" s="328" t="s">
        <v>1208</v>
      </c>
    </row>
    <row r="2295" spans="1:51" s="12" customFormat="1" ht="14.4" hidden="1" x14ac:dyDescent="0.3">
      <c r="A2295" s="12" t="s">
        <v>39</v>
      </c>
      <c r="B2295" s="12" t="s">
        <v>5815</v>
      </c>
      <c r="C2295" s="12">
        <v>70</v>
      </c>
      <c r="D2295" s="12">
        <v>708</v>
      </c>
      <c r="F2295" s="12" t="s">
        <v>5995</v>
      </c>
      <c r="G2295" s="12" t="str">
        <f t="shared" si="56"/>
        <v>707081005684618</v>
      </c>
      <c r="I2295" s="12">
        <v>1005684618</v>
      </c>
      <c r="J2295" s="12" t="s">
        <v>5994</v>
      </c>
      <c r="K2295" s="12" t="s">
        <v>4092</v>
      </c>
      <c r="L2295" s="12">
        <v>3206991245</v>
      </c>
      <c r="M2295" s="12" t="s">
        <v>45</v>
      </c>
      <c r="N2295" s="12" t="s">
        <v>432</v>
      </c>
      <c r="O2295" s="12" t="s">
        <v>432</v>
      </c>
      <c r="P2295" s="88" t="s">
        <v>261</v>
      </c>
      <c r="AU2295" s="328" t="s">
        <v>1208</v>
      </c>
    </row>
    <row r="2296" spans="1:51" s="12" customFormat="1" ht="14.4" hidden="1" x14ac:dyDescent="0.3">
      <c r="A2296" s="12" t="s">
        <v>39</v>
      </c>
      <c r="B2296" s="12" t="s">
        <v>5815</v>
      </c>
      <c r="C2296" s="12">
        <v>70</v>
      </c>
      <c r="D2296" s="12">
        <v>708</v>
      </c>
      <c r="F2296" s="12" t="s">
        <v>5996</v>
      </c>
      <c r="G2296" s="12" t="str">
        <f t="shared" si="56"/>
        <v>7070825884053</v>
      </c>
      <c r="I2296" s="12">
        <v>25884053</v>
      </c>
      <c r="J2296" s="12" t="s">
        <v>5994</v>
      </c>
      <c r="K2296" s="12" t="s">
        <v>4092</v>
      </c>
      <c r="L2296" s="12">
        <v>3107193577</v>
      </c>
      <c r="M2296" s="12" t="s">
        <v>45</v>
      </c>
      <c r="N2296" s="12" t="s">
        <v>432</v>
      </c>
      <c r="O2296" s="12" t="s">
        <v>432</v>
      </c>
      <c r="P2296" s="88" t="s">
        <v>261</v>
      </c>
      <c r="AU2296" s="328" t="s">
        <v>1208</v>
      </c>
    </row>
    <row r="2297" spans="1:51" s="12" customFormat="1" ht="14.4" hidden="1" x14ac:dyDescent="0.3">
      <c r="A2297" s="12" t="s">
        <v>39</v>
      </c>
      <c r="B2297" s="12" t="s">
        <v>5815</v>
      </c>
      <c r="C2297" s="12">
        <v>70</v>
      </c>
      <c r="D2297" s="12">
        <v>708</v>
      </c>
      <c r="F2297" s="12" t="s">
        <v>5997</v>
      </c>
      <c r="G2297" s="12" t="str">
        <f t="shared" si="56"/>
        <v>707081067095950</v>
      </c>
      <c r="I2297" s="12">
        <v>1067095950</v>
      </c>
      <c r="J2297" s="12" t="s">
        <v>5994</v>
      </c>
      <c r="K2297" s="12" t="s">
        <v>4092</v>
      </c>
      <c r="L2297" s="12">
        <v>3245247531</v>
      </c>
      <c r="M2297" s="12" t="s">
        <v>45</v>
      </c>
      <c r="N2297" s="12" t="s">
        <v>432</v>
      </c>
      <c r="O2297" s="12" t="s">
        <v>432</v>
      </c>
      <c r="P2297" s="88" t="s">
        <v>261</v>
      </c>
      <c r="AU2297" s="328" t="s">
        <v>1208</v>
      </c>
    </row>
    <row r="2298" spans="1:51" s="12" customFormat="1" ht="14.4" hidden="1" x14ac:dyDescent="0.3">
      <c r="A2298" s="12" t="s">
        <v>39</v>
      </c>
      <c r="B2298" s="12" t="s">
        <v>5815</v>
      </c>
      <c r="C2298" s="12">
        <v>70</v>
      </c>
      <c r="D2298" s="12">
        <v>708</v>
      </c>
      <c r="F2298" s="12" t="s">
        <v>5998</v>
      </c>
      <c r="G2298" s="12" t="str">
        <f t="shared" si="56"/>
        <v>707081102882788</v>
      </c>
      <c r="I2298" s="12">
        <v>1102882788</v>
      </c>
      <c r="J2298" s="12" t="s">
        <v>5994</v>
      </c>
      <c r="K2298" s="12" t="s">
        <v>4092</v>
      </c>
      <c r="L2298" s="12">
        <v>3226922480</v>
      </c>
      <c r="M2298" s="12" t="s">
        <v>45</v>
      </c>
      <c r="N2298" s="12" t="s">
        <v>432</v>
      </c>
      <c r="O2298" s="12" t="s">
        <v>432</v>
      </c>
      <c r="P2298" s="88" t="s">
        <v>261</v>
      </c>
      <c r="AU2298" s="328" t="s">
        <v>1208</v>
      </c>
    </row>
    <row r="2299" spans="1:51" s="12" customFormat="1" ht="14.4" hidden="1" x14ac:dyDescent="0.3">
      <c r="A2299" s="12" t="s">
        <v>39</v>
      </c>
      <c r="B2299" s="12" t="s">
        <v>5815</v>
      </c>
      <c r="C2299" s="12">
        <v>70</v>
      </c>
      <c r="D2299" s="12">
        <v>708</v>
      </c>
      <c r="F2299" s="12" t="s">
        <v>5999</v>
      </c>
      <c r="G2299" s="12" t="str">
        <f t="shared" si="56"/>
        <v>7070810884220</v>
      </c>
      <c r="I2299" s="12">
        <v>10884220</v>
      </c>
      <c r="J2299" s="12" t="s">
        <v>6000</v>
      </c>
      <c r="K2299" s="12" t="s">
        <v>4092</v>
      </c>
      <c r="L2299" s="12" t="s">
        <v>45</v>
      </c>
      <c r="M2299" s="12" t="s">
        <v>45</v>
      </c>
      <c r="N2299" s="12" t="s">
        <v>432</v>
      </c>
      <c r="O2299" s="12" t="s">
        <v>432</v>
      </c>
      <c r="P2299" s="88" t="s">
        <v>261</v>
      </c>
      <c r="AU2299" s="328" t="s">
        <v>1208</v>
      </c>
    </row>
    <row r="2300" spans="1:51" s="12" customFormat="1" ht="14.4" hidden="1" x14ac:dyDescent="0.3">
      <c r="A2300" s="12" t="s">
        <v>39</v>
      </c>
      <c r="B2300" s="12" t="s">
        <v>5815</v>
      </c>
      <c r="C2300" s="12">
        <v>70</v>
      </c>
      <c r="D2300" s="12">
        <v>708</v>
      </c>
      <c r="F2300" s="12" t="s">
        <v>6001</v>
      </c>
      <c r="G2300" s="12" t="str">
        <f t="shared" si="56"/>
        <v>70708</v>
      </c>
      <c r="J2300" s="12" t="s">
        <v>6002</v>
      </c>
      <c r="K2300" s="12" t="s">
        <v>4092</v>
      </c>
      <c r="L2300" s="12">
        <v>3103635463</v>
      </c>
      <c r="M2300" s="12" t="s">
        <v>45</v>
      </c>
      <c r="N2300" s="12" t="s">
        <v>432</v>
      </c>
      <c r="O2300" s="12" t="s">
        <v>432</v>
      </c>
      <c r="P2300" s="88" t="s">
        <v>261</v>
      </c>
      <c r="AU2300" s="328" t="s">
        <v>1208</v>
      </c>
    </row>
    <row r="2301" spans="1:51" s="12" customFormat="1" ht="14.4" hidden="1" x14ac:dyDescent="0.3">
      <c r="A2301" s="12" t="s">
        <v>39</v>
      </c>
      <c r="B2301" s="12" t="s">
        <v>5815</v>
      </c>
      <c r="C2301" s="12">
        <v>70</v>
      </c>
      <c r="D2301" s="12">
        <v>708</v>
      </c>
      <c r="F2301" s="12" t="s">
        <v>6003</v>
      </c>
      <c r="G2301" s="12" t="str">
        <f t="shared" si="56"/>
        <v>7070810885869</v>
      </c>
      <c r="I2301" s="12">
        <v>10885869</v>
      </c>
      <c r="J2301" s="12" t="s">
        <v>6004</v>
      </c>
      <c r="K2301" s="12" t="s">
        <v>4092</v>
      </c>
      <c r="L2301" s="12" t="s">
        <v>45</v>
      </c>
      <c r="M2301" s="12" t="s">
        <v>45</v>
      </c>
      <c r="N2301" s="12" t="s">
        <v>432</v>
      </c>
      <c r="O2301" s="12" t="s">
        <v>432</v>
      </c>
      <c r="P2301" s="88" t="s">
        <v>261</v>
      </c>
      <c r="AU2301" s="328" t="s">
        <v>1208</v>
      </c>
    </row>
    <row r="2302" spans="1:51" s="12" customFormat="1" ht="14.4" x14ac:dyDescent="0.3">
      <c r="A2302" s="12" t="s">
        <v>39</v>
      </c>
      <c r="B2302" s="12" t="s">
        <v>5815</v>
      </c>
      <c r="C2302" s="12">
        <v>70</v>
      </c>
      <c r="D2302" s="12">
        <v>708</v>
      </c>
      <c r="F2302" s="275" t="s">
        <v>6005</v>
      </c>
      <c r="G2302" s="12" t="str">
        <f t="shared" si="56"/>
        <v>707081102845084</v>
      </c>
      <c r="I2302" s="12">
        <v>1102845084</v>
      </c>
      <c r="J2302" s="12" t="s">
        <v>6006</v>
      </c>
      <c r="K2302" s="12" t="s">
        <v>230</v>
      </c>
      <c r="L2302" s="12">
        <v>3137671019</v>
      </c>
      <c r="M2302" s="12" t="s">
        <v>45</v>
      </c>
      <c r="N2302" s="12" t="s">
        <v>46</v>
      </c>
      <c r="O2302" s="12" t="s">
        <v>47</v>
      </c>
      <c r="P2302" s="88" t="s">
        <v>48</v>
      </c>
      <c r="AU2302" s="328" t="s">
        <v>1208</v>
      </c>
    </row>
    <row r="2303" spans="1:51" s="12" customFormat="1" ht="14.4" x14ac:dyDescent="0.3">
      <c r="A2303" s="12" t="s">
        <v>39</v>
      </c>
      <c r="B2303" s="12" t="s">
        <v>5815</v>
      </c>
      <c r="C2303" s="12">
        <v>70</v>
      </c>
      <c r="D2303" s="12">
        <v>708</v>
      </c>
      <c r="F2303" s="275" t="s">
        <v>6007</v>
      </c>
      <c r="G2303" s="12" t="str">
        <f t="shared" si="56"/>
        <v>7070864479041</v>
      </c>
      <c r="I2303" s="12">
        <v>64479041</v>
      </c>
      <c r="J2303" s="12" t="s">
        <v>6008</v>
      </c>
      <c r="K2303" s="12" t="s">
        <v>230</v>
      </c>
      <c r="L2303" s="12">
        <v>3022327537</v>
      </c>
      <c r="M2303" s="17" t="s">
        <v>6009</v>
      </c>
      <c r="N2303" s="12" t="s">
        <v>46</v>
      </c>
      <c r="O2303" s="12" t="s">
        <v>47</v>
      </c>
      <c r="P2303" s="88" t="s">
        <v>48</v>
      </c>
      <c r="AU2303" s="328" t="s">
        <v>164</v>
      </c>
    </row>
    <row r="2304" spans="1:51" s="12" customFormat="1" ht="14.4" hidden="1" x14ac:dyDescent="0.3">
      <c r="A2304" s="12" t="s">
        <v>39</v>
      </c>
      <c r="B2304" s="12" t="s">
        <v>5815</v>
      </c>
      <c r="C2304" s="12">
        <v>70</v>
      </c>
      <c r="D2304" s="12">
        <v>708</v>
      </c>
      <c r="F2304" s="275" t="s">
        <v>6010</v>
      </c>
      <c r="G2304" s="12" t="str">
        <f t="shared" si="56"/>
        <v>7070834991344</v>
      </c>
      <c r="H2304" s="12" t="s">
        <v>9454</v>
      </c>
      <c r="I2304" s="12">
        <v>34991344</v>
      </c>
      <c r="J2304" s="12" t="s">
        <v>9455</v>
      </c>
      <c r="K2304" s="12" t="s">
        <v>4092</v>
      </c>
      <c r="L2304" s="12">
        <v>3217508984</v>
      </c>
      <c r="M2304" s="17" t="s">
        <v>9456</v>
      </c>
      <c r="N2304" s="12" t="s">
        <v>432</v>
      </c>
      <c r="O2304" s="12" t="s">
        <v>432</v>
      </c>
      <c r="P2304" s="88" t="s">
        <v>261</v>
      </c>
      <c r="Q2304" s="13">
        <v>46217</v>
      </c>
      <c r="R2304" s="12">
        <v>84</v>
      </c>
      <c r="S2304" s="12" t="s">
        <v>49</v>
      </c>
      <c r="T2304" s="12" t="s">
        <v>5854</v>
      </c>
      <c r="U2304" s="12" t="s">
        <v>2456</v>
      </c>
      <c r="AU2304" s="328" t="s">
        <v>1208</v>
      </c>
    </row>
    <row r="2305" spans="1:47" s="12" customFormat="1" ht="14.4" hidden="1" x14ac:dyDescent="0.3">
      <c r="A2305" s="12" t="s">
        <v>39</v>
      </c>
      <c r="B2305" s="12" t="s">
        <v>5815</v>
      </c>
      <c r="C2305" s="12">
        <v>70</v>
      </c>
      <c r="D2305" s="12">
        <v>708</v>
      </c>
      <c r="F2305" s="12" t="s">
        <v>6011</v>
      </c>
      <c r="G2305" s="12" t="str">
        <f t="shared" si="56"/>
        <v>70708</v>
      </c>
      <c r="J2305" s="12" t="s">
        <v>45</v>
      </c>
      <c r="K2305" s="12" t="s">
        <v>230</v>
      </c>
      <c r="L2305" s="12" t="s">
        <v>45</v>
      </c>
      <c r="M2305" s="12" t="s">
        <v>45</v>
      </c>
      <c r="N2305" s="12" t="s">
        <v>7648</v>
      </c>
      <c r="O2305" s="12" t="s">
        <v>7653</v>
      </c>
      <c r="P2305" s="88" t="s">
        <v>48</v>
      </c>
      <c r="AU2305" s="328" t="s">
        <v>1208</v>
      </c>
    </row>
    <row r="2306" spans="1:47" s="12" customFormat="1" ht="14.4" hidden="1" x14ac:dyDescent="0.3">
      <c r="A2306" s="12" t="s">
        <v>39</v>
      </c>
      <c r="B2306" s="12" t="s">
        <v>5815</v>
      </c>
      <c r="C2306" s="12">
        <v>70</v>
      </c>
      <c r="D2306" s="12">
        <v>708</v>
      </c>
      <c r="F2306" s="12" t="s">
        <v>6012</v>
      </c>
      <c r="G2306" s="12" t="str">
        <f t="shared" si="56"/>
        <v>70708</v>
      </c>
      <c r="J2306" s="12" t="s">
        <v>45</v>
      </c>
      <c r="K2306" s="12" t="s">
        <v>230</v>
      </c>
      <c r="L2306" s="12" t="s">
        <v>45</v>
      </c>
      <c r="M2306" s="12" t="s">
        <v>45</v>
      </c>
      <c r="N2306" s="12" t="s">
        <v>7648</v>
      </c>
      <c r="O2306" s="12" t="s">
        <v>7653</v>
      </c>
      <c r="P2306" s="88" t="s">
        <v>48</v>
      </c>
      <c r="AU2306" s="328" t="s">
        <v>1208</v>
      </c>
    </row>
    <row r="2307" spans="1:47" s="12" customFormat="1" ht="14.4" hidden="1" x14ac:dyDescent="0.3">
      <c r="A2307" s="12" t="s">
        <v>39</v>
      </c>
      <c r="B2307" s="12" t="s">
        <v>5815</v>
      </c>
      <c r="C2307" s="12">
        <v>70</v>
      </c>
      <c r="D2307" s="12">
        <v>708</v>
      </c>
      <c r="F2307" s="12" t="s">
        <v>6013</v>
      </c>
      <c r="G2307" s="12" t="str">
        <f t="shared" si="56"/>
        <v>70708</v>
      </c>
      <c r="J2307" s="12" t="s">
        <v>45</v>
      </c>
      <c r="K2307" s="12" t="s">
        <v>230</v>
      </c>
      <c r="L2307" s="12" t="s">
        <v>45</v>
      </c>
      <c r="M2307" s="12" t="s">
        <v>45</v>
      </c>
      <c r="N2307" s="12" t="s">
        <v>7648</v>
      </c>
      <c r="O2307" s="12" t="s">
        <v>7653</v>
      </c>
      <c r="P2307" s="88" t="s">
        <v>48</v>
      </c>
      <c r="AU2307" s="328" t="s">
        <v>1208</v>
      </c>
    </row>
    <row r="2308" spans="1:47" s="12" customFormat="1" ht="14.4" hidden="1" x14ac:dyDescent="0.3">
      <c r="A2308" s="12" t="s">
        <v>39</v>
      </c>
      <c r="B2308" s="12" t="s">
        <v>5815</v>
      </c>
      <c r="C2308" s="12">
        <v>70</v>
      </c>
      <c r="D2308" s="12">
        <v>708</v>
      </c>
      <c r="F2308" s="12" t="s">
        <v>6014</v>
      </c>
      <c r="G2308" s="12" t="str">
        <f t="shared" si="56"/>
        <v>70708</v>
      </c>
      <c r="J2308" s="12" t="s">
        <v>45</v>
      </c>
      <c r="K2308" s="12" t="s">
        <v>230</v>
      </c>
      <c r="L2308" s="12" t="s">
        <v>45</v>
      </c>
      <c r="M2308" s="12" t="s">
        <v>45</v>
      </c>
      <c r="N2308" s="12" t="s">
        <v>7648</v>
      </c>
      <c r="O2308" s="12" t="s">
        <v>7653</v>
      </c>
      <c r="P2308" s="88" t="s">
        <v>48</v>
      </c>
      <c r="AU2308" s="328" t="s">
        <v>1208</v>
      </c>
    </row>
    <row r="2309" spans="1:47" s="12" customFormat="1" ht="14.4" hidden="1" x14ac:dyDescent="0.3">
      <c r="A2309" s="12" t="s">
        <v>39</v>
      </c>
      <c r="B2309" s="12" t="s">
        <v>5815</v>
      </c>
      <c r="C2309" s="12">
        <v>70</v>
      </c>
      <c r="D2309" s="12">
        <v>708</v>
      </c>
      <c r="F2309" s="12" t="s">
        <v>6015</v>
      </c>
      <c r="G2309" s="12" t="str">
        <f t="shared" si="56"/>
        <v>70708</v>
      </c>
      <c r="J2309" s="12" t="s">
        <v>45</v>
      </c>
      <c r="K2309" s="12" t="s">
        <v>230</v>
      </c>
      <c r="L2309" s="12" t="s">
        <v>45</v>
      </c>
      <c r="M2309" s="12" t="s">
        <v>45</v>
      </c>
      <c r="N2309" s="12" t="s">
        <v>7648</v>
      </c>
      <c r="O2309" s="12" t="s">
        <v>7653</v>
      </c>
      <c r="P2309" s="88" t="s">
        <v>48</v>
      </c>
      <c r="AU2309" s="328" t="s">
        <v>1208</v>
      </c>
    </row>
    <row r="2310" spans="1:47" s="12" customFormat="1" ht="14.4" hidden="1" x14ac:dyDescent="0.3">
      <c r="A2310" s="12" t="s">
        <v>39</v>
      </c>
      <c r="B2310" s="12" t="s">
        <v>5815</v>
      </c>
      <c r="C2310" s="12">
        <v>70</v>
      </c>
      <c r="D2310" s="12">
        <v>708</v>
      </c>
      <c r="F2310" s="12" t="s">
        <v>6016</v>
      </c>
      <c r="G2310" s="12" t="str">
        <f t="shared" si="56"/>
        <v>70708</v>
      </c>
      <c r="J2310" s="12" t="s">
        <v>45</v>
      </c>
      <c r="K2310" s="12" t="s">
        <v>230</v>
      </c>
      <c r="L2310" s="12" t="s">
        <v>45</v>
      </c>
      <c r="M2310" s="12" t="s">
        <v>45</v>
      </c>
      <c r="N2310" s="12" t="s">
        <v>7648</v>
      </c>
      <c r="O2310" s="12" t="s">
        <v>260</v>
      </c>
      <c r="P2310" s="88" t="s">
        <v>48</v>
      </c>
      <c r="AU2310" s="328" t="s">
        <v>1208</v>
      </c>
    </row>
    <row r="2311" spans="1:47" s="12" customFormat="1" ht="14.4" hidden="1" x14ac:dyDescent="0.3">
      <c r="A2311" s="12" t="s">
        <v>39</v>
      </c>
      <c r="B2311" s="12" t="s">
        <v>5815</v>
      </c>
      <c r="C2311" s="12">
        <v>70</v>
      </c>
      <c r="D2311" s="12">
        <v>708</v>
      </c>
      <c r="F2311" s="12" t="s">
        <v>6017</v>
      </c>
      <c r="G2311" s="12" t="str">
        <f t="shared" si="56"/>
        <v>70708</v>
      </c>
      <c r="J2311" s="12" t="s">
        <v>45</v>
      </c>
      <c r="K2311" s="12" t="s">
        <v>230</v>
      </c>
      <c r="L2311" s="12" t="s">
        <v>45</v>
      </c>
      <c r="M2311" s="12" t="s">
        <v>45</v>
      </c>
      <c r="N2311" s="12" t="s">
        <v>7648</v>
      </c>
      <c r="O2311" s="12" t="s">
        <v>7653</v>
      </c>
      <c r="P2311" s="88" t="s">
        <v>48</v>
      </c>
      <c r="AU2311" s="328" t="s">
        <v>1208</v>
      </c>
    </row>
    <row r="2312" spans="1:47" s="12" customFormat="1" ht="14.4" hidden="1" x14ac:dyDescent="0.3">
      <c r="A2312" s="12" t="s">
        <v>39</v>
      </c>
      <c r="B2312" s="12" t="s">
        <v>5815</v>
      </c>
      <c r="C2312" s="12">
        <v>70</v>
      </c>
      <c r="D2312" s="12">
        <v>708</v>
      </c>
      <c r="F2312" s="12" t="s">
        <v>6018</v>
      </c>
      <c r="G2312" s="12" t="str">
        <f t="shared" si="56"/>
        <v>70708</v>
      </c>
      <c r="J2312" s="12" t="s">
        <v>45</v>
      </c>
      <c r="K2312" s="12" t="s">
        <v>230</v>
      </c>
      <c r="L2312" s="12" t="s">
        <v>45</v>
      </c>
      <c r="M2312" s="12" t="s">
        <v>45</v>
      </c>
      <c r="N2312" s="12" t="s">
        <v>7648</v>
      </c>
      <c r="O2312" s="12" t="s">
        <v>7653</v>
      </c>
      <c r="P2312" s="88" t="s">
        <v>48</v>
      </c>
      <c r="AU2312" s="328" t="s">
        <v>1208</v>
      </c>
    </row>
    <row r="2313" spans="1:47" s="12" customFormat="1" ht="14.4" hidden="1" x14ac:dyDescent="0.3">
      <c r="A2313" s="12" t="s">
        <v>39</v>
      </c>
      <c r="B2313" s="12" t="s">
        <v>5815</v>
      </c>
      <c r="C2313" s="12">
        <v>70</v>
      </c>
      <c r="D2313" s="12">
        <v>708</v>
      </c>
      <c r="F2313" s="12" t="s">
        <v>6019</v>
      </c>
      <c r="G2313" s="12" t="str">
        <f t="shared" si="56"/>
        <v>7070881104420460</v>
      </c>
      <c r="I2313" s="15">
        <v>81104420460</v>
      </c>
      <c r="J2313" s="12" t="s">
        <v>6020</v>
      </c>
      <c r="K2313" s="12" t="s">
        <v>4092</v>
      </c>
      <c r="L2313" s="12" t="s">
        <v>45</v>
      </c>
      <c r="M2313" s="12" t="s">
        <v>45</v>
      </c>
      <c r="N2313" s="12" t="s">
        <v>432</v>
      </c>
      <c r="O2313" s="12" t="s">
        <v>432</v>
      </c>
      <c r="P2313" s="88" t="s">
        <v>261</v>
      </c>
      <c r="AU2313" s="328" t="s">
        <v>1208</v>
      </c>
    </row>
    <row r="2314" spans="1:47" s="12" customFormat="1" ht="14.4" hidden="1" x14ac:dyDescent="0.3">
      <c r="A2314" s="12" t="s">
        <v>39</v>
      </c>
      <c r="B2314" s="12" t="s">
        <v>5815</v>
      </c>
      <c r="C2314" s="12">
        <v>70</v>
      </c>
      <c r="D2314" s="12">
        <v>708</v>
      </c>
      <c r="F2314" s="12" t="s">
        <v>6021</v>
      </c>
      <c r="G2314" s="12" t="str">
        <f t="shared" si="56"/>
        <v>707081104413389</v>
      </c>
      <c r="I2314" s="12">
        <v>1104413389</v>
      </c>
      <c r="J2314" s="12" t="s">
        <v>6022</v>
      </c>
      <c r="K2314" s="12" t="s">
        <v>230</v>
      </c>
      <c r="L2314" s="12" t="s">
        <v>45</v>
      </c>
      <c r="M2314" s="12" t="s">
        <v>45</v>
      </c>
      <c r="N2314" s="12" t="s">
        <v>259</v>
      </c>
      <c r="O2314" s="12" t="s">
        <v>260</v>
      </c>
      <c r="P2314" s="88"/>
      <c r="AU2314" s="328" t="s">
        <v>1208</v>
      </c>
    </row>
    <row r="2315" spans="1:47" s="12" customFormat="1" ht="14.4" hidden="1" x14ac:dyDescent="0.3">
      <c r="A2315" s="12" t="s">
        <v>39</v>
      </c>
      <c r="B2315" s="12" t="s">
        <v>5815</v>
      </c>
      <c r="C2315" s="12">
        <v>70</v>
      </c>
      <c r="D2315" s="12">
        <v>708</v>
      </c>
      <c r="F2315" s="12" t="s">
        <v>6023</v>
      </c>
      <c r="G2315" s="12" t="str">
        <f t="shared" si="56"/>
        <v>7070834943982</v>
      </c>
      <c r="I2315" s="12">
        <v>34943982</v>
      </c>
      <c r="J2315" s="12" t="s">
        <v>4493</v>
      </c>
      <c r="K2315" s="12" t="s">
        <v>230</v>
      </c>
      <c r="L2315" s="12">
        <v>3126316311</v>
      </c>
      <c r="M2315" s="17" t="s">
        <v>6024</v>
      </c>
      <c r="N2315" s="12" t="s">
        <v>46</v>
      </c>
      <c r="O2315" s="12" t="s">
        <v>101</v>
      </c>
      <c r="P2315" s="88"/>
      <c r="AU2315" s="328" t="s">
        <v>1208</v>
      </c>
    </row>
    <row r="2316" spans="1:47" s="12" customFormat="1" ht="14.4" hidden="1" x14ac:dyDescent="0.3">
      <c r="A2316" s="12" t="s">
        <v>39</v>
      </c>
      <c r="B2316" s="12" t="s">
        <v>5815</v>
      </c>
      <c r="C2316" s="12">
        <v>70</v>
      </c>
      <c r="D2316" s="12">
        <v>708</v>
      </c>
      <c r="F2316" s="12" t="s">
        <v>6025</v>
      </c>
      <c r="G2316" s="12" t="str">
        <f t="shared" si="56"/>
        <v>707081104413389</v>
      </c>
      <c r="I2316" s="12">
        <v>1104413389</v>
      </c>
      <c r="J2316" s="12" t="s">
        <v>6022</v>
      </c>
      <c r="K2316" s="12" t="s">
        <v>230</v>
      </c>
      <c r="L2316" s="12" t="s">
        <v>45</v>
      </c>
      <c r="M2316" s="12" t="s">
        <v>45</v>
      </c>
      <c r="N2316" s="12" t="s">
        <v>46</v>
      </c>
      <c r="O2316" s="12" t="s">
        <v>2797</v>
      </c>
      <c r="P2316" s="88"/>
      <c r="AU2316" s="328" t="s">
        <v>1208</v>
      </c>
    </row>
    <row r="2317" spans="1:47" s="12" customFormat="1" ht="14.4" hidden="1" x14ac:dyDescent="0.3">
      <c r="A2317" s="12" t="s">
        <v>39</v>
      </c>
      <c r="B2317" s="12" t="s">
        <v>5815</v>
      </c>
      <c r="C2317" s="12">
        <v>70</v>
      </c>
      <c r="D2317" s="12">
        <v>708</v>
      </c>
      <c r="F2317" s="12" t="s">
        <v>6026</v>
      </c>
      <c r="G2317" s="12" t="str">
        <f t="shared" si="56"/>
        <v>707081083994966</v>
      </c>
      <c r="I2317" s="12">
        <v>1083994966</v>
      </c>
      <c r="J2317" s="12" t="s">
        <v>6027</v>
      </c>
      <c r="K2317" s="12" t="s">
        <v>4092</v>
      </c>
      <c r="L2317" s="12">
        <v>3128595293</v>
      </c>
      <c r="M2317" s="17" t="s">
        <v>6028</v>
      </c>
      <c r="N2317" s="12" t="s">
        <v>432</v>
      </c>
      <c r="O2317" s="12" t="s">
        <v>432</v>
      </c>
      <c r="P2317" s="88" t="s">
        <v>261</v>
      </c>
      <c r="AU2317" s="328" t="s">
        <v>1208</v>
      </c>
    </row>
    <row r="2318" spans="1:47" s="12" customFormat="1" ht="14.4" hidden="1" x14ac:dyDescent="0.3">
      <c r="A2318" s="12" t="s">
        <v>39</v>
      </c>
      <c r="B2318" s="12" t="s">
        <v>5815</v>
      </c>
      <c r="C2318" s="12">
        <v>70</v>
      </c>
      <c r="D2318" s="12">
        <v>708</v>
      </c>
      <c r="F2318" s="12" t="s">
        <v>6029</v>
      </c>
      <c r="G2318" s="12" t="str">
        <f t="shared" si="56"/>
        <v>707081005679367</v>
      </c>
      <c r="I2318" s="12">
        <v>1005679367</v>
      </c>
      <c r="J2318" s="12" t="s">
        <v>6030</v>
      </c>
      <c r="K2318" s="12" t="s">
        <v>230</v>
      </c>
      <c r="L2318" s="12" t="s">
        <v>45</v>
      </c>
      <c r="M2318" s="12" t="s">
        <v>45</v>
      </c>
      <c r="N2318" s="12" t="s">
        <v>259</v>
      </c>
      <c r="O2318" s="12" t="s">
        <v>260</v>
      </c>
      <c r="P2318" s="88"/>
      <c r="AU2318" s="328" t="s">
        <v>1208</v>
      </c>
    </row>
    <row r="2319" spans="1:47" s="12" customFormat="1" ht="14.4" hidden="1" x14ac:dyDescent="0.3">
      <c r="A2319" s="12" t="s">
        <v>39</v>
      </c>
      <c r="B2319" s="12" t="s">
        <v>5815</v>
      </c>
      <c r="C2319" s="12">
        <v>70</v>
      </c>
      <c r="D2319" s="12">
        <v>708</v>
      </c>
      <c r="F2319" s="12" t="s">
        <v>6031</v>
      </c>
      <c r="G2319" s="12" t="str">
        <f t="shared" si="56"/>
        <v>707081104415667</v>
      </c>
      <c r="I2319" s="12">
        <v>1104415667</v>
      </c>
      <c r="J2319" s="12" t="s">
        <v>5858</v>
      </c>
      <c r="K2319" s="12" t="s">
        <v>230</v>
      </c>
      <c r="L2319" s="12" t="s">
        <v>45</v>
      </c>
      <c r="M2319" s="12" t="s">
        <v>45</v>
      </c>
      <c r="N2319" s="12" t="s">
        <v>259</v>
      </c>
      <c r="O2319" s="12" t="s">
        <v>260</v>
      </c>
      <c r="P2319" s="88"/>
      <c r="AU2319" s="328" t="s">
        <v>1208</v>
      </c>
    </row>
    <row r="2320" spans="1:47" s="12" customFormat="1" ht="14.4" hidden="1" x14ac:dyDescent="0.3">
      <c r="A2320" s="12" t="s">
        <v>39</v>
      </c>
      <c r="B2320" s="12" t="s">
        <v>5815</v>
      </c>
      <c r="C2320" s="12">
        <v>70</v>
      </c>
      <c r="D2320" s="12">
        <v>708</v>
      </c>
      <c r="F2320" s="12" t="s">
        <v>6032</v>
      </c>
      <c r="G2320" s="12" t="str">
        <f t="shared" si="56"/>
        <v>707081040492148</v>
      </c>
      <c r="I2320" s="12">
        <v>1040492148</v>
      </c>
      <c r="J2320" s="12" t="s">
        <v>6033</v>
      </c>
      <c r="K2320" s="12" t="s">
        <v>230</v>
      </c>
      <c r="L2320" s="12" t="s">
        <v>45</v>
      </c>
      <c r="M2320" s="12" t="s">
        <v>45</v>
      </c>
      <c r="N2320" s="12" t="s">
        <v>46</v>
      </c>
      <c r="O2320" s="12" t="s">
        <v>101</v>
      </c>
      <c r="P2320" s="88"/>
      <c r="AU2320" s="328" t="s">
        <v>1208</v>
      </c>
    </row>
    <row r="2321" spans="1:47" s="12" customFormat="1" ht="14.4" hidden="1" x14ac:dyDescent="0.3">
      <c r="A2321" s="12" t="s">
        <v>39</v>
      </c>
      <c r="B2321" s="12" t="s">
        <v>5815</v>
      </c>
      <c r="C2321" s="12">
        <v>70</v>
      </c>
      <c r="D2321" s="12">
        <v>708</v>
      </c>
      <c r="F2321" s="12" t="s">
        <v>6034</v>
      </c>
      <c r="G2321" s="12" t="str">
        <f t="shared" si="56"/>
        <v>707085595778</v>
      </c>
      <c r="I2321" s="12">
        <v>5595778</v>
      </c>
      <c r="J2321" s="12" t="s">
        <v>6035</v>
      </c>
      <c r="K2321" s="12" t="s">
        <v>230</v>
      </c>
      <c r="L2321" s="12" t="s">
        <v>45</v>
      </c>
      <c r="M2321" s="12" t="s">
        <v>45</v>
      </c>
      <c r="N2321" s="12" t="s">
        <v>46</v>
      </c>
      <c r="O2321" s="12" t="s">
        <v>2797</v>
      </c>
      <c r="P2321" s="88"/>
      <c r="AU2321" s="328" t="s">
        <v>1208</v>
      </c>
    </row>
    <row r="2322" spans="1:47" s="12" customFormat="1" ht="14.4" x14ac:dyDescent="0.3">
      <c r="A2322" s="12" t="s">
        <v>39</v>
      </c>
      <c r="B2322" s="12" t="s">
        <v>5815</v>
      </c>
      <c r="C2322" s="12">
        <v>70</v>
      </c>
      <c r="D2322" s="12">
        <v>708</v>
      </c>
      <c r="F2322" s="275" t="s">
        <v>6001</v>
      </c>
      <c r="G2322" s="12" t="str">
        <f t="shared" si="56"/>
        <v>70708349505476</v>
      </c>
      <c r="I2322" s="12">
        <v>349505476</v>
      </c>
      <c r="J2322" s="12" t="s">
        <v>6036</v>
      </c>
      <c r="K2322" s="12" t="s">
        <v>230</v>
      </c>
      <c r="L2322" s="12" t="s">
        <v>45</v>
      </c>
      <c r="M2322" s="12" t="s">
        <v>45</v>
      </c>
      <c r="N2322" s="12" t="s">
        <v>46</v>
      </c>
      <c r="O2322" s="12" t="s">
        <v>47</v>
      </c>
      <c r="P2322" s="88" t="s">
        <v>48</v>
      </c>
      <c r="AU2322" s="328" t="s">
        <v>1208</v>
      </c>
    </row>
    <row r="2323" spans="1:47" s="12" customFormat="1" ht="14.4" hidden="1" x14ac:dyDescent="0.3">
      <c r="A2323" s="12" t="s">
        <v>39</v>
      </c>
      <c r="B2323" s="12" t="s">
        <v>5815</v>
      </c>
      <c r="C2323" s="12">
        <v>70</v>
      </c>
      <c r="D2323" s="12">
        <v>708</v>
      </c>
      <c r="F2323" s="12" t="s">
        <v>6037</v>
      </c>
      <c r="G2323" s="12" t="str">
        <f t="shared" si="56"/>
        <v>7070811000737</v>
      </c>
      <c r="I2323" s="12">
        <v>11000737</v>
      </c>
      <c r="J2323" s="12" t="s">
        <v>4493</v>
      </c>
      <c r="K2323" s="12" t="s">
        <v>230</v>
      </c>
      <c r="L2323" s="12">
        <v>3104413012</v>
      </c>
      <c r="M2323" s="17" t="s">
        <v>6038</v>
      </c>
      <c r="N2323" s="12" t="s">
        <v>259</v>
      </c>
      <c r="O2323" s="12" t="s">
        <v>260</v>
      </c>
      <c r="P2323" s="88"/>
      <c r="AU2323" s="328" t="s">
        <v>1208</v>
      </c>
    </row>
    <row r="2324" spans="1:47" s="12" customFormat="1" ht="14.4" hidden="1" x14ac:dyDescent="0.3">
      <c r="A2324" s="12" t="s">
        <v>39</v>
      </c>
      <c r="B2324" s="12" t="s">
        <v>5815</v>
      </c>
      <c r="C2324" s="12">
        <v>70</v>
      </c>
      <c r="D2324" s="12">
        <v>708</v>
      </c>
      <c r="F2324" s="12" t="s">
        <v>6039</v>
      </c>
      <c r="G2324" s="12" t="str">
        <f t="shared" si="56"/>
        <v>70708NO REGISTRA</v>
      </c>
      <c r="I2324" s="12" t="s">
        <v>45</v>
      </c>
      <c r="J2324" s="12" t="s">
        <v>45</v>
      </c>
      <c r="K2324" s="12" t="s">
        <v>230</v>
      </c>
      <c r="L2324" s="12" t="s">
        <v>45</v>
      </c>
      <c r="M2324" s="12" t="s">
        <v>45</v>
      </c>
      <c r="N2324" s="12" t="s">
        <v>259</v>
      </c>
      <c r="O2324" s="12" t="s">
        <v>260</v>
      </c>
      <c r="P2324" s="88"/>
      <c r="AU2324" s="328" t="s">
        <v>1208</v>
      </c>
    </row>
    <row r="2325" spans="1:47" s="12" customFormat="1" ht="14.4" x14ac:dyDescent="0.3">
      <c r="A2325" s="12" t="s">
        <v>39</v>
      </c>
      <c r="B2325" s="12" t="s">
        <v>5815</v>
      </c>
      <c r="C2325" s="12">
        <v>70</v>
      </c>
      <c r="D2325" s="12">
        <v>708</v>
      </c>
      <c r="F2325" s="275" t="s">
        <v>6040</v>
      </c>
      <c r="G2325" s="12" t="str">
        <f t="shared" si="56"/>
        <v>7070888364690</v>
      </c>
      <c r="I2325" s="12">
        <v>88364690</v>
      </c>
      <c r="J2325" s="12" t="s">
        <v>6041</v>
      </c>
      <c r="K2325" s="12" t="s">
        <v>230</v>
      </c>
      <c r="L2325" s="12" t="s">
        <v>45</v>
      </c>
      <c r="M2325" s="12" t="s">
        <v>45</v>
      </c>
      <c r="N2325" s="12" t="s">
        <v>46</v>
      </c>
      <c r="O2325" s="12" t="s">
        <v>47</v>
      </c>
      <c r="P2325" s="88" t="s">
        <v>48</v>
      </c>
      <c r="AU2325" s="328" t="s">
        <v>1208</v>
      </c>
    </row>
    <row r="2326" spans="1:47" s="12" customFormat="1" ht="14.4" x14ac:dyDescent="0.3">
      <c r="A2326" s="12" t="s">
        <v>39</v>
      </c>
      <c r="B2326" s="12" t="s">
        <v>5815</v>
      </c>
      <c r="C2326" s="12">
        <v>70</v>
      </c>
      <c r="D2326" s="12">
        <v>708</v>
      </c>
      <c r="F2326" s="275" t="s">
        <v>6042</v>
      </c>
      <c r="G2326" s="12" t="str">
        <f t="shared" si="56"/>
        <v>7070823100964</v>
      </c>
      <c r="I2326" s="12">
        <v>23100964</v>
      </c>
      <c r="J2326" s="12" t="s">
        <v>6043</v>
      </c>
      <c r="K2326" s="12" t="s">
        <v>230</v>
      </c>
      <c r="L2326" s="12" t="s">
        <v>45</v>
      </c>
      <c r="M2326" s="12" t="s">
        <v>45</v>
      </c>
      <c r="N2326" s="12" t="s">
        <v>46</v>
      </c>
      <c r="O2326" s="12" t="s">
        <v>47</v>
      </c>
      <c r="P2326" s="88" t="s">
        <v>48</v>
      </c>
      <c r="AU2326" s="328" t="s">
        <v>1208</v>
      </c>
    </row>
    <row r="2327" spans="1:47" s="12" customFormat="1" ht="14.4" x14ac:dyDescent="0.3">
      <c r="A2327" s="12" t="s">
        <v>39</v>
      </c>
      <c r="B2327" s="12" t="s">
        <v>5815</v>
      </c>
      <c r="C2327" s="12">
        <v>70</v>
      </c>
      <c r="D2327" s="12">
        <v>708</v>
      </c>
      <c r="F2327" s="12" t="s">
        <v>6044</v>
      </c>
      <c r="G2327" s="12" t="str">
        <f t="shared" si="56"/>
        <v>70708108773931</v>
      </c>
      <c r="I2327" s="12">
        <v>108773931</v>
      </c>
      <c r="J2327" s="12" t="s">
        <v>6045</v>
      </c>
      <c r="K2327" s="12" t="s">
        <v>230</v>
      </c>
      <c r="L2327" s="12">
        <v>3226254854</v>
      </c>
      <c r="M2327" s="17" t="s">
        <v>6046</v>
      </c>
      <c r="N2327" s="12" t="s">
        <v>46</v>
      </c>
      <c r="O2327" s="12" t="s">
        <v>47</v>
      </c>
      <c r="P2327" s="88" t="s">
        <v>48</v>
      </c>
      <c r="AU2327" s="328" t="s">
        <v>1208</v>
      </c>
    </row>
    <row r="2328" spans="1:47" s="12" customFormat="1" ht="14.4" hidden="1" x14ac:dyDescent="0.3">
      <c r="A2328" s="12" t="s">
        <v>39</v>
      </c>
      <c r="B2328" s="12" t="s">
        <v>5815</v>
      </c>
      <c r="C2328" s="12">
        <v>70</v>
      </c>
      <c r="D2328" s="12">
        <v>708</v>
      </c>
      <c r="F2328" s="12" t="s">
        <v>6047</v>
      </c>
      <c r="G2328" s="12" t="str">
        <f t="shared" si="56"/>
        <v>707081103118278</v>
      </c>
      <c r="I2328" s="12">
        <v>1103118278</v>
      </c>
      <c r="J2328" s="12" t="s">
        <v>6048</v>
      </c>
      <c r="K2328" s="12" t="s">
        <v>4092</v>
      </c>
      <c r="L2328" s="12" t="s">
        <v>45</v>
      </c>
      <c r="M2328" s="12" t="s">
        <v>45</v>
      </c>
      <c r="N2328" s="12" t="s">
        <v>432</v>
      </c>
      <c r="O2328" s="12" t="s">
        <v>432</v>
      </c>
      <c r="P2328" s="88" t="s">
        <v>261</v>
      </c>
      <c r="AU2328" s="328" t="s">
        <v>1208</v>
      </c>
    </row>
    <row r="2329" spans="1:47" s="12" customFormat="1" ht="14.4" hidden="1" x14ac:dyDescent="0.3">
      <c r="A2329" s="12" t="s">
        <v>39</v>
      </c>
      <c r="B2329" s="12" t="s">
        <v>5815</v>
      </c>
      <c r="C2329" s="12">
        <v>70</v>
      </c>
      <c r="D2329" s="12">
        <v>708</v>
      </c>
      <c r="F2329" s="12" t="s">
        <v>6049</v>
      </c>
      <c r="G2329" s="12" t="str">
        <f t="shared" si="56"/>
        <v>7070810885043</v>
      </c>
      <c r="H2329" s="12" t="s">
        <v>9728</v>
      </c>
      <c r="I2329" s="12">
        <v>10885043</v>
      </c>
      <c r="J2329" s="12" t="s">
        <v>6050</v>
      </c>
      <c r="K2329" s="12" t="s">
        <v>4092</v>
      </c>
      <c r="L2329" s="12" t="s">
        <v>45</v>
      </c>
      <c r="M2329" s="12" t="s">
        <v>45</v>
      </c>
      <c r="N2329" s="12" t="s">
        <v>432</v>
      </c>
      <c r="O2329" s="12" t="s">
        <v>432</v>
      </c>
      <c r="P2329" s="88" t="s">
        <v>261</v>
      </c>
      <c r="AU2329" s="328" t="s">
        <v>1208</v>
      </c>
    </row>
    <row r="2330" spans="1:47" s="12" customFormat="1" ht="14.4" x14ac:dyDescent="0.3">
      <c r="A2330" s="12" t="s">
        <v>39</v>
      </c>
      <c r="B2330" s="12" t="s">
        <v>5815</v>
      </c>
      <c r="C2330" s="12">
        <v>70</v>
      </c>
      <c r="D2330" s="12">
        <v>708</v>
      </c>
      <c r="F2330" s="12" t="s">
        <v>6051</v>
      </c>
      <c r="G2330" s="12" t="str">
        <f t="shared" si="56"/>
        <v>7070811048565874</v>
      </c>
      <c r="I2330" s="12">
        <v>11048565874</v>
      </c>
      <c r="J2330" s="12" t="s">
        <v>6052</v>
      </c>
      <c r="K2330" s="12" t="s">
        <v>230</v>
      </c>
      <c r="L2330" s="12">
        <v>3012133535</v>
      </c>
      <c r="M2330" s="17" t="s">
        <v>6053</v>
      </c>
      <c r="N2330" s="12" t="s">
        <v>46</v>
      </c>
      <c r="O2330" s="12" t="s">
        <v>47</v>
      </c>
      <c r="P2330" s="88" t="s">
        <v>48</v>
      </c>
      <c r="AU2330" s="328" t="s">
        <v>1208</v>
      </c>
    </row>
    <row r="2331" spans="1:47" s="12" customFormat="1" ht="14.4" hidden="1" x14ac:dyDescent="0.3">
      <c r="A2331" s="12" t="s">
        <v>39</v>
      </c>
      <c r="B2331" s="12" t="s">
        <v>5815</v>
      </c>
      <c r="C2331" s="12">
        <v>70</v>
      </c>
      <c r="D2331" s="12">
        <v>708</v>
      </c>
      <c r="F2331" s="12" t="s">
        <v>6054</v>
      </c>
      <c r="G2331" s="12" t="str">
        <f t="shared" si="56"/>
        <v>7070811934066401</v>
      </c>
      <c r="I2331" s="12">
        <v>11934066401</v>
      </c>
      <c r="J2331" s="12" t="s">
        <v>6055</v>
      </c>
      <c r="K2331" s="12" t="s">
        <v>4092</v>
      </c>
      <c r="L2331" s="12">
        <v>3015221367</v>
      </c>
      <c r="M2331" s="12" t="s">
        <v>6056</v>
      </c>
      <c r="N2331" s="12" t="s">
        <v>432</v>
      </c>
      <c r="O2331" s="12" t="s">
        <v>432</v>
      </c>
      <c r="P2331" s="88" t="s">
        <v>261</v>
      </c>
      <c r="AU2331" s="328" t="s">
        <v>1208</v>
      </c>
    </row>
    <row r="2332" spans="1:47" s="12" customFormat="1" ht="14.4" hidden="1" x14ac:dyDescent="0.3">
      <c r="A2332" s="12" t="s">
        <v>39</v>
      </c>
      <c r="B2332" s="12" t="s">
        <v>5815</v>
      </c>
      <c r="C2332" s="12">
        <v>70</v>
      </c>
      <c r="D2332" s="12">
        <v>708</v>
      </c>
      <c r="F2332" s="12" t="s">
        <v>6057</v>
      </c>
      <c r="G2332" s="12" t="str">
        <f t="shared" si="56"/>
        <v>70708395944942</v>
      </c>
      <c r="I2332" s="12">
        <v>395944942</v>
      </c>
      <c r="J2332" s="12" t="s">
        <v>6058</v>
      </c>
      <c r="K2332" s="12" t="s">
        <v>4092</v>
      </c>
      <c r="L2332" s="12">
        <v>3015221367</v>
      </c>
      <c r="M2332" s="12" t="s">
        <v>45</v>
      </c>
      <c r="N2332" s="12" t="s">
        <v>432</v>
      </c>
      <c r="O2332" s="12" t="s">
        <v>432</v>
      </c>
      <c r="P2332" s="88" t="s">
        <v>261</v>
      </c>
      <c r="AU2332" s="328" t="s">
        <v>1208</v>
      </c>
    </row>
    <row r="2333" spans="1:47" s="12" customFormat="1" ht="14.4" hidden="1" x14ac:dyDescent="0.3">
      <c r="A2333" s="12" t="s">
        <v>39</v>
      </c>
      <c r="B2333" s="12" t="s">
        <v>5815</v>
      </c>
      <c r="C2333" s="12">
        <v>70</v>
      </c>
      <c r="D2333" s="12">
        <v>708</v>
      </c>
      <c r="F2333" s="12" t="s">
        <v>6059</v>
      </c>
      <c r="G2333" s="12" t="str">
        <f t="shared" si="56"/>
        <v>7070884030062</v>
      </c>
      <c r="I2333" s="12">
        <v>84030062</v>
      </c>
      <c r="J2333" s="12" t="s">
        <v>6060</v>
      </c>
      <c r="K2333" s="12" t="s">
        <v>230</v>
      </c>
      <c r="L2333" s="12" t="s">
        <v>45</v>
      </c>
      <c r="M2333" s="12" t="s">
        <v>45</v>
      </c>
      <c r="N2333" s="12" t="s">
        <v>259</v>
      </c>
      <c r="O2333" s="12" t="s">
        <v>260</v>
      </c>
      <c r="P2333" s="88"/>
      <c r="AU2333" s="328" t="s">
        <v>1208</v>
      </c>
    </row>
    <row r="2334" spans="1:47" s="12" customFormat="1" ht="14.4" hidden="1" x14ac:dyDescent="0.3">
      <c r="A2334" s="12" t="s">
        <v>39</v>
      </c>
      <c r="B2334" s="12" t="s">
        <v>5815</v>
      </c>
      <c r="C2334" s="12">
        <v>70</v>
      </c>
      <c r="D2334" s="12">
        <v>708</v>
      </c>
      <c r="F2334" s="12" t="s">
        <v>6061</v>
      </c>
      <c r="G2334" s="12" t="str">
        <f t="shared" si="56"/>
        <v>7070822985585</v>
      </c>
      <c r="I2334" s="12">
        <v>22985585</v>
      </c>
      <c r="J2334" s="12" t="s">
        <v>6062</v>
      </c>
      <c r="K2334" s="12" t="s">
        <v>230</v>
      </c>
      <c r="L2334" s="12" t="s">
        <v>45</v>
      </c>
      <c r="M2334" s="12" t="s">
        <v>45</v>
      </c>
      <c r="N2334" s="12" t="s">
        <v>259</v>
      </c>
      <c r="O2334" s="12" t="s">
        <v>260</v>
      </c>
      <c r="P2334" s="88"/>
      <c r="AU2334" s="328" t="s">
        <v>1208</v>
      </c>
    </row>
    <row r="2335" spans="1:47" s="12" customFormat="1" ht="14.4" hidden="1" x14ac:dyDescent="0.3">
      <c r="A2335" s="12" t="s">
        <v>39</v>
      </c>
      <c r="B2335" s="12" t="s">
        <v>5815</v>
      </c>
      <c r="C2335" s="12">
        <v>70</v>
      </c>
      <c r="D2335" s="12">
        <v>708</v>
      </c>
      <c r="F2335" s="12" t="s">
        <v>6063</v>
      </c>
      <c r="G2335" s="12" t="str">
        <f t="shared" si="56"/>
        <v>707083824918</v>
      </c>
      <c r="I2335" s="12">
        <v>3824918</v>
      </c>
      <c r="J2335" s="12" t="s">
        <v>6064</v>
      </c>
      <c r="K2335" s="12" t="s">
        <v>230</v>
      </c>
      <c r="L2335" s="12" t="s">
        <v>45</v>
      </c>
      <c r="M2335" s="12" t="s">
        <v>45</v>
      </c>
      <c r="N2335" s="12" t="s">
        <v>259</v>
      </c>
      <c r="O2335" s="12" t="s">
        <v>260</v>
      </c>
      <c r="P2335" s="88"/>
      <c r="AU2335" s="328" t="s">
        <v>1208</v>
      </c>
    </row>
    <row r="2336" spans="1:47" s="12" customFormat="1" ht="14.4" hidden="1" x14ac:dyDescent="0.3">
      <c r="A2336" s="12" t="s">
        <v>39</v>
      </c>
      <c r="B2336" s="12" t="s">
        <v>5815</v>
      </c>
      <c r="C2336" s="12">
        <v>70</v>
      </c>
      <c r="D2336" s="12">
        <v>708</v>
      </c>
      <c r="F2336" s="12" t="s">
        <v>6065</v>
      </c>
      <c r="G2336" s="12" t="str">
        <f t="shared" si="56"/>
        <v>7070834546282</v>
      </c>
      <c r="I2336" s="12">
        <v>34546282</v>
      </c>
      <c r="J2336" s="12" t="s">
        <v>6066</v>
      </c>
      <c r="K2336" s="12" t="s">
        <v>230</v>
      </c>
      <c r="L2336" s="12" t="s">
        <v>45</v>
      </c>
      <c r="M2336" s="12" t="s">
        <v>45</v>
      </c>
      <c r="N2336" s="12" t="s">
        <v>259</v>
      </c>
      <c r="O2336" s="12" t="s">
        <v>260</v>
      </c>
      <c r="P2336" s="88"/>
      <c r="AU2336" s="328" t="s">
        <v>1208</v>
      </c>
    </row>
    <row r="2337" spans="1:47" s="12" customFormat="1" ht="14.4" hidden="1" x14ac:dyDescent="0.3">
      <c r="A2337" s="12" t="s">
        <v>39</v>
      </c>
      <c r="B2337" s="12" t="s">
        <v>5815</v>
      </c>
      <c r="C2337" s="12">
        <v>70</v>
      </c>
      <c r="D2337" s="12">
        <v>708</v>
      </c>
      <c r="F2337" s="12" t="s">
        <v>6067</v>
      </c>
      <c r="G2337" s="12" t="str">
        <f t="shared" si="56"/>
        <v>707081104420474</v>
      </c>
      <c r="I2337" s="12">
        <v>1104420474</v>
      </c>
      <c r="J2337" s="12" t="s">
        <v>6068</v>
      </c>
      <c r="K2337" s="12" t="s">
        <v>230</v>
      </c>
      <c r="L2337" s="12" t="s">
        <v>45</v>
      </c>
      <c r="M2337" s="12" t="s">
        <v>45</v>
      </c>
      <c r="N2337" s="12" t="s">
        <v>259</v>
      </c>
      <c r="O2337" s="12" t="s">
        <v>260</v>
      </c>
      <c r="P2337" s="88"/>
      <c r="AU2337" s="328" t="s">
        <v>1208</v>
      </c>
    </row>
    <row r="2338" spans="1:47" s="12" customFormat="1" ht="14.4" hidden="1" x14ac:dyDescent="0.3">
      <c r="A2338" s="12" t="s">
        <v>39</v>
      </c>
      <c r="B2338" s="12" t="s">
        <v>5815</v>
      </c>
      <c r="C2338" s="12">
        <v>70</v>
      </c>
      <c r="D2338" s="12">
        <v>708</v>
      </c>
      <c r="F2338" s="12" t="s">
        <v>6069</v>
      </c>
      <c r="G2338" s="12" t="str">
        <f t="shared" si="56"/>
        <v>7070810880416</v>
      </c>
      <c r="I2338" s="12">
        <v>10880416</v>
      </c>
      <c r="J2338" s="12" t="s">
        <v>6070</v>
      </c>
      <c r="K2338" s="12" t="s">
        <v>230</v>
      </c>
      <c r="L2338" s="12" t="s">
        <v>45</v>
      </c>
      <c r="M2338" s="12" t="s">
        <v>45</v>
      </c>
      <c r="N2338" s="12" t="s">
        <v>259</v>
      </c>
      <c r="O2338" s="12" t="s">
        <v>260</v>
      </c>
      <c r="P2338" s="88"/>
      <c r="AU2338" s="328" t="s">
        <v>1208</v>
      </c>
    </row>
    <row r="2339" spans="1:47" s="12" customFormat="1" ht="14.4" hidden="1" x14ac:dyDescent="0.3">
      <c r="A2339" s="12" t="s">
        <v>39</v>
      </c>
      <c r="B2339" s="12" t="s">
        <v>5815</v>
      </c>
      <c r="C2339" s="12">
        <v>70</v>
      </c>
      <c r="D2339" s="12">
        <v>708</v>
      </c>
      <c r="F2339" s="12" t="s">
        <v>6071</v>
      </c>
      <c r="G2339" s="12" t="str">
        <f t="shared" si="56"/>
        <v>7070832008100</v>
      </c>
      <c r="I2339" s="12">
        <v>32008100</v>
      </c>
      <c r="J2339" s="12" t="s">
        <v>6072</v>
      </c>
      <c r="K2339" s="12" t="s">
        <v>230</v>
      </c>
      <c r="L2339" s="12" t="s">
        <v>45</v>
      </c>
      <c r="M2339" s="12" t="s">
        <v>45</v>
      </c>
      <c r="N2339" s="12" t="s">
        <v>259</v>
      </c>
      <c r="O2339" s="12" t="s">
        <v>260</v>
      </c>
      <c r="P2339" s="88"/>
      <c r="AU2339" s="328" t="s">
        <v>1208</v>
      </c>
    </row>
    <row r="2340" spans="1:47" s="12" customFormat="1" ht="14.4" hidden="1" x14ac:dyDescent="0.3">
      <c r="A2340" s="12" t="s">
        <v>39</v>
      </c>
      <c r="B2340" s="12" t="s">
        <v>5815</v>
      </c>
      <c r="C2340" s="12">
        <v>70</v>
      </c>
      <c r="D2340" s="12">
        <v>708</v>
      </c>
      <c r="F2340" s="12" t="s">
        <v>6073</v>
      </c>
      <c r="G2340" s="12" t="str">
        <f t="shared" si="56"/>
        <v>7070834940273</v>
      </c>
      <c r="I2340" s="12">
        <v>34940273</v>
      </c>
      <c r="J2340" s="12" t="s">
        <v>6074</v>
      </c>
      <c r="K2340" s="12" t="s">
        <v>230</v>
      </c>
      <c r="L2340" s="12" t="s">
        <v>45</v>
      </c>
      <c r="M2340" s="12" t="s">
        <v>45</v>
      </c>
      <c r="N2340" s="12" t="s">
        <v>259</v>
      </c>
      <c r="O2340" s="12" t="s">
        <v>260</v>
      </c>
      <c r="P2340" s="88"/>
      <c r="AU2340" s="328" t="s">
        <v>1208</v>
      </c>
    </row>
    <row r="2341" spans="1:47" s="12" customFormat="1" ht="14.4" hidden="1" x14ac:dyDescent="0.3">
      <c r="A2341" s="12" t="s">
        <v>39</v>
      </c>
      <c r="B2341" s="12" t="s">
        <v>5815</v>
      </c>
      <c r="C2341" s="12">
        <v>70</v>
      </c>
      <c r="D2341" s="12">
        <v>708</v>
      </c>
      <c r="F2341" s="12" t="s">
        <v>6075</v>
      </c>
      <c r="G2341" s="12" t="str">
        <f t="shared" si="56"/>
        <v>7070810848601</v>
      </c>
      <c r="I2341" s="12">
        <v>10848601</v>
      </c>
      <c r="J2341" s="12" t="s">
        <v>6076</v>
      </c>
      <c r="K2341" s="12" t="s">
        <v>230</v>
      </c>
      <c r="L2341" s="12" t="s">
        <v>45</v>
      </c>
      <c r="M2341" s="12" t="s">
        <v>45</v>
      </c>
      <c r="N2341" s="12" t="s">
        <v>259</v>
      </c>
      <c r="O2341" s="12" t="s">
        <v>260</v>
      </c>
      <c r="P2341" s="88"/>
      <c r="AU2341" s="328" t="s">
        <v>1208</v>
      </c>
    </row>
    <row r="2342" spans="1:47" s="12" customFormat="1" ht="14.4" hidden="1" x14ac:dyDescent="0.3">
      <c r="A2342" s="12" t="s">
        <v>39</v>
      </c>
      <c r="B2342" s="12" t="s">
        <v>5815</v>
      </c>
      <c r="C2342" s="12">
        <v>70</v>
      </c>
      <c r="D2342" s="12">
        <v>708</v>
      </c>
      <c r="F2342" s="12" t="s">
        <v>6077</v>
      </c>
      <c r="G2342" s="12" t="str">
        <f t="shared" ref="G2342:G2411" si="57">C2342&amp;D2342&amp;I2342</f>
        <v>707081040516160</v>
      </c>
      <c r="I2342" s="12">
        <v>1040516160</v>
      </c>
      <c r="J2342" s="12" t="s">
        <v>6078</v>
      </c>
      <c r="K2342" s="12" t="s">
        <v>230</v>
      </c>
      <c r="L2342" s="12" t="s">
        <v>45</v>
      </c>
      <c r="M2342" s="12" t="s">
        <v>45</v>
      </c>
      <c r="N2342" s="12" t="s">
        <v>259</v>
      </c>
      <c r="O2342" s="12" t="s">
        <v>260</v>
      </c>
      <c r="P2342" s="88"/>
      <c r="AU2342" s="328" t="s">
        <v>1208</v>
      </c>
    </row>
    <row r="2343" spans="1:47" s="12" customFormat="1" ht="14.4" hidden="1" x14ac:dyDescent="0.3">
      <c r="A2343" s="12" t="s">
        <v>39</v>
      </c>
      <c r="B2343" s="12" t="s">
        <v>5815</v>
      </c>
      <c r="C2343" s="12">
        <v>70</v>
      </c>
      <c r="D2343" s="12">
        <v>708</v>
      </c>
      <c r="F2343" s="12" t="s">
        <v>6079</v>
      </c>
      <c r="G2343" s="12" t="str">
        <f t="shared" si="57"/>
        <v>7070842885262</v>
      </c>
      <c r="I2343" s="12">
        <v>42885262</v>
      </c>
      <c r="J2343" s="12" t="s">
        <v>6080</v>
      </c>
      <c r="K2343" s="12" t="s">
        <v>230</v>
      </c>
      <c r="L2343" s="12" t="s">
        <v>45</v>
      </c>
      <c r="M2343" s="12" t="s">
        <v>45</v>
      </c>
      <c r="N2343" s="12" t="s">
        <v>259</v>
      </c>
      <c r="O2343" s="12" t="s">
        <v>260</v>
      </c>
      <c r="P2343" s="88"/>
      <c r="AU2343" s="328" t="s">
        <v>1208</v>
      </c>
    </row>
    <row r="2344" spans="1:47" s="12" customFormat="1" ht="14.4" hidden="1" x14ac:dyDescent="0.3">
      <c r="A2344" s="12" t="s">
        <v>39</v>
      </c>
      <c r="B2344" s="12" t="s">
        <v>5815</v>
      </c>
      <c r="C2344" s="12">
        <v>70</v>
      </c>
      <c r="D2344" s="12">
        <v>708</v>
      </c>
      <c r="F2344" s="12" t="s">
        <v>6073</v>
      </c>
      <c r="G2344" s="12" t="str">
        <f t="shared" si="57"/>
        <v>7070834940273</v>
      </c>
      <c r="I2344" s="12">
        <v>34940273</v>
      </c>
      <c r="J2344" s="12" t="s">
        <v>6074</v>
      </c>
      <c r="K2344" s="12" t="s">
        <v>230</v>
      </c>
      <c r="L2344" s="12" t="s">
        <v>45</v>
      </c>
      <c r="M2344" s="12" t="s">
        <v>45</v>
      </c>
      <c r="N2344" s="12" t="s">
        <v>259</v>
      </c>
      <c r="O2344" s="12" t="s">
        <v>260</v>
      </c>
      <c r="P2344" s="88"/>
      <c r="AU2344" s="328" t="s">
        <v>1208</v>
      </c>
    </row>
    <row r="2345" spans="1:47" s="12" customFormat="1" ht="14.4" hidden="1" x14ac:dyDescent="0.3">
      <c r="A2345" s="12" t="s">
        <v>39</v>
      </c>
      <c r="B2345" s="12" t="s">
        <v>5815</v>
      </c>
      <c r="C2345" s="12">
        <v>70</v>
      </c>
      <c r="D2345" s="12">
        <v>708</v>
      </c>
      <c r="F2345" s="12" t="s">
        <v>6075</v>
      </c>
      <c r="G2345" s="12" t="str">
        <f t="shared" si="57"/>
        <v>7070810848601</v>
      </c>
      <c r="I2345" s="12">
        <v>10848601</v>
      </c>
      <c r="J2345" s="12" t="s">
        <v>6076</v>
      </c>
      <c r="K2345" s="12" t="s">
        <v>230</v>
      </c>
      <c r="L2345" s="12" t="s">
        <v>45</v>
      </c>
      <c r="M2345" s="12" t="s">
        <v>45</v>
      </c>
      <c r="N2345" s="12" t="s">
        <v>259</v>
      </c>
      <c r="O2345" s="12" t="s">
        <v>260</v>
      </c>
      <c r="P2345" s="88"/>
      <c r="AU2345" s="328" t="s">
        <v>1208</v>
      </c>
    </row>
    <row r="2346" spans="1:47" s="12" customFormat="1" ht="14.4" hidden="1" x14ac:dyDescent="0.3">
      <c r="A2346" s="12" t="s">
        <v>39</v>
      </c>
      <c r="B2346" s="12" t="s">
        <v>5815</v>
      </c>
      <c r="C2346" s="12">
        <v>70</v>
      </c>
      <c r="D2346" s="12">
        <v>708</v>
      </c>
      <c r="F2346" s="12" t="s">
        <v>6077</v>
      </c>
      <c r="G2346" s="12" t="str">
        <f t="shared" si="57"/>
        <v>707081040516160</v>
      </c>
      <c r="I2346" s="12">
        <v>1040516160</v>
      </c>
      <c r="J2346" s="12" t="s">
        <v>6078</v>
      </c>
      <c r="K2346" s="12" t="s">
        <v>230</v>
      </c>
      <c r="L2346" s="12" t="s">
        <v>45</v>
      </c>
      <c r="M2346" s="12" t="s">
        <v>45</v>
      </c>
      <c r="N2346" s="12" t="s">
        <v>259</v>
      </c>
      <c r="O2346" s="12" t="s">
        <v>260</v>
      </c>
      <c r="P2346" s="88"/>
      <c r="AU2346" s="328" t="s">
        <v>1208</v>
      </c>
    </row>
    <row r="2347" spans="1:47" s="12" customFormat="1" ht="14.4" hidden="1" x14ac:dyDescent="0.3">
      <c r="A2347" s="12" t="s">
        <v>39</v>
      </c>
      <c r="B2347" s="12" t="s">
        <v>5815</v>
      </c>
      <c r="C2347" s="12">
        <v>70</v>
      </c>
      <c r="D2347" s="12">
        <v>708</v>
      </c>
      <c r="F2347" s="12" t="s">
        <v>6079</v>
      </c>
      <c r="G2347" s="12" t="str">
        <f t="shared" si="57"/>
        <v>7070842885262</v>
      </c>
      <c r="I2347" s="12">
        <v>42885262</v>
      </c>
      <c r="J2347" s="12" t="s">
        <v>6080</v>
      </c>
      <c r="K2347" s="12" t="s">
        <v>230</v>
      </c>
      <c r="L2347" s="12" t="s">
        <v>45</v>
      </c>
      <c r="M2347" s="12" t="s">
        <v>45</v>
      </c>
      <c r="N2347" s="12" t="s">
        <v>259</v>
      </c>
      <c r="O2347" s="12" t="s">
        <v>260</v>
      </c>
      <c r="P2347" s="88"/>
      <c r="AU2347" s="328" t="s">
        <v>1208</v>
      </c>
    </row>
    <row r="2348" spans="1:47" s="12" customFormat="1" ht="14.4" x14ac:dyDescent="0.3">
      <c r="A2348" s="12" t="s">
        <v>39</v>
      </c>
      <c r="B2348" s="12" t="s">
        <v>5815</v>
      </c>
      <c r="C2348" s="12">
        <v>70</v>
      </c>
      <c r="D2348" s="12">
        <v>708</v>
      </c>
      <c r="F2348" s="12" t="s">
        <v>6081</v>
      </c>
      <c r="G2348" s="12" t="str">
        <f t="shared" si="57"/>
        <v>7070892495286</v>
      </c>
      <c r="I2348" s="12">
        <v>92495286</v>
      </c>
      <c r="J2348" s="12" t="s">
        <v>6082</v>
      </c>
      <c r="K2348" s="12" t="s">
        <v>230</v>
      </c>
      <c r="L2348" s="12" t="s">
        <v>45</v>
      </c>
      <c r="M2348" s="12" t="s">
        <v>45</v>
      </c>
      <c r="N2348" s="12" t="s">
        <v>46</v>
      </c>
      <c r="O2348" s="12" t="s">
        <v>47</v>
      </c>
      <c r="P2348" s="88" t="s">
        <v>48</v>
      </c>
      <c r="AU2348" s="328" t="s">
        <v>1208</v>
      </c>
    </row>
    <row r="2349" spans="1:47" s="12" customFormat="1" ht="14.4" hidden="1" x14ac:dyDescent="0.3">
      <c r="A2349" s="12" t="s">
        <v>39</v>
      </c>
      <c r="B2349" s="12" t="s">
        <v>5815</v>
      </c>
      <c r="C2349" s="12">
        <v>70</v>
      </c>
      <c r="D2349" s="12">
        <v>708</v>
      </c>
      <c r="F2349" s="12" t="s">
        <v>6083</v>
      </c>
      <c r="G2349" s="12" t="str">
        <f t="shared" si="57"/>
        <v>70708</v>
      </c>
      <c r="K2349" s="12" t="s">
        <v>230</v>
      </c>
      <c r="N2349" s="12" t="s">
        <v>127</v>
      </c>
      <c r="O2349" s="12" t="s">
        <v>2822</v>
      </c>
      <c r="P2349" s="88"/>
      <c r="AU2349" s="328" t="s">
        <v>1208</v>
      </c>
    </row>
    <row r="2350" spans="1:47" s="12" customFormat="1" ht="14.4" hidden="1" x14ac:dyDescent="0.3">
      <c r="A2350" s="12" t="s">
        <v>39</v>
      </c>
      <c r="B2350" s="12" t="s">
        <v>5815</v>
      </c>
      <c r="C2350" s="12">
        <v>70</v>
      </c>
      <c r="D2350" s="12">
        <v>708</v>
      </c>
      <c r="F2350" s="12" t="s">
        <v>6084</v>
      </c>
      <c r="G2350" s="12" t="str">
        <f t="shared" si="57"/>
        <v>70708</v>
      </c>
      <c r="K2350" s="12" t="s">
        <v>230</v>
      </c>
      <c r="N2350" s="12" t="s">
        <v>127</v>
      </c>
      <c r="O2350" s="12" t="s">
        <v>2822</v>
      </c>
      <c r="P2350" s="88"/>
      <c r="AU2350" s="328" t="s">
        <v>1208</v>
      </c>
    </row>
    <row r="2351" spans="1:47" s="12" customFormat="1" ht="14.4" hidden="1" x14ac:dyDescent="0.3">
      <c r="A2351" s="12" t="s">
        <v>39</v>
      </c>
      <c r="B2351" s="12" t="s">
        <v>5815</v>
      </c>
      <c r="C2351" s="12">
        <v>70</v>
      </c>
      <c r="D2351" s="12">
        <v>708</v>
      </c>
      <c r="E2351" s="12" t="s">
        <v>8892</v>
      </c>
      <c r="F2351" s="12" t="s">
        <v>8893</v>
      </c>
      <c r="G2351" s="12" t="str">
        <f t="shared" si="57"/>
        <v>707088230036893</v>
      </c>
      <c r="H2351" s="12" t="s">
        <v>8894</v>
      </c>
      <c r="I2351" s="12">
        <v>8230036893</v>
      </c>
      <c r="J2351" s="12" t="s">
        <v>8895</v>
      </c>
      <c r="K2351" s="12" t="s">
        <v>230</v>
      </c>
      <c r="L2351" s="12">
        <v>3007610936</v>
      </c>
      <c r="M2351" s="17" t="s">
        <v>6199</v>
      </c>
      <c r="N2351" s="12" t="s">
        <v>127</v>
      </c>
      <c r="O2351" s="12" t="s">
        <v>2822</v>
      </c>
      <c r="P2351" s="88" t="s">
        <v>48</v>
      </c>
      <c r="Q2351" s="13">
        <v>45847</v>
      </c>
      <c r="R2351" s="12" t="s">
        <v>176</v>
      </c>
      <c r="S2351" s="12" t="s">
        <v>74</v>
      </c>
      <c r="T2351" s="12" t="s">
        <v>1198</v>
      </c>
      <c r="U2351" s="12" t="s">
        <v>2456</v>
      </c>
      <c r="AU2351" s="328" t="s">
        <v>53</v>
      </c>
    </row>
    <row r="2352" spans="1:47" s="12" customFormat="1" ht="14.4" hidden="1" x14ac:dyDescent="0.3">
      <c r="F2352" s="12" t="s">
        <v>9752</v>
      </c>
      <c r="J2352" s="12" t="s">
        <v>9753</v>
      </c>
      <c r="K2352" s="12" t="s">
        <v>133</v>
      </c>
      <c r="M2352" s="17"/>
      <c r="N2352" s="12" t="s">
        <v>127</v>
      </c>
      <c r="O2352" s="12" t="s">
        <v>2822</v>
      </c>
      <c r="P2352" s="88" t="s">
        <v>102</v>
      </c>
      <c r="Q2352" s="13"/>
      <c r="AU2352" s="328"/>
    </row>
    <row r="2353" spans="1:52" s="12" customFormat="1" ht="14.4" hidden="1" x14ac:dyDescent="0.3">
      <c r="A2353" s="12" t="s">
        <v>39</v>
      </c>
      <c r="B2353" s="12" t="s">
        <v>5815</v>
      </c>
      <c r="C2353" s="12">
        <v>70</v>
      </c>
      <c r="D2353" s="12">
        <v>708</v>
      </c>
      <c r="F2353" s="12" t="s">
        <v>9749</v>
      </c>
      <c r="G2353" s="12" t="str">
        <f t="shared" si="57"/>
        <v>70708</v>
      </c>
      <c r="J2353" s="12" t="s">
        <v>9750</v>
      </c>
      <c r="K2353" s="12" t="s">
        <v>230</v>
      </c>
      <c r="M2353" s="17"/>
      <c r="N2353" s="12" t="s">
        <v>127</v>
      </c>
      <c r="O2353" s="12" t="s">
        <v>2822</v>
      </c>
      <c r="P2353" s="88" t="s">
        <v>48</v>
      </c>
      <c r="Q2353" s="13"/>
      <c r="AU2353" s="328"/>
    </row>
    <row r="2354" spans="1:52" s="12" customFormat="1" ht="14.4" hidden="1" x14ac:dyDescent="0.3">
      <c r="F2354" s="12" t="s">
        <v>9754</v>
      </c>
      <c r="J2354" s="12" t="s">
        <v>9755</v>
      </c>
      <c r="K2354" s="12" t="s">
        <v>133</v>
      </c>
      <c r="M2354" s="17"/>
      <c r="N2354" s="12" t="s">
        <v>127</v>
      </c>
      <c r="O2354" s="12" t="s">
        <v>2822</v>
      </c>
      <c r="P2354" s="88" t="s">
        <v>48</v>
      </c>
      <c r="Q2354" s="13"/>
      <c r="AU2354" s="328"/>
    </row>
    <row r="2355" spans="1:52" s="12" customFormat="1" ht="14.4" hidden="1" x14ac:dyDescent="0.3">
      <c r="A2355" s="12" t="s">
        <v>39</v>
      </c>
      <c r="B2355" s="12" t="s">
        <v>5815</v>
      </c>
      <c r="C2355" s="12">
        <v>70</v>
      </c>
      <c r="D2355" s="12">
        <v>708</v>
      </c>
      <c r="E2355" s="12" t="s">
        <v>8631</v>
      </c>
      <c r="F2355" s="275" t="s">
        <v>8453</v>
      </c>
      <c r="G2355" s="12" t="str">
        <f t="shared" si="57"/>
        <v>707089020247794</v>
      </c>
      <c r="H2355" s="12" t="s">
        <v>710</v>
      </c>
      <c r="I2355" s="12">
        <v>9020247794</v>
      </c>
      <c r="J2355" s="12" t="s">
        <v>8454</v>
      </c>
      <c r="K2355" s="12" t="s">
        <v>44</v>
      </c>
      <c r="L2355" s="12">
        <v>3128341640</v>
      </c>
      <c r="M2355" s="12" t="s">
        <v>8455</v>
      </c>
      <c r="N2355" s="12" t="s">
        <v>127</v>
      </c>
      <c r="O2355" s="12" t="s">
        <v>2822</v>
      </c>
      <c r="P2355" s="88" t="s">
        <v>48</v>
      </c>
      <c r="Q2355" s="13">
        <v>46073</v>
      </c>
      <c r="R2355" s="12" t="s">
        <v>2148</v>
      </c>
      <c r="S2355" s="12" t="s">
        <v>8456</v>
      </c>
      <c r="U2355" s="12" t="s">
        <v>50</v>
      </c>
      <c r="AU2355" s="328" t="s">
        <v>53</v>
      </c>
    </row>
    <row r="2356" spans="1:52" s="12" customFormat="1" ht="14.4" hidden="1" x14ac:dyDescent="0.3">
      <c r="A2356" s="12" t="s">
        <v>39</v>
      </c>
      <c r="B2356" s="12" t="s">
        <v>5815</v>
      </c>
      <c r="C2356" s="12">
        <v>70</v>
      </c>
      <c r="D2356" s="12">
        <v>708</v>
      </c>
      <c r="E2356" s="12" t="s">
        <v>8631</v>
      </c>
      <c r="F2356" s="275" t="s">
        <v>8632</v>
      </c>
      <c r="G2356" s="12" t="str">
        <f t="shared" si="57"/>
        <v>707089020247794</v>
      </c>
      <c r="H2356" s="12" t="s">
        <v>710</v>
      </c>
      <c r="I2356" s="12">
        <v>9020247794</v>
      </c>
      <c r="J2356" s="12" t="s">
        <v>8633</v>
      </c>
      <c r="K2356" s="12" t="s">
        <v>133</v>
      </c>
      <c r="L2356" s="12">
        <v>3128341640</v>
      </c>
      <c r="M2356" s="12" t="s">
        <v>8634</v>
      </c>
      <c r="N2356" s="12" t="s">
        <v>127</v>
      </c>
      <c r="O2356" s="12" t="s">
        <v>2822</v>
      </c>
      <c r="P2356" s="88" t="s">
        <v>48</v>
      </c>
      <c r="Q2356" s="13">
        <v>46077</v>
      </c>
      <c r="R2356" s="12">
        <v>87</v>
      </c>
      <c r="S2356" s="12" t="s">
        <v>49</v>
      </c>
      <c r="U2356" s="12" t="s">
        <v>50</v>
      </c>
      <c r="AU2356" s="328" t="s">
        <v>53</v>
      </c>
    </row>
    <row r="2357" spans="1:52" s="12" customFormat="1" ht="14.4" hidden="1" x14ac:dyDescent="0.3">
      <c r="A2357" s="12" t="s">
        <v>39</v>
      </c>
      <c r="B2357" s="12" t="s">
        <v>5815</v>
      </c>
      <c r="C2357" s="12">
        <v>70</v>
      </c>
      <c r="D2357" s="12">
        <v>708</v>
      </c>
      <c r="E2357" s="12" t="s">
        <v>8631</v>
      </c>
      <c r="F2357" s="275" t="s">
        <v>8635</v>
      </c>
      <c r="G2357" s="12" t="str">
        <f t="shared" si="57"/>
        <v>707089020247794</v>
      </c>
      <c r="H2357" s="12" t="s">
        <v>710</v>
      </c>
      <c r="I2357" s="12">
        <v>9020247794</v>
      </c>
      <c r="J2357" s="12" t="s">
        <v>8636</v>
      </c>
      <c r="K2357" s="12" t="s">
        <v>44</v>
      </c>
      <c r="L2357" s="12">
        <v>3128341640</v>
      </c>
      <c r="M2357" s="12" t="s">
        <v>8335</v>
      </c>
      <c r="N2357" s="12" t="s">
        <v>127</v>
      </c>
      <c r="O2357" s="12" t="s">
        <v>2822</v>
      </c>
      <c r="P2357" s="88" t="s">
        <v>48</v>
      </c>
      <c r="Q2357" s="13">
        <v>46090</v>
      </c>
      <c r="R2357" s="12">
        <v>91</v>
      </c>
      <c r="S2357" s="12" t="s">
        <v>49</v>
      </c>
      <c r="T2357" s="12" t="s">
        <v>5854</v>
      </c>
      <c r="U2357" s="12" t="s">
        <v>60</v>
      </c>
      <c r="AU2357" s="328" t="s">
        <v>53</v>
      </c>
    </row>
    <row r="2358" spans="1:52" s="12" customFormat="1" ht="14.4" hidden="1" x14ac:dyDescent="0.3">
      <c r="A2358" s="12" t="s">
        <v>39</v>
      </c>
      <c r="B2358" s="12" t="s">
        <v>5815</v>
      </c>
      <c r="C2358" s="12">
        <v>70</v>
      </c>
      <c r="D2358" s="12">
        <v>708</v>
      </c>
      <c r="E2358" s="12" t="s">
        <v>8410</v>
      </c>
      <c r="F2358" s="275" t="s">
        <v>8638</v>
      </c>
      <c r="G2358" s="12" t="str">
        <f t="shared" si="57"/>
        <v>707089020211365</v>
      </c>
      <c r="H2358" s="12" t="s">
        <v>8639</v>
      </c>
      <c r="I2358" s="12">
        <v>9020211365</v>
      </c>
      <c r="J2358" s="12" t="s">
        <v>8640</v>
      </c>
      <c r="K2358" s="12" t="s">
        <v>44</v>
      </c>
      <c r="L2358" s="12">
        <v>318221256</v>
      </c>
      <c r="M2358" s="12" t="s">
        <v>8641</v>
      </c>
      <c r="N2358" s="12" t="s">
        <v>127</v>
      </c>
      <c r="O2358" s="12" t="s">
        <v>2822</v>
      </c>
      <c r="P2358" s="88" t="s">
        <v>48</v>
      </c>
      <c r="Q2358" s="13">
        <v>46104</v>
      </c>
      <c r="R2358" s="12" t="s">
        <v>8405</v>
      </c>
      <c r="S2358" s="12" t="s">
        <v>49</v>
      </c>
      <c r="T2358" s="12" t="s">
        <v>5854</v>
      </c>
      <c r="U2358" s="12" t="s">
        <v>50</v>
      </c>
      <c r="AU2358" s="328" t="s">
        <v>53</v>
      </c>
    </row>
    <row r="2359" spans="1:52" s="12" customFormat="1" ht="14.4" hidden="1" x14ac:dyDescent="0.3">
      <c r="A2359" s="12" t="s">
        <v>39</v>
      </c>
      <c r="B2359" s="12" t="s">
        <v>5815</v>
      </c>
      <c r="C2359" s="12">
        <v>70</v>
      </c>
      <c r="D2359" s="12">
        <v>708</v>
      </c>
      <c r="E2359" s="12" t="s">
        <v>8642</v>
      </c>
      <c r="F2359" s="275" t="s">
        <v>6085</v>
      </c>
      <c r="G2359" s="12" t="str">
        <f t="shared" si="57"/>
        <v>707089020247794</v>
      </c>
      <c r="H2359" s="12" t="s">
        <v>710</v>
      </c>
      <c r="I2359" s="12">
        <v>9020247794</v>
      </c>
      <c r="J2359" s="12" t="s">
        <v>6086</v>
      </c>
      <c r="K2359" s="12" t="s">
        <v>230</v>
      </c>
      <c r="L2359" s="12">
        <v>3128341640</v>
      </c>
      <c r="M2359" s="12" t="s">
        <v>8634</v>
      </c>
      <c r="N2359" s="12" t="s">
        <v>127</v>
      </c>
      <c r="O2359" s="12" t="s">
        <v>2822</v>
      </c>
      <c r="P2359" s="88" t="s">
        <v>48</v>
      </c>
      <c r="Q2359" s="13">
        <v>46098</v>
      </c>
      <c r="R2359" s="12">
        <v>88</v>
      </c>
      <c r="S2359" s="12" t="s">
        <v>74</v>
      </c>
      <c r="T2359" s="12" t="s">
        <v>5854</v>
      </c>
      <c r="U2359" s="12" t="s">
        <v>60</v>
      </c>
      <c r="V2359" s="13">
        <v>45737</v>
      </c>
      <c r="W2359" s="12" t="s">
        <v>1906</v>
      </c>
      <c r="X2359" s="12" t="s">
        <v>49</v>
      </c>
      <c r="Z2359" s="12" t="s">
        <v>2881</v>
      </c>
      <c r="AU2359" s="328" t="s">
        <v>1208</v>
      </c>
      <c r="AZ2359" s="12" t="s">
        <v>51</v>
      </c>
    </row>
    <row r="2360" spans="1:52" s="12" customFormat="1" ht="14.4" hidden="1" x14ac:dyDescent="0.3">
      <c r="A2360" s="12" t="s">
        <v>39</v>
      </c>
      <c r="B2360" s="12" t="s">
        <v>5815</v>
      </c>
      <c r="C2360" s="12">
        <v>70</v>
      </c>
      <c r="D2360" s="12">
        <v>708</v>
      </c>
      <c r="E2360" s="12" t="s">
        <v>8631</v>
      </c>
      <c r="F2360" s="275" t="s">
        <v>6087</v>
      </c>
      <c r="G2360" s="12" t="str">
        <f t="shared" si="57"/>
        <v>707089020247794</v>
      </c>
      <c r="H2360" s="12" t="s">
        <v>710</v>
      </c>
      <c r="I2360" s="12">
        <v>9020247794</v>
      </c>
      <c r="J2360" s="12" t="s">
        <v>6088</v>
      </c>
      <c r="K2360" s="12" t="s">
        <v>230</v>
      </c>
      <c r="L2360" s="12">
        <v>3128341640</v>
      </c>
      <c r="M2360" s="12" t="s">
        <v>8637</v>
      </c>
      <c r="N2360" s="12" t="s">
        <v>127</v>
      </c>
      <c r="O2360" s="12" t="s">
        <v>2822</v>
      </c>
      <c r="P2360" s="88" t="s">
        <v>48</v>
      </c>
      <c r="Q2360" s="13">
        <v>46097</v>
      </c>
      <c r="R2360" s="12" t="s">
        <v>8405</v>
      </c>
      <c r="S2360" s="12" t="s">
        <v>49</v>
      </c>
      <c r="T2360" s="12" t="s">
        <v>5854</v>
      </c>
      <c r="U2360" s="12" t="s">
        <v>50</v>
      </c>
      <c r="V2360" s="13">
        <v>45742</v>
      </c>
      <c r="W2360" s="16">
        <v>0.83</v>
      </c>
      <c r="X2360" s="12" t="s">
        <v>49</v>
      </c>
      <c r="Y2360" s="12" t="s">
        <v>5854</v>
      </c>
      <c r="Z2360" s="12" t="s">
        <v>2881</v>
      </c>
      <c r="AU2360" s="328" t="s">
        <v>1208</v>
      </c>
      <c r="AZ2360" s="12" t="s">
        <v>51</v>
      </c>
    </row>
    <row r="2361" spans="1:52" s="12" customFormat="1" ht="14.4" hidden="1" x14ac:dyDescent="0.3">
      <c r="A2361" s="12" t="s">
        <v>39</v>
      </c>
      <c r="B2361" s="12" t="s">
        <v>5815</v>
      </c>
      <c r="C2361" s="12">
        <v>70</v>
      </c>
      <c r="D2361" s="12">
        <v>708</v>
      </c>
      <c r="E2361" s="12" t="s">
        <v>8631</v>
      </c>
      <c r="F2361" s="275" t="s">
        <v>6089</v>
      </c>
      <c r="G2361" s="12" t="str">
        <f t="shared" si="57"/>
        <v>707089020247794</v>
      </c>
      <c r="H2361" s="12" t="s">
        <v>710</v>
      </c>
      <c r="I2361" s="12">
        <v>9020247794</v>
      </c>
      <c r="J2361" s="12" t="s">
        <v>6090</v>
      </c>
      <c r="K2361" s="12" t="s">
        <v>230</v>
      </c>
      <c r="L2361" s="12">
        <v>3128341640</v>
      </c>
      <c r="M2361" s="17" t="s">
        <v>8455</v>
      </c>
      <c r="N2361" s="12" t="s">
        <v>127</v>
      </c>
      <c r="O2361" s="12" t="s">
        <v>2822</v>
      </c>
      <c r="P2361" s="88" t="s">
        <v>48</v>
      </c>
      <c r="Q2361" s="13">
        <v>46080</v>
      </c>
      <c r="R2361" s="12" t="s">
        <v>176</v>
      </c>
      <c r="S2361" s="12" t="s">
        <v>49</v>
      </c>
      <c r="T2361" s="12" t="s">
        <v>5854</v>
      </c>
      <c r="U2361" s="12" t="s">
        <v>60</v>
      </c>
      <c r="V2361" s="13">
        <v>45730</v>
      </c>
      <c r="W2361" s="16">
        <v>0.8</v>
      </c>
      <c r="X2361" s="12" t="s">
        <v>49</v>
      </c>
      <c r="Y2361" s="12" t="s">
        <v>5854</v>
      </c>
      <c r="Z2361" s="12" t="s">
        <v>2881</v>
      </c>
      <c r="AC2361" s="13">
        <v>45521</v>
      </c>
      <c r="AD2361" s="12" t="s">
        <v>6091</v>
      </c>
      <c r="AE2361" s="12" t="s">
        <v>210</v>
      </c>
      <c r="AF2361" s="12" t="s">
        <v>50</v>
      </c>
      <c r="AU2361" s="328" t="s">
        <v>1208</v>
      </c>
    </row>
    <row r="2362" spans="1:52" s="12" customFormat="1" ht="14.4" hidden="1" x14ac:dyDescent="0.3">
      <c r="A2362" s="12" t="s">
        <v>39</v>
      </c>
      <c r="B2362" s="12" t="s">
        <v>5815</v>
      </c>
      <c r="C2362" s="12">
        <v>70</v>
      </c>
      <c r="D2362" s="12">
        <v>708</v>
      </c>
      <c r="E2362" s="12" t="s">
        <v>8642</v>
      </c>
      <c r="F2362" s="275" t="s">
        <v>8862</v>
      </c>
      <c r="G2362" s="12" t="str">
        <f t="shared" si="57"/>
        <v>707089020247794</v>
      </c>
      <c r="H2362" s="12" t="s">
        <v>710</v>
      </c>
      <c r="I2362" s="12">
        <v>9020247794</v>
      </c>
      <c r="J2362" s="12" t="s">
        <v>8863</v>
      </c>
      <c r="K2362" s="12" t="s">
        <v>133</v>
      </c>
      <c r="L2362" s="12">
        <v>3128341640</v>
      </c>
      <c r="M2362" s="17" t="s">
        <v>8335</v>
      </c>
      <c r="N2362" s="12" t="s">
        <v>127</v>
      </c>
      <c r="O2362" s="12" t="s">
        <v>2822</v>
      </c>
      <c r="P2362" s="88" t="s">
        <v>48</v>
      </c>
      <c r="Q2362" s="13">
        <v>46129</v>
      </c>
      <c r="R2362" s="12" t="s">
        <v>8683</v>
      </c>
      <c r="S2362" s="12" t="s">
        <v>49</v>
      </c>
      <c r="T2362" s="12" t="s">
        <v>5854</v>
      </c>
      <c r="U2362" s="12" t="s">
        <v>60</v>
      </c>
      <c r="V2362" s="13"/>
      <c r="W2362" s="16"/>
      <c r="AC2362" s="13"/>
      <c r="AU2362" s="328" t="s">
        <v>53</v>
      </c>
    </row>
    <row r="2363" spans="1:52" s="12" customFormat="1" ht="14.4" hidden="1" x14ac:dyDescent="0.3">
      <c r="A2363" s="12" t="s">
        <v>39</v>
      </c>
      <c r="B2363" s="12" t="s">
        <v>5815</v>
      </c>
      <c r="C2363" s="12">
        <v>70</v>
      </c>
      <c r="D2363" s="12">
        <v>708</v>
      </c>
      <c r="E2363" s="12" t="s">
        <v>8642</v>
      </c>
      <c r="F2363" s="275" t="s">
        <v>8864</v>
      </c>
      <c r="G2363" s="12" t="str">
        <f t="shared" si="57"/>
        <v>707089020247794</v>
      </c>
      <c r="H2363" s="12" t="s">
        <v>710</v>
      </c>
      <c r="I2363" s="12">
        <v>9020247794</v>
      </c>
      <c r="J2363" s="12" t="s">
        <v>8865</v>
      </c>
      <c r="K2363" s="12" t="s">
        <v>230</v>
      </c>
      <c r="L2363" s="12">
        <v>3128341640</v>
      </c>
      <c r="M2363" s="17" t="s">
        <v>8866</v>
      </c>
      <c r="N2363" s="12" t="s">
        <v>127</v>
      </c>
      <c r="O2363" s="12" t="s">
        <v>2822</v>
      </c>
      <c r="P2363" s="88" t="s">
        <v>48</v>
      </c>
      <c r="Q2363" s="13">
        <v>46091</v>
      </c>
      <c r="R2363" s="12">
        <v>89</v>
      </c>
      <c r="S2363" s="12" t="s">
        <v>49</v>
      </c>
      <c r="T2363" s="12" t="s">
        <v>8867</v>
      </c>
      <c r="U2363" s="12" t="s">
        <v>60</v>
      </c>
      <c r="V2363" s="13"/>
      <c r="W2363" s="16"/>
      <c r="AC2363" s="13"/>
      <c r="AU2363" s="328" t="s">
        <v>53</v>
      </c>
    </row>
    <row r="2364" spans="1:52" s="12" customFormat="1" ht="28.8" hidden="1" x14ac:dyDescent="0.3">
      <c r="A2364" s="12" t="s">
        <v>39</v>
      </c>
      <c r="B2364" s="12" t="s">
        <v>5815</v>
      </c>
      <c r="C2364" s="12">
        <v>70</v>
      </c>
      <c r="D2364" s="12">
        <v>708</v>
      </c>
      <c r="F2364" s="276" t="s">
        <v>9412</v>
      </c>
      <c r="G2364" s="12" t="str">
        <f t="shared" si="57"/>
        <v>707089020483795</v>
      </c>
      <c r="H2364" s="12" t="s">
        <v>9413</v>
      </c>
      <c r="I2364" s="12">
        <v>9020483795</v>
      </c>
      <c r="J2364" s="12" t="s">
        <v>9414</v>
      </c>
      <c r="K2364" s="12" t="s">
        <v>44</v>
      </c>
      <c r="L2364" s="12">
        <v>3205632265</v>
      </c>
      <c r="M2364" s="17" t="s">
        <v>9415</v>
      </c>
      <c r="N2364" s="12" t="s">
        <v>8717</v>
      </c>
      <c r="O2364" s="12" t="s">
        <v>7652</v>
      </c>
      <c r="P2364" s="88" t="s">
        <v>80</v>
      </c>
      <c r="Q2364" s="13">
        <v>46120</v>
      </c>
      <c r="R2364" s="12">
        <v>100</v>
      </c>
      <c r="S2364" s="12" t="s">
        <v>210</v>
      </c>
      <c r="T2364" s="12" t="s">
        <v>9416</v>
      </c>
      <c r="U2364" s="12" t="s">
        <v>2456</v>
      </c>
      <c r="V2364" s="13"/>
      <c r="W2364" s="16"/>
      <c r="AC2364" s="13"/>
      <c r="AU2364" s="328" t="s">
        <v>53</v>
      </c>
    </row>
    <row r="2365" spans="1:52" s="12" customFormat="1" ht="14.4" hidden="1" x14ac:dyDescent="0.3">
      <c r="A2365" s="12" t="s">
        <v>39</v>
      </c>
      <c r="B2365" s="12" t="s">
        <v>5815</v>
      </c>
      <c r="C2365" s="12">
        <v>70</v>
      </c>
      <c r="D2365" s="12">
        <v>708</v>
      </c>
      <c r="E2365" s="12" t="s">
        <v>6092</v>
      </c>
      <c r="F2365" s="275" t="s">
        <v>6093</v>
      </c>
      <c r="G2365" s="12" t="str">
        <f t="shared" si="57"/>
        <v>707088230030871</v>
      </c>
      <c r="H2365" s="12" t="s">
        <v>6094</v>
      </c>
      <c r="I2365" s="12">
        <v>8230030871</v>
      </c>
      <c r="J2365" s="12" t="s">
        <v>8527</v>
      </c>
      <c r="K2365" s="12" t="s">
        <v>192</v>
      </c>
      <c r="L2365" s="12">
        <v>3147188483</v>
      </c>
      <c r="M2365" s="17" t="s">
        <v>6095</v>
      </c>
      <c r="N2365" s="12" t="s">
        <v>127</v>
      </c>
      <c r="O2365" s="12" t="s">
        <v>2822</v>
      </c>
      <c r="P2365" s="88" t="s">
        <v>48</v>
      </c>
      <c r="Q2365" s="13">
        <v>45819</v>
      </c>
      <c r="R2365" s="12" t="s">
        <v>81</v>
      </c>
      <c r="S2365" s="12" t="s">
        <v>49</v>
      </c>
      <c r="T2365" s="12" t="s">
        <v>5854</v>
      </c>
      <c r="U2365" s="12" t="s">
        <v>60</v>
      </c>
      <c r="V2365" s="13">
        <v>45152</v>
      </c>
      <c r="W2365" s="16">
        <v>0.81</v>
      </c>
      <c r="X2365" s="12" t="s">
        <v>74</v>
      </c>
      <c r="Z2365" s="12" t="s">
        <v>50</v>
      </c>
      <c r="AA2365" s="12" t="s">
        <v>51</v>
      </c>
      <c r="AB2365" s="12" t="s">
        <v>51</v>
      </c>
      <c r="AU2365" s="328" t="s">
        <v>1208</v>
      </c>
    </row>
    <row r="2366" spans="1:52" s="12" customFormat="1" ht="14.4" hidden="1" x14ac:dyDescent="0.3">
      <c r="A2366" s="12" t="s">
        <v>39</v>
      </c>
      <c r="B2366" s="12" t="s">
        <v>5815</v>
      </c>
      <c r="C2366" s="12">
        <v>70</v>
      </c>
      <c r="D2366" s="12">
        <v>708</v>
      </c>
      <c r="E2366" s="12" t="s">
        <v>6096</v>
      </c>
      <c r="F2366" s="275" t="s">
        <v>6097</v>
      </c>
      <c r="G2366" s="12" t="str">
        <f t="shared" si="57"/>
        <v>707089013824626</v>
      </c>
      <c r="H2366" s="12" t="s">
        <v>6098</v>
      </c>
      <c r="I2366" s="12">
        <v>9013824626</v>
      </c>
      <c r="J2366" s="12" t="s">
        <v>6099</v>
      </c>
      <c r="K2366" s="12" t="s">
        <v>230</v>
      </c>
      <c r="L2366" s="12">
        <v>3234987071</v>
      </c>
      <c r="M2366" s="17" t="s">
        <v>6100</v>
      </c>
      <c r="N2366" s="12" t="s">
        <v>127</v>
      </c>
      <c r="O2366" s="12" t="s">
        <v>2822</v>
      </c>
      <c r="P2366" s="88" t="s">
        <v>48</v>
      </c>
      <c r="Q2366" s="13">
        <v>45824</v>
      </c>
      <c r="R2366" s="16">
        <v>0.78</v>
      </c>
      <c r="S2366" s="12" t="s">
        <v>49</v>
      </c>
      <c r="T2366" s="12" t="s">
        <v>5854</v>
      </c>
      <c r="U2366" s="12" t="s">
        <v>60</v>
      </c>
      <c r="V2366" s="13">
        <v>45149</v>
      </c>
      <c r="W2366" s="16">
        <v>0.85</v>
      </c>
      <c r="X2366" s="12" t="s">
        <v>74</v>
      </c>
      <c r="Y2366" s="12" t="s">
        <v>5854</v>
      </c>
      <c r="Z2366" s="12" t="s">
        <v>60</v>
      </c>
      <c r="AA2366" s="12" t="s">
        <v>51</v>
      </c>
      <c r="AB2366" s="12" t="s">
        <v>51</v>
      </c>
      <c r="AU2366" s="328" t="s">
        <v>1208</v>
      </c>
      <c r="AZ2366" s="12" t="s">
        <v>52</v>
      </c>
    </row>
    <row r="2367" spans="1:52" s="12" customFormat="1" ht="14.4" hidden="1" x14ac:dyDescent="0.3">
      <c r="A2367" s="12" t="s">
        <v>39</v>
      </c>
      <c r="B2367" s="12" t="s">
        <v>5815</v>
      </c>
      <c r="C2367" s="12">
        <v>70</v>
      </c>
      <c r="D2367" s="12">
        <v>708</v>
      </c>
      <c r="F2367" s="12" t="s">
        <v>6101</v>
      </c>
      <c r="G2367" s="12" t="str">
        <f t="shared" si="57"/>
        <v>70708</v>
      </c>
      <c r="K2367" s="12" t="s">
        <v>230</v>
      </c>
      <c r="N2367" s="12" t="s">
        <v>127</v>
      </c>
      <c r="O2367" s="12" t="s">
        <v>2822</v>
      </c>
      <c r="P2367" s="88"/>
      <c r="AU2367" s="328" t="s">
        <v>1208</v>
      </c>
    </row>
    <row r="2368" spans="1:52" s="12" customFormat="1" ht="14.4" hidden="1" x14ac:dyDescent="0.3">
      <c r="A2368" s="12" t="s">
        <v>39</v>
      </c>
      <c r="B2368" s="12" t="s">
        <v>5815</v>
      </c>
      <c r="C2368" s="12">
        <v>70</v>
      </c>
      <c r="D2368" s="12">
        <v>708</v>
      </c>
      <c r="E2368" s="12" t="s">
        <v>6102</v>
      </c>
      <c r="F2368" s="12" t="s">
        <v>6103</v>
      </c>
      <c r="G2368" s="12" t="str">
        <f t="shared" si="57"/>
        <v>707088230030871</v>
      </c>
      <c r="H2368" s="12" t="s">
        <v>6094</v>
      </c>
      <c r="I2368" s="12">
        <v>8230030871</v>
      </c>
      <c r="J2368" s="12" t="s">
        <v>6104</v>
      </c>
      <c r="K2368" s="12" t="s">
        <v>230</v>
      </c>
      <c r="L2368" s="12">
        <v>3146199779</v>
      </c>
      <c r="M2368" s="17" t="s">
        <v>6105</v>
      </c>
      <c r="N2368" s="12" t="s">
        <v>127</v>
      </c>
      <c r="O2368" s="12" t="s">
        <v>2822</v>
      </c>
      <c r="P2368" s="88" t="s">
        <v>48</v>
      </c>
      <c r="Q2368" s="13">
        <v>45800</v>
      </c>
      <c r="R2368" s="16">
        <v>0.79</v>
      </c>
      <c r="S2368" s="12" t="s">
        <v>49</v>
      </c>
      <c r="T2368" s="12" t="s">
        <v>5854</v>
      </c>
      <c r="U2368" s="12" t="s">
        <v>60</v>
      </c>
      <c r="AA2368" s="12" t="s">
        <v>51</v>
      </c>
      <c r="AB2368" s="12" t="s">
        <v>51</v>
      </c>
      <c r="AU2368" s="328" t="s">
        <v>1208</v>
      </c>
    </row>
    <row r="2369" spans="1:52" s="12" customFormat="1" ht="14.4" hidden="1" x14ac:dyDescent="0.3">
      <c r="A2369" s="12" t="s">
        <v>39</v>
      </c>
      <c r="B2369" s="12" t="s">
        <v>5815</v>
      </c>
      <c r="C2369" s="12">
        <v>70</v>
      </c>
      <c r="D2369" s="12">
        <v>708</v>
      </c>
      <c r="E2369" s="12" t="s">
        <v>6102</v>
      </c>
      <c r="F2369" s="12" t="s">
        <v>6106</v>
      </c>
      <c r="G2369" s="12" t="str">
        <f t="shared" si="57"/>
        <v>707088230030871</v>
      </c>
      <c r="H2369" s="12" t="s">
        <v>6094</v>
      </c>
      <c r="I2369" s="12">
        <v>8230030871</v>
      </c>
      <c r="J2369" s="12" t="s">
        <v>6107</v>
      </c>
      <c r="K2369" s="12" t="s">
        <v>133</v>
      </c>
      <c r="L2369" s="12">
        <v>302600411</v>
      </c>
      <c r="M2369" s="17" t="s">
        <v>6108</v>
      </c>
      <c r="N2369" s="12" t="s">
        <v>127</v>
      </c>
      <c r="O2369" s="12" t="s">
        <v>2822</v>
      </c>
      <c r="P2369" s="88" t="s">
        <v>48</v>
      </c>
      <c r="Q2369" s="13">
        <v>45848</v>
      </c>
      <c r="R2369" s="12" t="s">
        <v>1906</v>
      </c>
      <c r="S2369" s="12" t="s">
        <v>49</v>
      </c>
      <c r="T2369" s="12" t="s">
        <v>5854</v>
      </c>
      <c r="U2369" s="12" t="s">
        <v>60</v>
      </c>
      <c r="AA2369" s="12" t="s">
        <v>51</v>
      </c>
      <c r="AB2369" s="12" t="s">
        <v>51</v>
      </c>
      <c r="AU2369" s="328" t="s">
        <v>1208</v>
      </c>
    </row>
    <row r="2370" spans="1:52" s="12" customFormat="1" ht="14.4" hidden="1" x14ac:dyDescent="0.3">
      <c r="A2370" s="12" t="s">
        <v>39</v>
      </c>
      <c r="B2370" s="12" t="s">
        <v>5815</v>
      </c>
      <c r="C2370" s="12">
        <v>70</v>
      </c>
      <c r="D2370" s="12">
        <v>708</v>
      </c>
      <c r="E2370" s="12" t="s">
        <v>6102</v>
      </c>
      <c r="F2370" s="12" t="s">
        <v>6109</v>
      </c>
      <c r="G2370" s="12" t="str">
        <f t="shared" si="57"/>
        <v>707088230030871</v>
      </c>
      <c r="H2370" s="12" t="s">
        <v>6110</v>
      </c>
      <c r="I2370" s="12">
        <v>8230030871</v>
      </c>
      <c r="J2370" s="12" t="s">
        <v>6111</v>
      </c>
      <c r="K2370" s="12" t="s">
        <v>230</v>
      </c>
      <c r="L2370" s="12">
        <v>3226772785</v>
      </c>
      <c r="M2370" s="17" t="s">
        <v>6112</v>
      </c>
      <c r="N2370" s="12" t="s">
        <v>127</v>
      </c>
      <c r="O2370" s="12" t="s">
        <v>2822</v>
      </c>
      <c r="P2370" s="88" t="s">
        <v>48</v>
      </c>
      <c r="Q2370" s="13">
        <v>45866</v>
      </c>
      <c r="R2370" s="16">
        <v>0.79</v>
      </c>
      <c r="S2370" s="12" t="s">
        <v>49</v>
      </c>
      <c r="T2370" s="12" t="s">
        <v>5854</v>
      </c>
      <c r="U2370" s="12" t="s">
        <v>60</v>
      </c>
      <c r="V2370" s="13">
        <v>45132</v>
      </c>
      <c r="W2370" s="16">
        <v>0.88</v>
      </c>
      <c r="X2370" s="12" t="s">
        <v>74</v>
      </c>
      <c r="Z2370" s="12" t="s">
        <v>60</v>
      </c>
      <c r="AA2370" s="12" t="s">
        <v>51</v>
      </c>
      <c r="AB2370" s="12" t="s">
        <v>51</v>
      </c>
      <c r="AU2370" s="328" t="s">
        <v>1208</v>
      </c>
      <c r="AZ2370" s="12" t="s">
        <v>51</v>
      </c>
    </row>
    <row r="2371" spans="1:52" s="12" customFormat="1" ht="14.4" hidden="1" x14ac:dyDescent="0.3">
      <c r="A2371" s="12" t="s">
        <v>39</v>
      </c>
      <c r="B2371" s="12" t="s">
        <v>5815</v>
      </c>
      <c r="C2371" s="12">
        <v>70</v>
      </c>
      <c r="D2371" s="12">
        <v>708</v>
      </c>
      <c r="E2371" s="12" t="s">
        <v>2817</v>
      </c>
      <c r="F2371" s="12" t="s">
        <v>6113</v>
      </c>
      <c r="G2371" s="12" t="str">
        <f t="shared" si="57"/>
        <v>70708</v>
      </c>
      <c r="K2371" s="12" t="s">
        <v>230</v>
      </c>
      <c r="N2371" s="12" t="s">
        <v>127</v>
      </c>
      <c r="O2371" s="12" t="s">
        <v>2822</v>
      </c>
      <c r="P2371" s="88"/>
      <c r="AU2371" s="328" t="s">
        <v>1208</v>
      </c>
    </row>
    <row r="2372" spans="1:52" s="12" customFormat="1" ht="14.4" hidden="1" x14ac:dyDescent="0.3">
      <c r="A2372" s="12" t="s">
        <v>39</v>
      </c>
      <c r="B2372" s="12" t="s">
        <v>5815</v>
      </c>
      <c r="C2372" s="12">
        <v>70</v>
      </c>
      <c r="D2372" s="12">
        <v>708</v>
      </c>
      <c r="F2372" s="12" t="s">
        <v>6114</v>
      </c>
      <c r="G2372" s="12" t="str">
        <f t="shared" si="57"/>
        <v>70708</v>
      </c>
      <c r="K2372" s="12" t="s">
        <v>230</v>
      </c>
      <c r="N2372" s="12" t="s">
        <v>127</v>
      </c>
      <c r="O2372" s="12" t="s">
        <v>2822</v>
      </c>
      <c r="P2372" s="88"/>
      <c r="AU2372" s="328" t="s">
        <v>1208</v>
      </c>
    </row>
    <row r="2373" spans="1:52" s="12" customFormat="1" ht="14.4" hidden="1" x14ac:dyDescent="0.3">
      <c r="A2373" s="12" t="s">
        <v>39</v>
      </c>
      <c r="B2373" s="12" t="s">
        <v>5815</v>
      </c>
      <c r="C2373" s="12">
        <v>70</v>
      </c>
      <c r="D2373" s="12">
        <v>708</v>
      </c>
      <c r="E2373" s="12" t="s">
        <v>6092</v>
      </c>
      <c r="F2373" s="12" t="s">
        <v>6115</v>
      </c>
      <c r="G2373" s="12" t="str">
        <f t="shared" si="57"/>
        <v>707088230030871</v>
      </c>
      <c r="H2373" s="12" t="s">
        <v>6094</v>
      </c>
      <c r="I2373" s="12">
        <v>8230030871</v>
      </c>
      <c r="J2373" s="12" t="s">
        <v>6116</v>
      </c>
      <c r="K2373" s="12" t="s">
        <v>230</v>
      </c>
      <c r="L2373" s="12">
        <v>3207532168</v>
      </c>
      <c r="M2373" s="12" t="s">
        <v>45</v>
      </c>
      <c r="N2373" s="12" t="s">
        <v>127</v>
      </c>
      <c r="O2373" s="12" t="s">
        <v>2822</v>
      </c>
      <c r="P2373" s="88"/>
      <c r="AU2373" s="328" t="s">
        <v>1208</v>
      </c>
    </row>
    <row r="2374" spans="1:52" s="12" customFormat="1" ht="14.4" hidden="1" x14ac:dyDescent="0.3">
      <c r="A2374" s="12" t="s">
        <v>39</v>
      </c>
      <c r="B2374" s="12" t="s">
        <v>5815</v>
      </c>
      <c r="C2374" s="12">
        <v>70</v>
      </c>
      <c r="D2374" s="12">
        <v>708</v>
      </c>
      <c r="E2374" s="12" t="s">
        <v>2817</v>
      </c>
      <c r="F2374" s="12" t="s">
        <v>6117</v>
      </c>
      <c r="G2374" s="12" t="str">
        <f t="shared" si="57"/>
        <v>70708</v>
      </c>
      <c r="K2374" s="12" t="s">
        <v>230</v>
      </c>
      <c r="N2374" s="12" t="s">
        <v>127</v>
      </c>
      <c r="O2374" s="12" t="s">
        <v>2822</v>
      </c>
      <c r="P2374" s="88"/>
      <c r="AU2374" s="328" t="s">
        <v>1208</v>
      </c>
    </row>
    <row r="2375" spans="1:52" s="12" customFormat="1" ht="14.4" hidden="1" x14ac:dyDescent="0.3">
      <c r="A2375" s="12" t="s">
        <v>39</v>
      </c>
      <c r="B2375" s="12" t="s">
        <v>5815</v>
      </c>
      <c r="C2375" s="12">
        <v>70</v>
      </c>
      <c r="D2375" s="12">
        <v>708</v>
      </c>
      <c r="E2375" s="12" t="s">
        <v>2817</v>
      </c>
      <c r="F2375" s="12" t="s">
        <v>6118</v>
      </c>
      <c r="G2375" s="12" t="str">
        <f t="shared" si="57"/>
        <v>70708</v>
      </c>
      <c r="K2375" s="12" t="s">
        <v>230</v>
      </c>
      <c r="N2375" s="12" t="s">
        <v>127</v>
      </c>
      <c r="O2375" s="12" t="s">
        <v>2822</v>
      </c>
      <c r="P2375" s="88"/>
      <c r="AU2375" s="328" t="s">
        <v>1208</v>
      </c>
    </row>
    <row r="2376" spans="1:52" s="12" customFormat="1" ht="14.4" hidden="1" x14ac:dyDescent="0.3">
      <c r="A2376" s="12" t="s">
        <v>39</v>
      </c>
      <c r="B2376" s="12" t="s">
        <v>5815</v>
      </c>
      <c r="C2376" s="12">
        <v>70</v>
      </c>
      <c r="D2376" s="12">
        <v>708</v>
      </c>
      <c r="E2376" s="12" t="s">
        <v>2817</v>
      </c>
      <c r="F2376" s="12" t="s">
        <v>6119</v>
      </c>
      <c r="G2376" s="12" t="str">
        <f t="shared" si="57"/>
        <v>70708</v>
      </c>
      <c r="K2376" s="12" t="s">
        <v>230</v>
      </c>
      <c r="N2376" s="12" t="s">
        <v>127</v>
      </c>
      <c r="O2376" s="12" t="s">
        <v>2822</v>
      </c>
      <c r="P2376" s="88"/>
      <c r="AU2376" s="328" t="s">
        <v>1208</v>
      </c>
    </row>
    <row r="2377" spans="1:52" s="12" customFormat="1" ht="14.4" hidden="1" x14ac:dyDescent="0.3">
      <c r="A2377" s="12" t="s">
        <v>39</v>
      </c>
      <c r="B2377" s="12" t="s">
        <v>5815</v>
      </c>
      <c r="C2377" s="12">
        <v>70</v>
      </c>
      <c r="D2377" s="12">
        <v>708</v>
      </c>
      <c r="E2377" s="12" t="s">
        <v>2817</v>
      </c>
      <c r="F2377" s="12" t="s">
        <v>6120</v>
      </c>
      <c r="G2377" s="12" t="str">
        <f t="shared" si="57"/>
        <v>70708</v>
      </c>
      <c r="K2377" s="12" t="s">
        <v>230</v>
      </c>
      <c r="N2377" s="12" t="s">
        <v>127</v>
      </c>
      <c r="O2377" s="12" t="s">
        <v>2822</v>
      </c>
      <c r="P2377" s="88"/>
      <c r="AU2377" s="328" t="s">
        <v>1208</v>
      </c>
    </row>
    <row r="2378" spans="1:52" s="12" customFormat="1" ht="14.4" hidden="1" x14ac:dyDescent="0.3">
      <c r="A2378" s="12" t="s">
        <v>39</v>
      </c>
      <c r="B2378" s="12" t="s">
        <v>5815</v>
      </c>
      <c r="C2378" s="12">
        <v>70</v>
      </c>
      <c r="D2378" s="12">
        <v>708</v>
      </c>
      <c r="E2378" s="12" t="s">
        <v>6121</v>
      </c>
      <c r="F2378" s="12" t="s">
        <v>6122</v>
      </c>
      <c r="G2378" s="12" t="str">
        <f t="shared" si="57"/>
        <v>70708823003087-1</v>
      </c>
      <c r="H2378" s="12" t="s">
        <v>6123</v>
      </c>
      <c r="I2378" s="12" t="s">
        <v>6124</v>
      </c>
      <c r="J2378" s="12" t="s">
        <v>6125</v>
      </c>
      <c r="K2378" s="12" t="s">
        <v>133</v>
      </c>
      <c r="L2378" s="12">
        <v>3014919063</v>
      </c>
      <c r="M2378" s="12" t="s">
        <v>45</v>
      </c>
      <c r="N2378" s="12" t="s">
        <v>127</v>
      </c>
      <c r="O2378" s="12" t="s">
        <v>2822</v>
      </c>
      <c r="P2378" s="88" t="s">
        <v>48</v>
      </c>
      <c r="Q2378" s="12" t="s">
        <v>4864</v>
      </c>
      <c r="R2378" s="18">
        <v>0.82499999999999996</v>
      </c>
      <c r="S2378" s="12" t="s">
        <v>139</v>
      </c>
      <c r="T2378" s="12" t="s">
        <v>6126</v>
      </c>
      <c r="U2378" s="12" t="s">
        <v>60</v>
      </c>
      <c r="AU2378" s="328" t="s">
        <v>1208</v>
      </c>
    </row>
    <row r="2379" spans="1:52" s="12" customFormat="1" ht="14.4" hidden="1" x14ac:dyDescent="0.3">
      <c r="A2379" s="12" t="s">
        <v>39</v>
      </c>
      <c r="B2379" s="12" t="s">
        <v>5815</v>
      </c>
      <c r="C2379" s="12">
        <v>70</v>
      </c>
      <c r="D2379" s="12">
        <v>708</v>
      </c>
      <c r="F2379" s="12" t="s">
        <v>6127</v>
      </c>
      <c r="G2379" s="12" t="str">
        <f t="shared" si="57"/>
        <v>70708</v>
      </c>
      <c r="K2379" s="12" t="s">
        <v>230</v>
      </c>
      <c r="N2379" s="12" t="s">
        <v>127</v>
      </c>
      <c r="O2379" s="12" t="s">
        <v>2822</v>
      </c>
      <c r="P2379" s="88"/>
      <c r="AU2379" s="328" t="s">
        <v>1208</v>
      </c>
    </row>
    <row r="2380" spans="1:52" s="12" customFormat="1" ht="14.4" hidden="1" x14ac:dyDescent="0.3">
      <c r="A2380" s="12" t="s">
        <v>39</v>
      </c>
      <c r="B2380" s="12" t="s">
        <v>5815</v>
      </c>
      <c r="C2380" s="12">
        <v>70</v>
      </c>
      <c r="D2380" s="12">
        <v>708</v>
      </c>
      <c r="F2380" s="12" t="s">
        <v>6128</v>
      </c>
      <c r="G2380" s="12" t="str">
        <f t="shared" si="57"/>
        <v>70708</v>
      </c>
      <c r="K2380" s="12" t="s">
        <v>230</v>
      </c>
      <c r="N2380" s="12" t="s">
        <v>127</v>
      </c>
      <c r="O2380" s="12" t="s">
        <v>2822</v>
      </c>
      <c r="P2380" s="88"/>
      <c r="AU2380" s="328" t="s">
        <v>1208</v>
      </c>
    </row>
    <row r="2381" spans="1:52" s="12" customFormat="1" ht="14.4" hidden="1" x14ac:dyDescent="0.3">
      <c r="A2381" s="12" t="s">
        <v>39</v>
      </c>
      <c r="B2381" s="12" t="s">
        <v>5815</v>
      </c>
      <c r="C2381" s="12">
        <v>70</v>
      </c>
      <c r="D2381" s="12">
        <v>708</v>
      </c>
      <c r="F2381" s="12" t="s">
        <v>6129</v>
      </c>
      <c r="G2381" s="12" t="str">
        <f t="shared" si="57"/>
        <v>70708</v>
      </c>
      <c r="J2381" s="12" t="s">
        <v>9756</v>
      </c>
      <c r="K2381" s="12" t="s">
        <v>133</v>
      </c>
      <c r="N2381" s="12" t="s">
        <v>127</v>
      </c>
      <c r="O2381" s="12" t="s">
        <v>2822</v>
      </c>
      <c r="P2381" s="88" t="s">
        <v>48</v>
      </c>
      <c r="AU2381" s="328" t="s">
        <v>1208</v>
      </c>
    </row>
    <row r="2382" spans="1:52" s="12" customFormat="1" ht="14.4" hidden="1" x14ac:dyDescent="0.3">
      <c r="A2382" s="12" t="s">
        <v>39</v>
      </c>
      <c r="B2382" s="12" t="s">
        <v>5815</v>
      </c>
      <c r="C2382" s="12">
        <v>70</v>
      </c>
      <c r="D2382" s="12">
        <v>708</v>
      </c>
      <c r="F2382" s="12" t="s">
        <v>6130</v>
      </c>
      <c r="G2382" s="12" t="str">
        <f t="shared" si="57"/>
        <v>70708</v>
      </c>
      <c r="K2382" s="12" t="s">
        <v>230</v>
      </c>
      <c r="N2382" s="12" t="s">
        <v>127</v>
      </c>
      <c r="O2382" s="12" t="s">
        <v>2822</v>
      </c>
      <c r="P2382" s="88"/>
      <c r="AU2382" s="328" t="s">
        <v>1208</v>
      </c>
    </row>
    <row r="2383" spans="1:52" s="12" customFormat="1" ht="14.4" hidden="1" x14ac:dyDescent="0.3">
      <c r="A2383" s="12" t="s">
        <v>39</v>
      </c>
      <c r="B2383" s="12" t="s">
        <v>5815</v>
      </c>
      <c r="C2383" s="12">
        <v>70</v>
      </c>
      <c r="D2383" s="12">
        <v>708</v>
      </c>
      <c r="F2383" s="12" t="s">
        <v>6131</v>
      </c>
      <c r="G2383" s="12" t="str">
        <f t="shared" si="57"/>
        <v>70708</v>
      </c>
      <c r="K2383" s="12" t="s">
        <v>230</v>
      </c>
      <c r="N2383" s="12" t="s">
        <v>127</v>
      </c>
      <c r="O2383" s="12" t="s">
        <v>2822</v>
      </c>
      <c r="P2383" s="88"/>
      <c r="AU2383" s="328" t="s">
        <v>1208</v>
      </c>
    </row>
    <row r="2384" spans="1:52" s="12" customFormat="1" ht="14.4" hidden="1" x14ac:dyDescent="0.3">
      <c r="A2384" s="12" t="s">
        <v>39</v>
      </c>
      <c r="B2384" s="12" t="s">
        <v>5815</v>
      </c>
      <c r="C2384" s="12">
        <v>70</v>
      </c>
      <c r="D2384" s="12">
        <v>708</v>
      </c>
      <c r="E2384" s="12" t="s">
        <v>2817</v>
      </c>
      <c r="F2384" s="12" t="s">
        <v>6132</v>
      </c>
      <c r="G2384" s="12" t="str">
        <f t="shared" si="57"/>
        <v>70708</v>
      </c>
      <c r="K2384" s="12" t="s">
        <v>230</v>
      </c>
      <c r="N2384" s="12" t="s">
        <v>127</v>
      </c>
      <c r="O2384" s="12" t="s">
        <v>2822</v>
      </c>
      <c r="P2384" s="88"/>
      <c r="AU2384" s="328" t="s">
        <v>1208</v>
      </c>
    </row>
    <row r="2385" spans="1:47" s="12" customFormat="1" ht="14.4" hidden="1" x14ac:dyDescent="0.3">
      <c r="A2385" s="12" t="s">
        <v>39</v>
      </c>
      <c r="B2385" s="12" t="s">
        <v>5815</v>
      </c>
      <c r="C2385" s="12">
        <v>70</v>
      </c>
      <c r="D2385" s="12">
        <v>708</v>
      </c>
      <c r="F2385" s="12" t="s">
        <v>6133</v>
      </c>
      <c r="G2385" s="12" t="str">
        <f t="shared" si="57"/>
        <v>70708</v>
      </c>
      <c r="K2385" s="12" t="s">
        <v>230</v>
      </c>
      <c r="N2385" s="12" t="s">
        <v>127</v>
      </c>
      <c r="O2385" s="12" t="s">
        <v>2822</v>
      </c>
      <c r="P2385" s="88"/>
      <c r="AU2385" s="328" t="s">
        <v>1208</v>
      </c>
    </row>
    <row r="2386" spans="1:47" s="12" customFormat="1" ht="14.4" hidden="1" x14ac:dyDescent="0.3">
      <c r="A2386" s="12" t="s">
        <v>39</v>
      </c>
      <c r="B2386" s="12" t="s">
        <v>5815</v>
      </c>
      <c r="C2386" s="12">
        <v>70</v>
      </c>
      <c r="D2386" s="12">
        <v>708</v>
      </c>
      <c r="E2386" s="12" t="s">
        <v>6102</v>
      </c>
      <c r="F2386" s="12" t="s">
        <v>6134</v>
      </c>
      <c r="G2386" s="12" t="str">
        <f t="shared" si="57"/>
        <v>70708230030087-1</v>
      </c>
      <c r="H2386" s="12" t="s">
        <v>6110</v>
      </c>
      <c r="I2386" s="12" t="s">
        <v>6135</v>
      </c>
      <c r="J2386" s="12" t="s">
        <v>6136</v>
      </c>
      <c r="K2386" s="12" t="s">
        <v>230</v>
      </c>
      <c r="L2386" s="12">
        <v>3203647027</v>
      </c>
      <c r="M2386" s="99" t="s">
        <v>6137</v>
      </c>
      <c r="N2386" s="12" t="s">
        <v>127</v>
      </c>
      <c r="O2386" s="12" t="s">
        <v>2822</v>
      </c>
      <c r="P2386" s="88" t="s">
        <v>48</v>
      </c>
      <c r="Q2386" s="12" t="s">
        <v>3834</v>
      </c>
      <c r="R2386" s="18">
        <v>0.86499999999999999</v>
      </c>
      <c r="S2386" s="12" t="s">
        <v>49</v>
      </c>
      <c r="T2386" s="12" t="s">
        <v>5854</v>
      </c>
      <c r="U2386" s="12" t="s">
        <v>60</v>
      </c>
      <c r="AU2386" s="328" t="s">
        <v>1208</v>
      </c>
    </row>
    <row r="2387" spans="1:47" s="12" customFormat="1" ht="14.4" hidden="1" x14ac:dyDescent="0.3">
      <c r="A2387" s="12" t="s">
        <v>39</v>
      </c>
      <c r="B2387" s="12" t="s">
        <v>5815</v>
      </c>
      <c r="C2387" s="12">
        <v>70</v>
      </c>
      <c r="D2387" s="12">
        <v>708</v>
      </c>
      <c r="F2387" s="12" t="s">
        <v>6138</v>
      </c>
      <c r="G2387" s="12" t="str">
        <f t="shared" si="57"/>
        <v>70708</v>
      </c>
      <c r="K2387" s="12" t="s">
        <v>230</v>
      </c>
      <c r="N2387" s="12" t="s">
        <v>127</v>
      </c>
      <c r="O2387" s="12" t="s">
        <v>2822</v>
      </c>
      <c r="P2387" s="88"/>
      <c r="AU2387" s="328" t="s">
        <v>1208</v>
      </c>
    </row>
    <row r="2388" spans="1:47" s="12" customFormat="1" ht="14.4" hidden="1" x14ac:dyDescent="0.3">
      <c r="A2388" s="12" t="s">
        <v>39</v>
      </c>
      <c r="B2388" s="12" t="s">
        <v>5815</v>
      </c>
      <c r="C2388" s="12">
        <v>70</v>
      </c>
      <c r="D2388" s="12">
        <v>708</v>
      </c>
      <c r="E2388" s="12" t="s">
        <v>6092</v>
      </c>
      <c r="F2388" s="275" t="s">
        <v>6139</v>
      </c>
      <c r="G2388" s="12" t="str">
        <f t="shared" si="57"/>
        <v>7070882330030871</v>
      </c>
      <c r="H2388" s="12" t="s">
        <v>6140</v>
      </c>
      <c r="I2388" s="12">
        <v>82330030871</v>
      </c>
      <c r="J2388" s="12" t="s">
        <v>6141</v>
      </c>
      <c r="K2388" s="12" t="s">
        <v>230</v>
      </c>
      <c r="L2388" s="12">
        <v>3206349802</v>
      </c>
      <c r="M2388" s="17" t="s">
        <v>6142</v>
      </c>
      <c r="N2388" s="12" t="s">
        <v>127</v>
      </c>
      <c r="O2388" s="12" t="s">
        <v>2822</v>
      </c>
      <c r="P2388" s="88" t="s">
        <v>48</v>
      </c>
      <c r="Q2388" s="13">
        <v>45824</v>
      </c>
      <c r="R2388" s="16">
        <v>0.85</v>
      </c>
      <c r="S2388" s="12" t="s">
        <v>49</v>
      </c>
      <c r="T2388" s="12" t="s">
        <v>5854</v>
      </c>
      <c r="U2388" s="12" t="s">
        <v>60</v>
      </c>
      <c r="V2388" s="13">
        <v>45093</v>
      </c>
      <c r="W2388" s="16">
        <v>0.88</v>
      </c>
      <c r="X2388" s="12" t="s">
        <v>74</v>
      </c>
      <c r="Z2388" s="12" t="s">
        <v>60</v>
      </c>
      <c r="AA2388" s="12" t="s">
        <v>51</v>
      </c>
      <c r="AB2388" s="12" t="s">
        <v>51</v>
      </c>
      <c r="AU2388" s="328" t="s">
        <v>1208</v>
      </c>
    </row>
    <row r="2389" spans="1:47" s="12" customFormat="1" ht="14.4" hidden="1" x14ac:dyDescent="0.3">
      <c r="A2389" s="12" t="s">
        <v>39</v>
      </c>
      <c r="B2389" s="12" t="s">
        <v>5815</v>
      </c>
      <c r="C2389" s="12">
        <v>70</v>
      </c>
      <c r="D2389" s="12">
        <v>708</v>
      </c>
      <c r="F2389" s="275" t="s">
        <v>7551</v>
      </c>
      <c r="G2389" s="12" t="str">
        <f t="shared" si="57"/>
        <v>707081104423694</v>
      </c>
      <c r="H2389" s="12" t="s">
        <v>9443</v>
      </c>
      <c r="I2389" s="12">
        <v>1104423694</v>
      </c>
      <c r="J2389" s="12" t="s">
        <v>6107</v>
      </c>
      <c r="K2389" s="12" t="s">
        <v>133</v>
      </c>
      <c r="L2389" s="12">
        <v>3026004161</v>
      </c>
      <c r="M2389" s="17" t="s">
        <v>9444</v>
      </c>
      <c r="N2389" s="12" t="s">
        <v>127</v>
      </c>
      <c r="O2389" s="12" t="s">
        <v>2822</v>
      </c>
      <c r="P2389" s="88" t="s">
        <v>48</v>
      </c>
      <c r="Q2389" s="13">
        <v>46192</v>
      </c>
      <c r="R2389" s="12">
        <v>96</v>
      </c>
      <c r="S2389" s="12" t="s">
        <v>210</v>
      </c>
      <c r="T2389" s="12" t="s">
        <v>9420</v>
      </c>
      <c r="U2389" s="12" t="s">
        <v>60</v>
      </c>
      <c r="V2389" s="13"/>
      <c r="W2389" s="16"/>
      <c r="AU2389" s="328" t="s">
        <v>53</v>
      </c>
    </row>
    <row r="2390" spans="1:47" s="12" customFormat="1" ht="14.4" hidden="1" x14ac:dyDescent="0.3">
      <c r="A2390" s="12" t="s">
        <v>39</v>
      </c>
      <c r="B2390" s="12" t="s">
        <v>5815</v>
      </c>
      <c r="C2390" s="12">
        <v>70</v>
      </c>
      <c r="D2390" s="12">
        <v>708</v>
      </c>
      <c r="E2390" s="12" t="s">
        <v>6096</v>
      </c>
      <c r="F2390" s="275" t="s">
        <v>6143</v>
      </c>
      <c r="G2390" s="12" t="str">
        <f t="shared" si="57"/>
        <v>70708901382462</v>
      </c>
      <c r="H2390" s="12" t="s">
        <v>8873</v>
      </c>
      <c r="I2390" s="12">
        <v>901382462</v>
      </c>
      <c r="J2390" s="12" t="s">
        <v>8860</v>
      </c>
      <c r="K2390" s="12" t="s">
        <v>230</v>
      </c>
      <c r="L2390" s="12">
        <v>302607057</v>
      </c>
      <c r="M2390" s="17" t="s">
        <v>8861</v>
      </c>
      <c r="N2390" s="12" t="s">
        <v>127</v>
      </c>
      <c r="O2390" s="12" t="s">
        <v>2822</v>
      </c>
      <c r="P2390" s="88" t="s">
        <v>48</v>
      </c>
      <c r="Q2390" s="13">
        <v>46132</v>
      </c>
      <c r="R2390" s="12" t="s">
        <v>1085</v>
      </c>
      <c r="S2390" s="12" t="s">
        <v>210</v>
      </c>
      <c r="T2390" s="12" t="s">
        <v>5854</v>
      </c>
      <c r="U2390" s="12" t="s">
        <v>60</v>
      </c>
      <c r="V2390" s="13">
        <v>45771</v>
      </c>
      <c r="W2390" s="12" t="s">
        <v>167</v>
      </c>
      <c r="X2390" s="12" t="s">
        <v>49</v>
      </c>
      <c r="Z2390" s="12" t="s">
        <v>60</v>
      </c>
      <c r="AA2390" s="12" t="s">
        <v>51</v>
      </c>
      <c r="AB2390" s="12" t="s">
        <v>51</v>
      </c>
      <c r="AU2390" s="328" t="s">
        <v>1208</v>
      </c>
    </row>
    <row r="2391" spans="1:47" s="12" customFormat="1" ht="14.4" hidden="1" x14ac:dyDescent="0.3">
      <c r="A2391" s="12" t="s">
        <v>39</v>
      </c>
      <c r="B2391" s="12" t="s">
        <v>5815</v>
      </c>
      <c r="C2391" s="12">
        <v>70</v>
      </c>
      <c r="D2391" s="12">
        <v>708</v>
      </c>
      <c r="E2391" s="12" t="s">
        <v>2817</v>
      </c>
      <c r="F2391" s="12" t="s">
        <v>6144</v>
      </c>
      <c r="G2391" s="12" t="str">
        <f t="shared" si="57"/>
        <v>70708</v>
      </c>
      <c r="K2391" s="12" t="s">
        <v>230</v>
      </c>
      <c r="N2391" s="12" t="s">
        <v>127</v>
      </c>
      <c r="O2391" s="12" t="s">
        <v>2822</v>
      </c>
      <c r="P2391" s="88"/>
      <c r="AU2391" s="328" t="s">
        <v>1208</v>
      </c>
    </row>
    <row r="2392" spans="1:47" s="12" customFormat="1" ht="14.4" hidden="1" x14ac:dyDescent="0.3">
      <c r="A2392" s="12" t="s">
        <v>39</v>
      </c>
      <c r="B2392" s="12" t="s">
        <v>5815</v>
      </c>
      <c r="C2392" s="12">
        <v>70</v>
      </c>
      <c r="D2392" s="12">
        <v>708</v>
      </c>
      <c r="E2392" s="12" t="s">
        <v>6096</v>
      </c>
      <c r="F2392" s="275" t="s">
        <v>6145</v>
      </c>
      <c r="G2392" s="12" t="str">
        <f t="shared" si="57"/>
        <v>70708901382462</v>
      </c>
      <c r="H2392" s="12" t="s">
        <v>8873</v>
      </c>
      <c r="I2392" s="12">
        <v>901382462</v>
      </c>
      <c r="J2392" s="12" t="s">
        <v>6146</v>
      </c>
      <c r="K2392" s="12" t="s">
        <v>230</v>
      </c>
      <c r="L2392" s="12">
        <v>3106506853</v>
      </c>
      <c r="M2392" s="17" t="s">
        <v>6147</v>
      </c>
      <c r="N2392" s="12" t="s">
        <v>127</v>
      </c>
      <c r="O2392" s="12" t="s">
        <v>2822</v>
      </c>
      <c r="P2392" s="88" t="s">
        <v>48</v>
      </c>
      <c r="Q2392" s="13">
        <v>46167</v>
      </c>
      <c r="R2392" s="12">
        <v>85</v>
      </c>
      <c r="S2392" s="12" t="s">
        <v>49</v>
      </c>
      <c r="T2392" s="12" t="s">
        <v>5854</v>
      </c>
      <c r="U2392" s="12" t="s">
        <v>60</v>
      </c>
      <c r="V2392" s="13">
        <v>45750</v>
      </c>
      <c r="W2392" s="16">
        <v>0.8</v>
      </c>
      <c r="X2392" s="12" t="s">
        <v>49</v>
      </c>
      <c r="Y2392" s="12" t="s">
        <v>5854</v>
      </c>
      <c r="Z2392" s="12" t="s">
        <v>50</v>
      </c>
      <c r="AA2392" s="12" t="s">
        <v>51</v>
      </c>
      <c r="AB2392" s="12" t="s">
        <v>51</v>
      </c>
      <c r="AC2392" s="13">
        <v>45484</v>
      </c>
      <c r="AD2392" s="16">
        <v>0.94</v>
      </c>
      <c r="AE2392" s="12" t="s">
        <v>210</v>
      </c>
      <c r="AF2392" s="12" t="s">
        <v>60</v>
      </c>
      <c r="AU2392" s="328" t="s">
        <v>1208</v>
      </c>
    </row>
    <row r="2393" spans="1:47" s="12" customFormat="1" ht="14.4" hidden="1" x14ac:dyDescent="0.3">
      <c r="A2393" s="12" t="s">
        <v>39</v>
      </c>
      <c r="B2393" s="12" t="s">
        <v>5815</v>
      </c>
      <c r="C2393" s="12">
        <v>70</v>
      </c>
      <c r="D2393" s="12">
        <v>708</v>
      </c>
      <c r="E2393" s="12" t="s">
        <v>2817</v>
      </c>
      <c r="F2393" s="12" t="s">
        <v>6148</v>
      </c>
      <c r="G2393" s="12" t="str">
        <f t="shared" si="57"/>
        <v>70708</v>
      </c>
      <c r="K2393" s="12" t="s">
        <v>230</v>
      </c>
      <c r="N2393" s="12" t="s">
        <v>127</v>
      </c>
      <c r="O2393" s="12" t="s">
        <v>2822</v>
      </c>
      <c r="P2393" s="88"/>
      <c r="AU2393" s="328" t="s">
        <v>1208</v>
      </c>
    </row>
    <row r="2394" spans="1:47" s="12" customFormat="1" ht="14.4" hidden="1" x14ac:dyDescent="0.3">
      <c r="A2394" s="12" t="s">
        <v>39</v>
      </c>
      <c r="B2394" s="12" t="s">
        <v>5815</v>
      </c>
      <c r="C2394" s="12">
        <v>70</v>
      </c>
      <c r="D2394" s="12">
        <v>708</v>
      </c>
      <c r="E2394" s="12" t="s">
        <v>6092</v>
      </c>
      <c r="F2394" s="12" t="s">
        <v>6149</v>
      </c>
      <c r="G2394" s="12" t="str">
        <f t="shared" si="57"/>
        <v>7070882330030871</v>
      </c>
      <c r="H2394" s="12" t="s">
        <v>6140</v>
      </c>
      <c r="I2394" s="12">
        <v>82330030871</v>
      </c>
      <c r="J2394" s="12" t="s">
        <v>6150</v>
      </c>
      <c r="K2394" s="12" t="s">
        <v>230</v>
      </c>
      <c r="L2394" s="12">
        <v>3135395076</v>
      </c>
      <c r="M2394" s="17" t="s">
        <v>6151</v>
      </c>
      <c r="N2394" s="12" t="s">
        <v>127</v>
      </c>
      <c r="O2394" s="12" t="s">
        <v>2822</v>
      </c>
      <c r="P2394" s="88" t="s">
        <v>48</v>
      </c>
      <c r="Q2394" s="13">
        <v>45790</v>
      </c>
      <c r="R2394" s="12" t="s">
        <v>176</v>
      </c>
      <c r="S2394" s="12" t="s">
        <v>49</v>
      </c>
      <c r="T2394" s="12" t="s">
        <v>5854</v>
      </c>
      <c r="U2394" s="12" t="s">
        <v>60</v>
      </c>
      <c r="AA2394" s="12" t="s">
        <v>51</v>
      </c>
      <c r="AB2394" s="12" t="s">
        <v>51</v>
      </c>
      <c r="AU2394" s="328" t="s">
        <v>1208</v>
      </c>
    </row>
    <row r="2395" spans="1:47" s="12" customFormat="1" ht="14.4" hidden="1" x14ac:dyDescent="0.3">
      <c r="A2395" s="12" t="s">
        <v>39</v>
      </c>
      <c r="B2395" s="12" t="s">
        <v>5815</v>
      </c>
      <c r="C2395" s="12">
        <v>70</v>
      </c>
      <c r="D2395" s="12">
        <v>708</v>
      </c>
      <c r="E2395" s="12" t="s">
        <v>6096</v>
      </c>
      <c r="F2395" s="275" t="s">
        <v>8872</v>
      </c>
      <c r="G2395" s="12" t="str">
        <f t="shared" si="57"/>
        <v>707089013824626</v>
      </c>
      <c r="H2395" s="12" t="s">
        <v>8873</v>
      </c>
      <c r="I2395" s="12">
        <v>9013824626</v>
      </c>
      <c r="J2395" s="12" t="s">
        <v>6099</v>
      </c>
      <c r="K2395" s="12" t="s">
        <v>230</v>
      </c>
      <c r="L2395" s="12">
        <v>3234987071</v>
      </c>
      <c r="M2395" s="17" t="s">
        <v>8874</v>
      </c>
      <c r="N2395" s="12" t="s">
        <v>127</v>
      </c>
      <c r="O2395" s="12" t="s">
        <v>2822</v>
      </c>
      <c r="P2395" s="88" t="s">
        <v>48</v>
      </c>
      <c r="Q2395" s="13">
        <v>46139</v>
      </c>
      <c r="R2395" s="16">
        <v>0.78</v>
      </c>
      <c r="S2395" s="12" t="s">
        <v>49</v>
      </c>
      <c r="T2395" s="12" t="s">
        <v>5854</v>
      </c>
      <c r="U2395" s="12" t="s">
        <v>60</v>
      </c>
      <c r="V2395" s="13">
        <v>45824</v>
      </c>
      <c r="W2395" s="16">
        <v>0.78</v>
      </c>
      <c r="X2395" s="12" t="s">
        <v>49</v>
      </c>
      <c r="Y2395" s="12" t="s">
        <v>5854</v>
      </c>
      <c r="Z2395" s="12" t="s">
        <v>60</v>
      </c>
      <c r="AU2395" s="328" t="s">
        <v>53</v>
      </c>
    </row>
    <row r="2396" spans="1:47" s="12" customFormat="1" ht="14.4" hidden="1" x14ac:dyDescent="0.3">
      <c r="A2396" s="12" t="s">
        <v>39</v>
      </c>
      <c r="B2396" s="12" t="s">
        <v>5815</v>
      </c>
      <c r="C2396" s="12">
        <v>70</v>
      </c>
      <c r="D2396" s="12">
        <v>708</v>
      </c>
      <c r="E2396" s="12" t="s">
        <v>6092</v>
      </c>
      <c r="F2396" s="275" t="s">
        <v>9437</v>
      </c>
      <c r="G2396" s="12" t="str">
        <f t="shared" si="57"/>
        <v>7070882300387</v>
      </c>
      <c r="H2396" s="12" t="s">
        <v>6140</v>
      </c>
      <c r="I2396" s="12">
        <v>82300387</v>
      </c>
      <c r="J2396" s="12" t="s">
        <v>9438</v>
      </c>
      <c r="K2396" s="12" t="s">
        <v>44</v>
      </c>
      <c r="L2396" s="12">
        <v>3135418031</v>
      </c>
      <c r="M2396" s="17"/>
      <c r="N2396" s="12" t="s">
        <v>127</v>
      </c>
      <c r="O2396" s="12" t="s">
        <v>2822</v>
      </c>
      <c r="P2396" s="88" t="s">
        <v>48</v>
      </c>
      <c r="Q2396" s="13">
        <v>46184</v>
      </c>
      <c r="R2396" s="12">
        <v>92</v>
      </c>
      <c r="S2396" s="12" t="s">
        <v>210</v>
      </c>
      <c r="T2396" s="12" t="s">
        <v>5854</v>
      </c>
      <c r="U2396" s="12" t="s">
        <v>60</v>
      </c>
      <c r="V2396" s="13"/>
      <c r="W2396" s="16"/>
      <c r="AU2396" s="328" t="s">
        <v>53</v>
      </c>
    </row>
    <row r="2397" spans="1:47" s="12" customFormat="1" ht="14.4" hidden="1" x14ac:dyDescent="0.3">
      <c r="A2397" s="12" t="s">
        <v>39</v>
      </c>
      <c r="B2397" s="12" t="s">
        <v>5815</v>
      </c>
      <c r="C2397" s="12">
        <v>70</v>
      </c>
      <c r="D2397" s="12">
        <v>708</v>
      </c>
      <c r="F2397" s="12" t="s">
        <v>6152</v>
      </c>
      <c r="G2397" s="12" t="str">
        <f t="shared" si="57"/>
        <v>70708</v>
      </c>
      <c r="K2397" s="12" t="s">
        <v>230</v>
      </c>
      <c r="N2397" s="12" t="s">
        <v>127</v>
      </c>
      <c r="O2397" s="12" t="s">
        <v>2822</v>
      </c>
      <c r="P2397" s="88"/>
      <c r="AU2397" s="328" t="s">
        <v>1208</v>
      </c>
    </row>
    <row r="2398" spans="1:47" s="12" customFormat="1" ht="14.4" hidden="1" x14ac:dyDescent="0.3">
      <c r="A2398" s="12" t="s">
        <v>39</v>
      </c>
      <c r="B2398" s="12" t="s">
        <v>5815</v>
      </c>
      <c r="C2398" s="12">
        <v>70</v>
      </c>
      <c r="D2398" s="12">
        <v>708</v>
      </c>
      <c r="E2398" s="12" t="s">
        <v>7918</v>
      </c>
      <c r="F2398" s="12" t="s">
        <v>6153</v>
      </c>
      <c r="G2398" s="12" t="str">
        <f t="shared" si="57"/>
        <v>707089019852327</v>
      </c>
      <c r="H2398" s="12" t="s">
        <v>7919</v>
      </c>
      <c r="I2398" s="12">
        <v>9019852327</v>
      </c>
      <c r="J2398" s="12" t="s">
        <v>7920</v>
      </c>
      <c r="K2398" s="12" t="s">
        <v>230</v>
      </c>
      <c r="L2398" s="12">
        <v>3114089421</v>
      </c>
      <c r="M2398" s="17" t="s">
        <v>7921</v>
      </c>
      <c r="N2398" s="12" t="s">
        <v>127</v>
      </c>
      <c r="O2398" s="12" t="s">
        <v>2822</v>
      </c>
      <c r="P2398" s="88" t="s">
        <v>48</v>
      </c>
      <c r="Q2398" s="13">
        <v>45946</v>
      </c>
      <c r="R2398" s="16">
        <v>0.66</v>
      </c>
      <c r="S2398" s="12" t="s">
        <v>49</v>
      </c>
      <c r="U2398" s="12" t="s">
        <v>60</v>
      </c>
      <c r="AU2398" s="328" t="s">
        <v>1208</v>
      </c>
    </row>
    <row r="2399" spans="1:47" s="12" customFormat="1" ht="14.4" hidden="1" x14ac:dyDescent="0.3">
      <c r="A2399" s="12" t="s">
        <v>39</v>
      </c>
      <c r="B2399" s="12" t="s">
        <v>5815</v>
      </c>
      <c r="C2399" s="12">
        <v>70</v>
      </c>
      <c r="D2399" s="12">
        <v>708</v>
      </c>
      <c r="F2399" s="12" t="s">
        <v>6154</v>
      </c>
      <c r="G2399" s="12" t="str">
        <f t="shared" si="57"/>
        <v>70708</v>
      </c>
      <c r="K2399" s="12" t="s">
        <v>230</v>
      </c>
      <c r="N2399" s="12" t="s">
        <v>127</v>
      </c>
      <c r="O2399" s="12" t="s">
        <v>2822</v>
      </c>
      <c r="P2399" s="88"/>
      <c r="AU2399" s="328" t="s">
        <v>1208</v>
      </c>
    </row>
    <row r="2400" spans="1:47" s="12" customFormat="1" ht="14.4" hidden="1" x14ac:dyDescent="0.3">
      <c r="A2400" s="12" t="s">
        <v>39</v>
      </c>
      <c r="B2400" s="12" t="s">
        <v>5815</v>
      </c>
      <c r="C2400" s="12">
        <v>70</v>
      </c>
      <c r="D2400" s="12">
        <v>708</v>
      </c>
      <c r="E2400" s="12" t="s">
        <v>2817</v>
      </c>
      <c r="F2400" s="12" t="s">
        <v>6155</v>
      </c>
      <c r="G2400" s="12" t="str">
        <f t="shared" si="57"/>
        <v>70708</v>
      </c>
      <c r="K2400" s="12" t="s">
        <v>230</v>
      </c>
      <c r="N2400" s="12" t="s">
        <v>127</v>
      </c>
      <c r="O2400" s="12" t="s">
        <v>2822</v>
      </c>
      <c r="P2400" s="88"/>
      <c r="AU2400" s="328" t="s">
        <v>1208</v>
      </c>
    </row>
    <row r="2401" spans="1:52" s="12" customFormat="1" ht="14.4" hidden="1" x14ac:dyDescent="0.3">
      <c r="A2401" s="12" t="s">
        <v>39</v>
      </c>
      <c r="B2401" s="12" t="s">
        <v>5815</v>
      </c>
      <c r="C2401" s="12">
        <v>70</v>
      </c>
      <c r="D2401" s="12">
        <v>708</v>
      </c>
      <c r="F2401" s="12" t="s">
        <v>6156</v>
      </c>
      <c r="G2401" s="12" t="str">
        <f t="shared" si="57"/>
        <v>707089002188047</v>
      </c>
      <c r="H2401" s="12" t="s">
        <v>9757</v>
      </c>
      <c r="I2401" s="12">
        <v>9002188047</v>
      </c>
      <c r="J2401" s="12" t="s">
        <v>9751</v>
      </c>
      <c r="K2401" s="12" t="s">
        <v>133</v>
      </c>
      <c r="L2401" s="12">
        <v>3138203105</v>
      </c>
      <c r="M2401" s="17" t="s">
        <v>9758</v>
      </c>
      <c r="N2401" s="12" t="s">
        <v>127</v>
      </c>
      <c r="O2401" s="12" t="s">
        <v>2822</v>
      </c>
      <c r="P2401" s="88" t="s">
        <v>102</v>
      </c>
      <c r="Q2401" s="13">
        <v>44705</v>
      </c>
      <c r="R2401" s="16">
        <v>0.51</v>
      </c>
      <c r="S2401" s="12" t="s">
        <v>4426</v>
      </c>
      <c r="T2401" s="12" t="s">
        <v>9759</v>
      </c>
      <c r="U2401" s="12" t="s">
        <v>2456</v>
      </c>
      <c r="AU2401" s="328" t="s">
        <v>1208</v>
      </c>
      <c r="AX2401" s="12" t="s">
        <v>1920</v>
      </c>
      <c r="AY2401" s="12" t="s">
        <v>9760</v>
      </c>
    </row>
    <row r="2402" spans="1:52" s="12" customFormat="1" ht="14.4" hidden="1" x14ac:dyDescent="0.3">
      <c r="A2402" s="12" t="s">
        <v>39</v>
      </c>
      <c r="B2402" s="12" t="s">
        <v>5815</v>
      </c>
      <c r="C2402" s="12">
        <v>70</v>
      </c>
      <c r="D2402" s="12">
        <v>708</v>
      </c>
      <c r="F2402" s="12" t="s">
        <v>6157</v>
      </c>
      <c r="G2402" s="12" t="str">
        <f t="shared" si="57"/>
        <v>70708</v>
      </c>
      <c r="K2402" s="12" t="s">
        <v>230</v>
      </c>
      <c r="N2402" s="12" t="s">
        <v>127</v>
      </c>
      <c r="O2402" s="12" t="s">
        <v>2822</v>
      </c>
      <c r="P2402" s="88"/>
      <c r="AU2402" s="328" t="s">
        <v>1208</v>
      </c>
    </row>
    <row r="2403" spans="1:52" s="12" customFormat="1" ht="14.4" hidden="1" x14ac:dyDescent="0.3">
      <c r="A2403" s="12" t="s">
        <v>39</v>
      </c>
      <c r="B2403" s="12" t="s">
        <v>5815</v>
      </c>
      <c r="C2403" s="12">
        <v>70</v>
      </c>
      <c r="D2403" s="12">
        <v>708</v>
      </c>
      <c r="E2403" s="12" t="s">
        <v>8631</v>
      </c>
      <c r="F2403" s="275" t="s">
        <v>6158</v>
      </c>
      <c r="G2403" s="12" t="str">
        <f t="shared" si="57"/>
        <v>707089020247794</v>
      </c>
      <c r="H2403" s="12" t="s">
        <v>710</v>
      </c>
      <c r="I2403" s="12">
        <v>9020247794</v>
      </c>
      <c r="J2403" s="12" t="s">
        <v>6159</v>
      </c>
      <c r="K2403" s="12" t="s">
        <v>230</v>
      </c>
      <c r="L2403" s="12">
        <v>3128341640</v>
      </c>
      <c r="M2403" s="17" t="s">
        <v>8335</v>
      </c>
      <c r="N2403" s="12" t="s">
        <v>127</v>
      </c>
      <c r="O2403" s="12" t="s">
        <v>2822</v>
      </c>
      <c r="P2403" s="88" t="s">
        <v>48</v>
      </c>
      <c r="Q2403" s="13">
        <v>46072</v>
      </c>
      <c r="R2403" s="12">
        <v>85</v>
      </c>
      <c r="S2403" s="12" t="s">
        <v>49</v>
      </c>
      <c r="V2403" s="13">
        <v>45723</v>
      </c>
      <c r="W2403" s="16">
        <v>0.9</v>
      </c>
      <c r="X2403" s="12" t="s">
        <v>210</v>
      </c>
      <c r="Y2403" s="12" t="s">
        <v>5854</v>
      </c>
      <c r="Z2403" s="12" t="s">
        <v>2881</v>
      </c>
      <c r="AC2403" s="13">
        <v>45517</v>
      </c>
      <c r="AD2403" s="16">
        <v>1</v>
      </c>
      <c r="AE2403" s="12" t="s">
        <v>210</v>
      </c>
      <c r="AF2403" s="12" t="s">
        <v>60</v>
      </c>
      <c r="AG2403" s="12" t="s">
        <v>51</v>
      </c>
      <c r="AH2403" s="12" t="s">
        <v>51</v>
      </c>
      <c r="AU2403" s="328" t="s">
        <v>1208</v>
      </c>
    </row>
    <row r="2404" spans="1:52" s="12" customFormat="1" ht="14.4" hidden="1" x14ac:dyDescent="0.3">
      <c r="A2404" s="12" t="s">
        <v>39</v>
      </c>
      <c r="B2404" s="12" t="s">
        <v>5815</v>
      </c>
      <c r="C2404" s="12">
        <v>70</v>
      </c>
      <c r="D2404" s="12">
        <v>708</v>
      </c>
      <c r="E2404" s="12" t="s">
        <v>196</v>
      </c>
      <c r="F2404" s="12" t="s">
        <v>6160</v>
      </c>
      <c r="G2404" s="12" t="str">
        <f t="shared" si="57"/>
        <v>707089018206242</v>
      </c>
      <c r="H2404" s="12" t="s">
        <v>710</v>
      </c>
      <c r="I2404" s="12">
        <v>9018206242</v>
      </c>
      <c r="J2404" s="12" t="s">
        <v>6161</v>
      </c>
      <c r="K2404" s="12" t="s">
        <v>230</v>
      </c>
      <c r="L2404" s="12">
        <v>3128342640</v>
      </c>
      <c r="M2404" s="17" t="s">
        <v>200</v>
      </c>
      <c r="N2404" s="12" t="s">
        <v>127</v>
      </c>
      <c r="O2404" s="12" t="s">
        <v>2822</v>
      </c>
      <c r="P2404" s="88" t="s">
        <v>48</v>
      </c>
      <c r="Q2404" s="13">
        <v>45736</v>
      </c>
      <c r="R2404" s="16">
        <v>0.81</v>
      </c>
      <c r="S2404" s="12" t="s">
        <v>49</v>
      </c>
      <c r="T2404" s="12" t="s">
        <v>5854</v>
      </c>
      <c r="U2404" s="12" t="s">
        <v>2881</v>
      </c>
      <c r="AA2404" s="12" t="s">
        <v>51</v>
      </c>
      <c r="AB2404" s="12" t="s">
        <v>51</v>
      </c>
      <c r="AU2404" s="328" t="s">
        <v>1208</v>
      </c>
      <c r="AZ2404" s="12" t="s">
        <v>51</v>
      </c>
    </row>
    <row r="2405" spans="1:52" s="12" customFormat="1" ht="14.4" x14ac:dyDescent="0.3">
      <c r="A2405" s="12" t="s">
        <v>39</v>
      </c>
      <c r="B2405" s="12" t="s">
        <v>5815</v>
      </c>
      <c r="C2405" s="12">
        <v>70</v>
      </c>
      <c r="D2405" s="12">
        <v>708</v>
      </c>
      <c r="E2405" s="12" t="s">
        <v>6162</v>
      </c>
      <c r="F2405" s="12" t="s">
        <v>6163</v>
      </c>
      <c r="G2405" s="12" t="str">
        <f t="shared" si="57"/>
        <v>707089014413211</v>
      </c>
      <c r="H2405" s="12" t="s">
        <v>6164</v>
      </c>
      <c r="I2405" s="12">
        <v>9014413211</v>
      </c>
      <c r="J2405" s="12" t="s">
        <v>6165</v>
      </c>
      <c r="K2405" s="12" t="s">
        <v>230</v>
      </c>
      <c r="L2405" s="12">
        <v>3229127842</v>
      </c>
      <c r="M2405" s="17" t="s">
        <v>6166</v>
      </c>
      <c r="N2405" s="12" t="s">
        <v>46</v>
      </c>
      <c r="O2405" s="12" t="s">
        <v>47</v>
      </c>
      <c r="P2405" s="88" t="s">
        <v>48</v>
      </c>
      <c r="Q2405" s="13">
        <v>45735</v>
      </c>
      <c r="R2405" s="16">
        <v>0.89</v>
      </c>
      <c r="S2405" s="12" t="s">
        <v>74</v>
      </c>
      <c r="T2405" s="12" t="s">
        <v>2824</v>
      </c>
      <c r="U2405" s="12" t="s">
        <v>2456</v>
      </c>
      <c r="V2405" s="13">
        <v>44357</v>
      </c>
      <c r="W2405" s="16">
        <v>0.99</v>
      </c>
      <c r="X2405" s="12" t="s">
        <v>210</v>
      </c>
      <c r="Z2405" s="12" t="s">
        <v>2456</v>
      </c>
      <c r="AU2405" s="328" t="s">
        <v>1208</v>
      </c>
    </row>
    <row r="2406" spans="1:52" s="12" customFormat="1" ht="14.4" hidden="1" x14ac:dyDescent="0.3">
      <c r="A2406" s="12" t="s">
        <v>39</v>
      </c>
      <c r="B2406" s="12" t="s">
        <v>5815</v>
      </c>
      <c r="C2406" s="12">
        <v>70</v>
      </c>
      <c r="D2406" s="12">
        <v>708</v>
      </c>
      <c r="E2406" s="12" t="s">
        <v>6167</v>
      </c>
      <c r="F2406" s="275" t="s">
        <v>6168</v>
      </c>
      <c r="G2406" s="12" t="str">
        <f t="shared" si="57"/>
        <v>707089003720231</v>
      </c>
      <c r="H2406" s="12" t="s">
        <v>6169</v>
      </c>
      <c r="I2406" s="12">
        <v>9003720231</v>
      </c>
      <c r="J2406" s="12" t="s">
        <v>6170</v>
      </c>
      <c r="K2406" s="12" t="s">
        <v>230</v>
      </c>
      <c r="L2406" s="12">
        <v>3205124837</v>
      </c>
      <c r="M2406" s="17" t="s">
        <v>6171</v>
      </c>
      <c r="N2406" s="14" t="s">
        <v>2901</v>
      </c>
      <c r="O2406" s="88" t="s">
        <v>4949</v>
      </c>
      <c r="P2406" s="88" t="s">
        <v>80</v>
      </c>
      <c r="Q2406" s="13">
        <v>46120</v>
      </c>
      <c r="R2406" s="12">
        <v>100</v>
      </c>
      <c r="S2406" s="12" t="s">
        <v>210</v>
      </c>
      <c r="T2406" s="12" t="s">
        <v>1198</v>
      </c>
      <c r="U2406" s="12" t="s">
        <v>2456</v>
      </c>
      <c r="V2406" s="13">
        <v>45903</v>
      </c>
      <c r="W2406" s="16">
        <v>1</v>
      </c>
      <c r="X2406" s="12" t="s">
        <v>210</v>
      </c>
      <c r="Y2406" s="12" t="s">
        <v>2824</v>
      </c>
      <c r="Z2406" s="12" t="s">
        <v>2456</v>
      </c>
      <c r="AU2406" s="328" t="s">
        <v>1208</v>
      </c>
    </row>
    <row r="2407" spans="1:52" s="12" customFormat="1" ht="14.4" hidden="1" x14ac:dyDescent="0.3">
      <c r="A2407" s="12" t="s">
        <v>39</v>
      </c>
      <c r="B2407" s="12" t="s">
        <v>5815</v>
      </c>
      <c r="C2407" s="12">
        <v>70</v>
      </c>
      <c r="D2407" s="12">
        <v>708</v>
      </c>
      <c r="E2407" s="12" t="s">
        <v>6172</v>
      </c>
      <c r="F2407" s="12" t="s">
        <v>6168</v>
      </c>
      <c r="G2407" s="12" t="str">
        <f t="shared" si="57"/>
        <v>707089001389073</v>
      </c>
      <c r="H2407" s="12" t="s">
        <v>6173</v>
      </c>
      <c r="I2407" s="12">
        <v>9001389073</v>
      </c>
      <c r="J2407" s="12" t="s">
        <v>6174</v>
      </c>
      <c r="K2407" s="12" t="s">
        <v>230</v>
      </c>
      <c r="L2407" s="12">
        <v>3205124837</v>
      </c>
      <c r="M2407" s="17" t="s">
        <v>6175</v>
      </c>
      <c r="N2407" s="14" t="s">
        <v>2901</v>
      </c>
      <c r="O2407" s="88" t="s">
        <v>4949</v>
      </c>
      <c r="P2407" s="88" t="s">
        <v>80</v>
      </c>
      <c r="Q2407" s="13">
        <v>45729</v>
      </c>
      <c r="R2407" s="16">
        <v>1</v>
      </c>
      <c r="S2407" s="12" t="s">
        <v>319</v>
      </c>
      <c r="T2407" s="12" t="s">
        <v>2824</v>
      </c>
      <c r="U2407" s="12" t="s">
        <v>2456</v>
      </c>
      <c r="AU2407" s="328" t="s">
        <v>1208</v>
      </c>
    </row>
    <row r="2408" spans="1:52" s="12" customFormat="1" ht="14.4" hidden="1" x14ac:dyDescent="0.3">
      <c r="A2408" s="12" t="s">
        <v>39</v>
      </c>
      <c r="B2408" s="12" t="s">
        <v>5815</v>
      </c>
      <c r="C2408" s="12">
        <v>70</v>
      </c>
      <c r="D2408" s="12">
        <v>708</v>
      </c>
      <c r="E2408" s="12" t="s">
        <v>6176</v>
      </c>
      <c r="F2408" s="12" t="s">
        <v>6168</v>
      </c>
      <c r="G2408" s="12" t="str">
        <f t="shared" si="57"/>
        <v>707088002390031</v>
      </c>
      <c r="H2408" s="12" t="s">
        <v>6177</v>
      </c>
      <c r="I2408" s="12">
        <v>8002390031</v>
      </c>
      <c r="J2408" s="12" t="s">
        <v>6178</v>
      </c>
      <c r="K2408" s="12" t="s">
        <v>230</v>
      </c>
      <c r="L2408" s="12">
        <v>3003124456</v>
      </c>
      <c r="M2408" s="17" t="s">
        <v>6179</v>
      </c>
      <c r="N2408" s="14" t="s">
        <v>2901</v>
      </c>
      <c r="O2408" s="88" t="s">
        <v>4949</v>
      </c>
      <c r="P2408" s="88" t="s">
        <v>80</v>
      </c>
      <c r="Q2408" s="13">
        <v>45747</v>
      </c>
      <c r="R2408" s="16">
        <v>1</v>
      </c>
      <c r="S2408" s="16" t="s">
        <v>210</v>
      </c>
      <c r="T2408" s="12" t="s">
        <v>6180</v>
      </c>
      <c r="U2408" s="12" t="s">
        <v>2456</v>
      </c>
      <c r="AU2408" s="328" t="s">
        <v>1208</v>
      </c>
    </row>
    <row r="2409" spans="1:52" s="12" customFormat="1" ht="14.4" hidden="1" x14ac:dyDescent="0.3">
      <c r="A2409" s="12" t="s">
        <v>39</v>
      </c>
      <c r="B2409" s="12" t="s">
        <v>5815</v>
      </c>
      <c r="C2409" s="12">
        <v>70</v>
      </c>
      <c r="D2409" s="12">
        <v>708</v>
      </c>
      <c r="E2409" s="12" t="s">
        <v>6181</v>
      </c>
      <c r="F2409" s="275" t="s">
        <v>6168</v>
      </c>
      <c r="G2409" s="12" t="str">
        <f t="shared" si="57"/>
        <v>707089018493878</v>
      </c>
      <c r="H2409" s="12" t="s">
        <v>6182</v>
      </c>
      <c r="I2409" s="12">
        <v>9018493878</v>
      </c>
      <c r="J2409" s="12" t="s">
        <v>6183</v>
      </c>
      <c r="K2409" s="12" t="s">
        <v>230</v>
      </c>
      <c r="L2409" s="12">
        <v>3205124837</v>
      </c>
      <c r="M2409" s="17" t="s">
        <v>6184</v>
      </c>
      <c r="N2409" s="14" t="s">
        <v>2901</v>
      </c>
      <c r="O2409" s="88" t="s">
        <v>4949</v>
      </c>
      <c r="P2409" s="88" t="s">
        <v>80</v>
      </c>
      <c r="Q2409" s="13">
        <v>46120</v>
      </c>
      <c r="R2409" s="12">
        <v>100</v>
      </c>
      <c r="S2409" s="12" t="s">
        <v>210</v>
      </c>
      <c r="T2409" s="12" t="s">
        <v>4334</v>
      </c>
      <c r="U2409" s="12" t="s">
        <v>2456</v>
      </c>
      <c r="V2409" s="13">
        <v>45735</v>
      </c>
      <c r="W2409" s="16">
        <v>1</v>
      </c>
      <c r="X2409" s="12" t="s">
        <v>210</v>
      </c>
      <c r="Y2409" s="12" t="s">
        <v>4334</v>
      </c>
      <c r="Z2409" s="12" t="s">
        <v>2456</v>
      </c>
      <c r="AU2409" s="328" t="s">
        <v>1208</v>
      </c>
    </row>
    <row r="2410" spans="1:52" s="12" customFormat="1" ht="14.4" hidden="1" x14ac:dyDescent="0.3">
      <c r="A2410" s="12" t="s">
        <v>39</v>
      </c>
      <c r="B2410" s="12" t="s">
        <v>5815</v>
      </c>
      <c r="C2410" s="12">
        <v>70</v>
      </c>
      <c r="D2410" s="12">
        <v>708</v>
      </c>
      <c r="E2410" s="12" t="s">
        <v>6185</v>
      </c>
      <c r="F2410" s="12" t="s">
        <v>6186</v>
      </c>
      <c r="G2410" s="12" t="str">
        <f t="shared" si="57"/>
        <v>707089015226205</v>
      </c>
      <c r="H2410" s="12" t="s">
        <v>6187</v>
      </c>
      <c r="I2410" s="12">
        <v>9015226205</v>
      </c>
      <c r="J2410" s="12" t="s">
        <v>6188</v>
      </c>
      <c r="K2410" s="12" t="s">
        <v>230</v>
      </c>
      <c r="L2410" s="12">
        <v>3103526449</v>
      </c>
      <c r="M2410" s="17" t="s">
        <v>6189</v>
      </c>
      <c r="N2410" s="14" t="s">
        <v>2901</v>
      </c>
      <c r="O2410" s="88" t="s">
        <v>4949</v>
      </c>
      <c r="P2410" s="88" t="s">
        <v>80</v>
      </c>
      <c r="Q2410" s="13">
        <v>45643</v>
      </c>
      <c r="R2410" s="12" t="s">
        <v>1996</v>
      </c>
      <c r="S2410" s="12" t="s">
        <v>74</v>
      </c>
      <c r="T2410" s="12" t="s">
        <v>4334</v>
      </c>
      <c r="U2410" s="12" t="s">
        <v>2456</v>
      </c>
      <c r="V2410" s="13">
        <v>45155</v>
      </c>
      <c r="W2410" s="12" t="s">
        <v>1090</v>
      </c>
      <c r="X2410" s="12" t="s">
        <v>74</v>
      </c>
      <c r="Z2410" s="12" t="s">
        <v>50</v>
      </c>
      <c r="AU2410" s="328" t="s">
        <v>1208</v>
      </c>
    </row>
    <row r="2411" spans="1:52" s="12" customFormat="1" ht="14.4" hidden="1" x14ac:dyDescent="0.3">
      <c r="A2411" s="12" t="s">
        <v>39</v>
      </c>
      <c r="B2411" s="12" t="s">
        <v>5815</v>
      </c>
      <c r="C2411" s="12">
        <v>70</v>
      </c>
      <c r="D2411" s="12">
        <v>708</v>
      </c>
      <c r="E2411" s="12" t="s">
        <v>6102</v>
      </c>
      <c r="F2411" s="275" t="s">
        <v>6168</v>
      </c>
      <c r="G2411" s="12" t="str">
        <f t="shared" si="57"/>
        <v>707088230030871</v>
      </c>
      <c r="H2411" s="12" t="s">
        <v>6140</v>
      </c>
      <c r="I2411" s="12">
        <v>8230030871</v>
      </c>
      <c r="J2411" s="12" t="s">
        <v>6190</v>
      </c>
      <c r="K2411" s="12" t="s">
        <v>230</v>
      </c>
      <c r="L2411" s="12">
        <v>3126871164</v>
      </c>
      <c r="M2411" s="17" t="s">
        <v>6191</v>
      </c>
      <c r="N2411" s="14" t="s">
        <v>2901</v>
      </c>
      <c r="O2411" s="88" t="s">
        <v>4949</v>
      </c>
      <c r="P2411" s="88" t="s">
        <v>80</v>
      </c>
      <c r="Q2411" s="13">
        <v>46120</v>
      </c>
      <c r="R2411" s="12">
        <v>100</v>
      </c>
      <c r="S2411" s="12" t="s">
        <v>210</v>
      </c>
      <c r="T2411" s="12" t="s">
        <v>4334</v>
      </c>
      <c r="U2411" s="12" t="s">
        <v>2456</v>
      </c>
      <c r="V2411" s="13">
        <v>46008</v>
      </c>
      <c r="W2411" s="16">
        <v>0.91</v>
      </c>
      <c r="X2411" s="12" t="s">
        <v>210</v>
      </c>
      <c r="Y2411" s="12" t="s">
        <v>2824</v>
      </c>
      <c r="Z2411" s="12" t="s">
        <v>2456</v>
      </c>
      <c r="AU2411" s="328" t="s">
        <v>1208</v>
      </c>
    </row>
    <row r="2412" spans="1:52" s="12" customFormat="1" ht="14.4" hidden="1" x14ac:dyDescent="0.3">
      <c r="A2412" s="12" t="s">
        <v>39</v>
      </c>
      <c r="B2412" s="12" t="s">
        <v>5815</v>
      </c>
      <c r="C2412" s="12">
        <v>70</v>
      </c>
      <c r="D2412" s="12">
        <v>708</v>
      </c>
      <c r="E2412" s="12" t="s">
        <v>6192</v>
      </c>
      <c r="F2412" s="12" t="s">
        <v>6168</v>
      </c>
      <c r="G2412" s="12" t="str">
        <f t="shared" ref="G2412:G2425" si="58">C2412&amp;D2412&amp;I2412</f>
        <v>707089009182722</v>
      </c>
      <c r="H2412" s="12" t="s">
        <v>6193</v>
      </c>
      <c r="I2412" s="12">
        <v>9009182722</v>
      </c>
      <c r="J2412" s="12" t="s">
        <v>6194</v>
      </c>
      <c r="K2412" s="12" t="s">
        <v>230</v>
      </c>
      <c r="L2412" s="12">
        <v>3337280839</v>
      </c>
      <c r="M2412" s="17" t="s">
        <v>6195</v>
      </c>
      <c r="N2412" s="14" t="s">
        <v>2901</v>
      </c>
      <c r="O2412" s="88" t="s">
        <v>4949</v>
      </c>
      <c r="P2412" s="88" t="s">
        <v>80</v>
      </c>
      <c r="Q2412" s="13">
        <v>45665</v>
      </c>
      <c r="R2412" s="16">
        <v>1</v>
      </c>
      <c r="S2412" s="12" t="s">
        <v>210</v>
      </c>
      <c r="T2412" s="12" t="s">
        <v>4334</v>
      </c>
      <c r="U2412" s="12" t="s">
        <v>2456</v>
      </c>
      <c r="AU2412" s="328" t="s">
        <v>1208</v>
      </c>
    </row>
    <row r="2413" spans="1:52" s="12" customFormat="1" ht="14.4" hidden="1" x14ac:dyDescent="0.3">
      <c r="A2413" s="12" t="s">
        <v>39</v>
      </c>
      <c r="B2413" s="12" t="s">
        <v>5815</v>
      </c>
      <c r="C2413" s="12">
        <v>70</v>
      </c>
      <c r="D2413" s="12">
        <v>708</v>
      </c>
      <c r="E2413" s="12" t="s">
        <v>8712</v>
      </c>
      <c r="F2413" s="275" t="s">
        <v>8713</v>
      </c>
      <c r="G2413" s="12" t="str">
        <f t="shared" si="58"/>
        <v>707089020495811</v>
      </c>
      <c r="H2413" s="12" t="s">
        <v>8714</v>
      </c>
      <c r="I2413" s="12">
        <v>9020495811</v>
      </c>
      <c r="J2413" s="12" t="s">
        <v>8715</v>
      </c>
      <c r="K2413" s="12" t="s">
        <v>44</v>
      </c>
      <c r="L2413" s="12">
        <v>3126871164</v>
      </c>
      <c r="M2413" s="17" t="s">
        <v>8716</v>
      </c>
      <c r="N2413" s="14" t="s">
        <v>8717</v>
      </c>
      <c r="O2413" s="88" t="s">
        <v>7652</v>
      </c>
      <c r="P2413" s="88" t="s">
        <v>80</v>
      </c>
      <c r="Q2413" s="13">
        <v>46120</v>
      </c>
      <c r="R2413" s="12">
        <v>100</v>
      </c>
      <c r="S2413" s="12" t="s">
        <v>210</v>
      </c>
      <c r="U2413" s="12" t="s">
        <v>2456</v>
      </c>
      <c r="AU2413" s="328" t="s">
        <v>53</v>
      </c>
    </row>
    <row r="2414" spans="1:52" s="12" customFormat="1" ht="14.4" hidden="1" x14ac:dyDescent="0.3">
      <c r="A2414" s="12" t="s">
        <v>39</v>
      </c>
      <c r="B2414" s="12" t="s">
        <v>5815</v>
      </c>
      <c r="C2414" s="12">
        <v>70</v>
      </c>
      <c r="D2414" s="12">
        <v>708</v>
      </c>
      <c r="E2414" s="12" t="s">
        <v>8718</v>
      </c>
      <c r="F2414" s="275" t="s">
        <v>8719</v>
      </c>
      <c r="G2414" s="12" t="str">
        <f t="shared" si="58"/>
        <v>707089005258756</v>
      </c>
      <c r="H2414" s="12" t="s">
        <v>8720</v>
      </c>
      <c r="I2414" s="12">
        <v>9005258756</v>
      </c>
      <c r="J2414" s="12" t="s">
        <v>8721</v>
      </c>
      <c r="K2414" s="12" t="s">
        <v>44</v>
      </c>
      <c r="L2414" s="12">
        <v>3126871164</v>
      </c>
      <c r="M2414" s="17" t="s">
        <v>8722</v>
      </c>
      <c r="N2414" s="14" t="s">
        <v>2901</v>
      </c>
      <c r="O2414" s="88" t="s">
        <v>4949</v>
      </c>
      <c r="P2414" s="88" t="s">
        <v>80</v>
      </c>
      <c r="Q2414" s="13">
        <v>46120</v>
      </c>
      <c r="R2414" s="12">
        <v>100</v>
      </c>
      <c r="S2414" s="12" t="s">
        <v>210</v>
      </c>
      <c r="U2414" s="12" t="s">
        <v>2456</v>
      </c>
      <c r="AU2414" s="328" t="s">
        <v>53</v>
      </c>
    </row>
    <row r="2415" spans="1:52" s="12" customFormat="1" ht="14.4" hidden="1" x14ac:dyDescent="0.3">
      <c r="A2415" s="12" t="s">
        <v>39</v>
      </c>
      <c r="B2415" s="12" t="s">
        <v>5815</v>
      </c>
      <c r="C2415" s="12">
        <v>70</v>
      </c>
      <c r="D2415" s="12">
        <v>708</v>
      </c>
      <c r="E2415" s="12" t="s">
        <v>8723</v>
      </c>
      <c r="F2415" s="275" t="s">
        <v>8724</v>
      </c>
      <c r="G2415" s="12" t="str">
        <f t="shared" si="58"/>
        <v>70708909212505</v>
      </c>
      <c r="H2415" s="12" t="s">
        <v>8725</v>
      </c>
      <c r="I2415" s="12">
        <v>909212505</v>
      </c>
      <c r="J2415" s="12" t="s">
        <v>8726</v>
      </c>
      <c r="K2415" s="12" t="s">
        <v>44</v>
      </c>
      <c r="L2415" s="12">
        <v>3142043996</v>
      </c>
      <c r="M2415" s="17" t="s">
        <v>8727</v>
      </c>
      <c r="N2415" s="14" t="s">
        <v>8717</v>
      </c>
      <c r="O2415" s="88" t="s">
        <v>7652</v>
      </c>
      <c r="P2415" s="88" t="s">
        <v>80</v>
      </c>
      <c r="Q2415" s="13">
        <v>46120</v>
      </c>
      <c r="R2415" s="12">
        <v>100</v>
      </c>
      <c r="S2415" s="12" t="s">
        <v>210</v>
      </c>
      <c r="U2415" s="12" t="s">
        <v>2456</v>
      </c>
      <c r="AU2415" s="328" t="s">
        <v>53</v>
      </c>
    </row>
    <row r="2416" spans="1:52" s="12" customFormat="1" ht="14.4" hidden="1" x14ac:dyDescent="0.3">
      <c r="A2416" s="12" t="s">
        <v>39</v>
      </c>
      <c r="B2416" s="12" t="s">
        <v>5815</v>
      </c>
      <c r="C2416" s="12">
        <v>70</v>
      </c>
      <c r="D2416" s="12">
        <v>708</v>
      </c>
      <c r="E2416" s="12" t="s">
        <v>8728</v>
      </c>
      <c r="F2416" s="275" t="s">
        <v>8729</v>
      </c>
      <c r="G2416" s="12" t="str">
        <f t="shared" si="58"/>
        <v>707089020423354</v>
      </c>
      <c r="H2416" s="12" t="s">
        <v>8730</v>
      </c>
      <c r="I2416" s="12">
        <v>9020423354</v>
      </c>
      <c r="J2416" s="12" t="s">
        <v>8731</v>
      </c>
      <c r="K2416" s="12" t="s">
        <v>44</v>
      </c>
      <c r="L2416" s="12">
        <v>3142043996</v>
      </c>
      <c r="M2416" s="17" t="s">
        <v>8732</v>
      </c>
      <c r="N2416" s="14" t="s">
        <v>8717</v>
      </c>
      <c r="O2416" s="88" t="s">
        <v>7652</v>
      </c>
      <c r="P2416" s="88" t="s">
        <v>80</v>
      </c>
      <c r="Q2416" s="13">
        <v>46120</v>
      </c>
      <c r="R2416" s="12">
        <v>100</v>
      </c>
      <c r="S2416" s="12" t="s">
        <v>210</v>
      </c>
      <c r="U2416" s="12" t="s">
        <v>2456</v>
      </c>
      <c r="AU2416" s="328" t="s">
        <v>53</v>
      </c>
    </row>
    <row r="2417" spans="1:51" s="12" customFormat="1" ht="14.4" hidden="1" x14ac:dyDescent="0.3">
      <c r="A2417" s="12" t="s">
        <v>39</v>
      </c>
      <c r="B2417" s="12" t="s">
        <v>5815</v>
      </c>
      <c r="C2417" s="12">
        <v>70</v>
      </c>
      <c r="D2417" s="12">
        <v>708</v>
      </c>
      <c r="E2417" s="12" t="s">
        <v>9761</v>
      </c>
      <c r="F2417" s="275" t="s">
        <v>9752</v>
      </c>
      <c r="G2417" s="12" t="str">
        <f t="shared" si="58"/>
        <v>707089002188047</v>
      </c>
      <c r="H2417" s="12" t="s">
        <v>9762</v>
      </c>
      <c r="I2417" s="12">
        <v>9002188047</v>
      </c>
      <c r="J2417" s="12" t="s">
        <v>6107</v>
      </c>
      <c r="K2417" s="12" t="s">
        <v>133</v>
      </c>
      <c r="L2417" s="12">
        <v>3148704261</v>
      </c>
      <c r="M2417" s="17" t="s">
        <v>9758</v>
      </c>
      <c r="N2417" s="14" t="s">
        <v>127</v>
      </c>
      <c r="O2417" s="88" t="s">
        <v>2822</v>
      </c>
      <c r="P2417" s="88" t="s">
        <v>48</v>
      </c>
      <c r="Q2417" s="13">
        <v>44705</v>
      </c>
      <c r="R2417" s="16">
        <v>0.84</v>
      </c>
      <c r="S2417" s="12" t="s">
        <v>49</v>
      </c>
      <c r="T2417" s="12" t="s">
        <v>9759</v>
      </c>
      <c r="U2417" s="12" t="s">
        <v>2456</v>
      </c>
      <c r="AU2417" s="328" t="s">
        <v>53</v>
      </c>
    </row>
    <row r="2418" spans="1:51" s="12" customFormat="1" ht="28.8" hidden="1" x14ac:dyDescent="0.3">
      <c r="A2418" s="12" t="s">
        <v>39</v>
      </c>
      <c r="B2418" s="12" t="s">
        <v>5815</v>
      </c>
      <c r="C2418" s="12">
        <v>70</v>
      </c>
      <c r="D2418" s="12">
        <v>708</v>
      </c>
      <c r="E2418" s="14" t="s">
        <v>6196</v>
      </c>
      <c r="G2418" s="12" t="str">
        <f t="shared" si="58"/>
        <v>707088230036893</v>
      </c>
      <c r="H2418" s="12" t="s">
        <v>6197</v>
      </c>
      <c r="I2418" s="12">
        <v>8230036893</v>
      </c>
      <c r="J2418" s="12" t="s">
        <v>6198</v>
      </c>
      <c r="K2418" s="12" t="s">
        <v>230</v>
      </c>
      <c r="L2418" s="12">
        <v>3007610936</v>
      </c>
      <c r="M2418" s="17" t="s">
        <v>6199</v>
      </c>
      <c r="N2418" s="12" t="s">
        <v>127</v>
      </c>
      <c r="O2418" s="12" t="s">
        <v>2822</v>
      </c>
      <c r="P2418" s="88" t="s">
        <v>48</v>
      </c>
      <c r="Q2418" s="13">
        <v>45847</v>
      </c>
      <c r="R2418" s="12" t="s">
        <v>176</v>
      </c>
      <c r="S2418" s="12" t="s">
        <v>49</v>
      </c>
      <c r="T2418" s="12" t="s">
        <v>4334</v>
      </c>
      <c r="U2418" s="12" t="s">
        <v>2456</v>
      </c>
      <c r="AU2418" s="328" t="s">
        <v>1208</v>
      </c>
    </row>
    <row r="2419" spans="1:51" s="12" customFormat="1" ht="14.4" hidden="1" x14ac:dyDescent="0.3">
      <c r="A2419" s="12" t="s">
        <v>39</v>
      </c>
      <c r="B2419" s="12" t="s">
        <v>5815</v>
      </c>
      <c r="C2419" s="12">
        <v>70</v>
      </c>
      <c r="D2419" s="12">
        <v>708</v>
      </c>
      <c r="F2419" s="275" t="s">
        <v>6200</v>
      </c>
      <c r="G2419" s="12" t="str">
        <f t="shared" si="58"/>
        <v>7070833197688</v>
      </c>
      <c r="H2419" s="12" t="s">
        <v>6201</v>
      </c>
      <c r="I2419" s="12">
        <v>33197688</v>
      </c>
      <c r="J2419" s="12" t="s">
        <v>6202</v>
      </c>
      <c r="K2419" s="12" t="s">
        <v>4092</v>
      </c>
      <c r="L2419" s="12">
        <v>3135242735</v>
      </c>
      <c r="M2419" s="12" t="s">
        <v>45</v>
      </c>
      <c r="N2419" s="12" t="s">
        <v>432</v>
      </c>
      <c r="O2419" s="12" t="s">
        <v>432</v>
      </c>
      <c r="P2419" s="88" t="s">
        <v>261</v>
      </c>
      <c r="Q2419" s="13">
        <v>46146</v>
      </c>
      <c r="R2419" s="12" t="s">
        <v>7753</v>
      </c>
      <c r="S2419" s="12" t="s">
        <v>49</v>
      </c>
      <c r="T2419" s="12" t="s">
        <v>5854</v>
      </c>
      <c r="U2419" s="12" t="s">
        <v>2456</v>
      </c>
      <c r="V2419" s="13">
        <v>45722</v>
      </c>
      <c r="W2419" s="12" t="s">
        <v>2148</v>
      </c>
      <c r="X2419" s="12" t="s">
        <v>49</v>
      </c>
      <c r="Y2419" s="12" t="s">
        <v>5854</v>
      </c>
      <c r="Z2419" s="12" t="s">
        <v>2456</v>
      </c>
      <c r="AA2419" s="12" t="s">
        <v>51</v>
      </c>
      <c r="AB2419" s="12" t="s">
        <v>51</v>
      </c>
      <c r="AC2419" s="13">
        <v>45386</v>
      </c>
      <c r="AD2419" s="16">
        <v>0.82</v>
      </c>
      <c r="AE2419" s="12" t="s">
        <v>74</v>
      </c>
      <c r="AF2419" s="12" t="s">
        <v>60</v>
      </c>
      <c r="AU2419" s="328" t="s">
        <v>53</v>
      </c>
    </row>
    <row r="2420" spans="1:51" s="12" customFormat="1" ht="14.4" hidden="1" x14ac:dyDescent="0.3">
      <c r="A2420" s="12" t="s">
        <v>39</v>
      </c>
      <c r="B2420" s="12" t="s">
        <v>5815</v>
      </c>
      <c r="C2420" s="12">
        <v>70</v>
      </c>
      <c r="D2420" s="12">
        <v>708</v>
      </c>
      <c r="E2420" s="12" t="s">
        <v>6203</v>
      </c>
      <c r="F2420" s="12" t="s">
        <v>6204</v>
      </c>
      <c r="G2420" s="12" t="str">
        <f t="shared" si="58"/>
        <v>707089013871932</v>
      </c>
      <c r="H2420" s="12" t="s">
        <v>6205</v>
      </c>
      <c r="I2420" s="12">
        <v>9013871932</v>
      </c>
      <c r="J2420" s="12" t="s">
        <v>6206</v>
      </c>
      <c r="K2420" s="12" t="s">
        <v>4092</v>
      </c>
      <c r="L2420" s="12">
        <v>3042142897</v>
      </c>
      <c r="M2420" s="17" t="s">
        <v>6207</v>
      </c>
      <c r="N2420" s="12" t="s">
        <v>432</v>
      </c>
      <c r="O2420" s="12" t="s">
        <v>432</v>
      </c>
      <c r="P2420" s="88" t="s">
        <v>261</v>
      </c>
      <c r="Q2420" s="13">
        <v>45775</v>
      </c>
      <c r="R2420" s="16">
        <v>0.81</v>
      </c>
      <c r="S2420" s="12" t="s">
        <v>49</v>
      </c>
      <c r="T2420" s="12" t="s">
        <v>5854</v>
      </c>
      <c r="U2420" s="12" t="s">
        <v>2456</v>
      </c>
      <c r="AA2420" s="12" t="s">
        <v>51</v>
      </c>
      <c r="AB2420" s="12" t="s">
        <v>51</v>
      </c>
      <c r="AU2420" s="328" t="s">
        <v>53</v>
      </c>
      <c r="AX2420" s="12" t="s">
        <v>51</v>
      </c>
      <c r="AY2420" s="12" t="s">
        <v>51</v>
      </c>
    </row>
    <row r="2421" spans="1:51" s="12" customFormat="1" ht="14.4" hidden="1" x14ac:dyDescent="0.3">
      <c r="A2421" s="12" t="s">
        <v>39</v>
      </c>
      <c r="B2421" s="12" t="s">
        <v>5815</v>
      </c>
      <c r="C2421" s="12">
        <v>70</v>
      </c>
      <c r="D2421" s="12">
        <v>708</v>
      </c>
      <c r="F2421" s="12" t="s">
        <v>6208</v>
      </c>
      <c r="G2421" s="12" t="str">
        <f t="shared" si="58"/>
        <v>7070810632818301</v>
      </c>
      <c r="H2421" s="12" t="s">
        <v>6209</v>
      </c>
      <c r="I2421" s="12">
        <v>10632818301</v>
      </c>
      <c r="J2421" s="12" t="s">
        <v>6210</v>
      </c>
      <c r="K2421" s="12" t="s">
        <v>4092</v>
      </c>
      <c r="L2421" s="12">
        <v>3245242687</v>
      </c>
      <c r="M2421" s="17" t="s">
        <v>6211</v>
      </c>
      <c r="N2421" s="12" t="s">
        <v>432</v>
      </c>
      <c r="O2421" s="12" t="s">
        <v>432</v>
      </c>
      <c r="P2421" s="88" t="s">
        <v>261</v>
      </c>
      <c r="Q2421" s="13">
        <v>45770</v>
      </c>
      <c r="R2421" s="12" t="s">
        <v>1906</v>
      </c>
      <c r="S2421" s="12" t="s">
        <v>49</v>
      </c>
      <c r="T2421" s="12" t="s">
        <v>5854</v>
      </c>
      <c r="U2421" s="12" t="s">
        <v>2456</v>
      </c>
      <c r="AA2421" s="12" t="s">
        <v>51</v>
      </c>
      <c r="AB2421" s="12" t="s">
        <v>51</v>
      </c>
      <c r="AU2421" s="328" t="s">
        <v>53</v>
      </c>
      <c r="AX2421" s="12" t="s">
        <v>51</v>
      </c>
      <c r="AY2421" s="12" t="s">
        <v>51</v>
      </c>
    </row>
    <row r="2422" spans="1:51" s="12" customFormat="1" ht="14.4" hidden="1" x14ac:dyDescent="0.3">
      <c r="A2422" s="12" t="s">
        <v>39</v>
      </c>
      <c r="B2422" s="12" t="s">
        <v>5815</v>
      </c>
      <c r="C2422" s="12">
        <v>70</v>
      </c>
      <c r="D2422" s="12">
        <v>708</v>
      </c>
      <c r="F2422" s="275" t="s">
        <v>8868</v>
      </c>
      <c r="G2422" s="12" t="str">
        <f t="shared" si="58"/>
        <v>707081104413532</v>
      </c>
      <c r="H2422" s="12" t="s">
        <v>8869</v>
      </c>
      <c r="I2422" s="12">
        <v>1104413532</v>
      </c>
      <c r="J2422" s="12" t="s">
        <v>8870</v>
      </c>
      <c r="K2422" s="12" t="s">
        <v>4092</v>
      </c>
      <c r="L2422" s="12">
        <v>3183812205</v>
      </c>
      <c r="M2422" s="17" t="s">
        <v>8871</v>
      </c>
      <c r="N2422" s="12" t="s">
        <v>432</v>
      </c>
      <c r="O2422" s="12" t="s">
        <v>432</v>
      </c>
      <c r="P2422" s="88" t="s">
        <v>261</v>
      </c>
      <c r="Q2422" s="13">
        <v>46126</v>
      </c>
      <c r="R2422" s="12">
        <v>88</v>
      </c>
      <c r="S2422" s="12" t="s">
        <v>49</v>
      </c>
      <c r="T2422" s="12" t="s">
        <v>5854</v>
      </c>
      <c r="U2422" s="12" t="s">
        <v>2456</v>
      </c>
      <c r="AU2422" s="328" t="s">
        <v>53</v>
      </c>
    </row>
    <row r="2423" spans="1:51" s="12" customFormat="1" ht="14.4" hidden="1" x14ac:dyDescent="0.3">
      <c r="A2423" s="12" t="s">
        <v>39</v>
      </c>
      <c r="B2423" s="12" t="s">
        <v>5815</v>
      </c>
      <c r="C2423" s="12">
        <v>70</v>
      </c>
      <c r="D2423" s="12">
        <v>708</v>
      </c>
      <c r="F2423" s="275" t="s">
        <v>9421</v>
      </c>
      <c r="G2423" s="12" t="str">
        <f t="shared" si="58"/>
        <v>70708231004321</v>
      </c>
      <c r="H2423" s="12" t="s">
        <v>9422</v>
      </c>
      <c r="I2423" s="12">
        <v>231004321</v>
      </c>
      <c r="J2423" s="12" t="s">
        <v>9423</v>
      </c>
      <c r="K2423" s="12" t="s">
        <v>4092</v>
      </c>
      <c r="L2423" s="12">
        <v>3106619073</v>
      </c>
      <c r="M2423" s="17" t="s">
        <v>9424</v>
      </c>
      <c r="N2423" s="12" t="s">
        <v>432</v>
      </c>
      <c r="O2423" s="12" t="s">
        <v>432</v>
      </c>
      <c r="P2423" s="88" t="s">
        <v>261</v>
      </c>
      <c r="Q2423" s="13">
        <v>46164</v>
      </c>
      <c r="R2423" s="12">
        <v>83</v>
      </c>
      <c r="S2423" s="12" t="s">
        <v>49</v>
      </c>
      <c r="T2423" s="12" t="s">
        <v>9420</v>
      </c>
      <c r="U2423" s="12" t="s">
        <v>2456</v>
      </c>
      <c r="AU2423" s="328" t="s">
        <v>53</v>
      </c>
    </row>
    <row r="2424" spans="1:51" s="12" customFormat="1" ht="14.4" hidden="1" x14ac:dyDescent="0.3">
      <c r="A2424" s="12" t="s">
        <v>39</v>
      </c>
      <c r="B2424" s="12" t="s">
        <v>5815</v>
      </c>
      <c r="C2424" s="12">
        <v>70</v>
      </c>
      <c r="D2424" s="12">
        <v>708</v>
      </c>
      <c r="F2424" s="275" t="s">
        <v>9426</v>
      </c>
      <c r="G2424" s="12" t="str">
        <f t="shared" si="58"/>
        <v>707081045019250</v>
      </c>
      <c r="H2424" s="12" t="s">
        <v>9427</v>
      </c>
      <c r="I2424" s="12">
        <v>1045019250</v>
      </c>
      <c r="J2424" s="12" t="s">
        <v>9428</v>
      </c>
      <c r="K2424" s="12" t="s">
        <v>44</v>
      </c>
      <c r="L2424" s="12">
        <v>3015365854</v>
      </c>
      <c r="M2424" s="17" t="s">
        <v>9429</v>
      </c>
      <c r="N2424" s="12" t="s">
        <v>259</v>
      </c>
      <c r="O2424" s="12" t="s">
        <v>260</v>
      </c>
      <c r="P2424" s="88" t="s">
        <v>80</v>
      </c>
      <c r="Q2424" s="13">
        <v>46154</v>
      </c>
      <c r="R2424" s="12">
        <v>75</v>
      </c>
      <c r="S2424" s="12" t="s">
        <v>49</v>
      </c>
      <c r="T2424" s="12" t="s">
        <v>5854</v>
      </c>
      <c r="U2424" s="12" t="s">
        <v>2456</v>
      </c>
      <c r="AU2424" s="328" t="s">
        <v>53</v>
      </c>
    </row>
    <row r="2425" spans="1:51" s="12" customFormat="1" ht="14.4" hidden="1" x14ac:dyDescent="0.3">
      <c r="A2425" s="12" t="s">
        <v>39</v>
      </c>
      <c r="B2425" s="12" t="s">
        <v>5815</v>
      </c>
      <c r="C2425" s="12">
        <v>70</v>
      </c>
      <c r="D2425" s="12">
        <v>708</v>
      </c>
      <c r="E2425" s="12" t="s">
        <v>6212</v>
      </c>
      <c r="F2425" s="12" t="s">
        <v>6213</v>
      </c>
      <c r="G2425" s="12" t="str">
        <f t="shared" si="58"/>
        <v>7070810884220</v>
      </c>
      <c r="H2425" s="12" t="s">
        <v>6214</v>
      </c>
      <c r="I2425" s="12">
        <v>10884220</v>
      </c>
      <c r="J2425" s="12" t="s">
        <v>6215</v>
      </c>
      <c r="K2425" s="12" t="s">
        <v>230</v>
      </c>
      <c r="L2425" s="12">
        <v>3128341940</v>
      </c>
      <c r="M2425" s="95" t="s">
        <v>6216</v>
      </c>
      <c r="N2425" s="14" t="s">
        <v>2901</v>
      </c>
      <c r="O2425" s="88" t="s">
        <v>4949</v>
      </c>
      <c r="P2425" s="88" t="s">
        <v>80</v>
      </c>
      <c r="Q2425" s="13">
        <v>45786</v>
      </c>
      <c r="R2425" s="16">
        <v>1</v>
      </c>
      <c r="S2425" s="12" t="s">
        <v>210</v>
      </c>
      <c r="T2425" s="12" t="s">
        <v>1198</v>
      </c>
      <c r="U2425" s="12" t="s">
        <v>2456</v>
      </c>
      <c r="AA2425" s="12" t="s">
        <v>51</v>
      </c>
      <c r="AB2425" s="12" t="s">
        <v>51</v>
      </c>
      <c r="AU2425" s="328" t="s">
        <v>53</v>
      </c>
    </row>
    <row r="2426" spans="1:51" s="12" customFormat="1" ht="23.25" customHeight="1" x14ac:dyDescent="0.3">
      <c r="A2426" s="42" t="s">
        <v>39</v>
      </c>
      <c r="B2426" s="42" t="s">
        <v>6255</v>
      </c>
      <c r="C2426" s="42">
        <v>70</v>
      </c>
      <c r="D2426" s="42">
        <v>713</v>
      </c>
      <c r="E2426" s="42"/>
      <c r="F2426" s="43" t="s">
        <v>6217</v>
      </c>
      <c r="G2426" s="43" t="str">
        <f>C2426&amp;D2426&amp;SUBSTITUTE(I2426,"-","")</f>
        <v>707131152442801</v>
      </c>
      <c r="H2426" s="4" t="s">
        <v>6218</v>
      </c>
      <c r="I2426" s="45" t="s">
        <v>6219</v>
      </c>
      <c r="J2426" s="4" t="s">
        <v>6220</v>
      </c>
      <c r="K2426" s="44" t="s">
        <v>230</v>
      </c>
      <c r="L2426" s="44">
        <v>3005687310</v>
      </c>
      <c r="M2426" s="51" t="s">
        <v>6221</v>
      </c>
      <c r="N2426" s="12" t="s">
        <v>46</v>
      </c>
      <c r="O2426" s="12" t="s">
        <v>47</v>
      </c>
      <c r="P2426" s="4" t="s">
        <v>80</v>
      </c>
      <c r="Q2426" s="69">
        <v>45722</v>
      </c>
      <c r="R2426" s="23">
        <v>0.75</v>
      </c>
      <c r="S2426" s="4" t="s">
        <v>49</v>
      </c>
      <c r="T2426" s="14" t="s">
        <v>6222</v>
      </c>
      <c r="U2426" s="14" t="s">
        <v>60</v>
      </c>
      <c r="V2426" s="70">
        <v>45572</v>
      </c>
      <c r="W2426" s="22">
        <v>0.89500000000000002</v>
      </c>
      <c r="X2426" s="42" t="s">
        <v>49</v>
      </c>
      <c r="Y2426" s="14"/>
      <c r="Z2426" s="14"/>
      <c r="AA2426" s="14"/>
      <c r="AC2426" s="14"/>
      <c r="AD2426" s="14"/>
      <c r="AE2426" s="14"/>
      <c r="AF2426" s="20"/>
      <c r="AH2426" s="14"/>
      <c r="AI2426" s="14"/>
      <c r="AJ2426" s="14"/>
      <c r="AK2426" s="20"/>
      <c r="AM2426" s="14"/>
      <c r="AN2426" s="14"/>
      <c r="AO2426" s="14"/>
      <c r="AU2426" s="71" t="s">
        <v>53</v>
      </c>
    </row>
    <row r="2427" spans="1:51" s="12" customFormat="1" ht="23.25" customHeight="1" x14ac:dyDescent="0.3">
      <c r="A2427" s="42" t="s">
        <v>39</v>
      </c>
      <c r="B2427" s="42" t="s">
        <v>6255</v>
      </c>
      <c r="C2427" s="42">
        <v>70</v>
      </c>
      <c r="D2427" s="42">
        <v>713</v>
      </c>
      <c r="E2427" s="42"/>
      <c r="F2427" s="43" t="s">
        <v>6223</v>
      </c>
      <c r="G2427" s="43" t="str">
        <f t="shared" ref="G2427:G2490" si="59">C2427&amp;D2427&amp;SUBSTITUTE(I2427,"-","")</f>
        <v>707137101453617</v>
      </c>
      <c r="H2427" s="4" t="s">
        <v>6224</v>
      </c>
      <c r="I2427" s="45">
        <v>7101453617</v>
      </c>
      <c r="J2427" s="4" t="s">
        <v>6225</v>
      </c>
      <c r="K2427" s="44" t="s">
        <v>230</v>
      </c>
      <c r="L2427" s="44">
        <v>3125325651</v>
      </c>
      <c r="M2427" s="51" t="s">
        <v>6226</v>
      </c>
      <c r="N2427" s="12" t="s">
        <v>46</v>
      </c>
      <c r="O2427" s="12" t="s">
        <v>47</v>
      </c>
      <c r="P2427" s="4" t="s">
        <v>80</v>
      </c>
      <c r="Q2427" s="69">
        <v>45769</v>
      </c>
      <c r="R2427" s="11">
        <v>0.79</v>
      </c>
      <c r="S2427" s="4" t="s">
        <v>49</v>
      </c>
      <c r="T2427" s="14"/>
      <c r="U2427" s="14"/>
      <c r="V2427" s="70">
        <v>45483</v>
      </c>
      <c r="W2427" s="22">
        <v>0.89500000000000002</v>
      </c>
      <c r="X2427" s="42" t="s">
        <v>6227</v>
      </c>
      <c r="Y2427" s="14"/>
      <c r="Z2427" s="14"/>
      <c r="AA2427" s="14"/>
      <c r="AC2427" s="14"/>
      <c r="AD2427" s="14"/>
      <c r="AE2427" s="14"/>
      <c r="AF2427" s="20"/>
      <c r="AH2427" s="14"/>
      <c r="AI2427" s="14"/>
      <c r="AJ2427" s="14"/>
      <c r="AK2427" s="20"/>
      <c r="AM2427" s="14"/>
      <c r="AN2427" s="14"/>
      <c r="AO2427" s="14"/>
      <c r="AU2427" s="71" t="s">
        <v>53</v>
      </c>
    </row>
    <row r="2428" spans="1:51" s="12" customFormat="1" ht="23.25" hidden="1" customHeight="1" x14ac:dyDescent="0.3">
      <c r="A2428" s="42" t="s">
        <v>39</v>
      </c>
      <c r="B2428" s="42" t="s">
        <v>6255</v>
      </c>
      <c r="C2428" s="42">
        <v>70</v>
      </c>
      <c r="D2428" s="42">
        <v>713</v>
      </c>
      <c r="E2428" s="42"/>
      <c r="F2428" s="43" t="s">
        <v>6228</v>
      </c>
      <c r="G2428" s="43" t="str">
        <f t="shared" si="59"/>
        <v>707131101442052</v>
      </c>
      <c r="H2428" s="4" t="s">
        <v>6229</v>
      </c>
      <c r="I2428" s="45">
        <v>1101442052</v>
      </c>
      <c r="J2428" s="4" t="s">
        <v>1968</v>
      </c>
      <c r="K2428" s="44" t="s">
        <v>230</v>
      </c>
      <c r="L2428" s="44" t="s">
        <v>45</v>
      </c>
      <c r="M2428" s="7" t="s">
        <v>45</v>
      </c>
      <c r="N2428" s="12" t="s">
        <v>259</v>
      </c>
      <c r="O2428" s="12" t="s">
        <v>260</v>
      </c>
      <c r="P2428" s="4" t="s">
        <v>261</v>
      </c>
      <c r="Q2428" s="4"/>
      <c r="R2428" s="11"/>
      <c r="S2428" s="4"/>
      <c r="T2428" s="14"/>
      <c r="U2428" s="14"/>
      <c r="V2428" s="70"/>
      <c r="W2428" s="14"/>
      <c r="X2428" s="42"/>
      <c r="Y2428" s="14"/>
      <c r="Z2428" s="14"/>
      <c r="AA2428" s="14"/>
      <c r="AC2428" s="14"/>
      <c r="AD2428" s="14"/>
      <c r="AE2428" s="14"/>
      <c r="AF2428" s="20"/>
      <c r="AH2428" s="14"/>
      <c r="AI2428" s="14"/>
      <c r="AJ2428" s="14"/>
      <c r="AK2428" s="20"/>
      <c r="AM2428" s="14"/>
      <c r="AN2428" s="14"/>
      <c r="AO2428" s="14"/>
      <c r="AU2428" s="71" t="s">
        <v>53</v>
      </c>
    </row>
    <row r="2429" spans="1:51" s="12" customFormat="1" ht="23.25" hidden="1" customHeight="1" x14ac:dyDescent="0.3">
      <c r="A2429" s="42" t="s">
        <v>39</v>
      </c>
      <c r="B2429" s="42" t="s">
        <v>6255</v>
      </c>
      <c r="C2429" s="42">
        <v>70</v>
      </c>
      <c r="D2429" s="42">
        <v>713</v>
      </c>
      <c r="E2429" s="42"/>
      <c r="F2429" s="43" t="s">
        <v>6230</v>
      </c>
      <c r="G2429" s="43" t="str">
        <f t="shared" si="59"/>
        <v>7071311014477147</v>
      </c>
      <c r="H2429" s="4" t="s">
        <v>6231</v>
      </c>
      <c r="I2429" s="45" t="s">
        <v>6232</v>
      </c>
      <c r="J2429" s="4" t="s">
        <v>6233</v>
      </c>
      <c r="K2429" s="44" t="s">
        <v>230</v>
      </c>
      <c r="L2429" s="44" t="s">
        <v>45</v>
      </c>
      <c r="M2429" s="7" t="s">
        <v>45</v>
      </c>
      <c r="N2429" s="12" t="s">
        <v>432</v>
      </c>
      <c r="O2429" s="12" t="s">
        <v>432</v>
      </c>
      <c r="P2429" s="4" t="s">
        <v>261</v>
      </c>
      <c r="Q2429" s="4"/>
      <c r="R2429" s="11"/>
      <c r="S2429" s="4"/>
      <c r="T2429" s="14"/>
      <c r="U2429" s="14"/>
      <c r="V2429" s="70"/>
      <c r="W2429" s="14"/>
      <c r="X2429" s="42"/>
      <c r="Y2429" s="14"/>
      <c r="Z2429" s="14"/>
      <c r="AA2429" s="14"/>
      <c r="AC2429" s="14"/>
      <c r="AD2429" s="14"/>
      <c r="AE2429" s="14"/>
      <c r="AF2429" s="20"/>
      <c r="AH2429" s="14"/>
      <c r="AI2429" s="14"/>
      <c r="AJ2429" s="14"/>
      <c r="AK2429" s="20"/>
      <c r="AM2429" s="14"/>
      <c r="AN2429" s="14"/>
      <c r="AO2429" s="14"/>
      <c r="AU2429" s="71" t="s">
        <v>53</v>
      </c>
    </row>
    <row r="2430" spans="1:51" s="12" customFormat="1" ht="23.25" hidden="1" customHeight="1" x14ac:dyDescent="0.3">
      <c r="A2430" s="42" t="s">
        <v>39</v>
      </c>
      <c r="B2430" s="42" t="s">
        <v>6255</v>
      </c>
      <c r="C2430" s="42">
        <v>70</v>
      </c>
      <c r="D2430" s="42">
        <v>713</v>
      </c>
      <c r="E2430" s="42"/>
      <c r="F2430" s="43" t="s">
        <v>6234</v>
      </c>
      <c r="G2430" s="43" t="str">
        <f t="shared" si="59"/>
        <v>707131101497102</v>
      </c>
      <c r="H2430" s="4" t="s">
        <v>6235</v>
      </c>
      <c r="I2430" s="45">
        <v>1101497102</v>
      </c>
      <c r="J2430" s="4" t="s">
        <v>6236</v>
      </c>
      <c r="K2430" s="44" t="s">
        <v>230</v>
      </c>
      <c r="L2430" s="44" t="s">
        <v>45</v>
      </c>
      <c r="M2430" s="7" t="s">
        <v>45</v>
      </c>
      <c r="N2430" s="12" t="s">
        <v>46</v>
      </c>
      <c r="O2430" s="68" t="s">
        <v>521</v>
      </c>
      <c r="P2430" s="4" t="s">
        <v>80</v>
      </c>
      <c r="Q2430" s="4"/>
      <c r="R2430" s="11"/>
      <c r="S2430" s="4"/>
      <c r="T2430" s="14"/>
      <c r="U2430" s="14"/>
      <c r="V2430" s="70"/>
      <c r="W2430" s="14"/>
      <c r="X2430" s="42"/>
      <c r="Y2430" s="14"/>
      <c r="Z2430" s="14"/>
      <c r="AA2430" s="14"/>
      <c r="AC2430" s="14"/>
      <c r="AD2430" s="14"/>
      <c r="AE2430" s="14"/>
      <c r="AF2430" s="20"/>
      <c r="AH2430" s="14"/>
      <c r="AI2430" s="14"/>
      <c r="AJ2430" s="14"/>
      <c r="AK2430" s="20"/>
      <c r="AM2430" s="14"/>
      <c r="AN2430" s="14"/>
      <c r="AO2430" s="14"/>
      <c r="AU2430" s="71" t="s">
        <v>53</v>
      </c>
    </row>
    <row r="2431" spans="1:51" s="12" customFormat="1" ht="23.25" customHeight="1" x14ac:dyDescent="0.3">
      <c r="A2431" s="42" t="s">
        <v>39</v>
      </c>
      <c r="B2431" s="42" t="s">
        <v>6255</v>
      </c>
      <c r="C2431" s="42">
        <v>70</v>
      </c>
      <c r="D2431" s="42">
        <v>713</v>
      </c>
      <c r="E2431" s="42"/>
      <c r="F2431" s="43" t="s">
        <v>6237</v>
      </c>
      <c r="G2431" s="43" t="str">
        <f t="shared" si="59"/>
        <v>707131098715813</v>
      </c>
      <c r="H2431" s="4" t="s">
        <v>6238</v>
      </c>
      <c r="I2431" s="45">
        <v>1098715813</v>
      </c>
      <c r="J2431" s="4" t="s">
        <v>6239</v>
      </c>
      <c r="K2431" s="44" t="s">
        <v>230</v>
      </c>
      <c r="L2431" s="44">
        <v>3155239517</v>
      </c>
      <c r="M2431" s="109" t="s">
        <v>6240</v>
      </c>
      <c r="N2431" s="12" t="s">
        <v>46</v>
      </c>
      <c r="O2431" s="12" t="s">
        <v>47</v>
      </c>
      <c r="P2431" s="4" t="s">
        <v>80</v>
      </c>
      <c r="Q2431" s="69">
        <v>45785</v>
      </c>
      <c r="R2431" s="11">
        <v>0.9</v>
      </c>
      <c r="S2431" s="4" t="s">
        <v>210</v>
      </c>
      <c r="T2431" s="14" t="s">
        <v>6241</v>
      </c>
      <c r="U2431" s="14" t="s">
        <v>50</v>
      </c>
      <c r="V2431" s="70"/>
      <c r="W2431" s="14"/>
      <c r="X2431" s="42"/>
      <c r="Y2431" s="14"/>
      <c r="Z2431" s="14"/>
      <c r="AA2431" s="14"/>
      <c r="AC2431" s="14"/>
      <c r="AD2431" s="14"/>
      <c r="AE2431" s="14"/>
      <c r="AF2431" s="20"/>
      <c r="AH2431" s="14"/>
      <c r="AI2431" s="14"/>
      <c r="AJ2431" s="14"/>
      <c r="AK2431" s="20"/>
      <c r="AM2431" s="14"/>
      <c r="AN2431" s="14"/>
      <c r="AO2431" s="14"/>
      <c r="AU2431" s="71" t="s">
        <v>53</v>
      </c>
    </row>
    <row r="2432" spans="1:51" s="12" customFormat="1" ht="23.25" hidden="1" customHeight="1" x14ac:dyDescent="0.3">
      <c r="A2432" s="42" t="s">
        <v>39</v>
      </c>
      <c r="B2432" s="42" t="s">
        <v>6255</v>
      </c>
      <c r="C2432" s="42">
        <v>70</v>
      </c>
      <c r="D2432" s="42">
        <v>713</v>
      </c>
      <c r="E2432" s="42" t="s">
        <v>9478</v>
      </c>
      <c r="F2432" s="283" t="s">
        <v>9479</v>
      </c>
      <c r="G2432" s="43" t="str">
        <f t="shared" si="59"/>
        <v>707139000753991</v>
      </c>
      <c r="H2432" s="4" t="s">
        <v>9480</v>
      </c>
      <c r="I2432" s="4">
        <v>9000753991</v>
      </c>
      <c r="J2432" s="44" t="s">
        <v>9481</v>
      </c>
      <c r="K2432" s="44" t="s">
        <v>44</v>
      </c>
      <c r="L2432" s="44">
        <v>3022393827</v>
      </c>
      <c r="M2432" s="7" t="s">
        <v>9482</v>
      </c>
      <c r="N2432" s="12" t="s">
        <v>127</v>
      </c>
      <c r="O2432" s="12" t="s">
        <v>2822</v>
      </c>
      <c r="P2432" s="4" t="s">
        <v>48</v>
      </c>
      <c r="Q2432" s="69">
        <v>46229</v>
      </c>
      <c r="R2432" s="9">
        <v>69</v>
      </c>
      <c r="S2432" s="4" t="s">
        <v>49</v>
      </c>
      <c r="T2432" s="14" t="s">
        <v>1204</v>
      </c>
      <c r="U2432" s="14" t="s">
        <v>60</v>
      </c>
      <c r="V2432" s="70"/>
      <c r="W2432" s="14"/>
      <c r="X2432" s="42"/>
      <c r="Y2432" s="14"/>
      <c r="Z2432" s="14"/>
      <c r="AA2432" s="14"/>
      <c r="AC2432" s="14"/>
      <c r="AD2432" s="14"/>
      <c r="AE2432" s="14"/>
      <c r="AF2432" s="20"/>
      <c r="AH2432" s="14"/>
      <c r="AI2432" s="14"/>
      <c r="AJ2432" s="14"/>
      <c r="AK2432" s="20"/>
      <c r="AM2432" s="14"/>
      <c r="AN2432" s="14"/>
      <c r="AO2432" s="14"/>
      <c r="AU2432" s="71" t="s">
        <v>53</v>
      </c>
    </row>
    <row r="2433" spans="1:47" s="12" customFormat="1" ht="23.25" hidden="1" customHeight="1" x14ac:dyDescent="0.3">
      <c r="A2433" s="42" t="s">
        <v>39</v>
      </c>
      <c r="B2433" s="42" t="s">
        <v>6255</v>
      </c>
      <c r="C2433" s="42">
        <v>70</v>
      </c>
      <c r="D2433" s="42">
        <v>713</v>
      </c>
      <c r="E2433" s="42"/>
      <c r="F2433" s="43" t="s">
        <v>1418</v>
      </c>
      <c r="G2433" s="43" t="str">
        <f t="shared" si="59"/>
        <v>70713706954586</v>
      </c>
      <c r="H2433" s="4" t="s">
        <v>6242</v>
      </c>
      <c r="I2433" s="45" t="s">
        <v>6243</v>
      </c>
      <c r="J2433" s="4" t="s">
        <v>6244</v>
      </c>
      <c r="K2433" s="44" t="s">
        <v>230</v>
      </c>
      <c r="L2433" s="44">
        <v>3207897932</v>
      </c>
      <c r="M2433" s="7" t="s">
        <v>45</v>
      </c>
      <c r="N2433" s="12" t="s">
        <v>259</v>
      </c>
      <c r="O2433" s="12" t="s">
        <v>260</v>
      </c>
      <c r="P2433" s="4" t="s">
        <v>261</v>
      </c>
      <c r="Q2433" s="69" t="s">
        <v>6245</v>
      </c>
      <c r="R2433" s="10">
        <v>0.73250000000000004</v>
      </c>
      <c r="S2433" s="4" t="s">
        <v>49</v>
      </c>
      <c r="T2433" s="14" t="s">
        <v>6241</v>
      </c>
      <c r="U2433" s="14" t="s">
        <v>50</v>
      </c>
      <c r="V2433" s="70">
        <v>45330</v>
      </c>
      <c r="W2433" s="22">
        <v>0.84250000000000003</v>
      </c>
      <c r="X2433" s="42" t="s">
        <v>49</v>
      </c>
      <c r="Y2433" s="14"/>
      <c r="Z2433" s="14"/>
      <c r="AA2433" s="14"/>
      <c r="AC2433" s="14"/>
      <c r="AD2433" s="14"/>
      <c r="AE2433" s="14"/>
      <c r="AF2433" s="20"/>
      <c r="AH2433" s="14"/>
      <c r="AI2433" s="14"/>
      <c r="AJ2433" s="14"/>
      <c r="AK2433" s="20"/>
      <c r="AM2433" s="14"/>
      <c r="AN2433" s="14"/>
      <c r="AO2433" s="14"/>
      <c r="AU2433" s="71" t="s">
        <v>53</v>
      </c>
    </row>
    <row r="2434" spans="1:47" s="12" customFormat="1" ht="23.25" hidden="1" customHeight="1" x14ac:dyDescent="0.3">
      <c r="A2434" s="42" t="s">
        <v>505</v>
      </c>
      <c r="B2434" s="42" t="s">
        <v>6255</v>
      </c>
      <c r="C2434" s="42">
        <v>70</v>
      </c>
      <c r="D2434" s="42">
        <v>713</v>
      </c>
      <c r="E2434" s="42"/>
      <c r="F2434" s="43" t="s">
        <v>6246</v>
      </c>
      <c r="G2434" s="43" t="str">
        <f t="shared" si="59"/>
        <v>70713430552522</v>
      </c>
      <c r="H2434" s="4" t="s">
        <v>6247</v>
      </c>
      <c r="I2434" s="45" t="s">
        <v>6248</v>
      </c>
      <c r="J2434" s="4" t="s">
        <v>6249</v>
      </c>
      <c r="K2434" s="44" t="s">
        <v>230</v>
      </c>
      <c r="L2434" s="44">
        <v>3178943299</v>
      </c>
      <c r="M2434" s="51" t="s">
        <v>6250</v>
      </c>
      <c r="N2434" s="12" t="s">
        <v>259</v>
      </c>
      <c r="O2434" s="12" t="s">
        <v>260</v>
      </c>
      <c r="P2434" s="4" t="s">
        <v>261</v>
      </c>
      <c r="Q2434" s="69" t="s">
        <v>6251</v>
      </c>
      <c r="R2434" s="11">
        <v>0.82</v>
      </c>
      <c r="S2434" s="4" t="s">
        <v>49</v>
      </c>
      <c r="T2434" s="14" t="s">
        <v>6241</v>
      </c>
      <c r="U2434" s="14" t="s">
        <v>60</v>
      </c>
      <c r="V2434" s="70">
        <v>45696</v>
      </c>
      <c r="W2434" s="21">
        <v>0.93</v>
      </c>
      <c r="X2434" s="42" t="s">
        <v>210</v>
      </c>
      <c r="Y2434" s="14"/>
      <c r="Z2434" s="14"/>
      <c r="AA2434" s="14"/>
      <c r="AC2434" s="14"/>
      <c r="AD2434" s="14"/>
      <c r="AE2434" s="14"/>
      <c r="AF2434" s="20"/>
      <c r="AH2434" s="14"/>
      <c r="AI2434" s="14"/>
      <c r="AJ2434" s="14"/>
      <c r="AK2434" s="20"/>
      <c r="AM2434" s="14"/>
      <c r="AN2434" s="14"/>
      <c r="AO2434" s="14"/>
      <c r="AU2434" s="71" t="s">
        <v>53</v>
      </c>
    </row>
    <row r="2435" spans="1:47" s="12" customFormat="1" ht="23.25" hidden="1" customHeight="1" x14ac:dyDescent="0.3">
      <c r="A2435" s="42" t="s">
        <v>39</v>
      </c>
      <c r="B2435" s="42" t="s">
        <v>6255</v>
      </c>
      <c r="C2435" s="42">
        <v>70</v>
      </c>
      <c r="D2435" s="42">
        <v>713</v>
      </c>
      <c r="E2435" s="42"/>
      <c r="F2435" s="43" t="s">
        <v>6252</v>
      </c>
      <c r="G2435" s="43" t="str">
        <f t="shared" si="59"/>
        <v>7071343786467</v>
      </c>
      <c r="H2435" s="4" t="s">
        <v>6253</v>
      </c>
      <c r="I2435" s="45">
        <v>43786467</v>
      </c>
      <c r="J2435" s="4" t="s">
        <v>6254</v>
      </c>
      <c r="K2435" s="44" t="s">
        <v>230</v>
      </c>
      <c r="L2435" s="44" t="s">
        <v>45</v>
      </c>
      <c r="M2435" s="7" t="s">
        <v>45</v>
      </c>
      <c r="N2435" s="12" t="s">
        <v>259</v>
      </c>
      <c r="O2435" s="12" t="s">
        <v>260</v>
      </c>
      <c r="P2435" s="4" t="s">
        <v>261</v>
      </c>
      <c r="Q2435" s="4"/>
      <c r="R2435" s="11"/>
      <c r="S2435" s="4"/>
      <c r="T2435" s="14"/>
      <c r="U2435" s="14"/>
      <c r="V2435" s="70"/>
      <c r="W2435" s="14"/>
      <c r="X2435" s="42"/>
      <c r="Y2435" s="14"/>
      <c r="Z2435" s="14"/>
      <c r="AA2435" s="14"/>
      <c r="AC2435" s="14"/>
      <c r="AD2435" s="14"/>
      <c r="AE2435" s="14"/>
      <c r="AF2435" s="20"/>
      <c r="AH2435" s="14"/>
      <c r="AI2435" s="14"/>
      <c r="AJ2435" s="14"/>
      <c r="AK2435" s="20"/>
      <c r="AM2435" s="14"/>
      <c r="AN2435" s="14"/>
      <c r="AO2435" s="14"/>
      <c r="AU2435" s="71" t="s">
        <v>53</v>
      </c>
    </row>
    <row r="2436" spans="1:47" s="12" customFormat="1" ht="23.25" hidden="1" customHeight="1" x14ac:dyDescent="0.3">
      <c r="A2436" s="42" t="s">
        <v>505</v>
      </c>
      <c r="B2436" s="42" t="s">
        <v>6255</v>
      </c>
      <c r="C2436" s="42">
        <v>70</v>
      </c>
      <c r="D2436" s="42">
        <v>713</v>
      </c>
      <c r="E2436" s="42"/>
      <c r="F2436" s="43" t="s">
        <v>6256</v>
      </c>
      <c r="G2436" s="43" t="str">
        <f t="shared" si="59"/>
        <v>707139002452854</v>
      </c>
      <c r="H2436" s="4" t="s">
        <v>6257</v>
      </c>
      <c r="I2436" s="45">
        <v>9002452854</v>
      </c>
      <c r="J2436" s="4" t="s">
        <v>6258</v>
      </c>
      <c r="K2436" s="44" t="s">
        <v>230</v>
      </c>
      <c r="L2436" s="44" t="s">
        <v>6259</v>
      </c>
      <c r="M2436" s="73" t="s">
        <v>6260</v>
      </c>
      <c r="N2436" s="12" t="s">
        <v>259</v>
      </c>
      <c r="O2436" s="12" t="s">
        <v>260</v>
      </c>
      <c r="P2436" s="4" t="s">
        <v>261</v>
      </c>
      <c r="Q2436" s="4"/>
      <c r="R2436" s="11"/>
      <c r="S2436" s="4"/>
      <c r="T2436" s="14"/>
      <c r="U2436" s="14"/>
      <c r="V2436" s="70"/>
      <c r="W2436" s="14"/>
      <c r="X2436" s="42"/>
      <c r="Y2436" s="14"/>
      <c r="Z2436" s="14"/>
      <c r="AA2436" s="14"/>
      <c r="AC2436" s="14"/>
      <c r="AD2436" s="14"/>
      <c r="AE2436" s="14"/>
      <c r="AF2436" s="20"/>
      <c r="AH2436" s="14"/>
      <c r="AI2436" s="14"/>
      <c r="AJ2436" s="14"/>
      <c r="AK2436" s="20"/>
      <c r="AM2436" s="14"/>
      <c r="AN2436" s="14"/>
      <c r="AO2436" s="14"/>
      <c r="AU2436" s="71" t="s">
        <v>53</v>
      </c>
    </row>
    <row r="2437" spans="1:47" s="12" customFormat="1" ht="23.25" hidden="1" customHeight="1" x14ac:dyDescent="0.3">
      <c r="A2437" s="42" t="s">
        <v>39</v>
      </c>
      <c r="B2437" s="42" t="s">
        <v>6255</v>
      </c>
      <c r="C2437" s="42">
        <v>70</v>
      </c>
      <c r="D2437" s="42">
        <v>713</v>
      </c>
      <c r="E2437" s="42"/>
      <c r="F2437" s="43" t="s">
        <v>6261</v>
      </c>
      <c r="G2437" s="43" t="str">
        <f t="shared" si="59"/>
        <v>70713645217844</v>
      </c>
      <c r="H2437" s="4" t="s">
        <v>6262</v>
      </c>
      <c r="I2437" s="45" t="s">
        <v>6263</v>
      </c>
      <c r="J2437" s="4" t="s">
        <v>6264</v>
      </c>
      <c r="K2437" s="44" t="s">
        <v>230</v>
      </c>
      <c r="L2437" s="44" t="s">
        <v>45</v>
      </c>
      <c r="M2437" s="7" t="s">
        <v>45</v>
      </c>
      <c r="N2437" s="12" t="s">
        <v>432</v>
      </c>
      <c r="O2437" s="12" t="s">
        <v>432</v>
      </c>
      <c r="P2437" s="4" t="s">
        <v>261</v>
      </c>
      <c r="Q2437" s="4"/>
      <c r="R2437" s="11"/>
      <c r="S2437" s="4"/>
      <c r="T2437" s="14"/>
      <c r="U2437" s="14"/>
      <c r="V2437" s="70"/>
      <c r="W2437" s="14"/>
      <c r="X2437" s="42"/>
      <c r="Y2437" s="14"/>
      <c r="Z2437" s="14"/>
      <c r="AA2437" s="14"/>
      <c r="AC2437" s="14"/>
      <c r="AD2437" s="14"/>
      <c r="AE2437" s="14"/>
      <c r="AF2437" s="20"/>
      <c r="AH2437" s="14"/>
      <c r="AI2437" s="14"/>
      <c r="AJ2437" s="14"/>
      <c r="AK2437" s="20"/>
      <c r="AM2437" s="14"/>
      <c r="AN2437" s="14"/>
      <c r="AO2437" s="14"/>
      <c r="AU2437" s="71" t="s">
        <v>53</v>
      </c>
    </row>
    <row r="2438" spans="1:47" s="12" customFormat="1" ht="23.25" hidden="1" customHeight="1" x14ac:dyDescent="0.3">
      <c r="A2438" s="42" t="s">
        <v>505</v>
      </c>
      <c r="B2438" s="42" t="s">
        <v>6255</v>
      </c>
      <c r="C2438" s="42">
        <v>70</v>
      </c>
      <c r="D2438" s="42">
        <v>713</v>
      </c>
      <c r="E2438" s="42"/>
      <c r="F2438" s="283" t="s">
        <v>6265</v>
      </c>
      <c r="G2438" s="43" t="str">
        <f t="shared" si="59"/>
        <v>7071364526211</v>
      </c>
      <c r="H2438" s="4" t="s">
        <v>9489</v>
      </c>
      <c r="I2438" s="4">
        <v>64526211</v>
      </c>
      <c r="J2438" s="4" t="s">
        <v>9490</v>
      </c>
      <c r="K2438" s="44" t="s">
        <v>44</v>
      </c>
      <c r="L2438" s="44">
        <v>3106846872</v>
      </c>
      <c r="M2438" s="7" t="s">
        <v>9491</v>
      </c>
      <c r="N2438" s="12" t="s">
        <v>432</v>
      </c>
      <c r="O2438" s="12" t="s">
        <v>432</v>
      </c>
      <c r="P2438" s="4" t="s">
        <v>261</v>
      </c>
      <c r="Q2438" s="69">
        <v>46188</v>
      </c>
      <c r="R2438" s="9">
        <v>84</v>
      </c>
      <c r="S2438" s="4" t="s">
        <v>49</v>
      </c>
      <c r="T2438" s="14" t="s">
        <v>1204</v>
      </c>
      <c r="U2438" s="14" t="s">
        <v>2456</v>
      </c>
      <c r="V2438" s="70"/>
      <c r="W2438" s="14"/>
      <c r="X2438" s="42"/>
      <c r="Y2438" s="14"/>
      <c r="Z2438" s="14"/>
      <c r="AA2438" s="14"/>
      <c r="AC2438" s="14"/>
      <c r="AD2438" s="14"/>
      <c r="AE2438" s="14"/>
      <c r="AF2438" s="20"/>
      <c r="AH2438" s="14"/>
      <c r="AI2438" s="14"/>
      <c r="AJ2438" s="14"/>
      <c r="AK2438" s="20"/>
      <c r="AM2438" s="14"/>
      <c r="AN2438" s="14"/>
      <c r="AO2438" s="14"/>
      <c r="AU2438" s="71" t="s">
        <v>53</v>
      </c>
    </row>
    <row r="2439" spans="1:47" s="12" customFormat="1" ht="23.25" hidden="1" customHeight="1" x14ac:dyDescent="0.3">
      <c r="A2439" s="42" t="s">
        <v>39</v>
      </c>
      <c r="B2439" s="42" t="s">
        <v>6255</v>
      </c>
      <c r="C2439" s="42">
        <v>70</v>
      </c>
      <c r="D2439" s="42">
        <v>713</v>
      </c>
      <c r="E2439" s="42"/>
      <c r="F2439" s="43" t="s">
        <v>6266</v>
      </c>
      <c r="G2439" s="43" t="str">
        <f t="shared" si="59"/>
        <v>7071373183413</v>
      </c>
      <c r="H2439" s="4" t="s">
        <v>6267</v>
      </c>
      <c r="I2439" s="45">
        <v>73183413</v>
      </c>
      <c r="J2439" s="4" t="s">
        <v>6268</v>
      </c>
      <c r="K2439" s="44" t="s">
        <v>230</v>
      </c>
      <c r="L2439" s="44" t="s">
        <v>45</v>
      </c>
      <c r="M2439" s="7" t="s">
        <v>45</v>
      </c>
      <c r="N2439" s="12" t="s">
        <v>432</v>
      </c>
      <c r="O2439" s="12" t="s">
        <v>432</v>
      </c>
      <c r="P2439" s="4" t="s">
        <v>261</v>
      </c>
      <c r="Q2439" s="4"/>
      <c r="R2439" s="11"/>
      <c r="S2439" s="4"/>
      <c r="T2439" s="14"/>
      <c r="U2439" s="14"/>
      <c r="V2439" s="70"/>
      <c r="W2439" s="14"/>
      <c r="X2439" s="42"/>
      <c r="Y2439" s="14"/>
      <c r="Z2439" s="14"/>
      <c r="AA2439" s="14"/>
      <c r="AC2439" s="14"/>
      <c r="AD2439" s="14"/>
      <c r="AE2439" s="14"/>
      <c r="AF2439" s="20"/>
      <c r="AH2439" s="14"/>
      <c r="AI2439" s="14"/>
      <c r="AJ2439" s="14"/>
      <c r="AK2439" s="20"/>
      <c r="AM2439" s="14"/>
      <c r="AN2439" s="14"/>
      <c r="AO2439" s="14"/>
      <c r="AU2439" s="71" t="s">
        <v>53</v>
      </c>
    </row>
    <row r="2440" spans="1:47" s="12" customFormat="1" ht="23.25" hidden="1" customHeight="1" x14ac:dyDescent="0.3">
      <c r="A2440" s="42" t="s">
        <v>39</v>
      </c>
      <c r="B2440" s="42" t="s">
        <v>6255</v>
      </c>
      <c r="C2440" s="42">
        <v>70</v>
      </c>
      <c r="D2440" s="42">
        <v>713</v>
      </c>
      <c r="E2440" s="42"/>
      <c r="F2440" s="43" t="s">
        <v>6269</v>
      </c>
      <c r="G2440" s="43" t="str">
        <f t="shared" si="59"/>
        <v>7071311935586924</v>
      </c>
      <c r="H2440" s="4" t="s">
        <v>6270</v>
      </c>
      <c r="I2440" s="45" t="s">
        <v>6271</v>
      </c>
      <c r="J2440" s="4" t="s">
        <v>6272</v>
      </c>
      <c r="K2440" s="44" t="s">
        <v>230</v>
      </c>
      <c r="L2440" s="44" t="s">
        <v>45</v>
      </c>
      <c r="M2440" s="7" t="s">
        <v>45</v>
      </c>
      <c r="N2440" s="12" t="s">
        <v>432</v>
      </c>
      <c r="O2440" s="12" t="s">
        <v>432</v>
      </c>
      <c r="P2440" s="4" t="s">
        <v>261</v>
      </c>
      <c r="Q2440" s="4"/>
      <c r="R2440" s="11"/>
      <c r="S2440" s="4"/>
      <c r="T2440" s="14"/>
      <c r="U2440" s="14"/>
      <c r="V2440" s="70"/>
      <c r="W2440" s="14"/>
      <c r="X2440" s="42"/>
      <c r="Y2440" s="14"/>
      <c r="Z2440" s="14"/>
      <c r="AA2440" s="14"/>
      <c r="AC2440" s="14"/>
      <c r="AD2440" s="14"/>
      <c r="AE2440" s="14"/>
      <c r="AF2440" s="20"/>
      <c r="AH2440" s="14"/>
      <c r="AI2440" s="14"/>
      <c r="AJ2440" s="14"/>
      <c r="AK2440" s="20"/>
      <c r="AM2440" s="14"/>
      <c r="AN2440" s="14"/>
      <c r="AO2440" s="14"/>
      <c r="AU2440" s="71" t="s">
        <v>53</v>
      </c>
    </row>
    <row r="2441" spans="1:47" s="12" customFormat="1" ht="23.25" hidden="1" customHeight="1" x14ac:dyDescent="0.3">
      <c r="A2441" s="42" t="s">
        <v>39</v>
      </c>
      <c r="B2441" s="42" t="s">
        <v>6255</v>
      </c>
      <c r="C2441" s="42">
        <v>70</v>
      </c>
      <c r="D2441" s="42">
        <v>713</v>
      </c>
      <c r="E2441" s="42"/>
      <c r="F2441" s="283" t="s">
        <v>9485</v>
      </c>
      <c r="G2441" s="43" t="str">
        <f t="shared" si="59"/>
        <v>707131101468093</v>
      </c>
      <c r="H2441" s="4" t="s">
        <v>9486</v>
      </c>
      <c r="I2441" s="4">
        <v>1101468093</v>
      </c>
      <c r="J2441" s="4" t="s">
        <v>9487</v>
      </c>
      <c r="K2441" s="44" t="s">
        <v>44</v>
      </c>
      <c r="L2441" s="44">
        <v>3206277986</v>
      </c>
      <c r="M2441" s="7" t="s">
        <v>9488</v>
      </c>
      <c r="N2441" s="12" t="s">
        <v>432</v>
      </c>
      <c r="O2441" s="12" t="s">
        <v>432</v>
      </c>
      <c r="P2441" s="4" t="s">
        <v>261</v>
      </c>
      <c r="Q2441" s="69">
        <v>46219</v>
      </c>
      <c r="R2441" s="9" t="s">
        <v>8949</v>
      </c>
      <c r="S2441" s="4" t="s">
        <v>49</v>
      </c>
      <c r="T2441" s="14" t="s">
        <v>1204</v>
      </c>
      <c r="U2441" s="14" t="s">
        <v>2456</v>
      </c>
      <c r="V2441" s="70"/>
      <c r="W2441" s="14"/>
      <c r="X2441" s="42"/>
      <c r="Y2441" s="14"/>
      <c r="Z2441" s="14"/>
      <c r="AA2441" s="14"/>
      <c r="AC2441" s="14"/>
      <c r="AD2441" s="14"/>
      <c r="AE2441" s="14"/>
      <c r="AF2441" s="20"/>
      <c r="AH2441" s="14"/>
      <c r="AI2441" s="14"/>
      <c r="AJ2441" s="14"/>
      <c r="AK2441" s="20"/>
      <c r="AM2441" s="14"/>
      <c r="AN2441" s="14"/>
      <c r="AO2441" s="14"/>
      <c r="AU2441" s="71" t="s">
        <v>53</v>
      </c>
    </row>
    <row r="2442" spans="1:47" s="12" customFormat="1" ht="23.25" hidden="1" customHeight="1" x14ac:dyDescent="0.3">
      <c r="A2442" s="42" t="s">
        <v>39</v>
      </c>
      <c r="B2442" s="42" t="s">
        <v>6255</v>
      </c>
      <c r="C2442" s="42">
        <v>70</v>
      </c>
      <c r="D2442" s="42">
        <v>713</v>
      </c>
      <c r="E2442" s="42"/>
      <c r="F2442" s="43" t="s">
        <v>6273</v>
      </c>
      <c r="G2442" s="43" t="str">
        <f t="shared" si="59"/>
        <v>7071311014457882</v>
      </c>
      <c r="H2442" s="4" t="s">
        <v>6274</v>
      </c>
      <c r="I2442" s="45" t="s">
        <v>6275</v>
      </c>
      <c r="J2442" s="4" t="s">
        <v>6276</v>
      </c>
      <c r="K2442" s="44" t="s">
        <v>230</v>
      </c>
      <c r="L2442" s="44" t="s">
        <v>45</v>
      </c>
      <c r="M2442" s="7" t="s">
        <v>45</v>
      </c>
      <c r="N2442" s="12" t="s">
        <v>432</v>
      </c>
      <c r="O2442" s="12" t="s">
        <v>432</v>
      </c>
      <c r="P2442" s="4" t="s">
        <v>261</v>
      </c>
      <c r="Q2442" s="4"/>
      <c r="R2442" s="11"/>
      <c r="S2442" s="4"/>
      <c r="T2442" s="14"/>
      <c r="U2442" s="14"/>
      <c r="V2442" s="70"/>
      <c r="W2442" s="14"/>
      <c r="X2442" s="42"/>
      <c r="Y2442" s="14"/>
      <c r="Z2442" s="14"/>
      <c r="AA2442" s="14"/>
      <c r="AC2442" s="14"/>
      <c r="AD2442" s="14"/>
      <c r="AE2442" s="14"/>
      <c r="AF2442" s="20"/>
      <c r="AH2442" s="14"/>
      <c r="AI2442" s="14"/>
      <c r="AJ2442" s="14"/>
      <c r="AK2442" s="20"/>
      <c r="AM2442" s="14"/>
      <c r="AN2442" s="14"/>
      <c r="AO2442" s="14"/>
      <c r="AU2442" s="71" t="s">
        <v>53</v>
      </c>
    </row>
    <row r="2443" spans="1:47" s="12" customFormat="1" ht="23.25" hidden="1" customHeight="1" x14ac:dyDescent="0.3">
      <c r="A2443" s="42" t="s">
        <v>505</v>
      </c>
      <c r="B2443" s="42" t="s">
        <v>6255</v>
      </c>
      <c r="C2443" s="42">
        <v>70</v>
      </c>
      <c r="D2443" s="42">
        <v>713</v>
      </c>
      <c r="E2443" s="42"/>
      <c r="F2443" s="43" t="s">
        <v>6277</v>
      </c>
      <c r="G2443" s="43" t="str">
        <f t="shared" si="59"/>
        <v>707134165821</v>
      </c>
      <c r="H2443" s="4" t="s">
        <v>6278</v>
      </c>
      <c r="I2443" s="45">
        <v>4165821</v>
      </c>
      <c r="J2443" s="4" t="s">
        <v>6279</v>
      </c>
      <c r="K2443" s="44" t="s">
        <v>230</v>
      </c>
      <c r="L2443" s="44" t="s">
        <v>45</v>
      </c>
      <c r="M2443" s="7" t="s">
        <v>45</v>
      </c>
      <c r="N2443" s="12" t="s">
        <v>259</v>
      </c>
      <c r="O2443" s="12" t="s">
        <v>260</v>
      </c>
      <c r="P2443" s="4" t="s">
        <v>261</v>
      </c>
      <c r="Q2443" s="4"/>
      <c r="R2443" s="11"/>
      <c r="S2443" s="4"/>
      <c r="T2443" s="14"/>
      <c r="U2443" s="14"/>
      <c r="V2443" s="70"/>
      <c r="W2443" s="14"/>
      <c r="X2443" s="42"/>
      <c r="Y2443" s="14"/>
      <c r="Z2443" s="14"/>
      <c r="AA2443" s="14"/>
      <c r="AC2443" s="14"/>
      <c r="AD2443" s="14"/>
      <c r="AE2443" s="14"/>
      <c r="AF2443" s="20"/>
      <c r="AH2443" s="14"/>
      <c r="AI2443" s="14"/>
      <c r="AJ2443" s="14"/>
      <c r="AK2443" s="20"/>
      <c r="AM2443" s="14"/>
      <c r="AN2443" s="14"/>
      <c r="AO2443" s="14"/>
      <c r="AU2443" s="71" t="s">
        <v>53</v>
      </c>
    </row>
    <row r="2444" spans="1:47" s="12" customFormat="1" ht="23.25" hidden="1" customHeight="1" x14ac:dyDescent="0.3">
      <c r="A2444" s="42" t="s">
        <v>39</v>
      </c>
      <c r="B2444" s="42" t="s">
        <v>6255</v>
      </c>
      <c r="C2444" s="42">
        <v>70</v>
      </c>
      <c r="D2444" s="42">
        <v>713</v>
      </c>
      <c r="E2444" s="42"/>
      <c r="F2444" s="43" t="s">
        <v>5050</v>
      </c>
      <c r="G2444" s="43" t="str">
        <f t="shared" si="59"/>
        <v>70713706944211</v>
      </c>
      <c r="H2444" s="4" t="s">
        <v>6280</v>
      </c>
      <c r="I2444" s="45" t="s">
        <v>6281</v>
      </c>
      <c r="J2444" s="4" t="s">
        <v>6282</v>
      </c>
      <c r="K2444" s="44" t="s">
        <v>230</v>
      </c>
      <c r="L2444" s="44">
        <v>3175104149</v>
      </c>
      <c r="M2444" s="51" t="s">
        <v>6283</v>
      </c>
      <c r="N2444" s="12" t="s">
        <v>259</v>
      </c>
      <c r="O2444" s="12" t="s">
        <v>260</v>
      </c>
      <c r="P2444" s="4" t="s">
        <v>261</v>
      </c>
      <c r="Q2444" s="69" t="s">
        <v>6251</v>
      </c>
      <c r="R2444" s="11">
        <v>0.74</v>
      </c>
      <c r="S2444" s="4" t="s">
        <v>49</v>
      </c>
      <c r="T2444" s="14" t="s">
        <v>6241</v>
      </c>
      <c r="U2444" s="14" t="s">
        <v>60</v>
      </c>
      <c r="V2444" s="70">
        <v>45420</v>
      </c>
      <c r="W2444" s="22">
        <v>0.79249999999999998</v>
      </c>
      <c r="X2444" s="42" t="s">
        <v>49</v>
      </c>
      <c r="Y2444" s="14"/>
      <c r="Z2444" s="14"/>
      <c r="AA2444" s="14"/>
      <c r="AC2444" s="14"/>
      <c r="AD2444" s="14"/>
      <c r="AE2444" s="14"/>
      <c r="AF2444" s="20"/>
      <c r="AH2444" s="14"/>
      <c r="AI2444" s="14"/>
      <c r="AJ2444" s="14"/>
      <c r="AK2444" s="20"/>
      <c r="AM2444" s="14"/>
      <c r="AN2444" s="14"/>
      <c r="AO2444" s="14"/>
      <c r="AU2444" s="71" t="s">
        <v>53</v>
      </c>
    </row>
    <row r="2445" spans="1:47" s="12" customFormat="1" ht="23.25" hidden="1" customHeight="1" x14ac:dyDescent="0.3">
      <c r="A2445" s="42" t="s">
        <v>39</v>
      </c>
      <c r="B2445" s="42" t="s">
        <v>6255</v>
      </c>
      <c r="C2445" s="42">
        <v>70</v>
      </c>
      <c r="D2445" s="42">
        <v>713</v>
      </c>
      <c r="E2445" s="42"/>
      <c r="F2445" s="43" t="s">
        <v>6284</v>
      </c>
      <c r="G2445" s="43" t="str">
        <f t="shared" si="59"/>
        <v>7071370697123</v>
      </c>
      <c r="H2445" s="4" t="s">
        <v>6285</v>
      </c>
      <c r="I2445" s="45">
        <v>70697123</v>
      </c>
      <c r="J2445" s="4" t="s">
        <v>6286</v>
      </c>
      <c r="K2445" s="44" t="s">
        <v>230</v>
      </c>
      <c r="L2445" s="44" t="s">
        <v>45</v>
      </c>
      <c r="M2445" s="7" t="s">
        <v>45</v>
      </c>
      <c r="N2445" s="12" t="s">
        <v>259</v>
      </c>
      <c r="O2445" s="12" t="s">
        <v>260</v>
      </c>
      <c r="P2445" s="4" t="s">
        <v>261</v>
      </c>
      <c r="Q2445" s="4"/>
      <c r="R2445" s="11"/>
      <c r="S2445" s="4"/>
      <c r="T2445" s="14"/>
      <c r="U2445" s="14"/>
      <c r="V2445" s="70"/>
      <c r="W2445" s="14"/>
      <c r="X2445" s="42"/>
      <c r="Y2445" s="14"/>
      <c r="Z2445" s="14"/>
      <c r="AA2445" s="14"/>
      <c r="AC2445" s="14"/>
      <c r="AD2445" s="14"/>
      <c r="AE2445" s="14"/>
      <c r="AF2445" s="20"/>
      <c r="AH2445" s="14"/>
      <c r="AI2445" s="14"/>
      <c r="AJ2445" s="14"/>
      <c r="AK2445" s="20"/>
      <c r="AM2445" s="14"/>
      <c r="AN2445" s="14"/>
      <c r="AO2445" s="14"/>
      <c r="AU2445" s="71" t="s">
        <v>53</v>
      </c>
    </row>
    <row r="2446" spans="1:47" s="12" customFormat="1" ht="23.25" hidden="1" customHeight="1" x14ac:dyDescent="0.3">
      <c r="A2446" s="42" t="s">
        <v>39</v>
      </c>
      <c r="B2446" s="42" t="s">
        <v>6255</v>
      </c>
      <c r="C2446" s="42">
        <v>70</v>
      </c>
      <c r="D2446" s="42">
        <v>713</v>
      </c>
      <c r="E2446" s="42"/>
      <c r="F2446" s="43" t="s">
        <v>6287</v>
      </c>
      <c r="G2446" s="43" t="str">
        <f t="shared" si="59"/>
        <v>707131102822081</v>
      </c>
      <c r="H2446" s="4" t="s">
        <v>6288</v>
      </c>
      <c r="I2446" s="45">
        <v>1102822081</v>
      </c>
      <c r="J2446" s="4" t="s">
        <v>6289</v>
      </c>
      <c r="K2446" s="44" t="s">
        <v>230</v>
      </c>
      <c r="L2446" s="44" t="s">
        <v>45</v>
      </c>
      <c r="M2446" s="7" t="s">
        <v>45</v>
      </c>
      <c r="N2446" s="12" t="s">
        <v>259</v>
      </c>
      <c r="O2446" s="12" t="s">
        <v>260</v>
      </c>
      <c r="P2446" s="4" t="s">
        <v>261</v>
      </c>
      <c r="Q2446" s="4"/>
      <c r="R2446" s="11"/>
      <c r="S2446" s="4"/>
      <c r="T2446" s="14"/>
      <c r="U2446" s="14"/>
      <c r="V2446" s="70"/>
      <c r="W2446" s="14"/>
      <c r="X2446" s="42"/>
      <c r="Y2446" s="14"/>
      <c r="Z2446" s="14"/>
      <c r="AA2446" s="14"/>
      <c r="AC2446" s="14"/>
      <c r="AD2446" s="14"/>
      <c r="AE2446" s="14"/>
      <c r="AF2446" s="20"/>
      <c r="AH2446" s="14"/>
      <c r="AI2446" s="14"/>
      <c r="AJ2446" s="14"/>
      <c r="AK2446" s="20"/>
      <c r="AM2446" s="14"/>
      <c r="AN2446" s="14"/>
      <c r="AO2446" s="14"/>
      <c r="AU2446" s="71" t="s">
        <v>53</v>
      </c>
    </row>
    <row r="2447" spans="1:47" s="12" customFormat="1" ht="23.25" hidden="1" customHeight="1" x14ac:dyDescent="0.3">
      <c r="A2447" s="42" t="s">
        <v>39</v>
      </c>
      <c r="B2447" s="42" t="s">
        <v>6255</v>
      </c>
      <c r="C2447" s="42">
        <v>70</v>
      </c>
      <c r="D2447" s="42">
        <v>713</v>
      </c>
      <c r="E2447" s="42"/>
      <c r="F2447" s="43" t="s">
        <v>6290</v>
      </c>
      <c r="G2447" s="43" t="str">
        <f t="shared" si="59"/>
        <v>707138230012118</v>
      </c>
      <c r="H2447" s="4" t="s">
        <v>6291</v>
      </c>
      <c r="I2447" s="45" t="s">
        <v>6292</v>
      </c>
      <c r="J2447" s="4" t="s">
        <v>6293</v>
      </c>
      <c r="K2447" s="44" t="s">
        <v>230</v>
      </c>
      <c r="L2447" s="44" t="s">
        <v>45</v>
      </c>
      <c r="M2447" s="7" t="s">
        <v>45</v>
      </c>
      <c r="N2447" s="12" t="s">
        <v>127</v>
      </c>
      <c r="O2447" s="12" t="s">
        <v>2822</v>
      </c>
      <c r="P2447" s="4" t="s">
        <v>48</v>
      </c>
      <c r="Q2447" s="4"/>
      <c r="R2447" s="11"/>
      <c r="S2447" s="4"/>
      <c r="T2447" s="14"/>
      <c r="U2447" s="14"/>
      <c r="V2447" s="70"/>
      <c r="W2447" s="14"/>
      <c r="X2447" s="42"/>
      <c r="Y2447" s="14"/>
      <c r="Z2447" s="14"/>
      <c r="AA2447" s="14"/>
      <c r="AC2447" s="14"/>
      <c r="AD2447" s="14"/>
      <c r="AE2447" s="14"/>
      <c r="AF2447" s="20"/>
      <c r="AH2447" s="14"/>
      <c r="AI2447" s="14"/>
      <c r="AJ2447" s="14"/>
      <c r="AK2447" s="20"/>
      <c r="AM2447" s="14"/>
      <c r="AN2447" s="14"/>
      <c r="AO2447" s="14"/>
      <c r="AU2447" s="71" t="s">
        <v>164</v>
      </c>
    </row>
    <row r="2448" spans="1:47" s="12" customFormat="1" ht="23.25" hidden="1" customHeight="1" x14ac:dyDescent="0.3">
      <c r="A2448" s="42" t="s">
        <v>39</v>
      </c>
      <c r="B2448" s="42" t="s">
        <v>6255</v>
      </c>
      <c r="C2448" s="42">
        <v>70</v>
      </c>
      <c r="D2448" s="42">
        <v>713</v>
      </c>
      <c r="E2448" s="42"/>
      <c r="F2448" s="1" t="s">
        <v>6294</v>
      </c>
      <c r="G2448" s="43" t="str">
        <f t="shared" si="59"/>
        <v>70713823004236</v>
      </c>
      <c r="H2448" s="4" t="s">
        <v>6295</v>
      </c>
      <c r="I2448" s="72">
        <v>823004236</v>
      </c>
      <c r="J2448" s="4" t="s">
        <v>6296</v>
      </c>
      <c r="K2448" s="44" t="s">
        <v>230</v>
      </c>
      <c r="L2448" s="44" t="s">
        <v>45</v>
      </c>
      <c r="M2448" s="7" t="s">
        <v>45</v>
      </c>
      <c r="N2448" s="12" t="s">
        <v>127</v>
      </c>
      <c r="O2448" s="12" t="s">
        <v>2822</v>
      </c>
      <c r="P2448" s="4" t="s">
        <v>48</v>
      </c>
      <c r="Q2448" s="4"/>
      <c r="R2448" s="11"/>
      <c r="S2448" s="4"/>
      <c r="T2448" s="14"/>
      <c r="U2448" s="14"/>
      <c r="V2448" s="70"/>
      <c r="W2448" s="14"/>
      <c r="X2448" s="42"/>
      <c r="Y2448" s="14"/>
      <c r="Z2448" s="14"/>
      <c r="AA2448" s="14"/>
      <c r="AC2448" s="14"/>
      <c r="AD2448" s="14"/>
      <c r="AE2448" s="14"/>
      <c r="AF2448" s="20"/>
      <c r="AH2448" s="14"/>
      <c r="AI2448" s="14"/>
      <c r="AJ2448" s="14"/>
      <c r="AK2448" s="20"/>
      <c r="AM2448" s="14"/>
      <c r="AN2448" s="14"/>
      <c r="AO2448" s="14"/>
      <c r="AU2448" s="71" t="s">
        <v>164</v>
      </c>
    </row>
    <row r="2449" spans="1:47" s="12" customFormat="1" ht="23.25" customHeight="1" x14ac:dyDescent="0.3">
      <c r="A2449" s="42" t="s">
        <v>39</v>
      </c>
      <c r="B2449" s="42" t="s">
        <v>6255</v>
      </c>
      <c r="C2449" s="42">
        <v>70</v>
      </c>
      <c r="D2449" s="42">
        <v>713</v>
      </c>
      <c r="E2449" s="42"/>
      <c r="F2449" s="43" t="s">
        <v>6297</v>
      </c>
      <c r="G2449" s="43" t="str">
        <f t="shared" si="59"/>
        <v>7071325620601</v>
      </c>
      <c r="H2449" s="4" t="s">
        <v>6298</v>
      </c>
      <c r="I2449" s="45" t="s">
        <v>6299</v>
      </c>
      <c r="J2449" s="4" t="s">
        <v>6300</v>
      </c>
      <c r="K2449" s="44" t="s">
        <v>230</v>
      </c>
      <c r="L2449" s="44">
        <v>3213400621</v>
      </c>
      <c r="M2449" s="68" t="s">
        <v>45</v>
      </c>
      <c r="N2449" s="12" t="s">
        <v>46</v>
      </c>
      <c r="O2449" s="12" t="s">
        <v>47</v>
      </c>
      <c r="P2449" s="4" t="s">
        <v>80</v>
      </c>
      <c r="Q2449" s="110" t="s">
        <v>5811</v>
      </c>
      <c r="R2449" s="11">
        <v>0.77</v>
      </c>
      <c r="S2449" s="4" t="s">
        <v>49</v>
      </c>
      <c r="T2449" s="14" t="s">
        <v>6222</v>
      </c>
      <c r="U2449" s="14" t="s">
        <v>60</v>
      </c>
      <c r="V2449" s="70" t="s">
        <v>6301</v>
      </c>
      <c r="W2449" s="22">
        <v>0.92500000000000004</v>
      </c>
      <c r="X2449" s="42" t="s">
        <v>210</v>
      </c>
      <c r="Y2449" s="14"/>
      <c r="Z2449" s="14"/>
      <c r="AA2449" s="14"/>
      <c r="AC2449" s="14"/>
      <c r="AD2449" s="14"/>
      <c r="AE2449" s="14"/>
      <c r="AF2449" s="20"/>
      <c r="AH2449" s="14"/>
      <c r="AI2449" s="14"/>
      <c r="AJ2449" s="14"/>
      <c r="AK2449" s="20"/>
      <c r="AM2449" s="14"/>
      <c r="AN2449" s="14"/>
      <c r="AO2449" s="14"/>
      <c r="AU2449" s="71" t="s">
        <v>53</v>
      </c>
    </row>
    <row r="2450" spans="1:47" s="12" customFormat="1" ht="23.25" customHeight="1" x14ac:dyDescent="0.3">
      <c r="A2450" s="42" t="s">
        <v>39</v>
      </c>
      <c r="B2450" s="42" t="s">
        <v>6255</v>
      </c>
      <c r="C2450" s="42">
        <v>70</v>
      </c>
      <c r="D2450" s="42">
        <v>713</v>
      </c>
      <c r="E2450" s="42"/>
      <c r="F2450" s="43" t="s">
        <v>6302</v>
      </c>
      <c r="G2450" s="43" t="str">
        <f t="shared" si="59"/>
        <v>7071339277662</v>
      </c>
      <c r="H2450" s="4" t="s">
        <v>6303</v>
      </c>
      <c r="I2450" s="45">
        <v>39277662</v>
      </c>
      <c r="J2450" s="4" t="s">
        <v>6304</v>
      </c>
      <c r="K2450" s="44" t="s">
        <v>230</v>
      </c>
      <c r="L2450" s="44" t="s">
        <v>45</v>
      </c>
      <c r="M2450" s="68" t="s">
        <v>45</v>
      </c>
      <c r="N2450" s="12" t="s">
        <v>46</v>
      </c>
      <c r="O2450" s="12" t="s">
        <v>47</v>
      </c>
      <c r="P2450" s="4" t="s">
        <v>80</v>
      </c>
      <c r="Q2450" s="4"/>
      <c r="R2450" s="11"/>
      <c r="S2450" s="4"/>
      <c r="T2450" s="14"/>
      <c r="U2450" s="14"/>
      <c r="V2450" s="70"/>
      <c r="W2450" s="14"/>
      <c r="X2450" s="42"/>
      <c r="Y2450" s="14"/>
      <c r="Z2450" s="14"/>
      <c r="AA2450" s="14"/>
      <c r="AC2450" s="14"/>
      <c r="AD2450" s="14"/>
      <c r="AE2450" s="14"/>
      <c r="AF2450" s="20"/>
      <c r="AH2450" s="14"/>
      <c r="AI2450" s="14"/>
      <c r="AJ2450" s="14"/>
      <c r="AK2450" s="20"/>
      <c r="AM2450" s="14"/>
      <c r="AN2450" s="14"/>
      <c r="AO2450" s="14"/>
      <c r="AU2450" s="71" t="s">
        <v>53</v>
      </c>
    </row>
    <row r="2451" spans="1:47" s="12" customFormat="1" ht="23.25" hidden="1" customHeight="1" x14ac:dyDescent="0.3">
      <c r="A2451" s="42" t="s">
        <v>39</v>
      </c>
      <c r="B2451" s="42" t="s">
        <v>6255</v>
      </c>
      <c r="C2451" s="42">
        <v>70</v>
      </c>
      <c r="D2451" s="42">
        <v>713</v>
      </c>
      <c r="E2451" s="42"/>
      <c r="F2451" s="43" t="s">
        <v>6305</v>
      </c>
      <c r="G2451" s="43" t="str">
        <f t="shared" si="59"/>
        <v>707139042861</v>
      </c>
      <c r="H2451" s="4" t="s">
        <v>6306</v>
      </c>
      <c r="I2451" s="45">
        <v>9042861</v>
      </c>
      <c r="J2451" s="4" t="s">
        <v>6307</v>
      </c>
      <c r="K2451" s="44" t="s">
        <v>230</v>
      </c>
      <c r="L2451" s="44" t="s">
        <v>45</v>
      </c>
      <c r="M2451" s="7" t="s">
        <v>45</v>
      </c>
      <c r="N2451" s="12" t="s">
        <v>432</v>
      </c>
      <c r="O2451" s="12" t="s">
        <v>432</v>
      </c>
      <c r="P2451" s="4" t="s">
        <v>261</v>
      </c>
      <c r="Q2451" s="4"/>
      <c r="R2451" s="11"/>
      <c r="S2451" s="4"/>
      <c r="T2451" s="14"/>
      <c r="U2451" s="14"/>
      <c r="V2451" s="70"/>
      <c r="W2451" s="14"/>
      <c r="X2451" s="42"/>
      <c r="Y2451" s="14"/>
      <c r="Z2451" s="14"/>
      <c r="AA2451" s="14"/>
      <c r="AC2451" s="14"/>
      <c r="AD2451" s="14"/>
      <c r="AE2451" s="14"/>
      <c r="AF2451" s="20"/>
      <c r="AH2451" s="14"/>
      <c r="AI2451" s="14"/>
      <c r="AJ2451" s="14"/>
      <c r="AK2451" s="20"/>
      <c r="AM2451" s="14"/>
      <c r="AN2451" s="14"/>
      <c r="AO2451" s="14"/>
      <c r="AU2451" s="71" t="s">
        <v>53</v>
      </c>
    </row>
    <row r="2452" spans="1:47" s="12" customFormat="1" ht="23.25" hidden="1" customHeight="1" x14ac:dyDescent="0.3">
      <c r="A2452" s="42" t="s">
        <v>39</v>
      </c>
      <c r="B2452" s="42" t="s">
        <v>6255</v>
      </c>
      <c r="C2452" s="42">
        <v>70</v>
      </c>
      <c r="D2452" s="42">
        <v>713</v>
      </c>
      <c r="E2452" s="42"/>
      <c r="F2452" s="43" t="s">
        <v>6308</v>
      </c>
      <c r="G2452" s="43" t="str">
        <f t="shared" si="59"/>
        <v>707131036518077</v>
      </c>
      <c r="H2452" s="4" t="s">
        <v>6309</v>
      </c>
      <c r="I2452" s="45">
        <v>1036518077</v>
      </c>
      <c r="J2452" s="4" t="s">
        <v>6310</v>
      </c>
      <c r="K2452" s="44" t="s">
        <v>230</v>
      </c>
      <c r="L2452" s="44" t="s">
        <v>45</v>
      </c>
      <c r="M2452" s="7" t="s">
        <v>45</v>
      </c>
      <c r="N2452" s="12" t="s">
        <v>46</v>
      </c>
      <c r="O2452" s="12" t="s">
        <v>2797</v>
      </c>
      <c r="P2452" s="4" t="s">
        <v>261</v>
      </c>
      <c r="Q2452" s="4"/>
      <c r="R2452" s="11"/>
      <c r="S2452" s="4"/>
      <c r="T2452" s="14"/>
      <c r="U2452" s="14"/>
      <c r="V2452" s="70"/>
      <c r="W2452" s="14"/>
      <c r="X2452" s="42"/>
      <c r="Y2452" s="14"/>
      <c r="Z2452" s="14"/>
      <c r="AA2452" s="14"/>
      <c r="AC2452" s="14"/>
      <c r="AD2452" s="14"/>
      <c r="AE2452" s="14"/>
      <c r="AF2452" s="20"/>
      <c r="AH2452" s="14"/>
      <c r="AI2452" s="14"/>
      <c r="AJ2452" s="14"/>
      <c r="AK2452" s="20"/>
      <c r="AM2452" s="14"/>
      <c r="AN2452" s="14"/>
      <c r="AO2452" s="14"/>
      <c r="AU2452" s="71" t="s">
        <v>53</v>
      </c>
    </row>
    <row r="2453" spans="1:47" s="12" customFormat="1" ht="23.25" hidden="1" customHeight="1" x14ac:dyDescent="0.3">
      <c r="A2453" s="42" t="s">
        <v>39</v>
      </c>
      <c r="B2453" s="42" t="s">
        <v>6255</v>
      </c>
      <c r="C2453" s="42">
        <v>70</v>
      </c>
      <c r="D2453" s="42">
        <v>713</v>
      </c>
      <c r="E2453" s="42"/>
      <c r="F2453" s="43" t="s">
        <v>6311</v>
      </c>
      <c r="G2453" s="43" t="str">
        <f t="shared" si="59"/>
        <v>7071364520474</v>
      </c>
      <c r="H2453" s="4" t="s">
        <v>6312</v>
      </c>
      <c r="I2453" s="45">
        <v>64520474</v>
      </c>
      <c r="J2453" s="4" t="s">
        <v>6313</v>
      </c>
      <c r="K2453" s="44" t="s">
        <v>230</v>
      </c>
      <c r="L2453" s="44" t="s">
        <v>45</v>
      </c>
      <c r="M2453" s="7" t="s">
        <v>45</v>
      </c>
      <c r="N2453" s="12" t="s">
        <v>259</v>
      </c>
      <c r="O2453" s="12" t="s">
        <v>260</v>
      </c>
      <c r="P2453" s="4" t="s">
        <v>261</v>
      </c>
      <c r="Q2453" s="4"/>
      <c r="R2453" s="11"/>
      <c r="S2453" s="4"/>
      <c r="T2453" s="14"/>
      <c r="U2453" s="14"/>
      <c r="V2453" s="70"/>
      <c r="W2453" s="14"/>
      <c r="X2453" s="42"/>
      <c r="Y2453" s="14"/>
      <c r="Z2453" s="14"/>
      <c r="AA2453" s="14"/>
      <c r="AC2453" s="14"/>
      <c r="AD2453" s="14"/>
      <c r="AE2453" s="14"/>
      <c r="AF2453" s="20"/>
      <c r="AH2453" s="14"/>
      <c r="AI2453" s="14"/>
      <c r="AJ2453" s="14"/>
      <c r="AK2453" s="20"/>
      <c r="AM2453" s="14"/>
      <c r="AN2453" s="14"/>
      <c r="AO2453" s="14"/>
      <c r="AU2453" s="71" t="s">
        <v>53</v>
      </c>
    </row>
    <row r="2454" spans="1:47" s="12" customFormat="1" ht="23.25" hidden="1" customHeight="1" x14ac:dyDescent="0.3">
      <c r="A2454" s="42" t="s">
        <v>39</v>
      </c>
      <c r="B2454" s="42" t="s">
        <v>6255</v>
      </c>
      <c r="C2454" s="42">
        <v>70</v>
      </c>
      <c r="D2454" s="42">
        <v>713</v>
      </c>
      <c r="E2454" s="42"/>
      <c r="F2454" s="43" t="s">
        <v>6314</v>
      </c>
      <c r="G2454" s="43" t="str">
        <f t="shared" si="59"/>
        <v>7071392510339</v>
      </c>
      <c r="H2454" s="4" t="s">
        <v>6315</v>
      </c>
      <c r="I2454" s="45">
        <v>92510339</v>
      </c>
      <c r="J2454" s="4" t="s">
        <v>6316</v>
      </c>
      <c r="K2454" s="44" t="s">
        <v>230</v>
      </c>
      <c r="L2454" s="44" t="s">
        <v>45</v>
      </c>
      <c r="M2454" s="7" t="s">
        <v>45</v>
      </c>
      <c r="N2454" s="12" t="s">
        <v>259</v>
      </c>
      <c r="O2454" s="12" t="s">
        <v>260</v>
      </c>
      <c r="P2454" s="4" t="s">
        <v>261</v>
      </c>
      <c r="Q2454" s="4"/>
      <c r="R2454" s="11"/>
      <c r="S2454" s="4"/>
      <c r="T2454" s="14"/>
      <c r="U2454" s="14"/>
      <c r="V2454" s="70"/>
      <c r="W2454" s="14"/>
      <c r="X2454" s="42"/>
      <c r="Y2454" s="14"/>
      <c r="Z2454" s="14"/>
      <c r="AA2454" s="14"/>
      <c r="AC2454" s="14"/>
      <c r="AD2454" s="14"/>
      <c r="AE2454" s="14"/>
      <c r="AF2454" s="20"/>
      <c r="AH2454" s="14"/>
      <c r="AI2454" s="14"/>
      <c r="AJ2454" s="14"/>
      <c r="AK2454" s="20"/>
      <c r="AM2454" s="14"/>
      <c r="AN2454" s="14"/>
      <c r="AO2454" s="14"/>
      <c r="AU2454" s="71" t="s">
        <v>53</v>
      </c>
    </row>
    <row r="2455" spans="1:47" s="12" customFormat="1" ht="23.25" customHeight="1" x14ac:dyDescent="0.3">
      <c r="A2455" s="42" t="s">
        <v>39</v>
      </c>
      <c r="B2455" s="42" t="s">
        <v>6255</v>
      </c>
      <c r="C2455" s="42">
        <v>70</v>
      </c>
      <c r="D2455" s="42">
        <v>713</v>
      </c>
      <c r="E2455" s="42"/>
      <c r="F2455" s="43" t="s">
        <v>6317</v>
      </c>
      <c r="G2455" s="43" t="str">
        <f t="shared" si="59"/>
        <v>707131193562663</v>
      </c>
      <c r="H2455" s="4" t="s">
        <v>6318</v>
      </c>
      <c r="I2455" s="45">
        <v>1193562663</v>
      </c>
      <c r="J2455" s="4" t="s">
        <v>6319</v>
      </c>
      <c r="K2455" s="44" t="s">
        <v>230</v>
      </c>
      <c r="L2455" s="44">
        <v>3225950300</v>
      </c>
      <c r="M2455" s="51" t="s">
        <v>6320</v>
      </c>
      <c r="N2455" s="12" t="s">
        <v>46</v>
      </c>
      <c r="O2455" s="12" t="s">
        <v>47</v>
      </c>
      <c r="P2455" s="4" t="s">
        <v>80</v>
      </c>
      <c r="Q2455" s="69">
        <v>45769</v>
      </c>
      <c r="R2455" s="11">
        <v>0.83</v>
      </c>
      <c r="S2455" s="4" t="s">
        <v>49</v>
      </c>
      <c r="T2455" s="14"/>
      <c r="U2455" s="14"/>
      <c r="V2455" s="70">
        <v>45358</v>
      </c>
      <c r="W2455" s="21">
        <v>0.8</v>
      </c>
      <c r="X2455" s="42" t="s">
        <v>49</v>
      </c>
      <c r="Y2455" s="14"/>
      <c r="Z2455" s="14"/>
      <c r="AA2455" s="14"/>
      <c r="AC2455" s="14"/>
      <c r="AD2455" s="14"/>
      <c r="AE2455" s="14"/>
      <c r="AF2455" s="20"/>
      <c r="AH2455" s="14"/>
      <c r="AI2455" s="14"/>
      <c r="AJ2455" s="14"/>
      <c r="AK2455" s="20"/>
      <c r="AM2455" s="14"/>
      <c r="AN2455" s="14"/>
      <c r="AO2455" s="14"/>
      <c r="AU2455" s="71" t="s">
        <v>53</v>
      </c>
    </row>
    <row r="2456" spans="1:47" s="12" customFormat="1" ht="23.25" hidden="1" customHeight="1" x14ac:dyDescent="0.3">
      <c r="A2456" s="42" t="s">
        <v>39</v>
      </c>
      <c r="B2456" s="42" t="s">
        <v>6255</v>
      </c>
      <c r="C2456" s="42">
        <v>70</v>
      </c>
      <c r="D2456" s="42">
        <v>713</v>
      </c>
      <c r="E2456" s="42"/>
      <c r="F2456" s="43" t="s">
        <v>6321</v>
      </c>
      <c r="G2456" s="43" t="str">
        <f t="shared" si="59"/>
        <v>707139044896</v>
      </c>
      <c r="H2456" s="4" t="s">
        <v>6322</v>
      </c>
      <c r="I2456" s="45">
        <v>9044896</v>
      </c>
      <c r="J2456" s="4" t="s">
        <v>6323</v>
      </c>
      <c r="K2456" s="44" t="s">
        <v>230</v>
      </c>
      <c r="L2456" s="44" t="s">
        <v>45</v>
      </c>
      <c r="M2456" s="68" t="s">
        <v>45</v>
      </c>
      <c r="N2456" s="12" t="s">
        <v>259</v>
      </c>
      <c r="O2456" s="12" t="s">
        <v>260</v>
      </c>
      <c r="P2456" s="4" t="s">
        <v>261</v>
      </c>
      <c r="Q2456" s="4"/>
      <c r="R2456" s="11"/>
      <c r="S2456" s="4"/>
      <c r="T2456" s="14"/>
      <c r="U2456" s="14"/>
      <c r="V2456" s="70"/>
      <c r="W2456" s="14"/>
      <c r="X2456" s="42"/>
      <c r="Y2456" s="14"/>
      <c r="Z2456" s="14"/>
      <c r="AA2456" s="14"/>
      <c r="AC2456" s="14"/>
      <c r="AD2456" s="14"/>
      <c r="AE2456" s="14"/>
      <c r="AF2456" s="20"/>
      <c r="AH2456" s="14"/>
      <c r="AI2456" s="14"/>
      <c r="AJ2456" s="14"/>
      <c r="AK2456" s="20"/>
      <c r="AM2456" s="14"/>
      <c r="AN2456" s="14"/>
      <c r="AO2456" s="14"/>
      <c r="AU2456" s="71" t="s">
        <v>53</v>
      </c>
    </row>
    <row r="2457" spans="1:47" s="12" customFormat="1" ht="23.25" customHeight="1" x14ac:dyDescent="0.3">
      <c r="A2457" s="42" t="s">
        <v>39</v>
      </c>
      <c r="B2457" s="42" t="s">
        <v>6255</v>
      </c>
      <c r="C2457" s="42">
        <v>70</v>
      </c>
      <c r="D2457" s="42">
        <v>713</v>
      </c>
      <c r="E2457" s="42"/>
      <c r="F2457" s="43" t="s">
        <v>6324</v>
      </c>
      <c r="G2457" s="43" t="str">
        <f t="shared" si="59"/>
        <v>7071390502984</v>
      </c>
      <c r="H2457" s="4" t="s">
        <v>6325</v>
      </c>
      <c r="I2457" s="45">
        <v>90502984</v>
      </c>
      <c r="J2457" s="4" t="s">
        <v>6326</v>
      </c>
      <c r="K2457" s="44" t="s">
        <v>230</v>
      </c>
      <c r="L2457" s="44" t="s">
        <v>45</v>
      </c>
      <c r="M2457" s="68" t="s">
        <v>45</v>
      </c>
      <c r="N2457" s="12" t="s">
        <v>46</v>
      </c>
      <c r="O2457" s="12" t="s">
        <v>47</v>
      </c>
      <c r="P2457" s="4" t="s">
        <v>80</v>
      </c>
      <c r="Q2457" s="69">
        <v>44306</v>
      </c>
      <c r="R2457" s="11">
        <v>0.81499999999999995</v>
      </c>
      <c r="S2457" s="4" t="s">
        <v>49</v>
      </c>
      <c r="T2457" s="14"/>
      <c r="U2457" s="14"/>
      <c r="V2457" s="70"/>
      <c r="W2457" s="14"/>
      <c r="X2457" s="42"/>
      <c r="Y2457" s="14"/>
      <c r="Z2457" s="14"/>
      <c r="AA2457" s="14"/>
      <c r="AC2457" s="14"/>
      <c r="AD2457" s="14"/>
      <c r="AE2457" s="14"/>
      <c r="AF2457" s="20"/>
      <c r="AH2457" s="14"/>
      <c r="AI2457" s="14"/>
      <c r="AJ2457" s="14"/>
      <c r="AK2457" s="20"/>
      <c r="AM2457" s="14"/>
      <c r="AN2457" s="14"/>
      <c r="AO2457" s="14"/>
      <c r="AU2457" s="71" t="s">
        <v>53</v>
      </c>
    </row>
    <row r="2458" spans="1:47" s="12" customFormat="1" ht="23.25" hidden="1" customHeight="1" x14ac:dyDescent="0.3">
      <c r="A2458" s="42" t="s">
        <v>39</v>
      </c>
      <c r="B2458" s="42" t="s">
        <v>6255</v>
      </c>
      <c r="C2458" s="42">
        <v>70</v>
      </c>
      <c r="D2458" s="42">
        <v>713</v>
      </c>
      <c r="E2458" s="42"/>
      <c r="F2458" s="43" t="s">
        <v>6327</v>
      </c>
      <c r="G2458" s="43" t="str">
        <f t="shared" si="59"/>
        <v>7071364721733</v>
      </c>
      <c r="H2458" s="4" t="s">
        <v>6328</v>
      </c>
      <c r="I2458" s="45">
        <v>64721733</v>
      </c>
      <c r="J2458" s="4" t="s">
        <v>6329</v>
      </c>
      <c r="K2458" s="44" t="s">
        <v>230</v>
      </c>
      <c r="L2458" s="44" t="s">
        <v>45</v>
      </c>
      <c r="M2458" s="7" t="s">
        <v>45</v>
      </c>
      <c r="N2458" s="12" t="s">
        <v>259</v>
      </c>
      <c r="O2458" s="12" t="s">
        <v>260</v>
      </c>
      <c r="P2458" s="4" t="s">
        <v>261</v>
      </c>
      <c r="Q2458" s="69">
        <v>45506</v>
      </c>
      <c r="R2458" s="11">
        <v>0.82</v>
      </c>
      <c r="S2458" s="4" t="s">
        <v>49</v>
      </c>
      <c r="T2458" s="14"/>
      <c r="U2458" s="14"/>
      <c r="V2458" s="70"/>
      <c r="W2458" s="14"/>
      <c r="X2458" s="42"/>
      <c r="Y2458" s="14"/>
      <c r="Z2458" s="14"/>
      <c r="AA2458" s="14"/>
      <c r="AC2458" s="14"/>
      <c r="AD2458" s="14"/>
      <c r="AE2458" s="14"/>
      <c r="AF2458" s="20"/>
      <c r="AH2458" s="14"/>
      <c r="AI2458" s="14"/>
      <c r="AJ2458" s="14"/>
      <c r="AK2458" s="20"/>
      <c r="AM2458" s="14"/>
      <c r="AN2458" s="14"/>
      <c r="AO2458" s="14"/>
      <c r="AU2458" s="71" t="s">
        <v>53</v>
      </c>
    </row>
    <row r="2459" spans="1:47" s="12" customFormat="1" ht="23.25" hidden="1" customHeight="1" x14ac:dyDescent="0.3">
      <c r="A2459" s="42" t="s">
        <v>39</v>
      </c>
      <c r="B2459" s="42" t="s">
        <v>6255</v>
      </c>
      <c r="C2459" s="42">
        <v>70</v>
      </c>
      <c r="D2459" s="42">
        <v>713</v>
      </c>
      <c r="E2459" s="42"/>
      <c r="F2459" s="43" t="s">
        <v>6330</v>
      </c>
      <c r="G2459" s="43" t="str">
        <f t="shared" si="59"/>
        <v>7071370386459</v>
      </c>
      <c r="H2459" s="4" t="s">
        <v>6331</v>
      </c>
      <c r="I2459" s="45">
        <v>70386459</v>
      </c>
      <c r="J2459" s="4" t="s">
        <v>6332</v>
      </c>
      <c r="K2459" s="44" t="s">
        <v>230</v>
      </c>
      <c r="L2459" s="44" t="s">
        <v>45</v>
      </c>
      <c r="M2459" s="7" t="s">
        <v>45</v>
      </c>
      <c r="N2459" s="12" t="s">
        <v>259</v>
      </c>
      <c r="O2459" s="12" t="s">
        <v>260</v>
      </c>
      <c r="P2459" s="4" t="s">
        <v>261</v>
      </c>
      <c r="Q2459" s="4" t="s">
        <v>5040</v>
      </c>
      <c r="R2459" s="11">
        <v>0.75</v>
      </c>
      <c r="S2459" s="4" t="s">
        <v>49</v>
      </c>
      <c r="T2459" s="14"/>
      <c r="U2459" s="14"/>
      <c r="V2459" s="70"/>
      <c r="W2459" s="14"/>
      <c r="X2459" s="42"/>
      <c r="Y2459" s="14"/>
      <c r="Z2459" s="14"/>
      <c r="AA2459" s="14"/>
      <c r="AC2459" s="14"/>
      <c r="AD2459" s="14"/>
      <c r="AE2459" s="14"/>
      <c r="AF2459" s="20"/>
      <c r="AH2459" s="14"/>
      <c r="AI2459" s="14"/>
      <c r="AJ2459" s="14"/>
      <c r="AK2459" s="20"/>
      <c r="AM2459" s="14"/>
      <c r="AN2459" s="14"/>
      <c r="AO2459" s="14"/>
      <c r="AU2459" s="71" t="s">
        <v>53</v>
      </c>
    </row>
    <row r="2460" spans="1:47" s="12" customFormat="1" ht="23.25" hidden="1" customHeight="1" x14ac:dyDescent="0.3">
      <c r="A2460" s="42" t="s">
        <v>39</v>
      </c>
      <c r="B2460" s="42" t="s">
        <v>6255</v>
      </c>
      <c r="C2460" s="42">
        <v>70</v>
      </c>
      <c r="D2460" s="42">
        <v>713</v>
      </c>
      <c r="E2460" s="42"/>
      <c r="F2460" s="1" t="s">
        <v>6333</v>
      </c>
      <c r="G2460" s="43" t="str">
        <f t="shared" si="59"/>
        <v>7071315675869</v>
      </c>
      <c r="H2460" s="4" t="s">
        <v>6334</v>
      </c>
      <c r="I2460" s="45">
        <v>15675869</v>
      </c>
      <c r="J2460" s="4" t="s">
        <v>6335</v>
      </c>
      <c r="K2460" s="44" t="s">
        <v>230</v>
      </c>
      <c r="L2460" s="44">
        <v>3207064043</v>
      </c>
      <c r="M2460" s="51" t="s">
        <v>6336</v>
      </c>
      <c r="N2460" s="12" t="s">
        <v>46</v>
      </c>
      <c r="O2460" s="12" t="s">
        <v>2797</v>
      </c>
      <c r="P2460" s="4" t="s">
        <v>261</v>
      </c>
      <c r="Q2460" s="69" t="s">
        <v>2440</v>
      </c>
      <c r="R2460" s="55">
        <v>0.67500000000000004</v>
      </c>
      <c r="S2460" s="4" t="s">
        <v>49</v>
      </c>
      <c r="T2460" s="14" t="s">
        <v>6222</v>
      </c>
      <c r="U2460" s="14" t="s">
        <v>60</v>
      </c>
      <c r="V2460" s="69">
        <v>45480</v>
      </c>
      <c r="W2460" s="11">
        <v>0.87</v>
      </c>
      <c r="X2460" s="4" t="s">
        <v>49</v>
      </c>
      <c r="Y2460" s="14"/>
      <c r="Z2460" s="14"/>
      <c r="AA2460" s="14"/>
      <c r="AC2460" s="14"/>
      <c r="AD2460" s="14"/>
      <c r="AE2460" s="14"/>
      <c r="AF2460" s="20"/>
      <c r="AH2460" s="14"/>
      <c r="AI2460" s="14"/>
      <c r="AJ2460" s="14"/>
      <c r="AK2460" s="20"/>
      <c r="AM2460" s="14"/>
      <c r="AN2460" s="14"/>
      <c r="AO2460" s="14"/>
      <c r="AU2460" s="71" t="s">
        <v>53</v>
      </c>
    </row>
    <row r="2461" spans="1:47" s="12" customFormat="1" ht="23.25" hidden="1" customHeight="1" x14ac:dyDescent="0.3">
      <c r="A2461" s="42" t="s">
        <v>39</v>
      </c>
      <c r="B2461" s="42" t="s">
        <v>6255</v>
      </c>
      <c r="C2461" s="42">
        <v>70</v>
      </c>
      <c r="D2461" s="42">
        <v>713</v>
      </c>
      <c r="E2461" s="42"/>
      <c r="F2461" s="43" t="s">
        <v>6337</v>
      </c>
      <c r="G2461" s="43" t="str">
        <f t="shared" si="59"/>
        <v>70713100547465</v>
      </c>
      <c r="H2461" s="4" t="s">
        <v>6338</v>
      </c>
      <c r="I2461" s="45">
        <v>100547465</v>
      </c>
      <c r="J2461" s="4" t="s">
        <v>6339</v>
      </c>
      <c r="K2461" s="44" t="s">
        <v>230</v>
      </c>
      <c r="L2461" s="44" t="s">
        <v>45</v>
      </c>
      <c r="M2461" s="7" t="s">
        <v>45</v>
      </c>
      <c r="N2461" s="12" t="s">
        <v>46</v>
      </c>
      <c r="O2461" s="68" t="s">
        <v>521</v>
      </c>
      <c r="P2461" s="4" t="s">
        <v>80</v>
      </c>
      <c r="Q2461" s="69">
        <v>44483</v>
      </c>
      <c r="R2461" s="11">
        <v>0.84</v>
      </c>
      <c r="S2461" s="4" t="s">
        <v>49</v>
      </c>
      <c r="T2461" s="14"/>
      <c r="U2461" s="14"/>
      <c r="V2461" s="70"/>
      <c r="W2461" s="14"/>
      <c r="X2461" s="42"/>
      <c r="Y2461" s="14"/>
      <c r="Z2461" s="14"/>
      <c r="AA2461" s="14"/>
      <c r="AC2461" s="14"/>
      <c r="AD2461" s="14"/>
      <c r="AE2461" s="14"/>
      <c r="AF2461" s="20"/>
      <c r="AH2461" s="14"/>
      <c r="AI2461" s="14"/>
      <c r="AJ2461" s="14"/>
      <c r="AK2461" s="20"/>
      <c r="AM2461" s="14"/>
      <c r="AN2461" s="14"/>
      <c r="AO2461" s="14"/>
      <c r="AU2461" s="71" t="s">
        <v>53</v>
      </c>
    </row>
    <row r="2462" spans="1:47" s="12" customFormat="1" ht="23.25" customHeight="1" x14ac:dyDescent="0.3">
      <c r="A2462" s="42" t="s">
        <v>39</v>
      </c>
      <c r="B2462" s="42" t="s">
        <v>6255</v>
      </c>
      <c r="C2462" s="42">
        <v>70</v>
      </c>
      <c r="D2462" s="42">
        <v>713</v>
      </c>
      <c r="E2462" s="42"/>
      <c r="F2462" s="43" t="s">
        <v>6340</v>
      </c>
      <c r="G2462" s="43" t="str">
        <f t="shared" si="59"/>
        <v>70713924486670</v>
      </c>
      <c r="H2462" s="4" t="s">
        <v>6341</v>
      </c>
      <c r="I2462" s="45" t="s">
        <v>6342</v>
      </c>
      <c r="J2462" s="4" t="s">
        <v>6343</v>
      </c>
      <c r="K2462" s="44" t="s">
        <v>230</v>
      </c>
      <c r="L2462" s="44" t="s">
        <v>45</v>
      </c>
      <c r="M2462" s="7" t="s">
        <v>45</v>
      </c>
      <c r="N2462" s="12" t="s">
        <v>46</v>
      </c>
      <c r="O2462" s="12" t="s">
        <v>47</v>
      </c>
      <c r="P2462" s="4" t="s">
        <v>80</v>
      </c>
      <c r="Q2462" s="69">
        <v>44882</v>
      </c>
      <c r="R2462" s="11">
        <v>0.93</v>
      </c>
      <c r="S2462" s="4" t="s">
        <v>210</v>
      </c>
      <c r="T2462" s="14"/>
      <c r="U2462" s="14"/>
      <c r="V2462" s="70"/>
      <c r="W2462" s="14"/>
      <c r="X2462" s="42"/>
      <c r="Y2462" s="14"/>
      <c r="Z2462" s="14"/>
      <c r="AA2462" s="14"/>
      <c r="AC2462" s="14"/>
      <c r="AD2462" s="14"/>
      <c r="AE2462" s="14"/>
      <c r="AF2462" s="20"/>
      <c r="AH2462" s="14"/>
      <c r="AI2462" s="14"/>
      <c r="AJ2462" s="14"/>
      <c r="AK2462" s="20"/>
      <c r="AM2462" s="14"/>
      <c r="AN2462" s="14"/>
      <c r="AO2462" s="14"/>
      <c r="AU2462" s="71" t="s">
        <v>53</v>
      </c>
    </row>
    <row r="2463" spans="1:47" s="12" customFormat="1" ht="23.25" hidden="1" customHeight="1" x14ac:dyDescent="0.3">
      <c r="A2463" s="42" t="s">
        <v>39</v>
      </c>
      <c r="B2463" s="42" t="s">
        <v>6255</v>
      </c>
      <c r="C2463" s="42">
        <v>70</v>
      </c>
      <c r="D2463" s="42">
        <v>713</v>
      </c>
      <c r="E2463" s="42"/>
      <c r="F2463" s="43" t="s">
        <v>6344</v>
      </c>
      <c r="G2463" s="43" t="str">
        <f t="shared" si="59"/>
        <v>70713645239628</v>
      </c>
      <c r="H2463" s="4" t="s">
        <v>6345</v>
      </c>
      <c r="I2463" s="45" t="s">
        <v>6346</v>
      </c>
      <c r="J2463" s="4" t="s">
        <v>6347</v>
      </c>
      <c r="K2463" s="44" t="s">
        <v>230</v>
      </c>
      <c r="L2463" s="44" t="s">
        <v>45</v>
      </c>
      <c r="M2463" s="7" t="s">
        <v>45</v>
      </c>
      <c r="N2463" s="12" t="s">
        <v>432</v>
      </c>
      <c r="O2463" s="12" t="s">
        <v>432</v>
      </c>
      <c r="P2463" s="4" t="s">
        <v>261</v>
      </c>
      <c r="Q2463" s="69">
        <v>44880</v>
      </c>
      <c r="R2463" s="11">
        <v>0.93</v>
      </c>
      <c r="S2463" s="4" t="s">
        <v>210</v>
      </c>
      <c r="T2463" s="14"/>
      <c r="U2463" s="14"/>
      <c r="V2463" s="70"/>
      <c r="W2463" s="14"/>
      <c r="X2463" s="42"/>
      <c r="Y2463" s="14"/>
      <c r="Z2463" s="14"/>
      <c r="AA2463" s="14"/>
      <c r="AC2463" s="14"/>
      <c r="AD2463" s="14"/>
      <c r="AE2463" s="14"/>
      <c r="AF2463" s="20"/>
      <c r="AH2463" s="14"/>
      <c r="AI2463" s="14"/>
      <c r="AJ2463" s="14"/>
      <c r="AK2463" s="20"/>
      <c r="AM2463" s="14"/>
      <c r="AN2463" s="14"/>
      <c r="AO2463" s="14"/>
      <c r="AU2463" s="71" t="s">
        <v>53</v>
      </c>
    </row>
    <row r="2464" spans="1:47" s="12" customFormat="1" ht="23.25" customHeight="1" x14ac:dyDescent="0.3">
      <c r="A2464" s="42" t="s">
        <v>39</v>
      </c>
      <c r="B2464" s="42" t="s">
        <v>6255</v>
      </c>
      <c r="C2464" s="42">
        <v>70</v>
      </c>
      <c r="D2464" s="42">
        <v>713</v>
      </c>
      <c r="E2464" s="42"/>
      <c r="F2464" s="43" t="s">
        <v>6348</v>
      </c>
      <c r="G2464" s="43" t="str">
        <f t="shared" si="59"/>
        <v>7071380715835</v>
      </c>
      <c r="H2464" s="4" t="s">
        <v>6349</v>
      </c>
      <c r="I2464" s="45">
        <v>80715835</v>
      </c>
      <c r="J2464" s="4" t="s">
        <v>6350</v>
      </c>
      <c r="K2464" s="44" t="s">
        <v>230</v>
      </c>
      <c r="L2464" s="44" t="s">
        <v>45</v>
      </c>
      <c r="M2464" s="68" t="s">
        <v>45</v>
      </c>
      <c r="N2464" s="12" t="s">
        <v>46</v>
      </c>
      <c r="O2464" s="12" t="s">
        <v>47</v>
      </c>
      <c r="P2464" s="4" t="s">
        <v>80</v>
      </c>
      <c r="Q2464" s="69">
        <v>44700</v>
      </c>
      <c r="R2464" s="11">
        <v>0.745</v>
      </c>
      <c r="S2464" s="4" t="s">
        <v>49</v>
      </c>
      <c r="T2464" s="14"/>
      <c r="U2464" s="14"/>
      <c r="V2464" s="70"/>
      <c r="W2464" s="14"/>
      <c r="X2464" s="42"/>
      <c r="Y2464" s="14"/>
      <c r="Z2464" s="14"/>
      <c r="AA2464" s="14"/>
      <c r="AC2464" s="14"/>
      <c r="AD2464" s="14"/>
      <c r="AE2464" s="14"/>
      <c r="AF2464" s="20"/>
      <c r="AH2464" s="14"/>
      <c r="AI2464" s="14"/>
      <c r="AJ2464" s="14"/>
      <c r="AK2464" s="20"/>
      <c r="AM2464" s="14"/>
      <c r="AN2464" s="14"/>
      <c r="AO2464" s="14"/>
      <c r="AU2464" s="71" t="s">
        <v>53</v>
      </c>
    </row>
    <row r="2465" spans="1:47" s="12" customFormat="1" ht="23.25" customHeight="1" x14ac:dyDescent="0.3">
      <c r="A2465" s="42" t="s">
        <v>39</v>
      </c>
      <c r="B2465" s="42" t="s">
        <v>6255</v>
      </c>
      <c r="C2465" s="42">
        <v>70</v>
      </c>
      <c r="D2465" s="42">
        <v>713</v>
      </c>
      <c r="E2465" s="42"/>
      <c r="F2465" s="43" t="s">
        <v>6351</v>
      </c>
      <c r="G2465" s="43" t="str">
        <f t="shared" si="59"/>
        <v>7071364517237</v>
      </c>
      <c r="H2465" s="4" t="s">
        <v>6352</v>
      </c>
      <c r="I2465" s="45">
        <v>64517237</v>
      </c>
      <c r="J2465" s="4" t="s">
        <v>6353</v>
      </c>
      <c r="K2465" s="44" t="s">
        <v>230</v>
      </c>
      <c r="L2465" s="44" t="s">
        <v>45</v>
      </c>
      <c r="M2465" s="68" t="s">
        <v>45</v>
      </c>
      <c r="N2465" s="12" t="s">
        <v>46</v>
      </c>
      <c r="O2465" s="12" t="s">
        <v>47</v>
      </c>
      <c r="P2465" s="4" t="s">
        <v>80</v>
      </c>
      <c r="Q2465" s="69">
        <v>44637</v>
      </c>
      <c r="R2465" s="11">
        <v>0.82499999999999996</v>
      </c>
      <c r="S2465" s="4" t="s">
        <v>49</v>
      </c>
      <c r="T2465" s="14"/>
      <c r="U2465" s="14"/>
      <c r="V2465" s="70"/>
      <c r="W2465" s="14"/>
      <c r="X2465" s="42"/>
      <c r="Y2465" s="14"/>
      <c r="Z2465" s="14"/>
      <c r="AA2465" s="14"/>
      <c r="AC2465" s="14"/>
      <c r="AD2465" s="14"/>
      <c r="AE2465" s="14"/>
      <c r="AF2465" s="20"/>
      <c r="AH2465" s="14"/>
      <c r="AI2465" s="14"/>
      <c r="AJ2465" s="14"/>
      <c r="AK2465" s="20"/>
      <c r="AM2465" s="14"/>
      <c r="AN2465" s="14"/>
      <c r="AO2465" s="14"/>
      <c r="AU2465" s="71" t="s">
        <v>53</v>
      </c>
    </row>
    <row r="2466" spans="1:47" s="12" customFormat="1" ht="23.25" customHeight="1" x14ac:dyDescent="0.3">
      <c r="A2466" s="42" t="s">
        <v>39</v>
      </c>
      <c r="B2466" s="42" t="s">
        <v>6255</v>
      </c>
      <c r="C2466" s="42">
        <v>70</v>
      </c>
      <c r="D2466" s="42">
        <v>713</v>
      </c>
      <c r="E2466" s="42"/>
      <c r="F2466" s="43" t="s">
        <v>6354</v>
      </c>
      <c r="G2466" s="43" t="str">
        <f t="shared" si="59"/>
        <v>707131101442635</v>
      </c>
      <c r="H2466" s="4" t="s">
        <v>6355</v>
      </c>
      <c r="I2466" s="45">
        <v>1101442635</v>
      </c>
      <c r="J2466" s="4" t="s">
        <v>6356</v>
      </c>
      <c r="K2466" s="110" t="s">
        <v>133</v>
      </c>
      <c r="L2466" s="44">
        <v>3216857089</v>
      </c>
      <c r="M2466" s="68" t="s">
        <v>45</v>
      </c>
      <c r="N2466" s="12" t="s">
        <v>46</v>
      </c>
      <c r="O2466" s="12" t="s">
        <v>47</v>
      </c>
      <c r="P2466" s="4" t="s">
        <v>80</v>
      </c>
      <c r="Q2466" s="69">
        <v>45785</v>
      </c>
      <c r="R2466" s="10">
        <v>0.81499999999999995</v>
      </c>
      <c r="S2466" s="4" t="s">
        <v>49</v>
      </c>
      <c r="T2466" s="14" t="s">
        <v>6222</v>
      </c>
      <c r="U2466" s="14" t="s">
        <v>60</v>
      </c>
      <c r="V2466" s="70"/>
      <c r="W2466" s="14"/>
      <c r="X2466" s="42"/>
      <c r="Y2466" s="14"/>
      <c r="Z2466" s="14"/>
      <c r="AA2466" s="14"/>
      <c r="AC2466" s="14"/>
      <c r="AD2466" s="14"/>
      <c r="AE2466" s="14"/>
      <c r="AF2466" s="20"/>
      <c r="AH2466" s="14"/>
      <c r="AI2466" s="14"/>
      <c r="AJ2466" s="14"/>
      <c r="AK2466" s="20"/>
      <c r="AM2466" s="14"/>
      <c r="AN2466" s="14"/>
      <c r="AO2466" s="14"/>
      <c r="AU2466" s="71"/>
    </row>
    <row r="2467" spans="1:47" s="12" customFormat="1" ht="23.25" customHeight="1" x14ac:dyDescent="0.3">
      <c r="A2467" s="42" t="s">
        <v>39</v>
      </c>
      <c r="B2467" s="42" t="s">
        <v>6255</v>
      </c>
      <c r="C2467" s="42">
        <v>70</v>
      </c>
      <c r="D2467" s="42">
        <v>713</v>
      </c>
      <c r="E2467" s="42"/>
      <c r="F2467" s="43" t="s">
        <v>6357</v>
      </c>
      <c r="G2467" s="43" t="str">
        <f t="shared" si="59"/>
        <v>7071333336695</v>
      </c>
      <c r="H2467" s="4" t="s">
        <v>6358</v>
      </c>
      <c r="I2467" s="45">
        <v>33336695</v>
      </c>
      <c r="J2467" s="4" t="s">
        <v>6359</v>
      </c>
      <c r="K2467" s="44" t="s">
        <v>230</v>
      </c>
      <c r="L2467" s="44" t="s">
        <v>45</v>
      </c>
      <c r="M2467" s="68" t="s">
        <v>45</v>
      </c>
      <c r="N2467" s="12" t="s">
        <v>46</v>
      </c>
      <c r="O2467" s="12" t="s">
        <v>47</v>
      </c>
      <c r="P2467" s="4" t="s">
        <v>80</v>
      </c>
      <c r="Q2467" s="69">
        <v>44686</v>
      </c>
      <c r="R2467" s="11">
        <v>0.76500000000000001</v>
      </c>
      <c r="S2467" s="4" t="s">
        <v>49</v>
      </c>
      <c r="T2467" s="14"/>
      <c r="U2467" s="14"/>
      <c r="V2467" s="70"/>
      <c r="W2467" s="14"/>
      <c r="X2467" s="42"/>
      <c r="Y2467" s="14"/>
      <c r="Z2467" s="14"/>
      <c r="AA2467" s="14"/>
      <c r="AC2467" s="14"/>
      <c r="AD2467" s="14"/>
      <c r="AE2467" s="14"/>
      <c r="AF2467" s="20"/>
      <c r="AH2467" s="14"/>
      <c r="AI2467" s="14"/>
      <c r="AJ2467" s="14"/>
      <c r="AK2467" s="20"/>
      <c r="AM2467" s="14"/>
      <c r="AN2467" s="14"/>
      <c r="AO2467" s="14"/>
      <c r="AU2467" s="71" t="s">
        <v>53</v>
      </c>
    </row>
    <row r="2468" spans="1:47" s="12" customFormat="1" ht="23.25" customHeight="1" x14ac:dyDescent="0.3">
      <c r="A2468" s="42" t="s">
        <v>39</v>
      </c>
      <c r="B2468" s="42" t="s">
        <v>6255</v>
      </c>
      <c r="C2468" s="42">
        <v>70</v>
      </c>
      <c r="D2468" s="42">
        <v>713</v>
      </c>
      <c r="E2468" s="42"/>
      <c r="F2468" s="43" t="s">
        <v>6360</v>
      </c>
      <c r="G2468" s="43" t="str">
        <f t="shared" si="59"/>
        <v>707131104436520</v>
      </c>
      <c r="H2468" s="4" t="s">
        <v>6361</v>
      </c>
      <c r="I2468" s="45">
        <v>1104436520</v>
      </c>
      <c r="J2468" s="4" t="s">
        <v>6362</v>
      </c>
      <c r="K2468" s="44" t="s">
        <v>230</v>
      </c>
      <c r="L2468" s="44" t="s">
        <v>45</v>
      </c>
      <c r="M2468" s="68" t="s">
        <v>45</v>
      </c>
      <c r="N2468" s="12" t="s">
        <v>46</v>
      </c>
      <c r="O2468" s="12" t="s">
        <v>47</v>
      </c>
      <c r="P2468" s="4" t="s">
        <v>80</v>
      </c>
      <c r="Q2468" s="69">
        <v>44489</v>
      </c>
      <c r="R2468" s="11">
        <v>0.83</v>
      </c>
      <c r="S2468" s="4" t="s">
        <v>49</v>
      </c>
      <c r="T2468" s="14"/>
      <c r="U2468" s="14"/>
      <c r="V2468" s="70"/>
      <c r="W2468" s="14"/>
      <c r="X2468" s="42"/>
      <c r="Y2468" s="14"/>
      <c r="Z2468" s="14"/>
      <c r="AA2468" s="14"/>
      <c r="AC2468" s="14"/>
      <c r="AD2468" s="14"/>
      <c r="AE2468" s="14"/>
      <c r="AF2468" s="20"/>
      <c r="AH2468" s="14"/>
      <c r="AI2468" s="14"/>
      <c r="AJ2468" s="14"/>
      <c r="AK2468" s="20"/>
      <c r="AM2468" s="14"/>
      <c r="AN2468" s="14"/>
      <c r="AO2468" s="14"/>
      <c r="AU2468" s="71" t="s">
        <v>53</v>
      </c>
    </row>
    <row r="2469" spans="1:47" s="12" customFormat="1" ht="23.25" customHeight="1" x14ac:dyDescent="0.3">
      <c r="A2469" s="42" t="s">
        <v>39</v>
      </c>
      <c r="B2469" s="42" t="s">
        <v>6255</v>
      </c>
      <c r="C2469" s="42">
        <v>70</v>
      </c>
      <c r="D2469" s="42">
        <v>713</v>
      </c>
      <c r="E2469" s="42"/>
      <c r="F2469" s="43" t="s">
        <v>6363</v>
      </c>
      <c r="G2469" s="43" t="str">
        <f t="shared" si="59"/>
        <v>707139041500</v>
      </c>
      <c r="H2469" s="4" t="s">
        <v>6364</v>
      </c>
      <c r="I2469" s="45">
        <v>9041500</v>
      </c>
      <c r="J2469" s="4" t="s">
        <v>6365</v>
      </c>
      <c r="K2469" s="44" t="s">
        <v>230</v>
      </c>
      <c r="L2469" s="44" t="s">
        <v>45</v>
      </c>
      <c r="M2469" s="7" t="s">
        <v>45</v>
      </c>
      <c r="N2469" s="12" t="s">
        <v>46</v>
      </c>
      <c r="O2469" s="12" t="s">
        <v>47</v>
      </c>
      <c r="P2469" s="4" t="s">
        <v>80</v>
      </c>
      <c r="Q2469" s="69">
        <v>44133</v>
      </c>
      <c r="R2469" s="11">
        <v>0.80500000000000005</v>
      </c>
      <c r="S2469" s="4" t="s">
        <v>49</v>
      </c>
      <c r="T2469" s="14"/>
      <c r="U2469" s="14"/>
      <c r="V2469" s="70"/>
      <c r="W2469" s="14"/>
      <c r="X2469" s="42"/>
      <c r="Y2469" s="14"/>
      <c r="Z2469" s="14"/>
      <c r="AA2469" s="14"/>
      <c r="AC2469" s="14"/>
      <c r="AD2469" s="14"/>
      <c r="AE2469" s="14"/>
      <c r="AF2469" s="20"/>
      <c r="AH2469" s="14"/>
      <c r="AI2469" s="14"/>
      <c r="AJ2469" s="14"/>
      <c r="AK2469" s="20"/>
      <c r="AM2469" s="14"/>
      <c r="AN2469" s="14"/>
      <c r="AO2469" s="14"/>
      <c r="AU2469" s="71" t="s">
        <v>53</v>
      </c>
    </row>
    <row r="2470" spans="1:47" s="12" customFormat="1" ht="23.25" customHeight="1" x14ac:dyDescent="0.3">
      <c r="A2470" s="42" t="s">
        <v>39</v>
      </c>
      <c r="B2470" s="42" t="s">
        <v>6255</v>
      </c>
      <c r="C2470" s="42">
        <v>70</v>
      </c>
      <c r="D2470" s="42">
        <v>713</v>
      </c>
      <c r="E2470" s="42"/>
      <c r="F2470" s="43" t="s">
        <v>6366</v>
      </c>
      <c r="G2470" s="43" t="str">
        <f t="shared" si="59"/>
        <v>707139042389</v>
      </c>
      <c r="H2470" s="4" t="s">
        <v>6367</v>
      </c>
      <c r="I2470" s="45">
        <v>9042389</v>
      </c>
      <c r="J2470" s="4" t="s">
        <v>6368</v>
      </c>
      <c r="K2470" s="44" t="s">
        <v>230</v>
      </c>
      <c r="L2470" s="44" t="s">
        <v>45</v>
      </c>
      <c r="M2470" s="7" t="s">
        <v>45</v>
      </c>
      <c r="N2470" s="12" t="s">
        <v>46</v>
      </c>
      <c r="O2470" s="12" t="s">
        <v>47</v>
      </c>
      <c r="P2470" s="4" t="s">
        <v>80</v>
      </c>
      <c r="Q2470" s="69">
        <v>44365</v>
      </c>
      <c r="R2470" s="11">
        <v>0.77</v>
      </c>
      <c r="S2470" s="4" t="s">
        <v>49</v>
      </c>
      <c r="T2470" s="14"/>
      <c r="U2470" s="14"/>
      <c r="V2470" s="70"/>
      <c r="W2470" s="14"/>
      <c r="X2470" s="42"/>
      <c r="Y2470" s="14"/>
      <c r="Z2470" s="14"/>
      <c r="AA2470" s="14"/>
      <c r="AC2470" s="14"/>
      <c r="AD2470" s="14"/>
      <c r="AE2470" s="14"/>
      <c r="AF2470" s="20"/>
      <c r="AH2470" s="14"/>
      <c r="AI2470" s="14"/>
      <c r="AJ2470" s="14"/>
      <c r="AK2470" s="20"/>
      <c r="AM2470" s="14"/>
      <c r="AN2470" s="14"/>
      <c r="AO2470" s="14"/>
      <c r="AU2470" s="71" t="s">
        <v>53</v>
      </c>
    </row>
    <row r="2471" spans="1:47" s="12" customFormat="1" ht="23.25" customHeight="1" x14ac:dyDescent="0.3">
      <c r="A2471" s="42" t="s">
        <v>39</v>
      </c>
      <c r="B2471" s="42" t="s">
        <v>6255</v>
      </c>
      <c r="C2471" s="42">
        <v>70</v>
      </c>
      <c r="D2471" s="42">
        <v>713</v>
      </c>
      <c r="E2471" s="42"/>
      <c r="F2471" s="43" t="s">
        <v>6369</v>
      </c>
      <c r="G2471" s="43" t="str">
        <f t="shared" si="59"/>
        <v>70713101539897</v>
      </c>
      <c r="H2471" s="4" t="s">
        <v>6370</v>
      </c>
      <c r="I2471" s="45">
        <v>101539897</v>
      </c>
      <c r="J2471" s="4" t="s">
        <v>6371</v>
      </c>
      <c r="K2471" s="44" t="s">
        <v>230</v>
      </c>
      <c r="L2471" s="44" t="s">
        <v>45</v>
      </c>
      <c r="M2471" s="7" t="s">
        <v>45</v>
      </c>
      <c r="N2471" s="12" t="s">
        <v>46</v>
      </c>
      <c r="O2471" s="12" t="s">
        <v>47</v>
      </c>
      <c r="P2471" s="4" t="s">
        <v>80</v>
      </c>
      <c r="Q2471" s="69">
        <v>44700</v>
      </c>
      <c r="R2471" s="11">
        <v>0.67500000000000004</v>
      </c>
      <c r="S2471" s="4" t="s">
        <v>49</v>
      </c>
      <c r="T2471" s="14"/>
      <c r="U2471" s="14"/>
      <c r="V2471" s="70"/>
      <c r="W2471" s="14"/>
      <c r="X2471" s="42"/>
      <c r="Y2471" s="14"/>
      <c r="Z2471" s="14"/>
      <c r="AA2471" s="14"/>
      <c r="AC2471" s="14"/>
      <c r="AD2471" s="14"/>
      <c r="AE2471" s="14"/>
      <c r="AF2471" s="20"/>
      <c r="AH2471" s="14"/>
      <c r="AI2471" s="14"/>
      <c r="AJ2471" s="14"/>
      <c r="AK2471" s="20"/>
      <c r="AM2471" s="14"/>
      <c r="AN2471" s="14"/>
      <c r="AO2471" s="14"/>
      <c r="AU2471" s="71" t="s">
        <v>53</v>
      </c>
    </row>
    <row r="2472" spans="1:47" s="12" customFormat="1" ht="23.25" customHeight="1" x14ac:dyDescent="0.3">
      <c r="A2472" s="42" t="s">
        <v>39</v>
      </c>
      <c r="B2472" s="42" t="s">
        <v>6255</v>
      </c>
      <c r="C2472" s="42">
        <v>70</v>
      </c>
      <c r="D2472" s="42">
        <v>713</v>
      </c>
      <c r="E2472" s="42"/>
      <c r="F2472" s="43" t="s">
        <v>4466</v>
      </c>
      <c r="G2472" s="43" t="str">
        <f t="shared" si="59"/>
        <v>7071364524737</v>
      </c>
      <c r="H2472" s="4" t="s">
        <v>6372</v>
      </c>
      <c r="I2472" s="45">
        <v>64524737</v>
      </c>
      <c r="J2472" s="4" t="s">
        <v>6373</v>
      </c>
      <c r="K2472" s="44" t="s">
        <v>230</v>
      </c>
      <c r="L2472" s="44" t="s">
        <v>45</v>
      </c>
      <c r="M2472" s="7" t="s">
        <v>45</v>
      </c>
      <c r="N2472" s="12" t="s">
        <v>46</v>
      </c>
      <c r="O2472" s="12" t="s">
        <v>47</v>
      </c>
      <c r="P2472" s="4" t="s">
        <v>80</v>
      </c>
      <c r="Q2472" s="69">
        <v>44873</v>
      </c>
      <c r="R2472" s="11">
        <v>0.75</v>
      </c>
      <c r="S2472" s="4" t="s">
        <v>49</v>
      </c>
      <c r="T2472" s="14"/>
      <c r="U2472" s="14"/>
      <c r="V2472" s="70"/>
      <c r="W2472" s="14"/>
      <c r="X2472" s="42"/>
      <c r="Y2472" s="14"/>
      <c r="Z2472" s="14"/>
      <c r="AA2472" s="14"/>
      <c r="AC2472" s="14"/>
      <c r="AD2472" s="14"/>
      <c r="AE2472" s="14"/>
      <c r="AF2472" s="20"/>
      <c r="AH2472" s="14"/>
      <c r="AI2472" s="14"/>
      <c r="AJ2472" s="14"/>
      <c r="AK2472" s="20"/>
      <c r="AM2472" s="14"/>
      <c r="AN2472" s="14"/>
      <c r="AO2472" s="14"/>
      <c r="AU2472" s="71" t="s">
        <v>53</v>
      </c>
    </row>
    <row r="2473" spans="1:47" s="12" customFormat="1" ht="23.25" customHeight="1" x14ac:dyDescent="0.3">
      <c r="A2473" s="42" t="s">
        <v>39</v>
      </c>
      <c r="B2473" s="42" t="s">
        <v>6255</v>
      </c>
      <c r="C2473" s="42">
        <v>70</v>
      </c>
      <c r="D2473" s="42">
        <v>713</v>
      </c>
      <c r="E2473" s="42"/>
      <c r="F2473" s="43" t="s">
        <v>6374</v>
      </c>
      <c r="G2473" s="43" t="str">
        <f t="shared" si="59"/>
        <v>707131005474165</v>
      </c>
      <c r="H2473" s="4" t="s">
        <v>6338</v>
      </c>
      <c r="I2473" s="45">
        <v>1005474165</v>
      </c>
      <c r="J2473" s="4" t="s">
        <v>6375</v>
      </c>
      <c r="K2473" s="44" t="s">
        <v>230</v>
      </c>
      <c r="L2473" s="44" t="s">
        <v>45</v>
      </c>
      <c r="M2473" s="7" t="s">
        <v>45</v>
      </c>
      <c r="N2473" s="12" t="s">
        <v>46</v>
      </c>
      <c r="O2473" s="12" t="s">
        <v>47</v>
      </c>
      <c r="P2473" s="4" t="s">
        <v>80</v>
      </c>
      <c r="Q2473" s="69">
        <v>44715</v>
      </c>
      <c r="R2473" s="11">
        <v>0.76500000000000001</v>
      </c>
      <c r="S2473" s="4" t="s">
        <v>49</v>
      </c>
      <c r="T2473" s="14"/>
      <c r="U2473" s="14"/>
      <c r="V2473" s="70"/>
      <c r="W2473" s="14"/>
      <c r="X2473" s="42"/>
      <c r="Y2473" s="14"/>
      <c r="Z2473" s="14"/>
      <c r="AA2473" s="14"/>
      <c r="AC2473" s="14"/>
      <c r="AD2473" s="14"/>
      <c r="AE2473" s="14"/>
      <c r="AF2473" s="20"/>
      <c r="AH2473" s="14"/>
      <c r="AI2473" s="14"/>
      <c r="AJ2473" s="14"/>
      <c r="AK2473" s="20"/>
      <c r="AM2473" s="14"/>
      <c r="AN2473" s="14"/>
      <c r="AO2473" s="14"/>
      <c r="AU2473" s="71" t="s">
        <v>53</v>
      </c>
    </row>
    <row r="2474" spans="1:47" s="12" customFormat="1" ht="23.25" customHeight="1" x14ac:dyDescent="0.3">
      <c r="A2474" s="42" t="s">
        <v>39</v>
      </c>
      <c r="B2474" s="42" t="s">
        <v>6255</v>
      </c>
      <c r="C2474" s="42">
        <v>70</v>
      </c>
      <c r="D2474" s="42">
        <v>713</v>
      </c>
      <c r="E2474" s="42"/>
      <c r="F2474" s="43" t="s">
        <v>6376</v>
      </c>
      <c r="G2474" s="43" t="str">
        <f t="shared" si="59"/>
        <v>7071364571985</v>
      </c>
      <c r="H2474" s="4" t="s">
        <v>6377</v>
      </c>
      <c r="I2474" s="45">
        <v>64571985</v>
      </c>
      <c r="J2474" s="4" t="s">
        <v>6378</v>
      </c>
      <c r="K2474" s="44" t="s">
        <v>230</v>
      </c>
      <c r="L2474" s="44">
        <v>3107398549</v>
      </c>
      <c r="M2474" s="3" t="s">
        <v>6379</v>
      </c>
      <c r="N2474" s="12" t="s">
        <v>46</v>
      </c>
      <c r="O2474" s="12" t="s">
        <v>47</v>
      </c>
      <c r="P2474" s="4" t="s">
        <v>80</v>
      </c>
      <c r="Q2474" s="69">
        <v>45736</v>
      </c>
      <c r="R2474" s="11">
        <v>0.79</v>
      </c>
      <c r="S2474" s="4" t="s">
        <v>49</v>
      </c>
      <c r="T2474" s="14"/>
      <c r="U2474" s="14"/>
      <c r="V2474" s="69">
        <v>44103</v>
      </c>
      <c r="W2474" s="11">
        <v>0.68500000000000005</v>
      </c>
      <c r="X2474" s="4" t="s">
        <v>49</v>
      </c>
      <c r="Y2474" s="14"/>
      <c r="Z2474" s="14"/>
      <c r="AA2474" s="14"/>
      <c r="AC2474" s="14"/>
      <c r="AD2474" s="14"/>
      <c r="AE2474" s="14"/>
      <c r="AF2474" s="20"/>
      <c r="AH2474" s="14"/>
      <c r="AI2474" s="14"/>
      <c r="AJ2474" s="14"/>
      <c r="AK2474" s="20"/>
      <c r="AM2474" s="14"/>
      <c r="AN2474" s="14"/>
      <c r="AO2474" s="14"/>
      <c r="AU2474" s="71" t="s">
        <v>53</v>
      </c>
    </row>
    <row r="2475" spans="1:47" s="12" customFormat="1" ht="23.25" customHeight="1" x14ac:dyDescent="0.3">
      <c r="A2475" s="42" t="s">
        <v>39</v>
      </c>
      <c r="B2475" s="42" t="s">
        <v>6255</v>
      </c>
      <c r="C2475" s="42">
        <v>70</v>
      </c>
      <c r="D2475" s="42">
        <v>713</v>
      </c>
      <c r="E2475" s="42"/>
      <c r="F2475" s="43" t="s">
        <v>6380</v>
      </c>
      <c r="G2475" s="43" t="str">
        <f t="shared" si="59"/>
        <v>7071364552231</v>
      </c>
      <c r="H2475" s="4" t="s">
        <v>6381</v>
      </c>
      <c r="I2475" s="45">
        <v>64552231</v>
      </c>
      <c r="J2475" s="4" t="s">
        <v>6382</v>
      </c>
      <c r="K2475" s="44" t="s">
        <v>230</v>
      </c>
      <c r="L2475" s="44" t="s">
        <v>45</v>
      </c>
      <c r="M2475" s="7" t="s">
        <v>45</v>
      </c>
      <c r="N2475" s="12" t="s">
        <v>46</v>
      </c>
      <c r="O2475" s="12" t="s">
        <v>47</v>
      </c>
      <c r="P2475" s="4" t="s">
        <v>80</v>
      </c>
      <c r="Q2475" s="69">
        <v>44658</v>
      </c>
      <c r="R2475" s="11">
        <v>0.76500000000000001</v>
      </c>
      <c r="S2475" s="4" t="s">
        <v>49</v>
      </c>
      <c r="T2475" s="14"/>
      <c r="U2475" s="14"/>
      <c r="V2475" s="70"/>
      <c r="W2475" s="14"/>
      <c r="X2475" s="42"/>
      <c r="Y2475" s="14"/>
      <c r="Z2475" s="14"/>
      <c r="AA2475" s="14"/>
      <c r="AC2475" s="14"/>
      <c r="AD2475" s="14"/>
      <c r="AE2475" s="14"/>
      <c r="AF2475" s="20"/>
      <c r="AH2475" s="14"/>
      <c r="AI2475" s="14"/>
      <c r="AJ2475" s="14"/>
      <c r="AK2475" s="20"/>
      <c r="AM2475" s="14"/>
      <c r="AN2475" s="14"/>
      <c r="AO2475" s="14"/>
      <c r="AU2475" s="71" t="s">
        <v>53</v>
      </c>
    </row>
    <row r="2476" spans="1:47" s="12" customFormat="1" ht="23.25" customHeight="1" x14ac:dyDescent="0.3">
      <c r="A2476" s="42" t="s">
        <v>39</v>
      </c>
      <c r="B2476" s="42" t="s">
        <v>6255</v>
      </c>
      <c r="C2476" s="42">
        <v>70</v>
      </c>
      <c r="D2476" s="42">
        <v>713</v>
      </c>
      <c r="E2476" s="42"/>
      <c r="F2476" s="1" t="s">
        <v>6383</v>
      </c>
      <c r="G2476" s="43" t="str">
        <f t="shared" si="59"/>
        <v>7071364525091</v>
      </c>
      <c r="H2476" s="4" t="s">
        <v>6384</v>
      </c>
      <c r="I2476" s="45">
        <v>64525091</v>
      </c>
      <c r="J2476" s="4" t="s">
        <v>6385</v>
      </c>
      <c r="K2476" s="44" t="s">
        <v>230</v>
      </c>
      <c r="L2476" s="44">
        <v>3002275728</v>
      </c>
      <c r="M2476" s="68" t="s">
        <v>45</v>
      </c>
      <c r="N2476" s="12" t="s">
        <v>46</v>
      </c>
      <c r="O2476" s="12" t="s">
        <v>47</v>
      </c>
      <c r="P2476" s="4" t="s">
        <v>80</v>
      </c>
      <c r="Q2476" s="69" t="s">
        <v>6386</v>
      </c>
      <c r="R2476" s="55">
        <v>0.61499999999999999</v>
      </c>
      <c r="S2476" s="4" t="s">
        <v>49</v>
      </c>
      <c r="T2476" s="14" t="s">
        <v>6241</v>
      </c>
      <c r="U2476" s="14" t="s">
        <v>60</v>
      </c>
      <c r="V2476" s="133">
        <v>45723</v>
      </c>
      <c r="W2476" s="10">
        <v>0.81499999999999995</v>
      </c>
      <c r="X2476" s="4" t="s">
        <v>49</v>
      </c>
      <c r="Y2476" s="14"/>
      <c r="Z2476" s="14"/>
      <c r="AA2476" s="14"/>
      <c r="AC2476" s="14"/>
      <c r="AD2476" s="14"/>
      <c r="AE2476" s="14"/>
      <c r="AF2476" s="20"/>
      <c r="AH2476" s="14"/>
      <c r="AI2476" s="14"/>
      <c r="AJ2476" s="14"/>
      <c r="AK2476" s="20"/>
      <c r="AM2476" s="14"/>
      <c r="AN2476" s="14"/>
      <c r="AO2476" s="14"/>
      <c r="AU2476" s="71" t="s">
        <v>53</v>
      </c>
    </row>
    <row r="2477" spans="1:47" s="12" customFormat="1" ht="23.25" customHeight="1" x14ac:dyDescent="0.3">
      <c r="A2477" s="42" t="s">
        <v>39</v>
      </c>
      <c r="B2477" s="42" t="s">
        <v>6255</v>
      </c>
      <c r="C2477" s="42">
        <v>70</v>
      </c>
      <c r="D2477" s="42">
        <v>713</v>
      </c>
      <c r="E2477" s="42"/>
      <c r="F2477" s="43" t="s">
        <v>6387</v>
      </c>
      <c r="G2477" s="43" t="str">
        <f t="shared" si="59"/>
        <v>707137073579682</v>
      </c>
      <c r="H2477" s="4" t="s">
        <v>6388</v>
      </c>
      <c r="I2477" s="45">
        <v>7073579682</v>
      </c>
      <c r="J2477" s="4" t="s">
        <v>6389</v>
      </c>
      <c r="K2477" s="44" t="s">
        <v>230</v>
      </c>
      <c r="L2477" s="44" t="s">
        <v>45</v>
      </c>
      <c r="M2477" s="7" t="s">
        <v>45</v>
      </c>
      <c r="N2477" s="12" t="s">
        <v>46</v>
      </c>
      <c r="O2477" s="12" t="s">
        <v>47</v>
      </c>
      <c r="P2477" s="4" t="s">
        <v>80</v>
      </c>
      <c r="Q2477" s="69">
        <v>44047</v>
      </c>
      <c r="R2477" s="11">
        <v>0.83</v>
      </c>
      <c r="S2477" s="4" t="s">
        <v>49</v>
      </c>
      <c r="T2477" s="14"/>
      <c r="U2477" s="14"/>
      <c r="V2477" s="70"/>
      <c r="W2477" s="14"/>
      <c r="X2477" s="42"/>
      <c r="Y2477" s="14"/>
      <c r="Z2477" s="14"/>
      <c r="AA2477" s="14"/>
      <c r="AC2477" s="14"/>
      <c r="AD2477" s="14"/>
      <c r="AE2477" s="14"/>
      <c r="AF2477" s="20"/>
      <c r="AH2477" s="14"/>
      <c r="AI2477" s="14"/>
      <c r="AJ2477" s="14"/>
      <c r="AK2477" s="20"/>
      <c r="AM2477" s="14"/>
      <c r="AN2477" s="14"/>
      <c r="AO2477" s="14"/>
      <c r="AU2477" s="71" t="s">
        <v>53</v>
      </c>
    </row>
    <row r="2478" spans="1:47" s="12" customFormat="1" ht="23.25" customHeight="1" x14ac:dyDescent="0.3">
      <c r="A2478" s="42" t="s">
        <v>39</v>
      </c>
      <c r="B2478" s="42" t="s">
        <v>6255</v>
      </c>
      <c r="C2478" s="42">
        <v>70</v>
      </c>
      <c r="D2478" s="42">
        <v>713</v>
      </c>
      <c r="E2478" s="42"/>
      <c r="F2478" s="43" t="s">
        <v>6390</v>
      </c>
      <c r="G2478" s="43" t="str">
        <f t="shared" si="59"/>
        <v>707137123519286</v>
      </c>
      <c r="H2478" s="4" t="s">
        <v>6391</v>
      </c>
      <c r="I2478" s="45">
        <v>7123519286</v>
      </c>
      <c r="J2478" s="4" t="s">
        <v>6392</v>
      </c>
      <c r="K2478" s="44" t="s">
        <v>230</v>
      </c>
      <c r="L2478" s="44" t="s">
        <v>45</v>
      </c>
      <c r="M2478" s="7" t="s">
        <v>45</v>
      </c>
      <c r="N2478" s="12" t="s">
        <v>46</v>
      </c>
      <c r="O2478" s="12" t="s">
        <v>47</v>
      </c>
      <c r="P2478" s="4" t="s">
        <v>80</v>
      </c>
      <c r="Q2478" s="69">
        <v>44329</v>
      </c>
      <c r="R2478" s="11">
        <v>0.72499999999999998</v>
      </c>
      <c r="S2478" s="4" t="s">
        <v>49</v>
      </c>
      <c r="T2478" s="14"/>
      <c r="U2478" s="14"/>
      <c r="V2478" s="70"/>
      <c r="W2478" s="14"/>
      <c r="X2478" s="42"/>
      <c r="Y2478" s="14"/>
      <c r="Z2478" s="14"/>
      <c r="AA2478" s="14"/>
      <c r="AC2478" s="14"/>
      <c r="AD2478" s="14"/>
      <c r="AE2478" s="14"/>
      <c r="AF2478" s="20"/>
      <c r="AH2478" s="14"/>
      <c r="AI2478" s="14"/>
      <c r="AJ2478" s="14"/>
      <c r="AK2478" s="20"/>
      <c r="AM2478" s="14"/>
      <c r="AN2478" s="14"/>
      <c r="AO2478" s="14"/>
      <c r="AU2478" s="71" t="s">
        <v>53</v>
      </c>
    </row>
    <row r="2479" spans="1:47" s="12" customFormat="1" ht="23.25" customHeight="1" x14ac:dyDescent="0.3">
      <c r="A2479" s="42" t="s">
        <v>505</v>
      </c>
      <c r="B2479" s="42" t="s">
        <v>6255</v>
      </c>
      <c r="C2479" s="42">
        <v>70</v>
      </c>
      <c r="D2479" s="42">
        <v>713</v>
      </c>
      <c r="E2479" s="42"/>
      <c r="F2479" s="43" t="s">
        <v>6393</v>
      </c>
      <c r="G2479" s="43" t="str">
        <f t="shared" si="59"/>
        <v>7071364515139</v>
      </c>
      <c r="H2479" s="4" t="s">
        <v>6394</v>
      </c>
      <c r="I2479" s="45">
        <v>64515139</v>
      </c>
      <c r="J2479" s="4" t="s">
        <v>6395</v>
      </c>
      <c r="K2479" s="44" t="s">
        <v>230</v>
      </c>
      <c r="L2479" s="44" t="s">
        <v>45</v>
      </c>
      <c r="M2479" s="7" t="s">
        <v>45</v>
      </c>
      <c r="N2479" s="12" t="s">
        <v>46</v>
      </c>
      <c r="O2479" s="12" t="s">
        <v>47</v>
      </c>
      <c r="P2479" s="4" t="s">
        <v>261</v>
      </c>
      <c r="Q2479" s="69">
        <v>44306</v>
      </c>
      <c r="R2479" s="11">
        <v>0.76</v>
      </c>
      <c r="S2479" s="4" t="s">
        <v>49</v>
      </c>
      <c r="T2479" s="14"/>
      <c r="U2479" s="14"/>
      <c r="V2479" s="70"/>
      <c r="W2479" s="14"/>
      <c r="X2479" s="42"/>
      <c r="Y2479" s="14"/>
      <c r="Z2479" s="14"/>
      <c r="AA2479" s="14"/>
      <c r="AC2479" s="14"/>
      <c r="AD2479" s="14"/>
      <c r="AE2479" s="14"/>
      <c r="AF2479" s="20"/>
      <c r="AH2479" s="14"/>
      <c r="AI2479" s="14"/>
      <c r="AJ2479" s="14"/>
      <c r="AK2479" s="20"/>
      <c r="AM2479" s="14"/>
      <c r="AN2479" s="14"/>
      <c r="AO2479" s="14"/>
      <c r="AU2479" s="71" t="s">
        <v>53</v>
      </c>
    </row>
    <row r="2480" spans="1:47" s="12" customFormat="1" ht="23.25" customHeight="1" x14ac:dyDescent="0.3">
      <c r="A2480" s="42" t="s">
        <v>39</v>
      </c>
      <c r="B2480" s="42" t="s">
        <v>6255</v>
      </c>
      <c r="C2480" s="42">
        <v>70</v>
      </c>
      <c r="D2480" s="42">
        <v>713</v>
      </c>
      <c r="E2480" s="42"/>
      <c r="F2480" s="43" t="s">
        <v>6396</v>
      </c>
      <c r="G2480" s="43" t="str">
        <f t="shared" si="59"/>
        <v>7071370713900537973</v>
      </c>
      <c r="H2480" s="4" t="s">
        <v>6397</v>
      </c>
      <c r="I2480" s="72">
        <v>70713900537973</v>
      </c>
      <c r="J2480" s="4" t="s">
        <v>6398</v>
      </c>
      <c r="K2480" s="44" t="s">
        <v>230</v>
      </c>
      <c r="L2480" s="44" t="s">
        <v>45</v>
      </c>
      <c r="M2480" s="7" t="s">
        <v>45</v>
      </c>
      <c r="N2480" s="12" t="s">
        <v>46</v>
      </c>
      <c r="O2480" s="12" t="s">
        <v>47</v>
      </c>
      <c r="P2480" s="4" t="s">
        <v>80</v>
      </c>
      <c r="Q2480" s="69">
        <v>43691</v>
      </c>
      <c r="R2480" s="11">
        <v>0.96499999999999997</v>
      </c>
      <c r="S2480" s="42" t="s">
        <v>210</v>
      </c>
      <c r="T2480" s="14"/>
      <c r="U2480" s="14"/>
      <c r="V2480" s="70"/>
      <c r="W2480" s="14"/>
      <c r="X2480" s="42"/>
      <c r="Y2480" s="14"/>
      <c r="Z2480" s="14"/>
      <c r="AA2480" s="14"/>
      <c r="AC2480" s="14"/>
      <c r="AD2480" s="14"/>
      <c r="AE2480" s="14"/>
      <c r="AF2480" s="20"/>
      <c r="AH2480" s="14"/>
      <c r="AI2480" s="14"/>
      <c r="AJ2480" s="14"/>
      <c r="AK2480" s="20"/>
      <c r="AM2480" s="14"/>
      <c r="AN2480" s="14"/>
      <c r="AO2480" s="14"/>
      <c r="AU2480" s="71" t="s">
        <v>53</v>
      </c>
    </row>
    <row r="2481" spans="1:47" s="12" customFormat="1" ht="23.25" hidden="1" customHeight="1" x14ac:dyDescent="0.3">
      <c r="A2481" s="42" t="s">
        <v>505</v>
      </c>
      <c r="B2481" s="42" t="s">
        <v>6255</v>
      </c>
      <c r="C2481" s="42">
        <v>70</v>
      </c>
      <c r="D2481" s="42">
        <v>713</v>
      </c>
      <c r="E2481" s="42"/>
      <c r="F2481" s="43" t="s">
        <v>6399</v>
      </c>
      <c r="G2481" s="43" t="str">
        <f t="shared" si="59"/>
        <v>7071390446911</v>
      </c>
      <c r="H2481" s="4" t="s">
        <v>6400</v>
      </c>
      <c r="I2481" s="45" t="s">
        <v>6401</v>
      </c>
      <c r="J2481" s="4" t="s">
        <v>6402</v>
      </c>
      <c r="K2481" s="44" t="s">
        <v>230</v>
      </c>
      <c r="L2481" s="44">
        <v>3124223612</v>
      </c>
      <c r="M2481" s="7" t="s">
        <v>45</v>
      </c>
      <c r="N2481" s="12" t="s">
        <v>259</v>
      </c>
      <c r="O2481" s="12" t="s">
        <v>260</v>
      </c>
      <c r="P2481" s="4" t="s">
        <v>261</v>
      </c>
      <c r="Q2481" s="69">
        <v>45560</v>
      </c>
      <c r="R2481" s="11">
        <v>0.93</v>
      </c>
      <c r="S2481" s="4" t="s">
        <v>210</v>
      </c>
      <c r="T2481" s="14"/>
      <c r="U2481" s="14"/>
      <c r="V2481" s="70"/>
      <c r="W2481" s="14"/>
      <c r="X2481" s="42"/>
      <c r="Y2481" s="14"/>
      <c r="Z2481" s="14"/>
      <c r="AA2481" s="14"/>
      <c r="AC2481" s="14"/>
      <c r="AD2481" s="14"/>
      <c r="AE2481" s="14"/>
      <c r="AF2481" s="20"/>
      <c r="AH2481" s="14"/>
      <c r="AI2481" s="14"/>
      <c r="AJ2481" s="14"/>
      <c r="AK2481" s="20"/>
      <c r="AM2481" s="14"/>
      <c r="AN2481" s="14"/>
      <c r="AO2481" s="14"/>
      <c r="AU2481" s="71" t="s">
        <v>53</v>
      </c>
    </row>
    <row r="2482" spans="1:47" s="12" customFormat="1" ht="23.25" hidden="1" customHeight="1" x14ac:dyDescent="0.3">
      <c r="A2482" s="42" t="s">
        <v>39</v>
      </c>
      <c r="B2482" s="42" t="s">
        <v>6255</v>
      </c>
      <c r="C2482" s="42">
        <v>70</v>
      </c>
      <c r="D2482" s="42">
        <v>713</v>
      </c>
      <c r="E2482" s="42"/>
      <c r="F2482" s="43" t="s">
        <v>6403</v>
      </c>
      <c r="G2482" s="43" t="str">
        <f t="shared" si="59"/>
        <v>707139041466</v>
      </c>
      <c r="H2482" s="4" t="s">
        <v>6404</v>
      </c>
      <c r="I2482" s="45">
        <v>9041466</v>
      </c>
      <c r="J2482" s="4" t="s">
        <v>6405</v>
      </c>
      <c r="K2482" s="44" t="s">
        <v>230</v>
      </c>
      <c r="L2482" s="44">
        <v>3145244219</v>
      </c>
      <c r="M2482" s="7" t="s">
        <v>45</v>
      </c>
      <c r="N2482" s="12" t="s">
        <v>259</v>
      </c>
      <c r="O2482" s="12" t="s">
        <v>260</v>
      </c>
      <c r="P2482" s="4" t="s">
        <v>261</v>
      </c>
      <c r="Q2482" s="69">
        <v>45560</v>
      </c>
      <c r="R2482" s="11">
        <v>0.96</v>
      </c>
      <c r="S2482" s="4" t="s">
        <v>210</v>
      </c>
      <c r="T2482" s="14"/>
      <c r="U2482" s="14"/>
      <c r="V2482" s="70"/>
      <c r="W2482" s="14"/>
      <c r="X2482" s="42"/>
      <c r="Y2482" s="14"/>
      <c r="Z2482" s="14"/>
      <c r="AA2482" s="14"/>
      <c r="AC2482" s="14"/>
      <c r="AD2482" s="14"/>
      <c r="AE2482" s="14"/>
      <c r="AF2482" s="20"/>
      <c r="AH2482" s="14"/>
      <c r="AI2482" s="14"/>
      <c r="AJ2482" s="14"/>
      <c r="AK2482" s="20"/>
      <c r="AM2482" s="14"/>
      <c r="AN2482" s="14"/>
      <c r="AO2482" s="14"/>
      <c r="AU2482" s="71" t="s">
        <v>53</v>
      </c>
    </row>
    <row r="2483" spans="1:47" s="12" customFormat="1" ht="23.25" hidden="1" customHeight="1" x14ac:dyDescent="0.3">
      <c r="A2483" s="42" t="s">
        <v>39</v>
      </c>
      <c r="B2483" s="42" t="s">
        <v>6255</v>
      </c>
      <c r="C2483" s="42">
        <v>70</v>
      </c>
      <c r="D2483" s="42">
        <v>713</v>
      </c>
      <c r="E2483" s="42"/>
      <c r="F2483" s="43" t="s">
        <v>6406</v>
      </c>
      <c r="G2483" s="43" t="str">
        <f t="shared" si="59"/>
        <v>7071392450453</v>
      </c>
      <c r="H2483" s="4" t="s">
        <v>6407</v>
      </c>
      <c r="I2483" s="45">
        <v>92450453</v>
      </c>
      <c r="J2483" s="4" t="s">
        <v>6408</v>
      </c>
      <c r="K2483" s="44" t="s">
        <v>230</v>
      </c>
      <c r="L2483" s="44">
        <v>3117097857</v>
      </c>
      <c r="M2483" s="7" t="s">
        <v>45</v>
      </c>
      <c r="N2483" s="12" t="s">
        <v>259</v>
      </c>
      <c r="O2483" s="12" t="s">
        <v>260</v>
      </c>
      <c r="P2483" s="4" t="s">
        <v>261</v>
      </c>
      <c r="Q2483" s="69">
        <v>45562</v>
      </c>
      <c r="R2483" s="11">
        <v>0.97</v>
      </c>
      <c r="S2483" s="4" t="s">
        <v>210</v>
      </c>
      <c r="T2483" s="14"/>
      <c r="U2483" s="14"/>
      <c r="V2483" s="70"/>
      <c r="W2483" s="14"/>
      <c r="X2483" s="42"/>
      <c r="Y2483" s="14"/>
      <c r="Z2483" s="14"/>
      <c r="AA2483" s="14"/>
      <c r="AC2483" s="14"/>
      <c r="AD2483" s="14"/>
      <c r="AE2483" s="14"/>
      <c r="AF2483" s="20"/>
      <c r="AH2483" s="14"/>
      <c r="AI2483" s="14"/>
      <c r="AJ2483" s="14"/>
      <c r="AK2483" s="20"/>
      <c r="AM2483" s="14"/>
      <c r="AN2483" s="14"/>
      <c r="AO2483" s="14"/>
      <c r="AU2483" s="71" t="s">
        <v>53</v>
      </c>
    </row>
    <row r="2484" spans="1:47" s="12" customFormat="1" ht="23.25" hidden="1" customHeight="1" x14ac:dyDescent="0.3">
      <c r="A2484" s="42" t="s">
        <v>39</v>
      </c>
      <c r="B2484" s="42" t="s">
        <v>6255</v>
      </c>
      <c r="C2484" s="42">
        <v>70</v>
      </c>
      <c r="D2484" s="42">
        <v>713</v>
      </c>
      <c r="E2484" s="74" t="s">
        <v>6409</v>
      </c>
      <c r="F2484" s="283" t="s">
        <v>9483</v>
      </c>
      <c r="G2484" s="43" t="str">
        <f t="shared" si="59"/>
        <v>70713890107487</v>
      </c>
      <c r="H2484" s="4" t="s">
        <v>1762</v>
      </c>
      <c r="I2484" s="72">
        <v>890107487</v>
      </c>
      <c r="J2484" s="44" t="s">
        <v>6410</v>
      </c>
      <c r="K2484" s="44" t="s">
        <v>230</v>
      </c>
      <c r="L2484" s="44">
        <v>3008767218</v>
      </c>
      <c r="M2484" s="8" t="s">
        <v>6411</v>
      </c>
      <c r="N2484" s="42" t="s">
        <v>1757</v>
      </c>
      <c r="O2484" s="68" t="s">
        <v>1758</v>
      </c>
      <c r="P2484" s="4" t="s">
        <v>48</v>
      </c>
      <c r="Q2484" s="13">
        <v>46203</v>
      </c>
      <c r="R2484" s="12">
        <v>94</v>
      </c>
      <c r="S2484" s="12" t="s">
        <v>210</v>
      </c>
      <c r="T2484" s="12" t="s">
        <v>1204</v>
      </c>
      <c r="U2484" s="12" t="s">
        <v>723</v>
      </c>
      <c r="V2484" s="69">
        <v>44552</v>
      </c>
      <c r="W2484" s="11">
        <v>0.94</v>
      </c>
      <c r="X2484" s="4" t="s">
        <v>210</v>
      </c>
      <c r="Y2484" s="14"/>
      <c r="Z2484" s="14" t="s">
        <v>60</v>
      </c>
      <c r="AA2484" s="14"/>
      <c r="AC2484" s="14"/>
      <c r="AD2484" s="14"/>
      <c r="AE2484" s="14"/>
      <c r="AF2484" s="20"/>
      <c r="AH2484" s="14"/>
      <c r="AI2484" s="14"/>
      <c r="AJ2484" s="14"/>
      <c r="AK2484" s="20"/>
      <c r="AM2484" s="14"/>
      <c r="AN2484" s="14"/>
      <c r="AO2484" s="14"/>
      <c r="AU2484" s="71" t="s">
        <v>53</v>
      </c>
    </row>
    <row r="2485" spans="1:47" s="12" customFormat="1" ht="23.25" hidden="1" customHeight="1" x14ac:dyDescent="0.3">
      <c r="A2485" s="42" t="s">
        <v>505</v>
      </c>
      <c r="B2485" s="42" t="s">
        <v>6255</v>
      </c>
      <c r="C2485" s="42">
        <v>70</v>
      </c>
      <c r="D2485" s="42">
        <v>713</v>
      </c>
      <c r="E2485" s="74" t="s">
        <v>6409</v>
      </c>
      <c r="F2485" s="43" t="s">
        <v>9484</v>
      </c>
      <c r="G2485" s="43" t="str">
        <f t="shared" si="59"/>
        <v>70713890107487</v>
      </c>
      <c r="H2485" s="4" t="s">
        <v>1762</v>
      </c>
      <c r="I2485" s="72">
        <v>890107487</v>
      </c>
      <c r="J2485" s="44" t="s">
        <v>6410</v>
      </c>
      <c r="K2485" s="44" t="s">
        <v>230</v>
      </c>
      <c r="L2485" s="44" t="s">
        <v>45</v>
      </c>
      <c r="M2485" s="7" t="s">
        <v>45</v>
      </c>
      <c r="N2485" s="12" t="s">
        <v>7648</v>
      </c>
      <c r="O2485" s="12" t="s">
        <v>7653</v>
      </c>
      <c r="P2485" s="4" t="s">
        <v>48</v>
      </c>
      <c r="Q2485" s="69">
        <v>45226</v>
      </c>
      <c r="R2485" s="11">
        <v>0.98499999999999999</v>
      </c>
      <c r="S2485" s="4" t="s">
        <v>210</v>
      </c>
      <c r="T2485" s="14"/>
      <c r="U2485" s="14"/>
      <c r="V2485" s="70"/>
      <c r="W2485" s="14"/>
      <c r="X2485" s="42"/>
      <c r="Y2485" s="14"/>
      <c r="Z2485" s="14"/>
      <c r="AA2485" s="14"/>
      <c r="AC2485" s="14"/>
      <c r="AD2485" s="14"/>
      <c r="AE2485" s="14"/>
      <c r="AF2485" s="20"/>
      <c r="AH2485" s="14"/>
      <c r="AI2485" s="14"/>
      <c r="AJ2485" s="14"/>
      <c r="AK2485" s="20"/>
      <c r="AM2485" s="14"/>
      <c r="AN2485" s="14"/>
      <c r="AO2485" s="14"/>
      <c r="AU2485" s="71" t="s">
        <v>53</v>
      </c>
    </row>
    <row r="2486" spans="1:47" s="12" customFormat="1" ht="23.25" hidden="1" customHeight="1" x14ac:dyDescent="0.3">
      <c r="A2486" s="42" t="s">
        <v>39</v>
      </c>
      <c r="B2486" s="42" t="s">
        <v>6255</v>
      </c>
      <c r="C2486" s="42">
        <v>70</v>
      </c>
      <c r="D2486" s="42">
        <v>713</v>
      </c>
      <c r="E2486" s="42"/>
      <c r="F2486" s="43" t="s">
        <v>6412</v>
      </c>
      <c r="G2486" s="43" t="str">
        <f t="shared" si="59"/>
        <v>7071392448072</v>
      </c>
      <c r="H2486" s="4" t="s">
        <v>6413</v>
      </c>
      <c r="I2486" s="45">
        <v>92448072</v>
      </c>
      <c r="J2486" s="4" t="s">
        <v>6414</v>
      </c>
      <c r="K2486" s="44" t="s">
        <v>230</v>
      </c>
      <c r="L2486" s="44" t="s">
        <v>45</v>
      </c>
      <c r="M2486" s="7" t="s">
        <v>45</v>
      </c>
      <c r="N2486" s="12" t="s">
        <v>259</v>
      </c>
      <c r="O2486" s="12" t="s">
        <v>260</v>
      </c>
      <c r="P2486" s="4" t="s">
        <v>261</v>
      </c>
      <c r="Q2486" s="69">
        <v>44144</v>
      </c>
      <c r="R2486" s="11">
        <v>0.8075</v>
      </c>
      <c r="S2486" s="4" t="s">
        <v>49</v>
      </c>
      <c r="T2486" s="14"/>
      <c r="U2486" s="14"/>
      <c r="V2486" s="70"/>
      <c r="W2486" s="14"/>
      <c r="X2486" s="42"/>
      <c r="Y2486" s="14"/>
      <c r="Z2486" s="14"/>
      <c r="AA2486" s="14"/>
      <c r="AC2486" s="14"/>
      <c r="AD2486" s="14"/>
      <c r="AE2486" s="14"/>
      <c r="AF2486" s="20"/>
      <c r="AH2486" s="14"/>
      <c r="AI2486" s="14"/>
      <c r="AJ2486" s="14"/>
      <c r="AK2486" s="20"/>
      <c r="AM2486" s="14"/>
      <c r="AN2486" s="14"/>
      <c r="AO2486" s="14"/>
      <c r="AU2486" s="71" t="s">
        <v>53</v>
      </c>
    </row>
    <row r="2487" spans="1:47" s="12" customFormat="1" ht="23.25" hidden="1" customHeight="1" x14ac:dyDescent="0.3">
      <c r="A2487" s="42" t="s">
        <v>505</v>
      </c>
      <c r="B2487" s="42" t="s">
        <v>6255</v>
      </c>
      <c r="C2487" s="42">
        <v>70</v>
      </c>
      <c r="D2487" s="42">
        <v>713</v>
      </c>
      <c r="E2487" s="42"/>
      <c r="F2487" s="43" t="s">
        <v>6415</v>
      </c>
      <c r="G2487" s="43" t="str">
        <f t="shared" si="59"/>
        <v>707131074002270</v>
      </c>
      <c r="H2487" s="4" t="s">
        <v>6416</v>
      </c>
      <c r="I2487" s="45">
        <v>1074002270</v>
      </c>
      <c r="J2487" s="4" t="s">
        <v>6417</v>
      </c>
      <c r="K2487" s="44" t="s">
        <v>230</v>
      </c>
      <c r="L2487" s="44" t="s">
        <v>45</v>
      </c>
      <c r="M2487" s="7" t="s">
        <v>45</v>
      </c>
      <c r="N2487" s="12" t="s">
        <v>259</v>
      </c>
      <c r="O2487" s="12" t="s">
        <v>260</v>
      </c>
      <c r="P2487" s="4" t="s">
        <v>261</v>
      </c>
      <c r="Q2487" s="69">
        <v>44047</v>
      </c>
      <c r="R2487" s="11">
        <v>0.77749999999999997</v>
      </c>
      <c r="S2487" s="4" t="s">
        <v>49</v>
      </c>
      <c r="T2487" s="14"/>
      <c r="U2487" s="14"/>
      <c r="V2487" s="70"/>
      <c r="W2487" s="14"/>
      <c r="X2487" s="42"/>
      <c r="Y2487" s="14"/>
      <c r="Z2487" s="14"/>
      <c r="AA2487" s="14"/>
      <c r="AC2487" s="14"/>
      <c r="AD2487" s="14"/>
      <c r="AE2487" s="14"/>
      <c r="AF2487" s="20"/>
      <c r="AH2487" s="14"/>
      <c r="AI2487" s="14"/>
      <c r="AJ2487" s="14"/>
      <c r="AK2487" s="20"/>
      <c r="AM2487" s="14"/>
      <c r="AN2487" s="14"/>
      <c r="AO2487" s="14"/>
      <c r="AU2487" s="71" t="s">
        <v>53</v>
      </c>
    </row>
    <row r="2488" spans="1:47" s="12" customFormat="1" ht="23.25" hidden="1" customHeight="1" x14ac:dyDescent="0.3">
      <c r="A2488" s="42" t="s">
        <v>39</v>
      </c>
      <c r="B2488" s="42" t="s">
        <v>6255</v>
      </c>
      <c r="C2488" s="42">
        <v>70</v>
      </c>
      <c r="D2488" s="42">
        <v>713</v>
      </c>
      <c r="E2488" s="42"/>
      <c r="F2488" s="43" t="s">
        <v>5285</v>
      </c>
      <c r="G2488" s="43" t="str">
        <f t="shared" si="59"/>
        <v>7071315295454</v>
      </c>
      <c r="H2488" s="4" t="s">
        <v>6418</v>
      </c>
      <c r="I2488" s="45">
        <v>15295454</v>
      </c>
      <c r="J2488" s="4" t="s">
        <v>6419</v>
      </c>
      <c r="K2488" s="44" t="s">
        <v>230</v>
      </c>
      <c r="L2488" s="44">
        <v>3008668916</v>
      </c>
      <c r="M2488" s="7" t="s">
        <v>45</v>
      </c>
      <c r="N2488" s="12" t="s">
        <v>259</v>
      </c>
      <c r="O2488" s="12" t="s">
        <v>260</v>
      </c>
      <c r="P2488" s="4" t="s">
        <v>261</v>
      </c>
      <c r="Q2488" s="69">
        <v>45589</v>
      </c>
      <c r="R2488" s="11">
        <v>0.88</v>
      </c>
      <c r="S2488" s="4" t="s">
        <v>49</v>
      </c>
      <c r="T2488" s="14"/>
      <c r="U2488" s="14"/>
      <c r="V2488" s="70"/>
      <c r="W2488" s="14"/>
      <c r="X2488" s="42"/>
      <c r="Y2488" s="14"/>
      <c r="Z2488" s="14"/>
      <c r="AA2488" s="14"/>
      <c r="AC2488" s="14"/>
      <c r="AD2488" s="14"/>
      <c r="AE2488" s="14"/>
      <c r="AF2488" s="20"/>
      <c r="AH2488" s="14"/>
      <c r="AI2488" s="14"/>
      <c r="AJ2488" s="14"/>
      <c r="AK2488" s="20"/>
      <c r="AM2488" s="14"/>
      <c r="AN2488" s="14"/>
      <c r="AO2488" s="14"/>
      <c r="AU2488" s="71" t="s">
        <v>53</v>
      </c>
    </row>
    <row r="2489" spans="1:47" s="12" customFormat="1" ht="23.25" hidden="1" customHeight="1" x14ac:dyDescent="0.3">
      <c r="A2489" s="42" t="s">
        <v>39</v>
      </c>
      <c r="B2489" s="42" t="s">
        <v>6255</v>
      </c>
      <c r="C2489" s="42">
        <v>70</v>
      </c>
      <c r="D2489" s="42">
        <v>713</v>
      </c>
      <c r="E2489" s="42"/>
      <c r="F2489" s="43" t="s">
        <v>6420</v>
      </c>
      <c r="G2489" s="43" t="str">
        <f t="shared" si="59"/>
        <v>7071364516472</v>
      </c>
      <c r="H2489" s="4" t="s">
        <v>6421</v>
      </c>
      <c r="I2489" s="45">
        <v>64516472</v>
      </c>
      <c r="J2489" s="4" t="s">
        <v>6422</v>
      </c>
      <c r="K2489" s="44" t="s">
        <v>230</v>
      </c>
      <c r="L2489" s="44" t="s">
        <v>45</v>
      </c>
      <c r="M2489" s="7" t="s">
        <v>45</v>
      </c>
      <c r="N2489" s="12" t="s">
        <v>259</v>
      </c>
      <c r="O2489" s="12" t="s">
        <v>260</v>
      </c>
      <c r="P2489" s="4" t="s">
        <v>261</v>
      </c>
      <c r="Q2489" s="69">
        <v>44721</v>
      </c>
      <c r="R2489" s="11">
        <v>0.72499999999999998</v>
      </c>
      <c r="S2489" s="4" t="s">
        <v>49</v>
      </c>
      <c r="T2489" s="14"/>
      <c r="U2489" s="14"/>
      <c r="V2489" s="70"/>
      <c r="W2489" s="14"/>
      <c r="X2489" s="42"/>
      <c r="Y2489" s="14"/>
      <c r="Z2489" s="14"/>
      <c r="AA2489" s="14"/>
      <c r="AC2489" s="14"/>
      <c r="AD2489" s="14"/>
      <c r="AE2489" s="14"/>
      <c r="AF2489" s="20"/>
      <c r="AH2489" s="14"/>
      <c r="AI2489" s="14"/>
      <c r="AJ2489" s="14"/>
      <c r="AK2489" s="20"/>
      <c r="AM2489" s="14"/>
      <c r="AN2489" s="14"/>
      <c r="AO2489" s="14"/>
      <c r="AU2489" s="71" t="s">
        <v>53</v>
      </c>
    </row>
    <row r="2490" spans="1:47" s="12" customFormat="1" ht="23.25" hidden="1" customHeight="1" x14ac:dyDescent="0.3">
      <c r="A2490" s="42" t="s">
        <v>39</v>
      </c>
      <c r="B2490" s="42" t="s">
        <v>6255</v>
      </c>
      <c r="C2490" s="42">
        <v>70</v>
      </c>
      <c r="D2490" s="42">
        <v>713</v>
      </c>
      <c r="E2490" s="42" t="s">
        <v>2434</v>
      </c>
      <c r="F2490" s="43" t="s">
        <v>6423</v>
      </c>
      <c r="G2490" s="43" t="str">
        <f t="shared" si="59"/>
        <v>707139004805691</v>
      </c>
      <c r="H2490" s="4" t="s">
        <v>2038</v>
      </c>
      <c r="I2490" s="4" t="s">
        <v>1430</v>
      </c>
      <c r="J2490" s="4" t="s">
        <v>6424</v>
      </c>
      <c r="K2490" s="4" t="s">
        <v>230</v>
      </c>
      <c r="L2490" s="4">
        <v>3108584405</v>
      </c>
      <c r="M2490" s="6" t="s">
        <v>5605</v>
      </c>
      <c r="N2490" s="42" t="s">
        <v>1757</v>
      </c>
      <c r="O2490" s="68" t="s">
        <v>1758</v>
      </c>
      <c r="P2490" s="4" t="s">
        <v>48</v>
      </c>
      <c r="Q2490" s="69">
        <v>45513</v>
      </c>
      <c r="R2490" s="11">
        <v>0.95</v>
      </c>
      <c r="S2490" s="4" t="s">
        <v>210</v>
      </c>
      <c r="T2490" s="14"/>
      <c r="U2490" s="14"/>
      <c r="V2490" s="70"/>
      <c r="W2490" s="14"/>
      <c r="X2490" s="42"/>
      <c r="Y2490" s="14"/>
      <c r="Z2490" s="14"/>
      <c r="AA2490" s="14"/>
      <c r="AC2490" s="14"/>
      <c r="AD2490" s="14"/>
      <c r="AE2490" s="14"/>
      <c r="AF2490" s="20"/>
      <c r="AH2490" s="14"/>
      <c r="AI2490" s="14"/>
      <c r="AJ2490" s="14"/>
      <c r="AK2490" s="20"/>
      <c r="AM2490" s="14"/>
      <c r="AN2490" s="14"/>
      <c r="AO2490" s="14"/>
      <c r="AU2490" s="71" t="s">
        <v>53</v>
      </c>
    </row>
    <row r="2491" spans="1:47" s="12" customFormat="1" ht="23.25" hidden="1" customHeight="1" x14ac:dyDescent="0.3">
      <c r="A2491" s="42" t="s">
        <v>39</v>
      </c>
      <c r="B2491" s="42" t="s">
        <v>6255</v>
      </c>
      <c r="C2491" s="42">
        <v>70</v>
      </c>
      <c r="D2491" s="42">
        <v>713</v>
      </c>
      <c r="E2491" s="42"/>
      <c r="F2491" s="43" t="s">
        <v>6425</v>
      </c>
      <c r="G2491" s="43" t="str">
        <f t="shared" ref="G2491:G2554" si="60">C2491&amp;D2491&amp;SUBSTITUTE(I2491,"-","")</f>
        <v>7071372270831</v>
      </c>
      <c r="H2491" s="4" t="s">
        <v>6426</v>
      </c>
      <c r="I2491" s="45">
        <v>72270831</v>
      </c>
      <c r="J2491" s="4" t="s">
        <v>6427</v>
      </c>
      <c r="K2491" s="44" t="s">
        <v>230</v>
      </c>
      <c r="L2491" s="44" t="s">
        <v>45</v>
      </c>
      <c r="M2491" s="7" t="s">
        <v>45</v>
      </c>
      <c r="N2491" s="12" t="s">
        <v>259</v>
      </c>
      <c r="O2491" s="12" t="s">
        <v>260</v>
      </c>
      <c r="P2491" s="4" t="s">
        <v>261</v>
      </c>
      <c r="Q2491" s="69">
        <v>44144</v>
      </c>
      <c r="R2491" s="11">
        <v>0.875</v>
      </c>
      <c r="S2491" s="4" t="s">
        <v>49</v>
      </c>
      <c r="T2491" s="14"/>
      <c r="U2491" s="14"/>
      <c r="V2491" s="70"/>
      <c r="W2491" s="14"/>
      <c r="X2491" s="42"/>
      <c r="Y2491" s="14"/>
      <c r="Z2491" s="14"/>
      <c r="AA2491" s="14"/>
      <c r="AC2491" s="14"/>
      <c r="AD2491" s="14"/>
      <c r="AE2491" s="14"/>
      <c r="AF2491" s="20"/>
      <c r="AH2491" s="14"/>
      <c r="AI2491" s="14"/>
      <c r="AJ2491" s="14"/>
      <c r="AK2491" s="20"/>
      <c r="AM2491" s="14"/>
      <c r="AN2491" s="14"/>
      <c r="AO2491" s="14"/>
      <c r="AU2491" s="71" t="s">
        <v>53</v>
      </c>
    </row>
    <row r="2492" spans="1:47" s="12" customFormat="1" ht="23.25" hidden="1" customHeight="1" x14ac:dyDescent="0.3">
      <c r="A2492" s="42" t="s">
        <v>39</v>
      </c>
      <c r="B2492" s="42" t="s">
        <v>6255</v>
      </c>
      <c r="C2492" s="42">
        <v>70</v>
      </c>
      <c r="D2492" s="42">
        <v>713</v>
      </c>
      <c r="E2492" s="42" t="s">
        <v>2363</v>
      </c>
      <c r="F2492" s="283" t="s">
        <v>363</v>
      </c>
      <c r="G2492" s="43" t="str">
        <f t="shared" si="60"/>
        <v>707139002769621</v>
      </c>
      <c r="H2492" s="4" t="s">
        <v>9474</v>
      </c>
      <c r="I2492" s="72">
        <v>9002769621</v>
      </c>
      <c r="J2492" s="44" t="s">
        <v>6428</v>
      </c>
      <c r="K2492" s="44" t="s">
        <v>230</v>
      </c>
      <c r="L2492" s="44">
        <v>3102040263</v>
      </c>
      <c r="M2492" s="7" t="s">
        <v>9475</v>
      </c>
      <c r="N2492" s="12" t="s">
        <v>259</v>
      </c>
      <c r="O2492" s="12" t="s">
        <v>260</v>
      </c>
      <c r="P2492" s="4" t="s">
        <v>261</v>
      </c>
      <c r="Q2492" s="69">
        <v>46156</v>
      </c>
      <c r="R2492" s="9" t="s">
        <v>9476</v>
      </c>
      <c r="S2492" s="4" t="s">
        <v>9477</v>
      </c>
      <c r="T2492" s="14"/>
      <c r="U2492" s="14" t="s">
        <v>60</v>
      </c>
      <c r="V2492" s="70">
        <v>45512</v>
      </c>
      <c r="W2492" s="21">
        <v>0.95</v>
      </c>
      <c r="X2492" s="42" t="s">
        <v>210</v>
      </c>
      <c r="Y2492" s="14"/>
      <c r="Z2492" s="14" t="s">
        <v>60</v>
      </c>
      <c r="AA2492" s="14"/>
      <c r="AC2492" s="14"/>
      <c r="AD2492" s="14"/>
      <c r="AE2492" s="14"/>
      <c r="AF2492" s="20"/>
      <c r="AH2492" s="14"/>
      <c r="AI2492" s="14"/>
      <c r="AJ2492" s="14"/>
      <c r="AK2492" s="20"/>
      <c r="AM2492" s="14"/>
      <c r="AN2492" s="14"/>
      <c r="AO2492" s="14"/>
      <c r="AU2492" s="71" t="s">
        <v>53</v>
      </c>
    </row>
    <row r="2493" spans="1:47" s="12" customFormat="1" ht="23.25" hidden="1" customHeight="1" x14ac:dyDescent="0.3">
      <c r="A2493" s="42" t="s">
        <v>505</v>
      </c>
      <c r="B2493" s="42" t="s">
        <v>6255</v>
      </c>
      <c r="C2493" s="42">
        <v>70</v>
      </c>
      <c r="D2493" s="42">
        <v>713</v>
      </c>
      <c r="E2493" s="42"/>
      <c r="F2493" s="43" t="s">
        <v>6429</v>
      </c>
      <c r="G2493" s="43" t="str">
        <f t="shared" si="60"/>
        <v>707131073982881</v>
      </c>
      <c r="H2493" s="4" t="s">
        <v>6430</v>
      </c>
      <c r="I2493" s="45">
        <v>1073982881</v>
      </c>
      <c r="J2493" s="4" t="s">
        <v>6431</v>
      </c>
      <c r="K2493" s="44" t="s">
        <v>230</v>
      </c>
      <c r="L2493" s="44" t="s">
        <v>45</v>
      </c>
      <c r="M2493" s="7" t="s">
        <v>45</v>
      </c>
      <c r="N2493" s="12" t="s">
        <v>259</v>
      </c>
      <c r="O2493" s="12" t="s">
        <v>260</v>
      </c>
      <c r="P2493" s="4" t="s">
        <v>261</v>
      </c>
      <c r="Q2493" s="69">
        <v>44502</v>
      </c>
      <c r="R2493" s="11">
        <v>0.73499999999999999</v>
      </c>
      <c r="S2493" s="4" t="s">
        <v>49</v>
      </c>
      <c r="T2493" s="14"/>
      <c r="U2493" s="14"/>
      <c r="V2493" s="70"/>
      <c r="W2493" s="14"/>
      <c r="X2493" s="42"/>
      <c r="Y2493" s="14"/>
      <c r="Z2493" s="14"/>
      <c r="AA2493" s="14"/>
      <c r="AC2493" s="14"/>
      <c r="AD2493" s="14"/>
      <c r="AE2493" s="14"/>
      <c r="AF2493" s="20"/>
      <c r="AH2493" s="14"/>
      <c r="AI2493" s="14"/>
      <c r="AJ2493" s="14"/>
      <c r="AK2493" s="20"/>
      <c r="AM2493" s="14"/>
      <c r="AN2493" s="14"/>
      <c r="AO2493" s="14"/>
      <c r="AU2493" s="71" t="s">
        <v>53</v>
      </c>
    </row>
    <row r="2494" spans="1:47" s="12" customFormat="1" ht="23.25" hidden="1" customHeight="1" x14ac:dyDescent="0.3">
      <c r="A2494" s="42" t="s">
        <v>39</v>
      </c>
      <c r="B2494" s="42" t="s">
        <v>6255</v>
      </c>
      <c r="C2494" s="42">
        <v>70</v>
      </c>
      <c r="D2494" s="42">
        <v>713</v>
      </c>
      <c r="E2494" s="42"/>
      <c r="F2494" s="43" t="s">
        <v>6432</v>
      </c>
      <c r="G2494" s="43" t="str">
        <f t="shared" si="60"/>
        <v>707137074165821</v>
      </c>
      <c r="H2494" s="4" t="s">
        <v>6433</v>
      </c>
      <c r="I2494" s="45">
        <v>7074165821</v>
      </c>
      <c r="J2494" s="4" t="s">
        <v>6434</v>
      </c>
      <c r="K2494" s="44" t="s">
        <v>230</v>
      </c>
      <c r="L2494" s="44" t="s">
        <v>45</v>
      </c>
      <c r="M2494" s="7" t="s">
        <v>45</v>
      </c>
      <c r="N2494" s="12" t="s">
        <v>259</v>
      </c>
      <c r="O2494" s="12" t="s">
        <v>260</v>
      </c>
      <c r="P2494" s="4" t="s">
        <v>261</v>
      </c>
      <c r="Q2494" s="69">
        <v>44635</v>
      </c>
      <c r="R2494" s="11">
        <v>0.82499999999999996</v>
      </c>
      <c r="S2494" s="4" t="s">
        <v>49</v>
      </c>
      <c r="T2494" s="14"/>
      <c r="U2494" s="14"/>
      <c r="V2494" s="70"/>
      <c r="W2494" s="14"/>
      <c r="X2494" s="42"/>
      <c r="Y2494" s="14"/>
      <c r="Z2494" s="14"/>
      <c r="AA2494" s="14"/>
      <c r="AC2494" s="14"/>
      <c r="AD2494" s="14"/>
      <c r="AE2494" s="14"/>
      <c r="AF2494" s="20"/>
      <c r="AH2494" s="14"/>
      <c r="AI2494" s="14"/>
      <c r="AJ2494" s="14"/>
      <c r="AK2494" s="20"/>
      <c r="AM2494" s="14"/>
      <c r="AN2494" s="14"/>
      <c r="AO2494" s="14"/>
      <c r="AU2494" s="71" t="s">
        <v>53</v>
      </c>
    </row>
    <row r="2495" spans="1:47" s="12" customFormat="1" ht="23.25" hidden="1" customHeight="1" x14ac:dyDescent="0.3">
      <c r="A2495" s="42" t="s">
        <v>39</v>
      </c>
      <c r="B2495" s="42" t="s">
        <v>6255</v>
      </c>
      <c r="C2495" s="42">
        <v>70</v>
      </c>
      <c r="D2495" s="42">
        <v>713</v>
      </c>
      <c r="E2495" s="42"/>
      <c r="F2495" s="43" t="s">
        <v>6435</v>
      </c>
      <c r="G2495" s="43" t="str">
        <f t="shared" si="60"/>
        <v>7071364524276</v>
      </c>
      <c r="H2495" s="4" t="s">
        <v>6436</v>
      </c>
      <c r="I2495" s="45">
        <v>64524276</v>
      </c>
      <c r="J2495" s="4" t="s">
        <v>6437</v>
      </c>
      <c r="K2495" s="44" t="s">
        <v>230</v>
      </c>
      <c r="L2495" s="44" t="s">
        <v>45</v>
      </c>
      <c r="M2495" s="7" t="s">
        <v>45</v>
      </c>
      <c r="N2495" s="12" t="s">
        <v>259</v>
      </c>
      <c r="O2495" s="12" t="s">
        <v>260</v>
      </c>
      <c r="P2495" s="4" t="s">
        <v>261</v>
      </c>
      <c r="Q2495" s="69">
        <v>44454</v>
      </c>
      <c r="R2495" s="11">
        <v>0.84499999999999997</v>
      </c>
      <c r="S2495" s="4" t="s">
        <v>49</v>
      </c>
      <c r="T2495" s="14"/>
      <c r="U2495" s="14"/>
      <c r="V2495" s="70"/>
      <c r="W2495" s="14"/>
      <c r="X2495" s="42"/>
      <c r="Y2495" s="14"/>
      <c r="Z2495" s="14"/>
      <c r="AA2495" s="14"/>
      <c r="AC2495" s="14"/>
      <c r="AD2495" s="14"/>
      <c r="AE2495" s="14"/>
      <c r="AF2495" s="20"/>
      <c r="AH2495" s="14"/>
      <c r="AI2495" s="14"/>
      <c r="AJ2495" s="14"/>
      <c r="AK2495" s="20"/>
      <c r="AM2495" s="14"/>
      <c r="AN2495" s="14"/>
      <c r="AO2495" s="14"/>
      <c r="AU2495" s="71" t="s">
        <v>53</v>
      </c>
    </row>
    <row r="2496" spans="1:47" s="12" customFormat="1" ht="23.25" hidden="1" customHeight="1" x14ac:dyDescent="0.3">
      <c r="A2496" s="42" t="s">
        <v>39</v>
      </c>
      <c r="B2496" s="42" t="s">
        <v>6255</v>
      </c>
      <c r="C2496" s="42">
        <v>70</v>
      </c>
      <c r="D2496" s="42">
        <v>713</v>
      </c>
      <c r="E2496" s="42"/>
      <c r="F2496" s="43" t="s">
        <v>6438</v>
      </c>
      <c r="G2496" s="43" t="str">
        <f t="shared" si="60"/>
        <v>707131101442854</v>
      </c>
      <c r="H2496" s="4" t="s">
        <v>6439</v>
      </c>
      <c r="I2496" s="45">
        <v>1101442854</v>
      </c>
      <c r="J2496" s="4" t="s">
        <v>6440</v>
      </c>
      <c r="K2496" s="44" t="s">
        <v>230</v>
      </c>
      <c r="L2496" s="44" t="s">
        <v>45</v>
      </c>
      <c r="M2496" s="7" t="s">
        <v>45</v>
      </c>
      <c r="N2496" s="12" t="s">
        <v>259</v>
      </c>
      <c r="O2496" s="12" t="s">
        <v>260</v>
      </c>
      <c r="P2496" s="4" t="s">
        <v>261</v>
      </c>
      <c r="Q2496" s="69">
        <v>44508</v>
      </c>
      <c r="R2496" s="11">
        <v>0.73499999999999999</v>
      </c>
      <c r="S2496" s="4" t="s">
        <v>49</v>
      </c>
      <c r="T2496" s="14"/>
      <c r="U2496" s="14"/>
      <c r="V2496" s="70"/>
      <c r="W2496" s="14"/>
      <c r="X2496" s="42"/>
      <c r="Y2496" s="14"/>
      <c r="Z2496" s="14"/>
      <c r="AA2496" s="14"/>
      <c r="AC2496" s="14"/>
      <c r="AD2496" s="14"/>
      <c r="AE2496" s="14"/>
      <c r="AF2496" s="20"/>
      <c r="AH2496" s="14"/>
      <c r="AI2496" s="14"/>
      <c r="AJ2496" s="14"/>
      <c r="AK2496" s="20"/>
      <c r="AM2496" s="14"/>
      <c r="AN2496" s="14"/>
      <c r="AO2496" s="14"/>
      <c r="AU2496" s="71" t="s">
        <v>53</v>
      </c>
    </row>
    <row r="2497" spans="1:47" s="12" customFormat="1" ht="23.25" hidden="1" customHeight="1" x14ac:dyDescent="0.3">
      <c r="A2497" s="42" t="s">
        <v>39</v>
      </c>
      <c r="B2497" s="42" t="s">
        <v>6255</v>
      </c>
      <c r="C2497" s="42">
        <v>70</v>
      </c>
      <c r="D2497" s="42">
        <v>713</v>
      </c>
      <c r="E2497" s="42"/>
      <c r="F2497" s="43" t="s">
        <v>6441</v>
      </c>
      <c r="G2497" s="43" t="str">
        <f t="shared" si="60"/>
        <v>7071364724276</v>
      </c>
      <c r="H2497" s="4" t="s">
        <v>6442</v>
      </c>
      <c r="I2497" s="45">
        <v>64724276</v>
      </c>
      <c r="J2497" s="4" t="s">
        <v>681</v>
      </c>
      <c r="K2497" s="44" t="s">
        <v>230</v>
      </c>
      <c r="L2497" s="44">
        <v>3046813678</v>
      </c>
      <c r="M2497" s="7" t="s">
        <v>45</v>
      </c>
      <c r="N2497" s="12" t="s">
        <v>259</v>
      </c>
      <c r="O2497" s="12" t="s">
        <v>260</v>
      </c>
      <c r="P2497" s="4" t="s">
        <v>261</v>
      </c>
      <c r="Q2497" s="69">
        <v>45562</v>
      </c>
      <c r="R2497" s="11">
        <v>0.76</v>
      </c>
      <c r="S2497" s="4" t="s">
        <v>49</v>
      </c>
      <c r="T2497" s="14"/>
      <c r="U2497" s="14"/>
      <c r="V2497" s="70"/>
      <c r="W2497" s="14"/>
      <c r="X2497" s="42"/>
      <c r="Y2497" s="14"/>
      <c r="Z2497" s="14"/>
      <c r="AA2497" s="14"/>
      <c r="AC2497" s="14"/>
      <c r="AD2497" s="14"/>
      <c r="AE2497" s="14"/>
      <c r="AF2497" s="20"/>
      <c r="AH2497" s="14"/>
      <c r="AI2497" s="14"/>
      <c r="AJ2497" s="14"/>
      <c r="AK2497" s="20"/>
      <c r="AM2497" s="14"/>
      <c r="AN2497" s="14"/>
      <c r="AO2497" s="14"/>
      <c r="AU2497" s="71" t="s">
        <v>53</v>
      </c>
    </row>
    <row r="2498" spans="1:47" s="12" customFormat="1" ht="23.25" hidden="1" customHeight="1" x14ac:dyDescent="0.3">
      <c r="A2498" s="42" t="s">
        <v>39</v>
      </c>
      <c r="B2498" s="42" t="s">
        <v>6255</v>
      </c>
      <c r="C2498" s="42">
        <v>70</v>
      </c>
      <c r="D2498" s="42">
        <v>713</v>
      </c>
      <c r="E2498" s="42"/>
      <c r="F2498" s="43" t="s">
        <v>6443</v>
      </c>
      <c r="G2498" s="43" t="str">
        <f t="shared" si="60"/>
        <v>707131102446418</v>
      </c>
      <c r="H2498" s="4" t="s">
        <v>6444</v>
      </c>
      <c r="I2498" s="45">
        <v>1102446418</v>
      </c>
      <c r="J2498" s="4" t="s">
        <v>6445</v>
      </c>
      <c r="K2498" s="44" t="s">
        <v>230</v>
      </c>
      <c r="L2498" s="44" t="s">
        <v>45</v>
      </c>
      <c r="M2498" s="7" t="s">
        <v>45</v>
      </c>
      <c r="N2498" s="12" t="s">
        <v>259</v>
      </c>
      <c r="O2498" s="12" t="s">
        <v>260</v>
      </c>
      <c r="P2498" s="4" t="s">
        <v>261</v>
      </c>
      <c r="Q2498" s="69">
        <v>45589</v>
      </c>
      <c r="R2498" s="11">
        <v>0.88</v>
      </c>
      <c r="S2498" s="4" t="s">
        <v>49</v>
      </c>
      <c r="T2498" s="14"/>
      <c r="U2498" s="14"/>
      <c r="V2498" s="70"/>
      <c r="W2498" s="14"/>
      <c r="X2498" s="42"/>
      <c r="Y2498" s="14"/>
      <c r="Z2498" s="14"/>
      <c r="AA2498" s="14"/>
      <c r="AC2498" s="14"/>
      <c r="AD2498" s="14"/>
      <c r="AE2498" s="14"/>
      <c r="AF2498" s="20"/>
      <c r="AH2498" s="14"/>
      <c r="AI2498" s="14"/>
      <c r="AJ2498" s="14"/>
      <c r="AK2498" s="20"/>
      <c r="AM2498" s="14"/>
      <c r="AN2498" s="14"/>
      <c r="AO2498" s="14"/>
      <c r="AU2498" s="71" t="s">
        <v>53</v>
      </c>
    </row>
    <row r="2499" spans="1:47" s="12" customFormat="1" ht="23.25" hidden="1" customHeight="1" x14ac:dyDescent="0.3">
      <c r="A2499" s="42" t="s">
        <v>39</v>
      </c>
      <c r="B2499" s="42" t="s">
        <v>6255</v>
      </c>
      <c r="C2499" s="42">
        <v>70</v>
      </c>
      <c r="D2499" s="42">
        <v>713</v>
      </c>
      <c r="E2499" s="42"/>
      <c r="F2499" s="43" t="s">
        <v>6446</v>
      </c>
      <c r="G2499" s="43" t="str">
        <f t="shared" si="60"/>
        <v>7071364571465</v>
      </c>
      <c r="H2499" s="4" t="s">
        <v>6447</v>
      </c>
      <c r="I2499" s="45">
        <v>64571465</v>
      </c>
      <c r="J2499" s="4" t="s">
        <v>6448</v>
      </c>
      <c r="K2499" s="44" t="s">
        <v>230</v>
      </c>
      <c r="L2499" s="44" t="s">
        <v>45</v>
      </c>
      <c r="M2499" s="7" t="s">
        <v>45</v>
      </c>
      <c r="N2499" s="12" t="s">
        <v>259</v>
      </c>
      <c r="O2499" s="12" t="s">
        <v>260</v>
      </c>
      <c r="P2499" s="4" t="s">
        <v>261</v>
      </c>
      <c r="Q2499" s="69">
        <v>44630</v>
      </c>
      <c r="R2499" s="11">
        <v>0.82</v>
      </c>
      <c r="S2499" s="4" t="s">
        <v>49</v>
      </c>
      <c r="T2499" s="14"/>
      <c r="U2499" s="14"/>
      <c r="V2499" s="70"/>
      <c r="W2499" s="14"/>
      <c r="X2499" s="42"/>
      <c r="Y2499" s="14"/>
      <c r="Z2499" s="14"/>
      <c r="AA2499" s="14"/>
      <c r="AC2499" s="14"/>
      <c r="AD2499" s="14"/>
      <c r="AE2499" s="14"/>
      <c r="AF2499" s="20"/>
      <c r="AH2499" s="14"/>
      <c r="AI2499" s="14"/>
      <c r="AJ2499" s="14"/>
      <c r="AK2499" s="20"/>
      <c r="AM2499" s="14"/>
      <c r="AN2499" s="14"/>
      <c r="AO2499" s="14"/>
      <c r="AU2499" s="71" t="s">
        <v>53</v>
      </c>
    </row>
    <row r="2500" spans="1:47" s="12" customFormat="1" ht="23.25" hidden="1" customHeight="1" x14ac:dyDescent="0.3">
      <c r="A2500" s="42" t="s">
        <v>39</v>
      </c>
      <c r="B2500" s="42" t="s">
        <v>6255</v>
      </c>
      <c r="C2500" s="42">
        <v>70</v>
      </c>
      <c r="D2500" s="42">
        <v>713</v>
      </c>
      <c r="E2500" s="42"/>
      <c r="F2500" s="43" t="s">
        <v>6449</v>
      </c>
      <c r="G2500" s="43" t="str">
        <f t="shared" si="60"/>
        <v>7071385080129</v>
      </c>
      <c r="H2500" s="4" t="s">
        <v>6450</v>
      </c>
      <c r="I2500" s="45">
        <v>85080129</v>
      </c>
      <c r="J2500" s="4" t="s">
        <v>6451</v>
      </c>
      <c r="K2500" s="44" t="s">
        <v>230</v>
      </c>
      <c r="L2500" s="44">
        <v>3012210983</v>
      </c>
      <c r="M2500" s="7" t="s">
        <v>45</v>
      </c>
      <c r="N2500" s="12" t="s">
        <v>259</v>
      </c>
      <c r="O2500" s="12" t="s">
        <v>260</v>
      </c>
      <c r="P2500" s="4" t="s">
        <v>261</v>
      </c>
      <c r="Q2500" s="69">
        <v>45589</v>
      </c>
      <c r="R2500" s="11">
        <v>0.91749999999999998</v>
      </c>
      <c r="S2500" s="42" t="s">
        <v>210</v>
      </c>
      <c r="T2500" s="14"/>
      <c r="U2500" s="14"/>
      <c r="V2500" s="70"/>
      <c r="W2500" s="14"/>
      <c r="X2500" s="42"/>
      <c r="Y2500" s="14"/>
      <c r="Z2500" s="14"/>
      <c r="AA2500" s="14"/>
      <c r="AC2500" s="14"/>
      <c r="AD2500" s="14"/>
      <c r="AE2500" s="14"/>
      <c r="AF2500" s="20"/>
      <c r="AH2500" s="14"/>
      <c r="AI2500" s="14"/>
      <c r="AJ2500" s="14"/>
      <c r="AK2500" s="20"/>
      <c r="AM2500" s="14"/>
      <c r="AN2500" s="14"/>
      <c r="AO2500" s="14"/>
      <c r="AU2500" s="71" t="s">
        <v>53</v>
      </c>
    </row>
    <row r="2501" spans="1:47" s="12" customFormat="1" ht="23.25" hidden="1" customHeight="1" x14ac:dyDescent="0.3">
      <c r="A2501" s="42" t="s">
        <v>39</v>
      </c>
      <c r="B2501" s="42" t="s">
        <v>6255</v>
      </c>
      <c r="C2501" s="42">
        <v>70</v>
      </c>
      <c r="D2501" s="42">
        <v>713</v>
      </c>
      <c r="E2501" s="42"/>
      <c r="F2501" s="43" t="s">
        <v>1288</v>
      </c>
      <c r="G2501" s="43" t="str">
        <f t="shared" si="60"/>
        <v>7071372270831</v>
      </c>
      <c r="H2501" s="4" t="s">
        <v>6426</v>
      </c>
      <c r="I2501" s="45">
        <v>72270831</v>
      </c>
      <c r="J2501" s="4" t="s">
        <v>6452</v>
      </c>
      <c r="K2501" s="44" t="s">
        <v>230</v>
      </c>
      <c r="L2501" s="44" t="s">
        <v>45</v>
      </c>
      <c r="M2501" s="7" t="s">
        <v>45</v>
      </c>
      <c r="N2501" s="12" t="s">
        <v>259</v>
      </c>
      <c r="O2501" s="12" t="s">
        <v>260</v>
      </c>
      <c r="P2501" s="4" t="s">
        <v>261</v>
      </c>
      <c r="Q2501" s="69">
        <v>44671</v>
      </c>
      <c r="R2501" s="11">
        <v>0.77</v>
      </c>
      <c r="S2501" s="4" t="s">
        <v>49</v>
      </c>
      <c r="T2501" s="14"/>
      <c r="U2501" s="14"/>
      <c r="V2501" s="70"/>
      <c r="W2501" s="14"/>
      <c r="X2501" s="42"/>
      <c r="Y2501" s="14"/>
      <c r="Z2501" s="14"/>
      <c r="AA2501" s="14"/>
      <c r="AC2501" s="14"/>
      <c r="AD2501" s="14"/>
      <c r="AE2501" s="14"/>
      <c r="AF2501" s="20"/>
      <c r="AH2501" s="14"/>
      <c r="AI2501" s="14"/>
      <c r="AJ2501" s="14"/>
      <c r="AK2501" s="20"/>
      <c r="AM2501" s="14"/>
      <c r="AN2501" s="14"/>
      <c r="AO2501" s="14"/>
      <c r="AU2501" s="71" t="s">
        <v>53</v>
      </c>
    </row>
    <row r="2502" spans="1:47" s="12" customFormat="1" ht="23.25" hidden="1" customHeight="1" x14ac:dyDescent="0.3">
      <c r="A2502" s="42" t="s">
        <v>39</v>
      </c>
      <c r="B2502" s="42" t="s">
        <v>6453</v>
      </c>
      <c r="C2502" s="42">
        <v>70</v>
      </c>
      <c r="D2502" s="42">
        <v>713</v>
      </c>
      <c r="E2502" s="42"/>
      <c r="F2502" s="43" t="s">
        <v>6454</v>
      </c>
      <c r="G2502" s="43" t="str">
        <f t="shared" si="60"/>
        <v>7071392447295</v>
      </c>
      <c r="H2502" s="4" t="s">
        <v>6455</v>
      </c>
      <c r="I2502" s="45">
        <v>92447295</v>
      </c>
      <c r="J2502" s="4" t="s">
        <v>6456</v>
      </c>
      <c r="K2502" s="44" t="s">
        <v>230</v>
      </c>
      <c r="L2502" s="44" t="s">
        <v>45</v>
      </c>
      <c r="M2502" s="7" t="s">
        <v>45</v>
      </c>
      <c r="N2502" s="12" t="s">
        <v>259</v>
      </c>
      <c r="O2502" s="12" t="s">
        <v>260</v>
      </c>
      <c r="P2502" s="4" t="s">
        <v>261</v>
      </c>
      <c r="Q2502" s="69">
        <v>44138</v>
      </c>
      <c r="R2502" s="11">
        <v>0.81499999999999995</v>
      </c>
      <c r="S2502" s="4" t="s">
        <v>49</v>
      </c>
      <c r="T2502" s="14"/>
      <c r="U2502" s="14"/>
      <c r="V2502" s="70"/>
      <c r="W2502" s="14"/>
      <c r="X2502" s="42"/>
      <c r="Y2502" s="14"/>
      <c r="Z2502" s="14"/>
      <c r="AA2502" s="14"/>
      <c r="AC2502" s="14"/>
      <c r="AD2502" s="14"/>
      <c r="AE2502" s="14"/>
      <c r="AF2502" s="20"/>
      <c r="AH2502" s="14"/>
      <c r="AI2502" s="14"/>
      <c r="AJ2502" s="14"/>
      <c r="AK2502" s="20"/>
      <c r="AM2502" s="14"/>
      <c r="AN2502" s="14"/>
      <c r="AO2502" s="14"/>
      <c r="AU2502" s="71" t="s">
        <v>53</v>
      </c>
    </row>
    <row r="2503" spans="1:47" s="12" customFormat="1" ht="23.25" hidden="1" customHeight="1" x14ac:dyDescent="0.3">
      <c r="A2503" s="42" t="s">
        <v>505</v>
      </c>
      <c r="B2503" s="42" t="s">
        <v>6453</v>
      </c>
      <c r="C2503" s="42">
        <v>70</v>
      </c>
      <c r="D2503" s="42">
        <v>713</v>
      </c>
      <c r="E2503" s="42"/>
      <c r="F2503" s="43" t="s">
        <v>5676</v>
      </c>
      <c r="G2503" s="43" t="str">
        <f t="shared" si="60"/>
        <v>7071392447752</v>
      </c>
      <c r="H2503" s="4" t="s">
        <v>6457</v>
      </c>
      <c r="I2503" s="45">
        <v>92447752</v>
      </c>
      <c r="J2503" s="4" t="s">
        <v>6458</v>
      </c>
      <c r="K2503" s="44" t="s">
        <v>230</v>
      </c>
      <c r="L2503" s="44">
        <v>3165524265</v>
      </c>
      <c r="M2503" s="7" t="s">
        <v>45</v>
      </c>
      <c r="N2503" s="12" t="s">
        <v>259</v>
      </c>
      <c r="O2503" s="12" t="s">
        <v>260</v>
      </c>
      <c r="P2503" s="4" t="s">
        <v>261</v>
      </c>
      <c r="Q2503" s="69">
        <v>45589</v>
      </c>
      <c r="R2503" s="11">
        <v>0.88</v>
      </c>
      <c r="S2503" s="4" t="s">
        <v>49</v>
      </c>
      <c r="T2503" s="14"/>
      <c r="U2503" s="14"/>
      <c r="V2503" s="70"/>
      <c r="W2503" s="14"/>
      <c r="X2503" s="42"/>
      <c r="Y2503" s="14"/>
      <c r="Z2503" s="14"/>
      <c r="AA2503" s="14"/>
      <c r="AC2503" s="14"/>
      <c r="AD2503" s="14"/>
      <c r="AE2503" s="14"/>
      <c r="AF2503" s="20"/>
      <c r="AH2503" s="14"/>
      <c r="AI2503" s="14"/>
      <c r="AJ2503" s="14"/>
      <c r="AK2503" s="20"/>
      <c r="AM2503" s="14"/>
      <c r="AN2503" s="14"/>
      <c r="AO2503" s="14"/>
      <c r="AU2503" s="71" t="s">
        <v>53</v>
      </c>
    </row>
    <row r="2504" spans="1:47" s="12" customFormat="1" ht="23.25" hidden="1" customHeight="1" x14ac:dyDescent="0.3">
      <c r="A2504" s="42" t="s">
        <v>39</v>
      </c>
      <c r="B2504" s="42" t="s">
        <v>6453</v>
      </c>
      <c r="C2504" s="42">
        <v>70</v>
      </c>
      <c r="D2504" s="42">
        <v>713</v>
      </c>
      <c r="E2504" s="42"/>
      <c r="F2504" s="43" t="s">
        <v>6459</v>
      </c>
      <c r="G2504" s="43" t="str">
        <f t="shared" si="60"/>
        <v>7071370719158667</v>
      </c>
      <c r="H2504" s="4" t="s">
        <v>6460</v>
      </c>
      <c r="I2504" s="45">
        <v>70719158667</v>
      </c>
      <c r="J2504" s="4" t="s">
        <v>6461</v>
      </c>
      <c r="K2504" s="44" t="s">
        <v>230</v>
      </c>
      <c r="L2504" s="44" t="s">
        <v>45</v>
      </c>
      <c r="M2504" s="7" t="s">
        <v>45</v>
      </c>
      <c r="N2504" s="12" t="s">
        <v>259</v>
      </c>
      <c r="O2504" s="12" t="s">
        <v>260</v>
      </c>
      <c r="P2504" s="4" t="s">
        <v>261</v>
      </c>
      <c r="Q2504" s="69">
        <v>44515</v>
      </c>
      <c r="R2504" s="11">
        <v>0.86</v>
      </c>
      <c r="S2504" s="4" t="s">
        <v>49</v>
      </c>
      <c r="T2504" s="14"/>
      <c r="U2504" s="14"/>
      <c r="V2504" s="70"/>
      <c r="W2504" s="14"/>
      <c r="X2504" s="42"/>
      <c r="Y2504" s="14"/>
      <c r="Z2504" s="14"/>
      <c r="AA2504" s="14"/>
      <c r="AC2504" s="14"/>
      <c r="AD2504" s="14"/>
      <c r="AE2504" s="14"/>
      <c r="AF2504" s="20"/>
      <c r="AH2504" s="14"/>
      <c r="AI2504" s="14"/>
      <c r="AJ2504" s="14"/>
      <c r="AK2504" s="20"/>
      <c r="AM2504" s="14"/>
      <c r="AN2504" s="14"/>
      <c r="AO2504" s="14"/>
      <c r="AU2504" s="71" t="s">
        <v>53</v>
      </c>
    </row>
    <row r="2505" spans="1:47" s="12" customFormat="1" ht="23.25" hidden="1" customHeight="1" x14ac:dyDescent="0.3">
      <c r="A2505" s="42" t="s">
        <v>39</v>
      </c>
      <c r="B2505" s="42" t="s">
        <v>6453</v>
      </c>
      <c r="C2505" s="42">
        <v>70</v>
      </c>
      <c r="D2505" s="42">
        <v>713</v>
      </c>
      <c r="E2505" s="42"/>
      <c r="F2505" s="43" t="s">
        <v>3404</v>
      </c>
      <c r="G2505" s="43" t="str">
        <f t="shared" si="60"/>
        <v>707131045018782</v>
      </c>
      <c r="H2505" s="4" t="s">
        <v>6462</v>
      </c>
      <c r="I2505" s="45">
        <v>1045018782</v>
      </c>
      <c r="J2505" s="4" t="s">
        <v>6463</v>
      </c>
      <c r="K2505" s="44" t="s">
        <v>230</v>
      </c>
      <c r="L2505" s="44" t="s">
        <v>45</v>
      </c>
      <c r="M2505" s="7" t="s">
        <v>45</v>
      </c>
      <c r="N2505" s="12" t="s">
        <v>259</v>
      </c>
      <c r="O2505" s="12" t="s">
        <v>260</v>
      </c>
      <c r="P2505" s="4" t="s">
        <v>261</v>
      </c>
      <c r="Q2505" s="69">
        <v>44522</v>
      </c>
      <c r="R2505" s="11">
        <v>0.73499999999999999</v>
      </c>
      <c r="S2505" s="4" t="s">
        <v>49</v>
      </c>
      <c r="T2505" s="14"/>
      <c r="U2505" s="14"/>
      <c r="V2505" s="70"/>
      <c r="W2505" s="14"/>
      <c r="X2505" s="42"/>
      <c r="Y2505" s="14"/>
      <c r="Z2505" s="14"/>
      <c r="AA2505" s="14"/>
      <c r="AC2505" s="14"/>
      <c r="AD2505" s="14"/>
      <c r="AE2505" s="14"/>
      <c r="AF2505" s="20"/>
      <c r="AH2505" s="14"/>
      <c r="AI2505" s="14"/>
      <c r="AJ2505" s="14"/>
      <c r="AK2505" s="20"/>
      <c r="AM2505" s="14"/>
      <c r="AN2505" s="14"/>
      <c r="AO2505" s="14"/>
      <c r="AU2505" s="71" t="s">
        <v>53</v>
      </c>
    </row>
    <row r="2506" spans="1:47" s="12" customFormat="1" ht="23.25" hidden="1" customHeight="1" x14ac:dyDescent="0.3">
      <c r="A2506" s="42" t="s">
        <v>505</v>
      </c>
      <c r="B2506" s="42" t="s">
        <v>6453</v>
      </c>
      <c r="C2506" s="42">
        <v>70</v>
      </c>
      <c r="D2506" s="42">
        <v>713</v>
      </c>
      <c r="E2506" s="42"/>
      <c r="F2506" s="43" t="s">
        <v>6464</v>
      </c>
      <c r="G2506" s="43" t="str">
        <f t="shared" si="60"/>
        <v>7071378381079</v>
      </c>
      <c r="H2506" s="4" t="s">
        <v>6465</v>
      </c>
      <c r="I2506" s="45">
        <v>78381079</v>
      </c>
      <c r="J2506" s="4" t="s">
        <v>6466</v>
      </c>
      <c r="K2506" s="44" t="s">
        <v>230</v>
      </c>
      <c r="L2506" s="44">
        <v>3046305790</v>
      </c>
      <c r="M2506" s="7" t="s">
        <v>45</v>
      </c>
      <c r="N2506" s="12" t="s">
        <v>259</v>
      </c>
      <c r="O2506" s="12" t="s">
        <v>260</v>
      </c>
      <c r="P2506" s="4" t="s">
        <v>261</v>
      </c>
      <c r="Q2506" s="69">
        <v>45589</v>
      </c>
      <c r="R2506" s="11">
        <v>0.88</v>
      </c>
      <c r="S2506" s="4" t="s">
        <v>49</v>
      </c>
      <c r="T2506" s="14"/>
      <c r="U2506" s="14"/>
      <c r="V2506" s="70"/>
      <c r="W2506" s="14"/>
      <c r="X2506" s="42"/>
      <c r="Y2506" s="14"/>
      <c r="Z2506" s="14"/>
      <c r="AA2506" s="14"/>
      <c r="AC2506" s="14"/>
      <c r="AD2506" s="14"/>
      <c r="AE2506" s="14"/>
      <c r="AF2506" s="20"/>
      <c r="AH2506" s="14"/>
      <c r="AI2506" s="14"/>
      <c r="AJ2506" s="14"/>
      <c r="AK2506" s="20"/>
      <c r="AM2506" s="14"/>
      <c r="AN2506" s="14"/>
      <c r="AO2506" s="14"/>
      <c r="AU2506" s="71" t="s">
        <v>53</v>
      </c>
    </row>
    <row r="2507" spans="1:47" s="12" customFormat="1" ht="23.25" hidden="1" customHeight="1" x14ac:dyDescent="0.3">
      <c r="A2507" s="42" t="s">
        <v>505</v>
      </c>
      <c r="B2507" s="42" t="s">
        <v>6453</v>
      </c>
      <c r="C2507" s="42">
        <v>70</v>
      </c>
      <c r="D2507" s="42">
        <v>713</v>
      </c>
      <c r="E2507" s="42"/>
      <c r="F2507" s="43" t="s">
        <v>6467</v>
      </c>
      <c r="G2507" s="43" t="str">
        <f t="shared" si="60"/>
        <v>707131101454580</v>
      </c>
      <c r="H2507" s="4" t="s">
        <v>6468</v>
      </c>
      <c r="I2507" s="45">
        <v>1101454580</v>
      </c>
      <c r="J2507" s="4" t="s">
        <v>6469</v>
      </c>
      <c r="K2507" s="44" t="s">
        <v>230</v>
      </c>
      <c r="L2507" s="44" t="s">
        <v>45</v>
      </c>
      <c r="M2507" s="7" t="s">
        <v>45</v>
      </c>
      <c r="N2507" s="12" t="s">
        <v>259</v>
      </c>
      <c r="O2507" s="12" t="s">
        <v>260</v>
      </c>
      <c r="P2507" s="4" t="s">
        <v>261</v>
      </c>
      <c r="Q2507" s="69">
        <v>44103</v>
      </c>
      <c r="R2507" s="11">
        <v>0.81499999999999995</v>
      </c>
      <c r="S2507" s="4" t="s">
        <v>49</v>
      </c>
      <c r="T2507" s="14"/>
      <c r="U2507" s="14"/>
      <c r="V2507" s="70"/>
      <c r="W2507" s="14"/>
      <c r="X2507" s="42"/>
      <c r="Y2507" s="14"/>
      <c r="Z2507" s="14"/>
      <c r="AA2507" s="14"/>
      <c r="AC2507" s="14"/>
      <c r="AD2507" s="14"/>
      <c r="AE2507" s="14"/>
      <c r="AF2507" s="20"/>
      <c r="AH2507" s="14"/>
      <c r="AI2507" s="14"/>
      <c r="AJ2507" s="14"/>
      <c r="AK2507" s="20"/>
      <c r="AM2507" s="14"/>
      <c r="AN2507" s="14"/>
      <c r="AO2507" s="14"/>
      <c r="AU2507" s="71" t="s">
        <v>53</v>
      </c>
    </row>
    <row r="2508" spans="1:47" s="12" customFormat="1" ht="23.25" hidden="1" customHeight="1" x14ac:dyDescent="0.3">
      <c r="A2508" s="42" t="s">
        <v>39</v>
      </c>
      <c r="B2508" s="42" t="s">
        <v>6453</v>
      </c>
      <c r="C2508" s="42">
        <v>70</v>
      </c>
      <c r="D2508" s="42">
        <v>713</v>
      </c>
      <c r="E2508" s="42"/>
      <c r="F2508" s="43" t="s">
        <v>6470</v>
      </c>
      <c r="G2508" s="43" t="str">
        <f t="shared" si="60"/>
        <v>7071333170035</v>
      </c>
      <c r="H2508" s="4" t="s">
        <v>6471</v>
      </c>
      <c r="I2508" s="45">
        <v>33170035</v>
      </c>
      <c r="J2508" s="4" t="s">
        <v>6472</v>
      </c>
      <c r="K2508" s="44" t="s">
        <v>230</v>
      </c>
      <c r="L2508" s="44" t="s">
        <v>45</v>
      </c>
      <c r="M2508" s="7" t="s">
        <v>45</v>
      </c>
      <c r="N2508" s="12" t="s">
        <v>259</v>
      </c>
      <c r="O2508" s="12" t="s">
        <v>260</v>
      </c>
      <c r="P2508" s="4" t="s">
        <v>261</v>
      </c>
      <c r="Q2508" s="69">
        <v>44454</v>
      </c>
      <c r="R2508" s="11">
        <v>0.83499999999999996</v>
      </c>
      <c r="S2508" s="4" t="s">
        <v>49</v>
      </c>
      <c r="T2508" s="14"/>
      <c r="U2508" s="14"/>
      <c r="V2508" s="70"/>
      <c r="W2508" s="14"/>
      <c r="X2508" s="42"/>
      <c r="Y2508" s="14"/>
      <c r="Z2508" s="14"/>
      <c r="AA2508" s="14"/>
      <c r="AC2508" s="14"/>
      <c r="AD2508" s="14"/>
      <c r="AE2508" s="14"/>
      <c r="AF2508" s="20"/>
      <c r="AH2508" s="14"/>
      <c r="AI2508" s="14"/>
      <c r="AJ2508" s="14"/>
      <c r="AK2508" s="20"/>
      <c r="AM2508" s="14"/>
      <c r="AN2508" s="14"/>
      <c r="AO2508" s="14"/>
      <c r="AU2508" s="71" t="s">
        <v>53</v>
      </c>
    </row>
    <row r="2509" spans="1:47" s="12" customFormat="1" ht="23.25" hidden="1" customHeight="1" x14ac:dyDescent="0.3">
      <c r="A2509" s="42" t="s">
        <v>39</v>
      </c>
      <c r="B2509" s="42" t="s">
        <v>6453</v>
      </c>
      <c r="C2509" s="42">
        <v>70</v>
      </c>
      <c r="D2509" s="42">
        <v>713</v>
      </c>
      <c r="E2509" s="42"/>
      <c r="F2509" s="43" t="s">
        <v>6473</v>
      </c>
      <c r="G2509" s="43" t="str">
        <f t="shared" si="60"/>
        <v>707132446872</v>
      </c>
      <c r="H2509" s="4" t="s">
        <v>6474</v>
      </c>
      <c r="I2509" s="45">
        <v>2446872</v>
      </c>
      <c r="J2509" s="4" t="s">
        <v>6382</v>
      </c>
      <c r="K2509" s="44" t="s">
        <v>230</v>
      </c>
      <c r="L2509" s="44" t="s">
        <v>45</v>
      </c>
      <c r="M2509" s="7" t="s">
        <v>45</v>
      </c>
      <c r="N2509" s="12" t="s">
        <v>259</v>
      </c>
      <c r="O2509" s="12" t="s">
        <v>260</v>
      </c>
      <c r="P2509" s="4" t="s">
        <v>261</v>
      </c>
      <c r="Q2509" s="69">
        <v>44700</v>
      </c>
      <c r="R2509" s="11">
        <v>0.77</v>
      </c>
      <c r="S2509" s="4" t="s">
        <v>49</v>
      </c>
      <c r="T2509" s="14"/>
      <c r="U2509" s="14"/>
      <c r="V2509" s="70"/>
      <c r="W2509" s="14"/>
      <c r="X2509" s="42"/>
      <c r="Y2509" s="14"/>
      <c r="Z2509" s="14"/>
      <c r="AA2509" s="14"/>
      <c r="AC2509" s="14"/>
      <c r="AD2509" s="14"/>
      <c r="AE2509" s="14"/>
      <c r="AF2509" s="20"/>
      <c r="AH2509" s="14"/>
      <c r="AI2509" s="14"/>
      <c r="AJ2509" s="14"/>
      <c r="AK2509" s="20"/>
      <c r="AM2509" s="14"/>
      <c r="AN2509" s="14"/>
      <c r="AO2509" s="14"/>
      <c r="AU2509" s="71" t="s">
        <v>53</v>
      </c>
    </row>
    <row r="2510" spans="1:47" s="12" customFormat="1" ht="23.25" hidden="1" customHeight="1" x14ac:dyDescent="0.3">
      <c r="A2510" s="42" t="s">
        <v>505</v>
      </c>
      <c r="B2510" s="42" t="s">
        <v>6453</v>
      </c>
      <c r="C2510" s="42">
        <v>70</v>
      </c>
      <c r="D2510" s="42">
        <v>713</v>
      </c>
      <c r="E2510" s="42"/>
      <c r="F2510" s="43" t="s">
        <v>6475</v>
      </c>
      <c r="G2510" s="43" t="str">
        <f t="shared" si="60"/>
        <v>707131123993930</v>
      </c>
      <c r="H2510" s="4" t="s">
        <v>6476</v>
      </c>
      <c r="I2510" s="45">
        <v>1123993930</v>
      </c>
      <c r="J2510" s="4" t="s">
        <v>6477</v>
      </c>
      <c r="K2510" s="44" t="s">
        <v>230</v>
      </c>
      <c r="L2510" s="44" t="s">
        <v>45</v>
      </c>
      <c r="M2510" s="7" t="s">
        <v>45</v>
      </c>
      <c r="N2510" s="12" t="s">
        <v>259</v>
      </c>
      <c r="O2510" s="12" t="s">
        <v>260</v>
      </c>
      <c r="P2510" s="4" t="s">
        <v>261</v>
      </c>
      <c r="Q2510" s="69" t="s">
        <v>6478</v>
      </c>
      <c r="R2510" s="11">
        <v>0.82499999999999996</v>
      </c>
      <c r="S2510" s="4" t="s">
        <v>49</v>
      </c>
      <c r="T2510" s="14"/>
      <c r="U2510" s="14"/>
      <c r="V2510" s="70"/>
      <c r="W2510" s="14"/>
      <c r="X2510" s="42"/>
      <c r="Y2510" s="14"/>
      <c r="Z2510" s="14"/>
      <c r="AA2510" s="14"/>
      <c r="AC2510" s="14"/>
      <c r="AD2510" s="14"/>
      <c r="AE2510" s="14"/>
      <c r="AF2510" s="20"/>
      <c r="AH2510" s="14"/>
      <c r="AI2510" s="14"/>
      <c r="AJ2510" s="14"/>
      <c r="AK2510" s="20"/>
      <c r="AM2510" s="14"/>
      <c r="AN2510" s="14"/>
      <c r="AO2510" s="14"/>
      <c r="AU2510" s="71" t="s">
        <v>53</v>
      </c>
    </row>
    <row r="2511" spans="1:47" s="12" customFormat="1" ht="23.25" hidden="1" customHeight="1" x14ac:dyDescent="0.3">
      <c r="A2511" s="42" t="s">
        <v>39</v>
      </c>
      <c r="B2511" s="42" t="s">
        <v>6453</v>
      </c>
      <c r="C2511" s="42">
        <v>70</v>
      </c>
      <c r="D2511" s="42">
        <v>713</v>
      </c>
      <c r="E2511" s="42"/>
      <c r="F2511" s="43" t="s">
        <v>6479</v>
      </c>
      <c r="G2511" s="43" t="str">
        <f t="shared" si="60"/>
        <v>707131006894032</v>
      </c>
      <c r="H2511" s="4" t="s">
        <v>6480</v>
      </c>
      <c r="I2511" s="45">
        <v>1006894032</v>
      </c>
      <c r="J2511" s="4" t="s">
        <v>6481</v>
      </c>
      <c r="K2511" s="44" t="s">
        <v>230</v>
      </c>
      <c r="L2511" s="44" t="s">
        <v>45</v>
      </c>
      <c r="M2511" s="7" t="s">
        <v>45</v>
      </c>
      <c r="N2511" s="12" t="s">
        <v>259</v>
      </c>
      <c r="O2511" s="12" t="s">
        <v>260</v>
      </c>
      <c r="P2511" s="4" t="s">
        <v>261</v>
      </c>
      <c r="Q2511" s="69">
        <v>44516</v>
      </c>
      <c r="R2511" s="11">
        <v>0.86</v>
      </c>
      <c r="S2511" s="4" t="s">
        <v>49</v>
      </c>
      <c r="T2511" s="14"/>
      <c r="U2511" s="14"/>
      <c r="V2511" s="70"/>
      <c r="W2511" s="14"/>
      <c r="X2511" s="42"/>
      <c r="Y2511" s="14"/>
      <c r="Z2511" s="14"/>
      <c r="AA2511" s="14"/>
      <c r="AC2511" s="14"/>
      <c r="AD2511" s="14"/>
      <c r="AE2511" s="14"/>
      <c r="AF2511" s="20"/>
      <c r="AH2511" s="14"/>
      <c r="AI2511" s="14"/>
      <c r="AJ2511" s="14"/>
      <c r="AK2511" s="20"/>
      <c r="AM2511" s="14"/>
      <c r="AN2511" s="14"/>
      <c r="AO2511" s="14"/>
      <c r="AU2511" s="71" t="s">
        <v>53</v>
      </c>
    </row>
    <row r="2512" spans="1:47" s="12" customFormat="1" ht="23.25" hidden="1" customHeight="1" x14ac:dyDescent="0.3">
      <c r="A2512" s="42" t="s">
        <v>39</v>
      </c>
      <c r="B2512" s="42" t="s">
        <v>6453</v>
      </c>
      <c r="C2512" s="42">
        <v>70</v>
      </c>
      <c r="D2512" s="42">
        <v>713</v>
      </c>
      <c r="E2512" s="42"/>
      <c r="F2512" s="43" t="s">
        <v>6482</v>
      </c>
      <c r="G2512" s="43" t="str">
        <f t="shared" si="60"/>
        <v>707131101446187</v>
      </c>
      <c r="H2512" s="4" t="s">
        <v>6483</v>
      </c>
      <c r="I2512" s="45">
        <v>1101446187</v>
      </c>
      <c r="J2512" s="4" t="s">
        <v>6484</v>
      </c>
      <c r="K2512" s="44" t="s">
        <v>230</v>
      </c>
      <c r="L2512" s="44" t="s">
        <v>45</v>
      </c>
      <c r="M2512" s="7" t="s">
        <v>45</v>
      </c>
      <c r="N2512" s="12" t="s">
        <v>259</v>
      </c>
      <c r="O2512" s="12" t="s">
        <v>260</v>
      </c>
      <c r="P2512" s="4" t="s">
        <v>261</v>
      </c>
      <c r="Q2512" s="69">
        <v>44370</v>
      </c>
      <c r="R2512" s="11">
        <v>0.77500000000000002</v>
      </c>
      <c r="S2512" s="4" t="s">
        <v>49</v>
      </c>
      <c r="T2512" s="14"/>
      <c r="U2512" s="14"/>
      <c r="V2512" s="70"/>
      <c r="W2512" s="14"/>
      <c r="X2512" s="42"/>
      <c r="Y2512" s="14"/>
      <c r="Z2512" s="14"/>
      <c r="AA2512" s="14"/>
      <c r="AC2512" s="14"/>
      <c r="AD2512" s="14"/>
      <c r="AE2512" s="14"/>
      <c r="AF2512" s="20"/>
      <c r="AH2512" s="14"/>
      <c r="AI2512" s="14"/>
      <c r="AJ2512" s="14"/>
      <c r="AK2512" s="20"/>
      <c r="AM2512" s="14"/>
      <c r="AN2512" s="14"/>
      <c r="AO2512" s="14"/>
      <c r="AU2512" s="71" t="s">
        <v>53</v>
      </c>
    </row>
    <row r="2513" spans="1:47" s="12" customFormat="1" ht="23.25" hidden="1" customHeight="1" x14ac:dyDescent="0.3">
      <c r="A2513" s="42" t="s">
        <v>39</v>
      </c>
      <c r="B2513" s="42" t="s">
        <v>6453</v>
      </c>
      <c r="C2513" s="42">
        <v>70</v>
      </c>
      <c r="D2513" s="42">
        <v>713</v>
      </c>
      <c r="E2513" s="42"/>
      <c r="F2513" s="43" t="s">
        <v>6485</v>
      </c>
      <c r="G2513" s="43" t="str">
        <f t="shared" si="60"/>
        <v>707139039885</v>
      </c>
      <c r="H2513" s="4" t="s">
        <v>6486</v>
      </c>
      <c r="I2513" s="45">
        <v>9039885</v>
      </c>
      <c r="J2513" s="4" t="s">
        <v>6487</v>
      </c>
      <c r="K2513" s="44" t="s">
        <v>230</v>
      </c>
      <c r="L2513" s="44" t="s">
        <v>45</v>
      </c>
      <c r="M2513" s="7" t="s">
        <v>45</v>
      </c>
      <c r="N2513" s="12" t="s">
        <v>259</v>
      </c>
      <c r="O2513" s="12" t="s">
        <v>260</v>
      </c>
      <c r="P2513" s="4" t="s">
        <v>261</v>
      </c>
      <c r="Q2513" s="69">
        <v>44470</v>
      </c>
      <c r="R2513" s="11">
        <v>0.82</v>
      </c>
      <c r="S2513" s="4" t="s">
        <v>49</v>
      </c>
      <c r="T2513" s="14"/>
      <c r="U2513" s="14"/>
      <c r="V2513" s="70"/>
      <c r="W2513" s="14"/>
      <c r="X2513" s="42"/>
      <c r="Y2513" s="14"/>
      <c r="Z2513" s="14"/>
      <c r="AA2513" s="14"/>
      <c r="AC2513" s="14"/>
      <c r="AD2513" s="14"/>
      <c r="AE2513" s="14"/>
      <c r="AF2513" s="20"/>
      <c r="AH2513" s="14"/>
      <c r="AI2513" s="14"/>
      <c r="AJ2513" s="14"/>
      <c r="AK2513" s="20"/>
      <c r="AM2513" s="14"/>
      <c r="AN2513" s="14"/>
      <c r="AO2513" s="14"/>
      <c r="AU2513" s="71" t="s">
        <v>53</v>
      </c>
    </row>
    <row r="2514" spans="1:47" s="12" customFormat="1" ht="23.25" hidden="1" customHeight="1" x14ac:dyDescent="0.3">
      <c r="A2514" s="42" t="s">
        <v>505</v>
      </c>
      <c r="B2514" s="42" t="s">
        <v>6453</v>
      </c>
      <c r="C2514" s="42">
        <v>70</v>
      </c>
      <c r="D2514" s="42">
        <v>713</v>
      </c>
      <c r="E2514" s="42"/>
      <c r="F2514" s="43" t="s">
        <v>6488</v>
      </c>
      <c r="G2514" s="43" t="str">
        <f t="shared" si="60"/>
        <v>707131101441862</v>
      </c>
      <c r="H2514" s="4" t="s">
        <v>6489</v>
      </c>
      <c r="I2514" s="45">
        <v>1101441862</v>
      </c>
      <c r="J2514" s="4" t="s">
        <v>6440</v>
      </c>
      <c r="K2514" s="44" t="s">
        <v>230</v>
      </c>
      <c r="L2514" s="44" t="s">
        <v>45</v>
      </c>
      <c r="M2514" s="7" t="s">
        <v>45</v>
      </c>
      <c r="N2514" s="12" t="s">
        <v>259</v>
      </c>
      <c r="O2514" s="12" t="s">
        <v>260</v>
      </c>
      <c r="P2514" s="4" t="s">
        <v>261</v>
      </c>
      <c r="Q2514" s="69">
        <v>44519</v>
      </c>
      <c r="R2514" s="11">
        <v>0.86750000000000005</v>
      </c>
      <c r="S2514" s="4" t="s">
        <v>49</v>
      </c>
      <c r="T2514" s="14"/>
      <c r="U2514" s="14"/>
      <c r="V2514" s="70"/>
      <c r="W2514" s="14"/>
      <c r="X2514" s="42"/>
      <c r="Y2514" s="14"/>
      <c r="Z2514" s="14"/>
      <c r="AA2514" s="14"/>
      <c r="AC2514" s="14"/>
      <c r="AD2514" s="14"/>
      <c r="AE2514" s="14"/>
      <c r="AF2514" s="20"/>
      <c r="AH2514" s="14"/>
      <c r="AI2514" s="14"/>
      <c r="AJ2514" s="14"/>
      <c r="AK2514" s="20"/>
      <c r="AM2514" s="14"/>
      <c r="AN2514" s="14"/>
      <c r="AO2514" s="14"/>
      <c r="AU2514" s="71" t="s">
        <v>53</v>
      </c>
    </row>
    <row r="2515" spans="1:47" s="12" customFormat="1" ht="23.25" hidden="1" customHeight="1" x14ac:dyDescent="0.3">
      <c r="A2515" s="42" t="s">
        <v>39</v>
      </c>
      <c r="B2515" s="42" t="s">
        <v>6453</v>
      </c>
      <c r="C2515" s="42">
        <v>70</v>
      </c>
      <c r="D2515" s="42">
        <v>713</v>
      </c>
      <c r="E2515" s="42"/>
      <c r="F2515" s="43" t="s">
        <v>6490</v>
      </c>
      <c r="G2515" s="43" t="str">
        <f t="shared" si="60"/>
        <v>7071345424761</v>
      </c>
      <c r="H2515" s="4" t="s">
        <v>6491</v>
      </c>
      <c r="I2515" s="45">
        <v>45424761</v>
      </c>
      <c r="J2515" s="4" t="s">
        <v>6492</v>
      </c>
      <c r="K2515" s="44" t="s">
        <v>230</v>
      </c>
      <c r="L2515" s="44" t="s">
        <v>45</v>
      </c>
      <c r="M2515" s="7" t="s">
        <v>45</v>
      </c>
      <c r="N2515" s="12" t="s">
        <v>259</v>
      </c>
      <c r="O2515" s="12" t="s">
        <v>260</v>
      </c>
      <c r="P2515" s="4" t="s">
        <v>261</v>
      </c>
      <c r="Q2515" s="69">
        <v>44362</v>
      </c>
      <c r="R2515" s="11">
        <v>0.86</v>
      </c>
      <c r="S2515" s="4" t="s">
        <v>49</v>
      </c>
      <c r="T2515" s="14"/>
      <c r="U2515" s="14"/>
      <c r="V2515" s="70"/>
      <c r="W2515" s="14"/>
      <c r="X2515" s="42"/>
      <c r="Y2515" s="14"/>
      <c r="Z2515" s="14"/>
      <c r="AA2515" s="14"/>
      <c r="AC2515" s="14"/>
      <c r="AD2515" s="14"/>
      <c r="AE2515" s="14"/>
      <c r="AF2515" s="20"/>
      <c r="AH2515" s="14"/>
      <c r="AI2515" s="14"/>
      <c r="AJ2515" s="14"/>
      <c r="AK2515" s="20"/>
      <c r="AM2515" s="14"/>
      <c r="AN2515" s="14"/>
      <c r="AO2515" s="14"/>
      <c r="AU2515" s="71" t="s">
        <v>53</v>
      </c>
    </row>
    <row r="2516" spans="1:47" s="12" customFormat="1" ht="23.25" hidden="1" customHeight="1" x14ac:dyDescent="0.3">
      <c r="A2516" s="42" t="s">
        <v>39</v>
      </c>
      <c r="B2516" s="42" t="s">
        <v>6453</v>
      </c>
      <c r="C2516" s="42">
        <v>70</v>
      </c>
      <c r="D2516" s="42">
        <v>713</v>
      </c>
      <c r="E2516" s="42"/>
      <c r="F2516" s="43" t="s">
        <v>6493</v>
      </c>
      <c r="G2516" s="43" t="str">
        <f t="shared" si="60"/>
        <v>707131101443626</v>
      </c>
      <c r="H2516" s="4" t="s">
        <v>6494</v>
      </c>
      <c r="I2516" s="45">
        <v>1101443626</v>
      </c>
      <c r="J2516" s="4" t="s">
        <v>6495</v>
      </c>
      <c r="K2516" s="44" t="s">
        <v>230</v>
      </c>
      <c r="L2516" s="44">
        <v>3128084181</v>
      </c>
      <c r="M2516" s="7" t="s">
        <v>45</v>
      </c>
      <c r="N2516" s="12" t="s">
        <v>259</v>
      </c>
      <c r="O2516" s="12" t="s">
        <v>260</v>
      </c>
      <c r="P2516" s="4" t="s">
        <v>261</v>
      </c>
      <c r="Q2516" s="69">
        <v>45589</v>
      </c>
      <c r="R2516" s="11">
        <v>0.88</v>
      </c>
      <c r="S2516" s="4" t="s">
        <v>49</v>
      </c>
      <c r="T2516" s="14"/>
      <c r="U2516" s="14"/>
      <c r="V2516" s="70"/>
      <c r="W2516" s="14"/>
      <c r="X2516" s="42"/>
      <c r="Y2516" s="14"/>
      <c r="Z2516" s="14"/>
      <c r="AA2516" s="14"/>
      <c r="AC2516" s="14"/>
      <c r="AD2516" s="14"/>
      <c r="AE2516" s="14"/>
      <c r="AF2516" s="20"/>
      <c r="AH2516" s="14"/>
      <c r="AI2516" s="14"/>
      <c r="AJ2516" s="14"/>
      <c r="AK2516" s="20"/>
      <c r="AM2516" s="14"/>
      <c r="AN2516" s="14"/>
      <c r="AO2516" s="14"/>
      <c r="AU2516" s="71" t="s">
        <v>53</v>
      </c>
    </row>
    <row r="2517" spans="1:47" s="12" customFormat="1" ht="23.25" hidden="1" customHeight="1" x14ac:dyDescent="0.3">
      <c r="A2517" s="42" t="s">
        <v>39</v>
      </c>
      <c r="B2517" s="42" t="s">
        <v>6453</v>
      </c>
      <c r="C2517" s="42">
        <v>70</v>
      </c>
      <c r="D2517" s="42">
        <v>713</v>
      </c>
      <c r="E2517" s="42"/>
      <c r="F2517" s="43" t="s">
        <v>302</v>
      </c>
      <c r="G2517" s="43" t="str">
        <f t="shared" si="60"/>
        <v>7071311014554580</v>
      </c>
      <c r="H2517" s="4" t="s">
        <v>6496</v>
      </c>
      <c r="I2517" s="45">
        <v>11014554580</v>
      </c>
      <c r="J2517" s="4" t="s">
        <v>6497</v>
      </c>
      <c r="K2517" s="44" t="s">
        <v>230</v>
      </c>
      <c r="L2517" s="44" t="s">
        <v>45</v>
      </c>
      <c r="M2517" s="7" t="s">
        <v>45</v>
      </c>
      <c r="N2517" s="12" t="s">
        <v>259</v>
      </c>
      <c r="O2517" s="12" t="s">
        <v>260</v>
      </c>
      <c r="P2517" s="4" t="s">
        <v>261</v>
      </c>
      <c r="Q2517" s="4" t="s">
        <v>653</v>
      </c>
      <c r="R2517" s="11">
        <v>0.67500000000000004</v>
      </c>
      <c r="S2517" s="4" t="s">
        <v>49</v>
      </c>
      <c r="T2517" s="14"/>
      <c r="U2517" s="14"/>
      <c r="V2517" s="70"/>
      <c r="W2517" s="14"/>
      <c r="X2517" s="42"/>
      <c r="Y2517" s="14"/>
      <c r="Z2517" s="14"/>
      <c r="AA2517" s="14"/>
      <c r="AC2517" s="14"/>
      <c r="AD2517" s="14"/>
      <c r="AE2517" s="14"/>
      <c r="AF2517" s="20"/>
      <c r="AH2517" s="14"/>
      <c r="AI2517" s="14"/>
      <c r="AJ2517" s="14"/>
      <c r="AK2517" s="20"/>
      <c r="AM2517" s="14"/>
      <c r="AN2517" s="14"/>
      <c r="AO2517" s="14"/>
      <c r="AU2517" s="71" t="s">
        <v>53</v>
      </c>
    </row>
    <row r="2518" spans="1:47" s="12" customFormat="1" ht="23.25" hidden="1" customHeight="1" x14ac:dyDescent="0.3">
      <c r="A2518" s="42" t="s">
        <v>39</v>
      </c>
      <c r="B2518" s="42" t="s">
        <v>6453</v>
      </c>
      <c r="C2518" s="42">
        <v>70</v>
      </c>
      <c r="D2518" s="42">
        <v>713</v>
      </c>
      <c r="E2518" s="42"/>
      <c r="F2518" s="43" t="s">
        <v>302</v>
      </c>
      <c r="G2518" s="43" t="str">
        <f t="shared" si="60"/>
        <v>7071364517119</v>
      </c>
      <c r="H2518" s="4" t="s">
        <v>6498</v>
      </c>
      <c r="I2518" s="45">
        <v>64517119</v>
      </c>
      <c r="J2518" s="4" t="s">
        <v>6487</v>
      </c>
      <c r="K2518" s="44" t="s">
        <v>230</v>
      </c>
      <c r="L2518" s="44" t="s">
        <v>45</v>
      </c>
      <c r="M2518" s="7" t="s">
        <v>45</v>
      </c>
      <c r="N2518" s="12" t="s">
        <v>259</v>
      </c>
      <c r="O2518" s="12" t="s">
        <v>260</v>
      </c>
      <c r="P2518" s="4" t="s">
        <v>261</v>
      </c>
      <c r="Q2518" s="69">
        <v>44488</v>
      </c>
      <c r="R2518" s="11">
        <v>0.82</v>
      </c>
      <c r="S2518" s="4" t="s">
        <v>49</v>
      </c>
      <c r="T2518" s="14"/>
      <c r="U2518" s="14"/>
      <c r="V2518" s="70"/>
      <c r="W2518" s="14"/>
      <c r="X2518" s="42"/>
      <c r="Y2518" s="14"/>
      <c r="Z2518" s="14"/>
      <c r="AA2518" s="14"/>
      <c r="AC2518" s="14"/>
      <c r="AD2518" s="14"/>
      <c r="AE2518" s="14"/>
      <c r="AF2518" s="20"/>
      <c r="AH2518" s="14"/>
      <c r="AI2518" s="14"/>
      <c r="AJ2518" s="14"/>
      <c r="AK2518" s="20"/>
      <c r="AM2518" s="14"/>
      <c r="AN2518" s="14"/>
      <c r="AO2518" s="14"/>
      <c r="AU2518" s="71" t="s">
        <v>53</v>
      </c>
    </row>
    <row r="2519" spans="1:47" s="12" customFormat="1" ht="23.25" hidden="1" customHeight="1" x14ac:dyDescent="0.3">
      <c r="A2519" s="42" t="s">
        <v>39</v>
      </c>
      <c r="B2519" s="42" t="s">
        <v>6453</v>
      </c>
      <c r="C2519" s="42">
        <v>70</v>
      </c>
      <c r="D2519" s="42">
        <v>713</v>
      </c>
      <c r="E2519" s="42"/>
      <c r="F2519" s="43" t="s">
        <v>6499</v>
      </c>
      <c r="G2519" s="43" t="str">
        <f t="shared" si="60"/>
        <v>707139041605</v>
      </c>
      <c r="H2519" s="4" t="s">
        <v>6500</v>
      </c>
      <c r="I2519" s="45">
        <v>9041605</v>
      </c>
      <c r="J2519" s="4" t="s">
        <v>6501</v>
      </c>
      <c r="K2519" s="44" t="s">
        <v>230</v>
      </c>
      <c r="L2519" s="44" t="s">
        <v>45</v>
      </c>
      <c r="M2519" s="7" t="s">
        <v>45</v>
      </c>
      <c r="N2519" s="12" t="s">
        <v>259</v>
      </c>
      <c r="O2519" s="12" t="s">
        <v>260</v>
      </c>
      <c r="P2519" s="4" t="s">
        <v>261</v>
      </c>
      <c r="Q2519" s="69">
        <v>44461</v>
      </c>
      <c r="R2519" s="11">
        <v>0.83499999999999996</v>
      </c>
      <c r="S2519" s="4" t="s">
        <v>49</v>
      </c>
      <c r="T2519" s="14"/>
      <c r="U2519" s="14"/>
      <c r="V2519" s="70"/>
      <c r="W2519" s="14"/>
      <c r="X2519" s="42"/>
      <c r="Y2519" s="14"/>
      <c r="Z2519" s="14"/>
      <c r="AA2519" s="14"/>
      <c r="AC2519" s="14"/>
      <c r="AD2519" s="14"/>
      <c r="AE2519" s="14"/>
      <c r="AF2519" s="20"/>
      <c r="AH2519" s="14"/>
      <c r="AI2519" s="14"/>
      <c r="AJ2519" s="14"/>
      <c r="AK2519" s="20"/>
      <c r="AM2519" s="14"/>
      <c r="AN2519" s="14"/>
      <c r="AO2519" s="14"/>
      <c r="AU2519" s="71" t="s">
        <v>53</v>
      </c>
    </row>
    <row r="2520" spans="1:47" s="12" customFormat="1" ht="23.25" hidden="1" customHeight="1" x14ac:dyDescent="0.3">
      <c r="A2520" s="42" t="s">
        <v>39</v>
      </c>
      <c r="B2520" s="42" t="s">
        <v>6453</v>
      </c>
      <c r="C2520" s="42">
        <v>70</v>
      </c>
      <c r="D2520" s="42">
        <v>713</v>
      </c>
      <c r="E2520" s="42"/>
      <c r="F2520" s="43" t="s">
        <v>296</v>
      </c>
      <c r="G2520" s="43" t="str">
        <f t="shared" si="60"/>
        <v>7071364526057</v>
      </c>
      <c r="H2520" s="4" t="s">
        <v>6502</v>
      </c>
      <c r="I2520" s="45">
        <v>64526057</v>
      </c>
      <c r="J2520" s="4" t="s">
        <v>6503</v>
      </c>
      <c r="K2520" s="44" t="s">
        <v>230</v>
      </c>
      <c r="L2520" s="44" t="s">
        <v>45</v>
      </c>
      <c r="M2520" s="7" t="s">
        <v>45</v>
      </c>
      <c r="N2520" s="12" t="s">
        <v>259</v>
      </c>
      <c r="O2520" s="12" t="s">
        <v>260</v>
      </c>
      <c r="P2520" s="4" t="s">
        <v>261</v>
      </c>
      <c r="Q2520" s="69">
        <v>44693</v>
      </c>
      <c r="R2520" s="11">
        <v>0.77</v>
      </c>
      <c r="S2520" s="4" t="s">
        <v>49</v>
      </c>
      <c r="T2520" s="14"/>
      <c r="U2520" s="14"/>
      <c r="V2520" s="70"/>
      <c r="W2520" s="14"/>
      <c r="X2520" s="42"/>
      <c r="Y2520" s="14"/>
      <c r="Z2520" s="14"/>
      <c r="AA2520" s="14"/>
      <c r="AC2520" s="14"/>
      <c r="AD2520" s="14"/>
      <c r="AE2520" s="14"/>
      <c r="AF2520" s="20"/>
      <c r="AH2520" s="14"/>
      <c r="AI2520" s="14"/>
      <c r="AJ2520" s="14"/>
      <c r="AK2520" s="20"/>
      <c r="AM2520" s="14"/>
      <c r="AN2520" s="14"/>
      <c r="AO2520" s="14"/>
      <c r="AU2520" s="71" t="s">
        <v>53</v>
      </c>
    </row>
    <row r="2521" spans="1:47" s="12" customFormat="1" ht="23.25" hidden="1" customHeight="1" x14ac:dyDescent="0.3">
      <c r="A2521" s="42" t="s">
        <v>39</v>
      </c>
      <c r="B2521" s="42" t="s">
        <v>6453</v>
      </c>
      <c r="C2521" s="42">
        <v>70</v>
      </c>
      <c r="D2521" s="42">
        <v>713</v>
      </c>
      <c r="E2521" s="42"/>
      <c r="F2521" s="43" t="s">
        <v>6504</v>
      </c>
      <c r="G2521" s="43" t="str">
        <f t="shared" si="60"/>
        <v>707131101445364</v>
      </c>
      <c r="H2521" s="4" t="s">
        <v>6505</v>
      </c>
      <c r="I2521" s="45">
        <v>1101445364</v>
      </c>
      <c r="J2521" s="4" t="s">
        <v>6506</v>
      </c>
      <c r="K2521" s="44" t="s">
        <v>230</v>
      </c>
      <c r="L2521" s="44" t="s">
        <v>45</v>
      </c>
      <c r="M2521" s="7" t="s">
        <v>45</v>
      </c>
      <c r="N2521" s="12" t="s">
        <v>259</v>
      </c>
      <c r="O2521" s="12" t="s">
        <v>260</v>
      </c>
      <c r="P2521" s="4" t="s">
        <v>261</v>
      </c>
      <c r="Q2521" s="69">
        <v>44364</v>
      </c>
      <c r="R2521" s="11">
        <v>0.77500000000000002</v>
      </c>
      <c r="S2521" s="4" t="s">
        <v>49</v>
      </c>
      <c r="T2521" s="14"/>
      <c r="U2521" s="14"/>
      <c r="V2521" s="70"/>
      <c r="W2521" s="14"/>
      <c r="X2521" s="42"/>
      <c r="Y2521" s="14"/>
      <c r="Z2521" s="14"/>
      <c r="AA2521" s="14"/>
      <c r="AC2521" s="14"/>
      <c r="AD2521" s="14"/>
      <c r="AE2521" s="14"/>
      <c r="AF2521" s="20"/>
      <c r="AH2521" s="14"/>
      <c r="AI2521" s="14"/>
      <c r="AJ2521" s="14"/>
      <c r="AK2521" s="20"/>
      <c r="AM2521" s="14"/>
      <c r="AN2521" s="14"/>
      <c r="AO2521" s="14"/>
      <c r="AU2521" s="71" t="s">
        <v>53</v>
      </c>
    </row>
    <row r="2522" spans="1:47" s="12" customFormat="1" ht="23.25" hidden="1" customHeight="1" x14ac:dyDescent="0.3">
      <c r="A2522" s="42" t="s">
        <v>39</v>
      </c>
      <c r="B2522" s="42" t="s">
        <v>6453</v>
      </c>
      <c r="C2522" s="42">
        <v>70</v>
      </c>
      <c r="D2522" s="42">
        <v>713</v>
      </c>
      <c r="E2522" s="42"/>
      <c r="F2522" s="43" t="s">
        <v>6507</v>
      </c>
      <c r="G2522" s="43" t="str">
        <f t="shared" si="60"/>
        <v>7071318425840</v>
      </c>
      <c r="H2522" s="4" t="s">
        <v>6508</v>
      </c>
      <c r="I2522" s="45">
        <v>18425840</v>
      </c>
      <c r="J2522" s="4" t="s">
        <v>5731</v>
      </c>
      <c r="K2522" s="44" t="s">
        <v>230</v>
      </c>
      <c r="L2522" s="44" t="s">
        <v>45</v>
      </c>
      <c r="M2522" s="7" t="s">
        <v>45</v>
      </c>
      <c r="N2522" s="12" t="s">
        <v>259</v>
      </c>
      <c r="O2522" s="12" t="s">
        <v>260</v>
      </c>
      <c r="P2522" s="4" t="s">
        <v>261</v>
      </c>
      <c r="Q2522" s="69">
        <v>44728</v>
      </c>
      <c r="R2522" s="11">
        <v>0.77</v>
      </c>
      <c r="S2522" s="4" t="s">
        <v>49</v>
      </c>
      <c r="T2522" s="14"/>
      <c r="U2522" s="14"/>
      <c r="V2522" s="70"/>
      <c r="W2522" s="14"/>
      <c r="X2522" s="42"/>
      <c r="Y2522" s="14"/>
      <c r="Z2522" s="14"/>
      <c r="AA2522" s="14"/>
      <c r="AC2522" s="14"/>
      <c r="AD2522" s="14"/>
      <c r="AE2522" s="14"/>
      <c r="AF2522" s="20"/>
      <c r="AH2522" s="14"/>
      <c r="AI2522" s="14"/>
      <c r="AJ2522" s="14"/>
      <c r="AK2522" s="20"/>
      <c r="AM2522" s="14"/>
      <c r="AN2522" s="14"/>
      <c r="AO2522" s="14"/>
      <c r="AU2522" s="71" t="s">
        <v>53</v>
      </c>
    </row>
    <row r="2523" spans="1:47" s="12" customFormat="1" ht="23.25" hidden="1" customHeight="1" x14ac:dyDescent="0.3">
      <c r="A2523" s="42" t="s">
        <v>39</v>
      </c>
      <c r="B2523" s="42" t="s">
        <v>6453</v>
      </c>
      <c r="C2523" s="42">
        <v>70</v>
      </c>
      <c r="D2523" s="42">
        <v>713</v>
      </c>
      <c r="E2523" s="42"/>
      <c r="F2523" s="43" t="s">
        <v>1252</v>
      </c>
      <c r="G2523" s="43" t="str">
        <f t="shared" si="60"/>
        <v>7071392508857</v>
      </c>
      <c r="H2523" s="4" t="s">
        <v>6509</v>
      </c>
      <c r="I2523" s="45">
        <v>92508857</v>
      </c>
      <c r="J2523" s="4" t="s">
        <v>6510</v>
      </c>
      <c r="K2523" s="44" t="s">
        <v>230</v>
      </c>
      <c r="L2523" s="44" t="s">
        <v>45</v>
      </c>
      <c r="M2523" s="7" t="s">
        <v>45</v>
      </c>
      <c r="N2523" s="12" t="s">
        <v>259</v>
      </c>
      <c r="O2523" s="12" t="s">
        <v>260</v>
      </c>
      <c r="P2523" s="4" t="s">
        <v>261</v>
      </c>
      <c r="Q2523" s="69">
        <v>44398</v>
      </c>
      <c r="R2523" s="11">
        <v>0.83499999999999996</v>
      </c>
      <c r="S2523" s="4" t="s">
        <v>49</v>
      </c>
      <c r="T2523" s="14"/>
      <c r="U2523" s="14"/>
      <c r="V2523" s="70"/>
      <c r="W2523" s="14"/>
      <c r="X2523" s="42"/>
      <c r="Y2523" s="14"/>
      <c r="Z2523" s="14"/>
      <c r="AA2523" s="14"/>
      <c r="AC2523" s="14"/>
      <c r="AD2523" s="14"/>
      <c r="AE2523" s="14"/>
      <c r="AF2523" s="20"/>
      <c r="AH2523" s="14"/>
      <c r="AI2523" s="14"/>
      <c r="AJ2523" s="14"/>
      <c r="AK2523" s="20"/>
      <c r="AM2523" s="14"/>
      <c r="AN2523" s="14"/>
      <c r="AO2523" s="14"/>
      <c r="AU2523" s="71" t="s">
        <v>53</v>
      </c>
    </row>
    <row r="2524" spans="1:47" s="12" customFormat="1" ht="23.25" hidden="1" customHeight="1" x14ac:dyDescent="0.3">
      <c r="A2524" s="42" t="s">
        <v>39</v>
      </c>
      <c r="B2524" s="42" t="s">
        <v>6453</v>
      </c>
      <c r="C2524" s="42">
        <v>70</v>
      </c>
      <c r="D2524" s="42">
        <v>713</v>
      </c>
      <c r="E2524" s="42"/>
      <c r="F2524" s="43" t="s">
        <v>2532</v>
      </c>
      <c r="G2524" s="43" t="str">
        <f t="shared" si="60"/>
        <v>7071364517111</v>
      </c>
      <c r="H2524" s="4" t="s">
        <v>6511</v>
      </c>
      <c r="I2524" s="45">
        <v>64517111</v>
      </c>
      <c r="J2524" s="4" t="s">
        <v>6512</v>
      </c>
      <c r="K2524" s="44" t="s">
        <v>230</v>
      </c>
      <c r="L2524" s="44" t="s">
        <v>45</v>
      </c>
      <c r="M2524" s="7" t="s">
        <v>45</v>
      </c>
      <c r="N2524" s="12" t="s">
        <v>259</v>
      </c>
      <c r="O2524" s="12" t="s">
        <v>260</v>
      </c>
      <c r="P2524" s="4" t="s">
        <v>261</v>
      </c>
      <c r="Q2524" s="69">
        <v>44518</v>
      </c>
      <c r="R2524" s="11">
        <v>0.82</v>
      </c>
      <c r="S2524" s="4" t="s">
        <v>49</v>
      </c>
      <c r="T2524" s="14"/>
      <c r="U2524" s="14"/>
      <c r="V2524" s="70"/>
      <c r="W2524" s="14"/>
      <c r="X2524" s="42"/>
      <c r="Y2524" s="14"/>
      <c r="Z2524" s="14"/>
      <c r="AA2524" s="14"/>
      <c r="AC2524" s="14"/>
      <c r="AD2524" s="14"/>
      <c r="AE2524" s="14"/>
      <c r="AF2524" s="20"/>
      <c r="AH2524" s="14"/>
      <c r="AI2524" s="14"/>
      <c r="AJ2524" s="14"/>
      <c r="AK2524" s="20"/>
      <c r="AM2524" s="14"/>
      <c r="AN2524" s="14"/>
      <c r="AO2524" s="14"/>
      <c r="AU2524" s="71" t="s">
        <v>53</v>
      </c>
    </row>
    <row r="2525" spans="1:47" s="12" customFormat="1" ht="23.25" hidden="1" customHeight="1" x14ac:dyDescent="0.3">
      <c r="A2525" s="42" t="s">
        <v>39</v>
      </c>
      <c r="B2525" s="42" t="s">
        <v>6453</v>
      </c>
      <c r="C2525" s="42">
        <v>70</v>
      </c>
      <c r="D2525" s="42">
        <v>713</v>
      </c>
      <c r="E2525" s="42"/>
      <c r="F2525" s="43" t="s">
        <v>6513</v>
      </c>
      <c r="G2525" s="43" t="str">
        <f t="shared" si="60"/>
        <v>707137024752</v>
      </c>
      <c r="H2525" s="4" t="s">
        <v>6514</v>
      </c>
      <c r="I2525" s="45">
        <v>7024752</v>
      </c>
      <c r="J2525" s="4" t="s">
        <v>6515</v>
      </c>
      <c r="K2525" s="44" t="s">
        <v>230</v>
      </c>
      <c r="L2525" s="44" t="s">
        <v>45</v>
      </c>
      <c r="M2525" s="7" t="s">
        <v>45</v>
      </c>
      <c r="N2525" s="12" t="s">
        <v>259</v>
      </c>
      <c r="O2525" s="12" t="s">
        <v>260</v>
      </c>
      <c r="P2525" s="4" t="s">
        <v>261</v>
      </c>
      <c r="Q2525" s="69">
        <v>44644</v>
      </c>
      <c r="R2525" s="11">
        <v>0.83499999999999996</v>
      </c>
      <c r="S2525" s="4" t="s">
        <v>49</v>
      </c>
      <c r="T2525" s="14"/>
      <c r="U2525" s="14"/>
      <c r="V2525" s="70"/>
      <c r="W2525" s="14"/>
      <c r="X2525" s="42"/>
      <c r="Y2525" s="14"/>
      <c r="Z2525" s="14"/>
      <c r="AA2525" s="14"/>
      <c r="AC2525" s="14"/>
      <c r="AD2525" s="14"/>
      <c r="AE2525" s="14"/>
      <c r="AF2525" s="20"/>
      <c r="AH2525" s="14"/>
      <c r="AI2525" s="14"/>
      <c r="AJ2525" s="14"/>
      <c r="AK2525" s="20"/>
      <c r="AM2525" s="14"/>
      <c r="AN2525" s="14"/>
      <c r="AO2525" s="14"/>
      <c r="AU2525" s="71" t="s">
        <v>53</v>
      </c>
    </row>
    <row r="2526" spans="1:47" s="12" customFormat="1" ht="23.25" hidden="1" customHeight="1" x14ac:dyDescent="0.3">
      <c r="A2526" s="42" t="s">
        <v>39</v>
      </c>
      <c r="B2526" s="42" t="s">
        <v>6453</v>
      </c>
      <c r="C2526" s="42">
        <v>70</v>
      </c>
      <c r="D2526" s="42">
        <v>713</v>
      </c>
      <c r="E2526" s="42"/>
      <c r="F2526" s="1" t="s">
        <v>6516</v>
      </c>
      <c r="G2526" s="43" t="str">
        <f t="shared" si="60"/>
        <v>707138230021368</v>
      </c>
      <c r="H2526" s="44" t="s">
        <v>6517</v>
      </c>
      <c r="I2526" s="4" t="s">
        <v>6518</v>
      </c>
      <c r="J2526" s="4" t="s">
        <v>6519</v>
      </c>
      <c r="K2526" s="44" t="s">
        <v>230</v>
      </c>
      <c r="L2526" s="44" t="s">
        <v>45</v>
      </c>
      <c r="M2526" s="7" t="s">
        <v>45</v>
      </c>
      <c r="N2526" s="12" t="s">
        <v>127</v>
      </c>
      <c r="O2526" s="12" t="s">
        <v>2822</v>
      </c>
      <c r="P2526" s="4" t="s">
        <v>48</v>
      </c>
      <c r="Q2526" s="75">
        <v>45509</v>
      </c>
      <c r="R2526" s="11">
        <v>0.90500000000000003</v>
      </c>
      <c r="S2526" s="4" t="s">
        <v>210</v>
      </c>
      <c r="T2526" s="14"/>
      <c r="U2526" s="14"/>
      <c r="V2526" s="70"/>
      <c r="W2526" s="14"/>
      <c r="X2526" s="42"/>
      <c r="Y2526" s="14"/>
      <c r="Z2526" s="14"/>
      <c r="AA2526" s="14"/>
      <c r="AC2526" s="14"/>
      <c r="AD2526" s="14"/>
      <c r="AE2526" s="14"/>
      <c r="AF2526" s="20"/>
      <c r="AH2526" s="14"/>
      <c r="AI2526" s="14"/>
      <c r="AJ2526" s="14"/>
      <c r="AK2526" s="20"/>
      <c r="AM2526" s="14"/>
      <c r="AN2526" s="14"/>
      <c r="AO2526" s="14"/>
      <c r="AU2526" s="71" t="s">
        <v>53</v>
      </c>
    </row>
    <row r="2527" spans="1:47" s="12" customFormat="1" ht="23.25" hidden="1" customHeight="1" x14ac:dyDescent="0.3">
      <c r="A2527" s="42" t="s">
        <v>39</v>
      </c>
      <c r="B2527" s="42" t="s">
        <v>6453</v>
      </c>
      <c r="C2527" s="42">
        <v>70</v>
      </c>
      <c r="D2527" s="42">
        <v>713</v>
      </c>
      <c r="E2527" s="42"/>
      <c r="F2527" s="1" t="s">
        <v>1929</v>
      </c>
      <c r="G2527" s="43" t="str">
        <f t="shared" si="60"/>
        <v>707138230021368</v>
      </c>
      <c r="H2527" s="44" t="s">
        <v>6520</v>
      </c>
      <c r="I2527" s="4" t="s">
        <v>6518</v>
      </c>
      <c r="J2527" s="4" t="s">
        <v>6521</v>
      </c>
      <c r="K2527" s="44" t="s">
        <v>230</v>
      </c>
      <c r="L2527" s="44">
        <v>3234251754</v>
      </c>
      <c r="M2527" s="7" t="s">
        <v>45</v>
      </c>
      <c r="N2527" s="12" t="s">
        <v>127</v>
      </c>
      <c r="O2527" s="12" t="s">
        <v>2822</v>
      </c>
      <c r="P2527" s="4" t="s">
        <v>48</v>
      </c>
      <c r="Q2527" s="75">
        <v>45509</v>
      </c>
      <c r="R2527" s="11">
        <v>0.97</v>
      </c>
      <c r="S2527" s="4" t="s">
        <v>210</v>
      </c>
      <c r="T2527" s="14"/>
      <c r="U2527" s="14"/>
      <c r="V2527" s="70"/>
      <c r="W2527" s="14"/>
      <c r="X2527" s="42"/>
      <c r="Y2527" s="14"/>
      <c r="Z2527" s="14"/>
      <c r="AA2527" s="14"/>
      <c r="AC2527" s="14"/>
      <c r="AD2527" s="14"/>
      <c r="AE2527" s="14"/>
      <c r="AF2527" s="20"/>
      <c r="AH2527" s="14"/>
      <c r="AI2527" s="14"/>
      <c r="AJ2527" s="14"/>
      <c r="AK2527" s="20"/>
      <c r="AM2527" s="14"/>
      <c r="AN2527" s="14"/>
      <c r="AO2527" s="14"/>
      <c r="AU2527" s="71" t="s">
        <v>53</v>
      </c>
    </row>
    <row r="2528" spans="1:47" s="12" customFormat="1" ht="23.25" hidden="1" customHeight="1" x14ac:dyDescent="0.3">
      <c r="A2528" s="42" t="s">
        <v>39</v>
      </c>
      <c r="B2528" s="42" t="s">
        <v>6453</v>
      </c>
      <c r="C2528" s="42">
        <v>70</v>
      </c>
      <c r="D2528" s="42">
        <v>713</v>
      </c>
      <c r="E2528" s="42"/>
      <c r="F2528" s="43" t="s">
        <v>6522</v>
      </c>
      <c r="G2528" s="43" t="str">
        <f t="shared" si="60"/>
        <v>707131101457364</v>
      </c>
      <c r="H2528" s="44" t="s">
        <v>6523</v>
      </c>
      <c r="I2528" s="4">
        <v>1101457364</v>
      </c>
      <c r="J2528" s="4" t="s">
        <v>6524</v>
      </c>
      <c r="K2528" s="44" t="s">
        <v>230</v>
      </c>
      <c r="L2528" s="44">
        <v>3226749727</v>
      </c>
      <c r="M2528" s="7" t="s">
        <v>45</v>
      </c>
      <c r="N2528" s="12" t="s">
        <v>259</v>
      </c>
      <c r="O2528" s="12" t="s">
        <v>260</v>
      </c>
      <c r="P2528" s="4" t="s">
        <v>261</v>
      </c>
      <c r="Q2528" s="75">
        <v>45589</v>
      </c>
      <c r="R2528" s="11">
        <v>0.86750000000000005</v>
      </c>
      <c r="S2528" s="4" t="s">
        <v>49</v>
      </c>
      <c r="T2528" s="14"/>
      <c r="U2528" s="14"/>
      <c r="V2528" s="70"/>
      <c r="W2528" s="14"/>
      <c r="X2528" s="42"/>
      <c r="Y2528" s="14"/>
      <c r="Z2528" s="14"/>
      <c r="AA2528" s="14"/>
      <c r="AC2528" s="14"/>
      <c r="AD2528" s="14"/>
      <c r="AE2528" s="14"/>
      <c r="AF2528" s="20"/>
      <c r="AH2528" s="14"/>
      <c r="AI2528" s="14"/>
      <c r="AJ2528" s="14"/>
      <c r="AK2528" s="20"/>
      <c r="AM2528" s="14"/>
      <c r="AN2528" s="14"/>
      <c r="AO2528" s="14"/>
      <c r="AU2528" s="71" t="s">
        <v>53</v>
      </c>
    </row>
    <row r="2529" spans="1:47" s="12" customFormat="1" ht="23.25" hidden="1" customHeight="1" x14ac:dyDescent="0.3">
      <c r="A2529" s="42" t="s">
        <v>39</v>
      </c>
      <c r="B2529" s="42" t="s">
        <v>6453</v>
      </c>
      <c r="C2529" s="42">
        <v>70</v>
      </c>
      <c r="D2529" s="42">
        <v>713</v>
      </c>
      <c r="E2529" s="42"/>
      <c r="F2529" s="43" t="s">
        <v>6525</v>
      </c>
      <c r="G2529" s="43" t="str">
        <f t="shared" si="60"/>
        <v>70713712901239</v>
      </c>
      <c r="H2529" s="44" t="s">
        <v>6526</v>
      </c>
      <c r="I2529" s="4" t="s">
        <v>6527</v>
      </c>
      <c r="J2529" s="4" t="s">
        <v>6528</v>
      </c>
      <c r="K2529" s="44" t="s">
        <v>230</v>
      </c>
      <c r="L2529" s="44">
        <v>3105152322</v>
      </c>
      <c r="M2529" s="7" t="s">
        <v>45</v>
      </c>
      <c r="N2529" s="12" t="s">
        <v>259</v>
      </c>
      <c r="O2529" s="12" t="s">
        <v>260</v>
      </c>
      <c r="P2529" s="4" t="s">
        <v>261</v>
      </c>
      <c r="Q2529" s="69">
        <v>45560</v>
      </c>
      <c r="R2529" s="11">
        <v>0.98499999999999999</v>
      </c>
      <c r="S2529" s="4" t="s">
        <v>210</v>
      </c>
      <c r="T2529" s="14"/>
      <c r="U2529" s="14"/>
      <c r="V2529" s="70"/>
      <c r="W2529" s="14"/>
      <c r="X2529" s="42"/>
      <c r="Y2529" s="14"/>
      <c r="Z2529" s="14"/>
      <c r="AA2529" s="14"/>
      <c r="AC2529" s="14"/>
      <c r="AD2529" s="14"/>
      <c r="AE2529" s="14"/>
      <c r="AF2529" s="20"/>
      <c r="AH2529" s="14"/>
      <c r="AI2529" s="14"/>
      <c r="AJ2529" s="14"/>
      <c r="AK2529" s="20"/>
      <c r="AM2529" s="14"/>
      <c r="AN2529" s="14"/>
      <c r="AO2529" s="14"/>
      <c r="AU2529" s="71" t="s">
        <v>53</v>
      </c>
    </row>
    <row r="2530" spans="1:47" s="12" customFormat="1" ht="23.25" hidden="1" customHeight="1" x14ac:dyDescent="0.3">
      <c r="A2530" s="42" t="s">
        <v>39</v>
      </c>
      <c r="B2530" s="42" t="s">
        <v>6453</v>
      </c>
      <c r="C2530" s="42">
        <v>70</v>
      </c>
      <c r="D2530" s="42">
        <v>713</v>
      </c>
      <c r="E2530" s="42"/>
      <c r="F2530" s="43" t="s">
        <v>6529</v>
      </c>
      <c r="G2530" s="43" t="str">
        <f t="shared" si="60"/>
        <v>7071371290123</v>
      </c>
      <c r="H2530" s="4" t="s">
        <v>6530</v>
      </c>
      <c r="I2530" s="45">
        <v>71290123</v>
      </c>
      <c r="J2530" s="4" t="s">
        <v>6531</v>
      </c>
      <c r="K2530" s="44" t="s">
        <v>230</v>
      </c>
      <c r="L2530" s="44" t="s">
        <v>45</v>
      </c>
      <c r="M2530" s="7" t="s">
        <v>45</v>
      </c>
      <c r="N2530" s="12" t="s">
        <v>259</v>
      </c>
      <c r="O2530" s="12" t="s">
        <v>260</v>
      </c>
      <c r="P2530" s="4" t="s">
        <v>261</v>
      </c>
      <c r="Q2530" s="4"/>
      <c r="R2530" s="11"/>
      <c r="S2530" s="4"/>
      <c r="T2530" s="14"/>
      <c r="U2530" s="14"/>
      <c r="V2530" s="70"/>
      <c r="W2530" s="14"/>
      <c r="X2530" s="42"/>
      <c r="Y2530" s="14"/>
      <c r="Z2530" s="14"/>
      <c r="AA2530" s="14"/>
      <c r="AC2530" s="14"/>
      <c r="AD2530" s="14"/>
      <c r="AE2530" s="14"/>
      <c r="AF2530" s="20"/>
      <c r="AH2530" s="14"/>
      <c r="AI2530" s="14"/>
      <c r="AJ2530" s="14"/>
      <c r="AK2530" s="20"/>
      <c r="AM2530" s="14"/>
      <c r="AN2530" s="14"/>
      <c r="AO2530" s="14"/>
      <c r="AU2530" s="71" t="s">
        <v>53</v>
      </c>
    </row>
    <row r="2531" spans="1:47" s="12" customFormat="1" ht="23.25" hidden="1" customHeight="1" x14ac:dyDescent="0.3">
      <c r="A2531" s="42" t="s">
        <v>39</v>
      </c>
      <c r="B2531" s="42" t="s">
        <v>6453</v>
      </c>
      <c r="C2531" s="42">
        <v>70</v>
      </c>
      <c r="D2531" s="42">
        <v>713</v>
      </c>
      <c r="E2531" s="42"/>
      <c r="F2531" s="43" t="s">
        <v>2064</v>
      </c>
      <c r="G2531" s="43" t="str">
        <f t="shared" si="60"/>
        <v>7071343322276</v>
      </c>
      <c r="H2531" s="4" t="s">
        <v>6532</v>
      </c>
      <c r="I2531" s="45">
        <v>43322276</v>
      </c>
      <c r="J2531" s="4" t="s">
        <v>6533</v>
      </c>
      <c r="K2531" s="44" t="s">
        <v>230</v>
      </c>
      <c r="L2531" s="44" t="s">
        <v>45</v>
      </c>
      <c r="M2531" s="7" t="s">
        <v>45</v>
      </c>
      <c r="N2531" s="12" t="s">
        <v>46</v>
      </c>
      <c r="O2531" s="12" t="s">
        <v>2797</v>
      </c>
      <c r="P2531" s="4" t="s">
        <v>261</v>
      </c>
      <c r="Q2531" s="4"/>
      <c r="R2531" s="11"/>
      <c r="S2531" s="4"/>
      <c r="T2531" s="14"/>
      <c r="U2531" s="14"/>
      <c r="V2531" s="70"/>
      <c r="W2531" s="14"/>
      <c r="X2531" s="42"/>
      <c r="Y2531" s="14"/>
      <c r="Z2531" s="14"/>
      <c r="AA2531" s="14"/>
      <c r="AC2531" s="14"/>
      <c r="AD2531" s="14"/>
      <c r="AE2531" s="14"/>
      <c r="AF2531" s="20"/>
      <c r="AH2531" s="14"/>
      <c r="AI2531" s="14"/>
      <c r="AJ2531" s="14"/>
      <c r="AK2531" s="20"/>
      <c r="AM2531" s="14"/>
      <c r="AN2531" s="14"/>
      <c r="AO2531" s="14"/>
      <c r="AU2531" s="71" t="s">
        <v>53</v>
      </c>
    </row>
    <row r="2532" spans="1:47" s="12" customFormat="1" ht="23.25" hidden="1" customHeight="1" x14ac:dyDescent="0.3">
      <c r="A2532" s="42" t="s">
        <v>39</v>
      </c>
      <c r="B2532" s="42" t="s">
        <v>6453</v>
      </c>
      <c r="C2532" s="42">
        <v>70</v>
      </c>
      <c r="D2532" s="42">
        <v>713</v>
      </c>
      <c r="E2532" s="42"/>
      <c r="F2532" s="42" t="s">
        <v>6534</v>
      </c>
      <c r="G2532" s="43" t="str">
        <f t="shared" si="60"/>
        <v>7071313516024</v>
      </c>
      <c r="H2532" s="14" t="s">
        <v>6535</v>
      </c>
      <c r="I2532" s="12">
        <v>13516024</v>
      </c>
      <c r="J2532" s="14" t="s">
        <v>6536</v>
      </c>
      <c r="K2532" s="44" t="s">
        <v>230</v>
      </c>
      <c r="L2532" s="74">
        <v>3126869307</v>
      </c>
      <c r="M2532" s="17" t="s">
        <v>6537</v>
      </c>
      <c r="N2532" s="12" t="s">
        <v>46</v>
      </c>
      <c r="O2532" s="12" t="s">
        <v>2797</v>
      </c>
      <c r="P2532" s="4" t="s">
        <v>261</v>
      </c>
      <c r="Q2532" s="76">
        <v>45747</v>
      </c>
      <c r="R2532" s="77">
        <v>0.79</v>
      </c>
      <c r="S2532" s="4" t="s">
        <v>49</v>
      </c>
      <c r="T2532" s="14"/>
      <c r="U2532" s="14"/>
      <c r="V2532" s="70"/>
      <c r="W2532" s="14"/>
      <c r="X2532" s="42"/>
      <c r="Y2532" s="14"/>
      <c r="Z2532" s="14"/>
      <c r="AA2532" s="14"/>
      <c r="AC2532" s="14"/>
      <c r="AD2532" s="14"/>
      <c r="AE2532" s="14"/>
      <c r="AF2532" s="20"/>
      <c r="AH2532" s="14"/>
      <c r="AI2532" s="14"/>
      <c r="AJ2532" s="14"/>
      <c r="AK2532" s="20"/>
      <c r="AM2532" s="14"/>
      <c r="AN2532" s="14"/>
      <c r="AO2532" s="14"/>
      <c r="AU2532" s="71" t="s">
        <v>53</v>
      </c>
    </row>
    <row r="2533" spans="1:47" s="12" customFormat="1" ht="23.25" hidden="1" customHeight="1" x14ac:dyDescent="0.3">
      <c r="A2533" s="42" t="s">
        <v>39</v>
      </c>
      <c r="B2533" s="42" t="s">
        <v>6453</v>
      </c>
      <c r="C2533" s="42">
        <v>70</v>
      </c>
      <c r="D2533" s="42">
        <v>713</v>
      </c>
      <c r="E2533" s="42" t="s">
        <v>8642</v>
      </c>
      <c r="F2533" s="277" t="s">
        <v>8769</v>
      </c>
      <c r="G2533" s="43" t="str">
        <f t="shared" si="60"/>
        <v>707139020247794</v>
      </c>
      <c r="H2533" s="14" t="s">
        <v>710</v>
      </c>
      <c r="I2533" s="12">
        <v>9020247794</v>
      </c>
      <c r="J2533" s="14" t="s">
        <v>6539</v>
      </c>
      <c r="K2533" s="44" t="s">
        <v>133</v>
      </c>
      <c r="L2533" s="74">
        <v>3127496236</v>
      </c>
      <c r="M2533" s="17" t="s">
        <v>8644</v>
      </c>
      <c r="N2533" s="12" t="s">
        <v>127</v>
      </c>
      <c r="O2533" s="12" t="s">
        <v>2822</v>
      </c>
      <c r="P2533" s="4" t="s">
        <v>48</v>
      </c>
      <c r="Q2533" s="13">
        <v>46136</v>
      </c>
      <c r="R2533" s="12">
        <v>87</v>
      </c>
      <c r="S2533" s="12" t="s">
        <v>49</v>
      </c>
      <c r="T2533" s="14"/>
      <c r="U2533" s="14"/>
      <c r="V2533" s="76">
        <v>45729</v>
      </c>
      <c r="W2533" s="77">
        <v>0.84</v>
      </c>
      <c r="X2533" s="4" t="s">
        <v>49</v>
      </c>
      <c r="Y2533" s="14"/>
      <c r="Z2533" s="14" t="s">
        <v>2881</v>
      </c>
      <c r="AA2533" s="14"/>
      <c r="AC2533" s="14"/>
      <c r="AD2533" s="14"/>
      <c r="AE2533" s="14"/>
      <c r="AF2533" s="20"/>
      <c r="AH2533" s="14"/>
      <c r="AI2533" s="14"/>
      <c r="AJ2533" s="14"/>
      <c r="AK2533" s="20"/>
      <c r="AM2533" s="14"/>
      <c r="AN2533" s="14"/>
      <c r="AO2533" s="14"/>
      <c r="AU2533" s="71" t="s">
        <v>53</v>
      </c>
    </row>
    <row r="2534" spans="1:47" s="12" customFormat="1" ht="23.25" hidden="1" customHeight="1" x14ac:dyDescent="0.3">
      <c r="A2534" s="42" t="s">
        <v>39</v>
      </c>
      <c r="B2534" s="42" t="s">
        <v>6453</v>
      </c>
      <c r="C2534" s="42">
        <v>70</v>
      </c>
      <c r="D2534" s="42">
        <v>713</v>
      </c>
      <c r="E2534" s="42"/>
      <c r="F2534" s="42" t="s">
        <v>6540</v>
      </c>
      <c r="G2534" s="43" t="str">
        <f t="shared" si="60"/>
        <v>707131101696112</v>
      </c>
      <c r="H2534" s="14" t="s">
        <v>6541</v>
      </c>
      <c r="I2534" s="12">
        <v>1101696112</v>
      </c>
      <c r="J2534" s="14" t="s">
        <v>6542</v>
      </c>
      <c r="K2534" s="44" t="s">
        <v>230</v>
      </c>
      <c r="L2534" s="12">
        <v>3246850121</v>
      </c>
      <c r="M2534" s="17" t="s">
        <v>6543</v>
      </c>
      <c r="N2534" s="12" t="s">
        <v>259</v>
      </c>
      <c r="O2534" s="12" t="s">
        <v>260</v>
      </c>
      <c r="P2534" s="4" t="s">
        <v>261</v>
      </c>
      <c r="Q2534" s="76">
        <v>45755</v>
      </c>
      <c r="R2534" s="78">
        <v>0.82499999999999996</v>
      </c>
      <c r="S2534" s="4" t="s">
        <v>49</v>
      </c>
      <c r="T2534" s="14"/>
      <c r="U2534" s="14"/>
      <c r="V2534" s="70"/>
      <c r="W2534" s="14"/>
      <c r="X2534" s="42"/>
      <c r="Y2534" s="14"/>
      <c r="Z2534" s="14"/>
      <c r="AA2534" s="14"/>
      <c r="AC2534" s="14"/>
      <c r="AD2534" s="14"/>
      <c r="AE2534" s="14"/>
      <c r="AF2534" s="20"/>
      <c r="AH2534" s="14"/>
      <c r="AI2534" s="14"/>
      <c r="AJ2534" s="14"/>
      <c r="AK2534" s="20"/>
      <c r="AM2534" s="14"/>
      <c r="AN2534" s="14"/>
      <c r="AO2534" s="14"/>
      <c r="AU2534" s="71" t="s">
        <v>53</v>
      </c>
    </row>
    <row r="2535" spans="1:47" s="12" customFormat="1" ht="23.25" hidden="1" customHeight="1" x14ac:dyDescent="0.3">
      <c r="A2535" s="42" t="s">
        <v>39</v>
      </c>
      <c r="B2535" s="42" t="s">
        <v>6453</v>
      </c>
      <c r="C2535" s="42">
        <v>70</v>
      </c>
      <c r="D2535" s="42">
        <v>713</v>
      </c>
      <c r="E2535" s="42"/>
      <c r="F2535" s="42" t="s">
        <v>6544</v>
      </c>
      <c r="G2535" s="43" t="str">
        <f t="shared" si="60"/>
        <v>70713110457382</v>
      </c>
      <c r="H2535" s="14" t="s">
        <v>6462</v>
      </c>
      <c r="I2535" s="12">
        <v>110457382</v>
      </c>
      <c r="J2535" s="14" t="s">
        <v>6545</v>
      </c>
      <c r="K2535" s="44" t="s">
        <v>230</v>
      </c>
      <c r="L2535" s="74">
        <v>3015205992</v>
      </c>
      <c r="M2535" s="17" t="s">
        <v>6546</v>
      </c>
      <c r="N2535" s="12" t="s">
        <v>259</v>
      </c>
      <c r="O2535" s="12" t="s">
        <v>260</v>
      </c>
      <c r="P2535" s="4" t="s">
        <v>261</v>
      </c>
      <c r="Q2535" s="76">
        <v>45746</v>
      </c>
      <c r="R2535" s="77">
        <v>0.79</v>
      </c>
      <c r="S2535" s="4" t="s">
        <v>49</v>
      </c>
      <c r="T2535" s="14"/>
      <c r="U2535" s="14"/>
      <c r="V2535" s="70"/>
      <c r="W2535" s="14"/>
      <c r="X2535" s="42"/>
      <c r="Y2535" s="14"/>
      <c r="Z2535" s="14"/>
      <c r="AA2535" s="14"/>
      <c r="AC2535" s="14"/>
      <c r="AD2535" s="14"/>
      <c r="AE2535" s="14"/>
      <c r="AF2535" s="20"/>
      <c r="AH2535" s="14"/>
      <c r="AI2535" s="14"/>
      <c r="AJ2535" s="14"/>
      <c r="AK2535" s="20"/>
      <c r="AM2535" s="14"/>
      <c r="AN2535" s="14"/>
      <c r="AO2535" s="14"/>
      <c r="AU2535" s="71" t="s">
        <v>53</v>
      </c>
    </row>
    <row r="2536" spans="1:47" s="12" customFormat="1" ht="23.25" hidden="1" customHeight="1" x14ac:dyDescent="0.3">
      <c r="A2536" s="42" t="s">
        <v>39</v>
      </c>
      <c r="B2536" s="42" t="s">
        <v>6453</v>
      </c>
      <c r="C2536" s="42">
        <v>70</v>
      </c>
      <c r="D2536" s="42">
        <v>713</v>
      </c>
      <c r="E2536" s="42"/>
      <c r="F2536" s="42" t="s">
        <v>6547</v>
      </c>
      <c r="G2536" s="43" t="str">
        <f t="shared" si="60"/>
        <v>70713892280132</v>
      </c>
      <c r="H2536" s="14" t="s">
        <v>6548</v>
      </c>
      <c r="I2536" s="12" t="s">
        <v>6549</v>
      </c>
      <c r="J2536" s="14" t="s">
        <v>6550</v>
      </c>
      <c r="K2536" s="44" t="s">
        <v>230</v>
      </c>
      <c r="L2536" s="74">
        <v>3206277985</v>
      </c>
      <c r="M2536" s="17" t="s">
        <v>6551</v>
      </c>
      <c r="N2536" s="12" t="s">
        <v>432</v>
      </c>
      <c r="O2536" s="12" t="s">
        <v>432</v>
      </c>
      <c r="P2536" s="4" t="s">
        <v>261</v>
      </c>
      <c r="Q2536" s="76">
        <v>45729</v>
      </c>
      <c r="R2536" s="78">
        <v>0.85499999999999998</v>
      </c>
      <c r="S2536" s="4" t="s">
        <v>49</v>
      </c>
      <c r="T2536" s="14"/>
      <c r="U2536" s="14"/>
      <c r="V2536" s="70"/>
      <c r="W2536" s="14"/>
      <c r="X2536" s="42"/>
      <c r="Y2536" s="14"/>
      <c r="Z2536" s="14"/>
      <c r="AA2536" s="14"/>
      <c r="AC2536" s="14"/>
      <c r="AD2536" s="14"/>
      <c r="AE2536" s="14"/>
      <c r="AF2536" s="20"/>
      <c r="AH2536" s="14"/>
      <c r="AI2536" s="14"/>
      <c r="AJ2536" s="14"/>
      <c r="AK2536" s="20"/>
      <c r="AM2536" s="14"/>
      <c r="AN2536" s="14"/>
      <c r="AO2536" s="14"/>
      <c r="AU2536" s="71" t="s">
        <v>53</v>
      </c>
    </row>
    <row r="2537" spans="1:47" s="12" customFormat="1" ht="23.25" hidden="1" customHeight="1" x14ac:dyDescent="0.3">
      <c r="A2537" s="42" t="s">
        <v>39</v>
      </c>
      <c r="B2537" s="42" t="s">
        <v>6453</v>
      </c>
      <c r="C2537" s="42">
        <v>70</v>
      </c>
      <c r="D2537" s="42">
        <v>713</v>
      </c>
      <c r="E2537" s="42"/>
      <c r="F2537" s="42" t="s">
        <v>6552</v>
      </c>
      <c r="G2537" s="43" t="str">
        <f t="shared" si="60"/>
        <v>707131101454794</v>
      </c>
      <c r="H2537" s="14" t="s">
        <v>6553</v>
      </c>
      <c r="I2537" s="12">
        <v>1101454794</v>
      </c>
      <c r="J2537" s="14" t="s">
        <v>6554</v>
      </c>
      <c r="K2537" s="44" t="s">
        <v>230</v>
      </c>
      <c r="L2537" s="74">
        <v>3205456982</v>
      </c>
      <c r="M2537" s="17" t="s">
        <v>6555</v>
      </c>
      <c r="N2537" s="12" t="s">
        <v>432</v>
      </c>
      <c r="O2537" s="12" t="s">
        <v>432</v>
      </c>
      <c r="P2537" s="4" t="s">
        <v>261</v>
      </c>
      <c r="Q2537" s="76">
        <v>45744</v>
      </c>
      <c r="R2537" s="78">
        <v>0.82499999999999996</v>
      </c>
      <c r="S2537" s="4" t="s">
        <v>49</v>
      </c>
      <c r="T2537" s="14"/>
      <c r="U2537" s="14"/>
      <c r="V2537" s="70"/>
      <c r="W2537" s="14"/>
      <c r="X2537" s="42"/>
      <c r="Y2537" s="14"/>
      <c r="Z2537" s="14"/>
      <c r="AA2537" s="14"/>
      <c r="AC2537" s="14"/>
      <c r="AD2537" s="14"/>
      <c r="AE2537" s="14"/>
      <c r="AF2537" s="20"/>
      <c r="AH2537" s="14"/>
      <c r="AI2537" s="14"/>
      <c r="AJ2537" s="14"/>
      <c r="AK2537" s="20"/>
      <c r="AM2537" s="14"/>
      <c r="AN2537" s="14"/>
      <c r="AO2537" s="14"/>
      <c r="AU2537" s="71" t="s">
        <v>53</v>
      </c>
    </row>
    <row r="2538" spans="1:47" s="12" customFormat="1" ht="23.25" hidden="1" customHeight="1" x14ac:dyDescent="0.3">
      <c r="A2538" s="42" t="s">
        <v>39</v>
      </c>
      <c r="B2538" s="42" t="s">
        <v>6453</v>
      </c>
      <c r="C2538" s="42">
        <v>70</v>
      </c>
      <c r="D2538" s="42">
        <v>713</v>
      </c>
      <c r="E2538" s="42"/>
      <c r="F2538" s="42" t="s">
        <v>6556</v>
      </c>
      <c r="G2538" s="43" t="str">
        <f t="shared" si="60"/>
        <v>707131101873435</v>
      </c>
      <c r="H2538" s="14" t="s">
        <v>6557</v>
      </c>
      <c r="I2538" s="12">
        <v>1101873435</v>
      </c>
      <c r="J2538" s="14" t="s">
        <v>6558</v>
      </c>
      <c r="K2538" s="44" t="s">
        <v>230</v>
      </c>
      <c r="L2538" s="74">
        <v>3116851669</v>
      </c>
      <c r="M2538" s="17" t="s">
        <v>6559</v>
      </c>
      <c r="N2538" s="12" t="s">
        <v>432</v>
      </c>
      <c r="O2538" s="12" t="s">
        <v>432</v>
      </c>
      <c r="P2538" s="4" t="s">
        <v>261</v>
      </c>
      <c r="Q2538" s="76">
        <v>45734</v>
      </c>
      <c r="R2538" s="77">
        <v>0.75</v>
      </c>
      <c r="S2538" s="4" t="s">
        <v>49</v>
      </c>
      <c r="T2538" s="14"/>
      <c r="U2538" s="14"/>
      <c r="V2538" s="70"/>
      <c r="W2538" s="14"/>
      <c r="X2538" s="42"/>
      <c r="Y2538" s="14"/>
      <c r="Z2538" s="14"/>
      <c r="AA2538" s="14"/>
      <c r="AC2538" s="14"/>
      <c r="AD2538" s="14"/>
      <c r="AE2538" s="14"/>
      <c r="AF2538" s="20"/>
      <c r="AH2538" s="14"/>
      <c r="AI2538" s="14"/>
      <c r="AJ2538" s="14"/>
      <c r="AK2538" s="20"/>
      <c r="AM2538" s="14"/>
      <c r="AN2538" s="14"/>
      <c r="AO2538" s="14"/>
      <c r="AU2538" s="71" t="s">
        <v>53</v>
      </c>
    </row>
    <row r="2539" spans="1:47" s="12" customFormat="1" ht="23.25" hidden="1" customHeight="1" x14ac:dyDescent="0.3">
      <c r="A2539" s="42" t="s">
        <v>39</v>
      </c>
      <c r="B2539" s="42" t="s">
        <v>6453</v>
      </c>
      <c r="C2539" s="42">
        <v>70</v>
      </c>
      <c r="D2539" s="42">
        <v>713</v>
      </c>
      <c r="E2539" s="42" t="s">
        <v>196</v>
      </c>
      <c r="F2539" s="42" t="s">
        <v>8309</v>
      </c>
      <c r="G2539" s="43" t="str">
        <f t="shared" si="60"/>
        <v>707139017484310</v>
      </c>
      <c r="H2539" s="14" t="s">
        <v>6538</v>
      </c>
      <c r="I2539" s="12" t="s">
        <v>198</v>
      </c>
      <c r="J2539" s="14" t="s">
        <v>6560</v>
      </c>
      <c r="K2539" s="44" t="s">
        <v>133</v>
      </c>
      <c r="L2539" s="74">
        <v>3103155698</v>
      </c>
      <c r="M2539" s="17" t="s">
        <v>200</v>
      </c>
      <c r="N2539" s="12" t="s">
        <v>127</v>
      </c>
      <c r="O2539" s="12" t="s">
        <v>2822</v>
      </c>
      <c r="P2539" s="4" t="s">
        <v>48</v>
      </c>
      <c r="Q2539" s="76">
        <v>45729</v>
      </c>
      <c r="R2539" s="78">
        <v>0.83499999999999996</v>
      </c>
      <c r="S2539" s="4" t="s">
        <v>49</v>
      </c>
      <c r="T2539" s="14"/>
      <c r="U2539" s="14"/>
      <c r="V2539" s="70"/>
      <c r="W2539" s="14"/>
      <c r="X2539" s="42"/>
      <c r="Y2539" s="14"/>
      <c r="Z2539" s="14"/>
      <c r="AA2539" s="14"/>
      <c r="AC2539" s="14"/>
      <c r="AD2539" s="14"/>
      <c r="AE2539" s="14"/>
      <c r="AF2539" s="20"/>
      <c r="AH2539" s="14"/>
      <c r="AI2539" s="14"/>
      <c r="AJ2539" s="14"/>
      <c r="AK2539" s="20"/>
      <c r="AM2539" s="14"/>
      <c r="AN2539" s="14"/>
      <c r="AO2539" s="14"/>
      <c r="AU2539" s="71" t="s">
        <v>53</v>
      </c>
    </row>
    <row r="2540" spans="1:47" s="12" customFormat="1" ht="23.25" hidden="1" customHeight="1" x14ac:dyDescent="0.3">
      <c r="A2540" s="42" t="s">
        <v>39</v>
      </c>
      <c r="B2540" s="42" t="s">
        <v>6453</v>
      </c>
      <c r="C2540" s="42">
        <v>70</v>
      </c>
      <c r="D2540" s="42">
        <v>713</v>
      </c>
      <c r="E2540" s="42" t="s">
        <v>8642</v>
      </c>
      <c r="F2540" s="277" t="s">
        <v>9466</v>
      </c>
      <c r="G2540" s="43" t="str">
        <f t="shared" si="60"/>
        <v>707139020247794</v>
      </c>
      <c r="H2540" s="14" t="s">
        <v>6538</v>
      </c>
      <c r="I2540" s="12">
        <v>9020247794</v>
      </c>
      <c r="J2540" s="14" t="s">
        <v>8457</v>
      </c>
      <c r="K2540" s="12" t="s">
        <v>133</v>
      </c>
      <c r="L2540" s="74">
        <v>3004469873</v>
      </c>
      <c r="M2540" s="17" t="s">
        <v>8458</v>
      </c>
      <c r="N2540" s="12" t="s">
        <v>127</v>
      </c>
      <c r="O2540" s="12" t="s">
        <v>2822</v>
      </c>
      <c r="P2540" s="4" t="s">
        <v>48</v>
      </c>
      <c r="Q2540" s="13">
        <v>46069</v>
      </c>
      <c r="R2540" s="12">
        <v>73</v>
      </c>
      <c r="S2540" s="12" t="s">
        <v>49</v>
      </c>
      <c r="T2540" s="14"/>
      <c r="U2540" s="14" t="s">
        <v>50</v>
      </c>
      <c r="V2540" s="76">
        <v>45729</v>
      </c>
      <c r="W2540" s="77">
        <v>0.8</v>
      </c>
      <c r="X2540" s="4" t="s">
        <v>49</v>
      </c>
      <c r="Y2540" s="14"/>
      <c r="Z2540" s="14" t="s">
        <v>2881</v>
      </c>
      <c r="AA2540" s="14"/>
      <c r="AC2540" s="14"/>
      <c r="AD2540" s="14"/>
      <c r="AE2540" s="14"/>
      <c r="AF2540" s="20"/>
      <c r="AH2540" s="14"/>
      <c r="AI2540" s="14"/>
      <c r="AJ2540" s="14"/>
      <c r="AK2540" s="20"/>
      <c r="AM2540" s="14"/>
      <c r="AN2540" s="14"/>
      <c r="AO2540" s="14"/>
      <c r="AU2540" s="71" t="s">
        <v>53</v>
      </c>
    </row>
    <row r="2541" spans="1:47" s="12" customFormat="1" ht="23.25" hidden="1" customHeight="1" x14ac:dyDescent="0.3">
      <c r="A2541" s="42" t="s">
        <v>39</v>
      </c>
      <c r="B2541" s="42" t="s">
        <v>6453</v>
      </c>
      <c r="C2541" s="42">
        <v>70</v>
      </c>
      <c r="D2541" s="42">
        <v>713</v>
      </c>
      <c r="E2541" s="42" t="s">
        <v>8642</v>
      </c>
      <c r="F2541" s="277" t="s">
        <v>9468</v>
      </c>
      <c r="G2541" s="43" t="str">
        <f t="shared" si="60"/>
        <v>707139020247794</v>
      </c>
      <c r="H2541" s="14" t="s">
        <v>6538</v>
      </c>
      <c r="I2541" s="12">
        <v>9020247794</v>
      </c>
      <c r="J2541" s="14" t="s">
        <v>6561</v>
      </c>
      <c r="K2541" s="44" t="s">
        <v>133</v>
      </c>
      <c r="L2541" s="74">
        <v>3174888342</v>
      </c>
      <c r="M2541" s="17" t="s">
        <v>8644</v>
      </c>
      <c r="N2541" s="12" t="s">
        <v>127</v>
      </c>
      <c r="O2541" s="12" t="s">
        <v>2822</v>
      </c>
      <c r="P2541" s="4" t="s">
        <v>48</v>
      </c>
      <c r="Q2541" s="13">
        <v>46106</v>
      </c>
      <c r="R2541" s="12">
        <v>87</v>
      </c>
      <c r="S2541" s="12" t="s">
        <v>49</v>
      </c>
      <c r="T2541" s="14"/>
      <c r="U2541" s="14" t="s">
        <v>50</v>
      </c>
      <c r="V2541" s="76">
        <v>45728</v>
      </c>
      <c r="W2541" s="77">
        <v>0.86</v>
      </c>
      <c r="X2541" s="4" t="s">
        <v>49</v>
      </c>
      <c r="Y2541" s="14"/>
      <c r="Z2541" s="14" t="s">
        <v>2881</v>
      </c>
      <c r="AA2541" s="14"/>
      <c r="AC2541" s="14"/>
      <c r="AD2541" s="14"/>
      <c r="AE2541" s="14"/>
      <c r="AF2541" s="20"/>
      <c r="AH2541" s="14"/>
      <c r="AI2541" s="14"/>
      <c r="AJ2541" s="14"/>
      <c r="AK2541" s="20"/>
      <c r="AM2541" s="14"/>
      <c r="AN2541" s="14"/>
      <c r="AO2541" s="14"/>
      <c r="AU2541" s="71" t="s">
        <v>53</v>
      </c>
    </row>
    <row r="2542" spans="1:47" s="12" customFormat="1" ht="23.25" hidden="1" customHeight="1" x14ac:dyDescent="0.3">
      <c r="A2542" s="42" t="s">
        <v>39</v>
      </c>
      <c r="B2542" s="42" t="s">
        <v>6453</v>
      </c>
      <c r="C2542" s="42">
        <v>70</v>
      </c>
      <c r="D2542" s="42">
        <v>713</v>
      </c>
      <c r="E2542" s="42" t="s">
        <v>8642</v>
      </c>
      <c r="F2542" s="277" t="s">
        <v>9467</v>
      </c>
      <c r="G2542" s="43" t="str">
        <f t="shared" si="60"/>
        <v>707139020247794</v>
      </c>
      <c r="H2542" s="14" t="s">
        <v>6538</v>
      </c>
      <c r="I2542" s="12">
        <v>9020247794</v>
      </c>
      <c r="J2542" s="14" t="s">
        <v>6562</v>
      </c>
      <c r="K2542" s="44" t="s">
        <v>133</v>
      </c>
      <c r="L2542" s="74">
        <v>3103155698</v>
      </c>
      <c r="M2542" s="17" t="s">
        <v>8643</v>
      </c>
      <c r="N2542" s="12" t="s">
        <v>127</v>
      </c>
      <c r="O2542" s="12" t="s">
        <v>2822</v>
      </c>
      <c r="P2542" s="4" t="s">
        <v>48</v>
      </c>
      <c r="Q2542" s="13">
        <v>46080</v>
      </c>
      <c r="R2542" s="12">
        <v>87</v>
      </c>
      <c r="S2542" s="12" t="s">
        <v>49</v>
      </c>
      <c r="T2542" s="14"/>
      <c r="U2542" s="14" t="s">
        <v>50</v>
      </c>
      <c r="V2542" s="76">
        <v>45728</v>
      </c>
      <c r="W2542" s="77">
        <v>0.78</v>
      </c>
      <c r="X2542" s="4" t="s">
        <v>49</v>
      </c>
      <c r="Y2542" s="14"/>
      <c r="Z2542" s="14" t="s">
        <v>2881</v>
      </c>
      <c r="AA2542" s="14"/>
      <c r="AC2542" s="14"/>
      <c r="AD2542" s="14"/>
      <c r="AE2542" s="14"/>
      <c r="AF2542" s="20"/>
      <c r="AH2542" s="14"/>
      <c r="AI2542" s="14"/>
      <c r="AJ2542" s="14"/>
      <c r="AK2542" s="20"/>
      <c r="AM2542" s="14"/>
      <c r="AN2542" s="14"/>
      <c r="AO2542" s="14"/>
      <c r="AU2542" s="71" t="s">
        <v>53</v>
      </c>
    </row>
    <row r="2543" spans="1:47" s="12" customFormat="1" ht="23.25" hidden="1" customHeight="1" x14ac:dyDescent="0.3">
      <c r="A2543" s="42" t="s">
        <v>39</v>
      </c>
      <c r="B2543" s="42" t="s">
        <v>6453</v>
      </c>
      <c r="C2543" s="42">
        <v>70</v>
      </c>
      <c r="D2543" s="42">
        <v>713</v>
      </c>
      <c r="E2543" s="42" t="s">
        <v>8642</v>
      </c>
      <c r="F2543" s="277" t="s">
        <v>8310</v>
      </c>
      <c r="G2543" s="43" t="str">
        <f t="shared" si="60"/>
        <v>707139020247794</v>
      </c>
      <c r="H2543" s="14" t="s">
        <v>6538</v>
      </c>
      <c r="I2543" s="12">
        <v>9020247794</v>
      </c>
      <c r="J2543" s="14" t="s">
        <v>6563</v>
      </c>
      <c r="K2543" s="44" t="s">
        <v>133</v>
      </c>
      <c r="L2543" s="74">
        <v>3103155698</v>
      </c>
      <c r="M2543" s="17" t="s">
        <v>8335</v>
      </c>
      <c r="N2543" s="12" t="s">
        <v>127</v>
      </c>
      <c r="O2543" s="12" t="s">
        <v>2822</v>
      </c>
      <c r="P2543" s="4" t="s">
        <v>48</v>
      </c>
      <c r="Q2543" s="13">
        <v>46105</v>
      </c>
      <c r="R2543" s="12">
        <v>82</v>
      </c>
      <c r="S2543" s="12" t="s">
        <v>49</v>
      </c>
      <c r="T2543" s="14"/>
      <c r="U2543" s="14" t="s">
        <v>50</v>
      </c>
      <c r="V2543" s="76">
        <v>45882</v>
      </c>
      <c r="W2543" s="77">
        <v>0.82</v>
      </c>
      <c r="X2543" s="4" t="s">
        <v>49</v>
      </c>
      <c r="Y2543" s="14"/>
      <c r="Z2543" s="14" t="s">
        <v>2881</v>
      </c>
      <c r="AA2543" s="14"/>
      <c r="AC2543" s="14"/>
      <c r="AD2543" s="14"/>
      <c r="AE2543" s="14"/>
      <c r="AF2543" s="20"/>
      <c r="AH2543" s="14"/>
      <c r="AI2543" s="14"/>
      <c r="AJ2543" s="14"/>
      <c r="AK2543" s="20"/>
      <c r="AM2543" s="14"/>
      <c r="AN2543" s="14"/>
      <c r="AO2543" s="14"/>
      <c r="AU2543" s="71" t="s">
        <v>53</v>
      </c>
    </row>
    <row r="2544" spans="1:47" s="12" customFormat="1" ht="23.25" hidden="1" customHeight="1" x14ac:dyDescent="0.3">
      <c r="A2544" s="42" t="s">
        <v>39</v>
      </c>
      <c r="B2544" s="42" t="s">
        <v>6453</v>
      </c>
      <c r="C2544" s="42">
        <v>70</v>
      </c>
      <c r="D2544" s="42">
        <v>713</v>
      </c>
      <c r="E2544" s="42" t="s">
        <v>8642</v>
      </c>
      <c r="F2544" s="277" t="s">
        <v>8875</v>
      </c>
      <c r="G2544" s="43" t="str">
        <f t="shared" si="60"/>
        <v>707139020247794</v>
      </c>
      <c r="H2544" s="14" t="s">
        <v>6538</v>
      </c>
      <c r="I2544" s="12">
        <v>9020247794</v>
      </c>
      <c r="J2544" s="14" t="s">
        <v>8876</v>
      </c>
      <c r="K2544" s="44" t="s">
        <v>133</v>
      </c>
      <c r="L2544" s="74">
        <v>3217024649</v>
      </c>
      <c r="M2544" s="17" t="s">
        <v>8335</v>
      </c>
      <c r="N2544" s="12" t="s">
        <v>127</v>
      </c>
      <c r="O2544" s="12" t="s">
        <v>2822</v>
      </c>
      <c r="P2544" s="4" t="s">
        <v>48</v>
      </c>
      <c r="Q2544" s="13">
        <v>46141</v>
      </c>
      <c r="R2544" s="12" t="s">
        <v>8421</v>
      </c>
      <c r="S2544" s="12" t="s">
        <v>49</v>
      </c>
      <c r="T2544" s="14"/>
      <c r="U2544" s="14" t="s">
        <v>50</v>
      </c>
      <c r="V2544" s="76"/>
      <c r="W2544" s="77"/>
      <c r="X2544" s="4"/>
      <c r="Y2544" s="14"/>
      <c r="Z2544" s="14"/>
      <c r="AA2544" s="14"/>
      <c r="AC2544" s="14"/>
      <c r="AD2544" s="14"/>
      <c r="AE2544" s="14"/>
      <c r="AF2544" s="20"/>
      <c r="AH2544" s="14"/>
      <c r="AI2544" s="14"/>
      <c r="AJ2544" s="14"/>
      <c r="AK2544" s="20"/>
      <c r="AM2544" s="14"/>
      <c r="AN2544" s="14"/>
      <c r="AO2544" s="14"/>
      <c r="AU2544" s="71" t="s">
        <v>1208</v>
      </c>
    </row>
    <row r="2545" spans="1:47" s="12" customFormat="1" ht="23.25" hidden="1" customHeight="1" x14ac:dyDescent="0.3">
      <c r="A2545" s="42" t="s">
        <v>39</v>
      </c>
      <c r="B2545" s="42" t="s">
        <v>6453</v>
      </c>
      <c r="C2545" s="42">
        <v>70</v>
      </c>
      <c r="D2545" s="42">
        <v>713</v>
      </c>
      <c r="E2545" s="42"/>
      <c r="F2545" s="42" t="s">
        <v>6564</v>
      </c>
      <c r="G2545" s="43" t="str">
        <f t="shared" si="60"/>
        <v>70713231838421</v>
      </c>
      <c r="H2545" s="14" t="s">
        <v>6565</v>
      </c>
      <c r="I2545" s="12" t="s">
        <v>6566</v>
      </c>
      <c r="J2545" s="14" t="s">
        <v>6567</v>
      </c>
      <c r="K2545" s="44" t="s">
        <v>230</v>
      </c>
      <c r="L2545" s="74">
        <v>3046729724</v>
      </c>
      <c r="M2545" s="17" t="s">
        <v>6568</v>
      </c>
      <c r="N2545" s="12" t="s">
        <v>432</v>
      </c>
      <c r="O2545" s="12" t="s">
        <v>432</v>
      </c>
      <c r="P2545" s="4" t="s">
        <v>261</v>
      </c>
      <c r="Q2545" s="76">
        <v>45742</v>
      </c>
      <c r="R2545" s="77">
        <v>0.82</v>
      </c>
      <c r="S2545" s="4" t="s">
        <v>49</v>
      </c>
      <c r="T2545" s="14"/>
      <c r="U2545" s="14"/>
      <c r="V2545" s="70"/>
      <c r="W2545" s="14"/>
      <c r="X2545" s="42"/>
      <c r="Y2545" s="14"/>
      <c r="Z2545" s="14"/>
      <c r="AA2545" s="14"/>
      <c r="AC2545" s="14"/>
      <c r="AD2545" s="14"/>
      <c r="AE2545" s="14"/>
      <c r="AF2545" s="20"/>
      <c r="AH2545" s="14"/>
      <c r="AI2545" s="14"/>
      <c r="AJ2545" s="14"/>
      <c r="AK2545" s="20"/>
      <c r="AM2545" s="14"/>
      <c r="AN2545" s="14"/>
      <c r="AO2545" s="14"/>
      <c r="AU2545" s="71" t="s">
        <v>53</v>
      </c>
    </row>
    <row r="2546" spans="1:47" s="12" customFormat="1" ht="23.25" hidden="1" customHeight="1" x14ac:dyDescent="0.3">
      <c r="A2546" s="42" t="s">
        <v>39</v>
      </c>
      <c r="B2546" s="42" t="s">
        <v>6453</v>
      </c>
      <c r="C2546" s="42">
        <v>70</v>
      </c>
      <c r="D2546" s="42">
        <v>713</v>
      </c>
      <c r="E2546" s="42"/>
      <c r="F2546" s="42" t="s">
        <v>6569</v>
      </c>
      <c r="G2546" s="43" t="str">
        <f t="shared" si="60"/>
        <v>7071343564821</v>
      </c>
      <c r="H2546" s="14" t="s">
        <v>6570</v>
      </c>
      <c r="I2546" s="12">
        <v>43564821</v>
      </c>
      <c r="J2546" s="14" t="s">
        <v>6571</v>
      </c>
      <c r="K2546" s="44" t="s">
        <v>230</v>
      </c>
      <c r="L2546" s="74">
        <v>3153463207</v>
      </c>
      <c r="M2546" s="17" t="s">
        <v>6572</v>
      </c>
      <c r="N2546" s="12" t="s">
        <v>7648</v>
      </c>
      <c r="O2546" s="12" t="s">
        <v>7653</v>
      </c>
      <c r="P2546" s="4" t="s">
        <v>48</v>
      </c>
      <c r="Q2546" s="76">
        <v>45856</v>
      </c>
      <c r="R2546" s="77">
        <v>0.65</v>
      </c>
      <c r="S2546" s="4" t="s">
        <v>49</v>
      </c>
      <c r="T2546" s="14"/>
      <c r="U2546" s="14"/>
      <c r="V2546" s="70"/>
      <c r="W2546" s="14"/>
      <c r="X2546" s="42"/>
      <c r="Y2546" s="14"/>
      <c r="Z2546" s="14"/>
      <c r="AA2546" s="14"/>
      <c r="AC2546" s="14"/>
      <c r="AD2546" s="14"/>
      <c r="AE2546" s="14"/>
      <c r="AF2546" s="20"/>
      <c r="AH2546" s="14"/>
      <c r="AI2546" s="14"/>
      <c r="AJ2546" s="14"/>
      <c r="AK2546" s="20"/>
      <c r="AM2546" s="14"/>
      <c r="AN2546" s="14"/>
      <c r="AO2546" s="14"/>
      <c r="AU2546" s="71" t="s">
        <v>53</v>
      </c>
    </row>
    <row r="2547" spans="1:47" s="12" customFormat="1" ht="23.25" hidden="1" customHeight="1" x14ac:dyDescent="0.3">
      <c r="A2547" s="42" t="s">
        <v>39</v>
      </c>
      <c r="B2547" s="42" t="s">
        <v>6453</v>
      </c>
      <c r="C2547" s="42">
        <v>70</v>
      </c>
      <c r="D2547" s="42">
        <v>713</v>
      </c>
      <c r="E2547" s="42"/>
      <c r="F2547" s="42" t="s">
        <v>6573</v>
      </c>
      <c r="G2547" s="43" t="str">
        <f t="shared" si="60"/>
        <v>7071315296499</v>
      </c>
      <c r="H2547" s="14" t="s">
        <v>6574</v>
      </c>
      <c r="I2547" s="12">
        <v>15296499</v>
      </c>
      <c r="J2547" s="14" t="s">
        <v>6575</v>
      </c>
      <c r="K2547" s="44" t="s">
        <v>230</v>
      </c>
      <c r="L2547" s="74">
        <v>3117829082</v>
      </c>
      <c r="M2547" s="17" t="s">
        <v>6576</v>
      </c>
      <c r="N2547" s="12" t="s">
        <v>259</v>
      </c>
      <c r="O2547" s="12" t="s">
        <v>260</v>
      </c>
      <c r="P2547" s="4" t="s">
        <v>261</v>
      </c>
      <c r="Q2547" s="76">
        <v>45746</v>
      </c>
      <c r="R2547" s="77">
        <v>0.73</v>
      </c>
      <c r="S2547" s="4" t="s">
        <v>49</v>
      </c>
      <c r="T2547" s="14"/>
      <c r="U2547" s="14"/>
      <c r="V2547" s="70"/>
      <c r="W2547" s="14"/>
      <c r="X2547" s="42"/>
      <c r="Y2547" s="14"/>
      <c r="Z2547" s="14"/>
      <c r="AA2547" s="14"/>
      <c r="AC2547" s="14"/>
      <c r="AD2547" s="14"/>
      <c r="AE2547" s="14"/>
      <c r="AF2547" s="20"/>
      <c r="AH2547" s="14"/>
      <c r="AI2547" s="14"/>
      <c r="AJ2547" s="14"/>
      <c r="AK2547" s="20"/>
      <c r="AM2547" s="14"/>
      <c r="AN2547" s="14"/>
      <c r="AO2547" s="14"/>
      <c r="AU2547" s="71" t="s">
        <v>53</v>
      </c>
    </row>
    <row r="2548" spans="1:47" s="12" customFormat="1" ht="23.25" customHeight="1" x14ac:dyDescent="0.3">
      <c r="A2548" s="42" t="s">
        <v>39</v>
      </c>
      <c r="B2548" s="42" t="s">
        <v>6453</v>
      </c>
      <c r="C2548" s="42">
        <v>70</v>
      </c>
      <c r="D2548" s="42">
        <v>713</v>
      </c>
      <c r="E2548" s="42"/>
      <c r="F2548" s="42" t="s">
        <v>6577</v>
      </c>
      <c r="G2548" s="43" t="str">
        <f t="shared" si="60"/>
        <v>707131103102669</v>
      </c>
      <c r="H2548" s="14" t="s">
        <v>6578</v>
      </c>
      <c r="I2548" s="12">
        <v>1103102669</v>
      </c>
      <c r="J2548" s="14" t="s">
        <v>6579</v>
      </c>
      <c r="K2548" s="44" t="s">
        <v>230</v>
      </c>
      <c r="L2548" s="74">
        <v>3156332291</v>
      </c>
      <c r="M2548" s="17" t="s">
        <v>6580</v>
      </c>
      <c r="N2548" s="12" t="s">
        <v>46</v>
      </c>
      <c r="O2548" s="12" t="s">
        <v>47</v>
      </c>
      <c r="P2548" s="4" t="s">
        <v>80</v>
      </c>
      <c r="Q2548" s="76">
        <v>45769</v>
      </c>
      <c r="R2548" s="77">
        <v>0.82</v>
      </c>
      <c r="S2548" s="4" t="s">
        <v>49</v>
      </c>
      <c r="T2548" s="14"/>
      <c r="U2548" s="14"/>
      <c r="V2548" s="70"/>
      <c r="W2548" s="14"/>
      <c r="X2548" s="42"/>
      <c r="Y2548" s="14"/>
      <c r="Z2548" s="14"/>
      <c r="AA2548" s="14"/>
      <c r="AC2548" s="14"/>
      <c r="AD2548" s="14"/>
      <c r="AE2548" s="14"/>
      <c r="AF2548" s="20"/>
      <c r="AH2548" s="14"/>
      <c r="AI2548" s="14"/>
      <c r="AJ2548" s="14"/>
      <c r="AK2548" s="20"/>
      <c r="AM2548" s="14"/>
      <c r="AN2548" s="14"/>
      <c r="AO2548" s="14"/>
      <c r="AU2548" s="71" t="s">
        <v>53</v>
      </c>
    </row>
    <row r="2549" spans="1:47" s="12" customFormat="1" ht="24.75" hidden="1" customHeight="1" x14ac:dyDescent="0.3">
      <c r="A2549" s="42" t="s">
        <v>39</v>
      </c>
      <c r="B2549" s="42" t="s">
        <v>6453</v>
      </c>
      <c r="C2549" s="42">
        <v>70</v>
      </c>
      <c r="D2549" s="42">
        <v>713</v>
      </c>
      <c r="E2549" s="42"/>
      <c r="F2549" s="42" t="s">
        <v>6581</v>
      </c>
      <c r="G2549" s="43" t="str">
        <f t="shared" si="60"/>
        <v>707131102815039</v>
      </c>
      <c r="H2549" s="14" t="s">
        <v>6582</v>
      </c>
      <c r="I2549" s="12">
        <v>1102815039</v>
      </c>
      <c r="J2549" s="14" t="s">
        <v>6583</v>
      </c>
      <c r="K2549" s="44" t="s">
        <v>230</v>
      </c>
      <c r="L2549" s="74">
        <v>3005875744</v>
      </c>
      <c r="M2549" s="58" t="s">
        <v>6584</v>
      </c>
      <c r="N2549" s="12" t="s">
        <v>432</v>
      </c>
      <c r="O2549" s="12" t="s">
        <v>432</v>
      </c>
      <c r="P2549" s="4" t="s">
        <v>261</v>
      </c>
      <c r="Q2549" s="76">
        <v>45813</v>
      </c>
      <c r="R2549" s="77">
        <v>0.78</v>
      </c>
      <c r="S2549" s="4" t="s">
        <v>49</v>
      </c>
      <c r="T2549" s="14" t="s">
        <v>6222</v>
      </c>
      <c r="U2549" s="14" t="s">
        <v>60</v>
      </c>
      <c r="V2549" s="70"/>
      <c r="W2549" s="14"/>
      <c r="X2549" s="42"/>
      <c r="Y2549" s="14"/>
      <c r="Z2549" s="14"/>
      <c r="AA2549" s="14"/>
      <c r="AC2549" s="14"/>
      <c r="AD2549" s="14"/>
      <c r="AE2549" s="14"/>
      <c r="AF2549" s="20"/>
      <c r="AH2549" s="14"/>
      <c r="AI2549" s="14"/>
      <c r="AJ2549" s="14"/>
      <c r="AK2549" s="20"/>
      <c r="AM2549" s="14"/>
      <c r="AN2549" s="14"/>
      <c r="AO2549" s="14"/>
      <c r="AU2549" s="71" t="s">
        <v>53</v>
      </c>
    </row>
    <row r="2550" spans="1:47" s="12" customFormat="1" ht="23.25" hidden="1" customHeight="1" x14ac:dyDescent="0.3">
      <c r="A2550" s="42" t="s">
        <v>39</v>
      </c>
      <c r="B2550" s="42" t="s">
        <v>6453</v>
      </c>
      <c r="C2550" s="42">
        <v>70</v>
      </c>
      <c r="D2550" s="42">
        <v>713</v>
      </c>
      <c r="E2550" s="42" t="s">
        <v>9469</v>
      </c>
      <c r="F2550" s="277" t="s">
        <v>6585</v>
      </c>
      <c r="G2550" s="43" t="str">
        <f t="shared" si="60"/>
        <v>707138002457033</v>
      </c>
      <c r="H2550" s="14" t="s">
        <v>9470</v>
      </c>
      <c r="I2550" s="12">
        <v>8002457033</v>
      </c>
      <c r="J2550" s="14" t="s">
        <v>6586</v>
      </c>
      <c r="K2550" s="44" t="s">
        <v>230</v>
      </c>
      <c r="L2550" s="74">
        <v>31272200388</v>
      </c>
      <c r="M2550" s="58" t="s">
        <v>9471</v>
      </c>
      <c r="N2550" s="12" t="s">
        <v>127</v>
      </c>
      <c r="O2550" s="12" t="s">
        <v>2822</v>
      </c>
      <c r="P2550" s="4" t="s">
        <v>48</v>
      </c>
      <c r="Q2550" s="13">
        <v>46156</v>
      </c>
      <c r="R2550" s="12" t="s">
        <v>9472</v>
      </c>
      <c r="S2550" s="12" t="s">
        <v>49</v>
      </c>
      <c r="T2550" s="12" t="s">
        <v>9473</v>
      </c>
      <c r="U2550" s="12" t="s">
        <v>60</v>
      </c>
      <c r="V2550" s="76" t="s">
        <v>6587</v>
      </c>
      <c r="W2550" s="77">
        <v>0.93</v>
      </c>
      <c r="X2550" s="4" t="s">
        <v>210</v>
      </c>
      <c r="Y2550" s="14" t="s">
        <v>6241</v>
      </c>
      <c r="Z2550" s="14" t="s">
        <v>60</v>
      </c>
      <c r="AA2550" s="14"/>
      <c r="AC2550" s="14"/>
      <c r="AD2550" s="14"/>
      <c r="AE2550" s="14"/>
      <c r="AF2550" s="20"/>
      <c r="AH2550" s="14"/>
      <c r="AI2550" s="14"/>
      <c r="AJ2550" s="14"/>
      <c r="AK2550" s="20"/>
      <c r="AM2550" s="14"/>
      <c r="AN2550" s="14"/>
      <c r="AO2550" s="14"/>
      <c r="AU2550" s="71" t="s">
        <v>53</v>
      </c>
    </row>
    <row r="2551" spans="1:47" s="12" customFormat="1" ht="23.25" hidden="1" customHeight="1" x14ac:dyDescent="0.3">
      <c r="A2551" s="42" t="s">
        <v>39</v>
      </c>
      <c r="B2551" s="42" t="s">
        <v>6453</v>
      </c>
      <c r="C2551" s="42">
        <v>70</v>
      </c>
      <c r="D2551" s="42">
        <v>713</v>
      </c>
      <c r="E2551" s="42"/>
      <c r="F2551" s="42" t="s">
        <v>6588</v>
      </c>
      <c r="G2551" s="43" t="str">
        <f t="shared" si="60"/>
        <v>7071310358756121</v>
      </c>
      <c r="H2551" s="14" t="s">
        <v>6589</v>
      </c>
      <c r="I2551" s="12" t="s">
        <v>6590</v>
      </c>
      <c r="J2551" s="14" t="s">
        <v>6591</v>
      </c>
      <c r="K2551" s="44" t="s">
        <v>230</v>
      </c>
      <c r="L2551" s="74">
        <v>3024465082</v>
      </c>
      <c r="M2551" s="17" t="s">
        <v>6592</v>
      </c>
      <c r="N2551" s="12" t="s">
        <v>432</v>
      </c>
      <c r="O2551" s="12" t="s">
        <v>432</v>
      </c>
      <c r="P2551" s="4" t="s">
        <v>261</v>
      </c>
      <c r="Q2551" s="42"/>
      <c r="R2551" s="74"/>
      <c r="S2551" s="14"/>
      <c r="T2551" s="14"/>
      <c r="U2551" s="14"/>
      <c r="V2551" s="70"/>
      <c r="W2551" s="14"/>
      <c r="X2551" s="42"/>
      <c r="Y2551" s="14"/>
      <c r="Z2551" s="14"/>
      <c r="AA2551" s="14"/>
      <c r="AC2551" s="14"/>
      <c r="AD2551" s="14"/>
      <c r="AE2551" s="14"/>
      <c r="AF2551" s="20"/>
      <c r="AH2551" s="14"/>
      <c r="AI2551" s="14"/>
      <c r="AJ2551" s="14"/>
      <c r="AK2551" s="20"/>
      <c r="AM2551" s="14"/>
      <c r="AN2551" s="14"/>
      <c r="AO2551" s="14"/>
      <c r="AU2551" s="71" t="s">
        <v>53</v>
      </c>
    </row>
    <row r="2552" spans="1:47" s="12" customFormat="1" ht="23.25" hidden="1" customHeight="1" x14ac:dyDescent="0.3">
      <c r="A2552" s="42" t="s">
        <v>39</v>
      </c>
      <c r="B2552" s="42" t="s">
        <v>6453</v>
      </c>
      <c r="C2552" s="42">
        <v>70</v>
      </c>
      <c r="D2552" s="42">
        <v>713</v>
      </c>
      <c r="E2552" s="42"/>
      <c r="F2552" s="42" t="s">
        <v>6593</v>
      </c>
      <c r="G2552" s="43" t="str">
        <f t="shared" si="60"/>
        <v>707131101464369</v>
      </c>
      <c r="H2552" s="14" t="s">
        <v>6594</v>
      </c>
      <c r="I2552" s="12">
        <v>1101464369</v>
      </c>
      <c r="J2552" s="14" t="s">
        <v>6595</v>
      </c>
      <c r="K2552" s="44" t="s">
        <v>230</v>
      </c>
      <c r="L2552" s="74">
        <v>3212663969</v>
      </c>
      <c r="M2552" s="17" t="s">
        <v>6596</v>
      </c>
      <c r="N2552" s="12" t="s">
        <v>432</v>
      </c>
      <c r="O2552" s="12" t="s">
        <v>432</v>
      </c>
      <c r="P2552" s="4" t="s">
        <v>261</v>
      </c>
      <c r="Q2552" s="42"/>
      <c r="R2552" s="74"/>
      <c r="S2552" s="14"/>
      <c r="T2552" s="14"/>
      <c r="U2552" s="14"/>
      <c r="V2552" s="70"/>
      <c r="W2552" s="14"/>
      <c r="X2552" s="42"/>
      <c r="Y2552" s="14"/>
      <c r="Z2552" s="14"/>
      <c r="AA2552" s="14"/>
      <c r="AC2552" s="14"/>
      <c r="AD2552" s="14"/>
      <c r="AE2552" s="14"/>
      <c r="AF2552" s="20"/>
      <c r="AH2552" s="14"/>
      <c r="AI2552" s="14"/>
      <c r="AJ2552" s="14"/>
      <c r="AK2552" s="20"/>
      <c r="AM2552" s="14"/>
      <c r="AN2552" s="14"/>
      <c r="AO2552" s="14"/>
      <c r="AU2552" s="71" t="s">
        <v>53</v>
      </c>
    </row>
    <row r="2553" spans="1:47" s="12" customFormat="1" ht="23.25" hidden="1" customHeight="1" x14ac:dyDescent="0.3">
      <c r="A2553" s="42" t="s">
        <v>39</v>
      </c>
      <c r="B2553" s="42" t="s">
        <v>6453</v>
      </c>
      <c r="C2553" s="42">
        <v>70</v>
      </c>
      <c r="D2553" s="42">
        <v>713</v>
      </c>
      <c r="E2553" s="42"/>
      <c r="F2553" s="42" t="s">
        <v>6597</v>
      </c>
      <c r="G2553" s="43" t="str">
        <f t="shared" si="60"/>
        <v>707134942563</v>
      </c>
      <c r="H2553" s="14" t="s">
        <v>6598</v>
      </c>
      <c r="I2553" s="12">
        <v>4942563</v>
      </c>
      <c r="J2553" s="14" t="s">
        <v>6524</v>
      </c>
      <c r="K2553" s="44" t="s">
        <v>230</v>
      </c>
      <c r="L2553" s="74">
        <v>3137252310</v>
      </c>
      <c r="M2553" s="12" t="s">
        <v>45</v>
      </c>
      <c r="N2553" s="12" t="s">
        <v>259</v>
      </c>
      <c r="O2553" s="12" t="s">
        <v>260</v>
      </c>
      <c r="P2553" s="4" t="s">
        <v>261</v>
      </c>
      <c r="Q2553" s="42"/>
      <c r="R2553" s="74"/>
      <c r="S2553" s="14"/>
      <c r="T2553" s="14"/>
      <c r="U2553" s="14"/>
      <c r="V2553" s="70"/>
      <c r="W2553" s="14"/>
      <c r="X2553" s="42"/>
      <c r="Y2553" s="14"/>
      <c r="Z2553" s="14"/>
      <c r="AA2553" s="14"/>
      <c r="AC2553" s="14"/>
      <c r="AD2553" s="14"/>
      <c r="AE2553" s="14"/>
      <c r="AF2553" s="20"/>
      <c r="AH2553" s="14"/>
      <c r="AI2553" s="14"/>
      <c r="AJ2553" s="14"/>
      <c r="AK2553" s="20"/>
      <c r="AM2553" s="14"/>
      <c r="AN2553" s="14"/>
      <c r="AO2553" s="14"/>
      <c r="AU2553" s="71" t="s">
        <v>53</v>
      </c>
    </row>
    <row r="2554" spans="1:47" s="12" customFormat="1" ht="23.25" hidden="1" customHeight="1" x14ac:dyDescent="0.3">
      <c r="A2554" s="42" t="s">
        <v>39</v>
      </c>
      <c r="B2554" s="42" t="s">
        <v>6453</v>
      </c>
      <c r="C2554" s="42">
        <v>70</v>
      </c>
      <c r="D2554" s="42">
        <v>713</v>
      </c>
      <c r="E2554" s="42"/>
      <c r="F2554" s="42" t="s">
        <v>6599</v>
      </c>
      <c r="G2554" s="43" t="str">
        <f t="shared" si="60"/>
        <v>7071364523698</v>
      </c>
      <c r="H2554" s="14" t="s">
        <v>6600</v>
      </c>
      <c r="I2554" s="12">
        <v>64523698</v>
      </c>
      <c r="J2554" s="14" t="s">
        <v>6601</v>
      </c>
      <c r="K2554" s="44" t="s">
        <v>230</v>
      </c>
      <c r="L2554" s="74">
        <v>3042460565</v>
      </c>
      <c r="M2554" s="12" t="s">
        <v>45</v>
      </c>
      <c r="N2554" s="12" t="s">
        <v>432</v>
      </c>
      <c r="O2554" s="12" t="s">
        <v>432</v>
      </c>
      <c r="P2554" s="4" t="s">
        <v>261</v>
      </c>
      <c r="Q2554" s="42"/>
      <c r="R2554" s="74"/>
      <c r="S2554" s="14"/>
      <c r="T2554" s="14"/>
      <c r="U2554" s="14"/>
      <c r="V2554" s="70"/>
      <c r="W2554" s="14"/>
      <c r="X2554" s="42"/>
      <c r="Y2554" s="14"/>
      <c r="Z2554" s="14"/>
      <c r="AA2554" s="14"/>
      <c r="AC2554" s="14"/>
      <c r="AD2554" s="14"/>
      <c r="AE2554" s="14"/>
      <c r="AF2554" s="20"/>
      <c r="AH2554" s="14"/>
      <c r="AI2554" s="14"/>
      <c r="AJ2554" s="14"/>
      <c r="AK2554" s="20"/>
      <c r="AM2554" s="14"/>
      <c r="AN2554" s="14"/>
      <c r="AO2554" s="14"/>
      <c r="AU2554" s="71" t="s">
        <v>53</v>
      </c>
    </row>
    <row r="2555" spans="1:47" s="12" customFormat="1" ht="23.25" hidden="1" customHeight="1" x14ac:dyDescent="0.3">
      <c r="A2555" s="42" t="s">
        <v>39</v>
      </c>
      <c r="B2555" s="42" t="s">
        <v>6453</v>
      </c>
      <c r="C2555" s="42">
        <v>70</v>
      </c>
      <c r="D2555" s="42">
        <v>713</v>
      </c>
      <c r="E2555" s="42"/>
      <c r="F2555" s="42" t="s">
        <v>6602</v>
      </c>
      <c r="G2555" s="43" t="str">
        <f t="shared" ref="G2555:G2558" si="61">C2555&amp;D2555&amp;SUBSTITUTE(I2555,"-","")</f>
        <v>7071392225399</v>
      </c>
      <c r="H2555" s="14" t="s">
        <v>6603</v>
      </c>
      <c r="I2555" s="12">
        <v>92225399</v>
      </c>
      <c r="J2555" s="14" t="s">
        <v>6604</v>
      </c>
      <c r="K2555" s="44" t="s">
        <v>230</v>
      </c>
      <c r="L2555" s="74">
        <v>3232129214</v>
      </c>
      <c r="M2555" s="12" t="s">
        <v>45</v>
      </c>
      <c r="N2555" s="12" t="s">
        <v>259</v>
      </c>
      <c r="O2555" s="12" t="s">
        <v>260</v>
      </c>
      <c r="P2555" s="4" t="s">
        <v>261</v>
      </c>
      <c r="Q2555" s="42"/>
      <c r="R2555" s="74"/>
      <c r="S2555" s="14"/>
      <c r="T2555" s="14"/>
      <c r="U2555" s="14"/>
      <c r="V2555" s="70"/>
      <c r="W2555" s="14"/>
      <c r="X2555" s="42"/>
      <c r="Y2555" s="14"/>
      <c r="Z2555" s="14"/>
      <c r="AA2555" s="14"/>
      <c r="AC2555" s="14"/>
      <c r="AD2555" s="14"/>
      <c r="AE2555" s="14"/>
      <c r="AF2555" s="20"/>
      <c r="AH2555" s="14"/>
      <c r="AI2555" s="14"/>
      <c r="AJ2555" s="14"/>
      <c r="AK2555" s="20"/>
      <c r="AM2555" s="14"/>
      <c r="AN2555" s="14"/>
      <c r="AO2555" s="14"/>
      <c r="AU2555" s="71" t="s">
        <v>53</v>
      </c>
    </row>
    <row r="2556" spans="1:47" s="12" customFormat="1" ht="23.25" hidden="1" customHeight="1" x14ac:dyDescent="0.3">
      <c r="A2556" s="42" t="s">
        <v>39</v>
      </c>
      <c r="B2556" s="42" t="s">
        <v>6453</v>
      </c>
      <c r="C2556" s="42">
        <v>70</v>
      </c>
      <c r="D2556" s="42">
        <v>713</v>
      </c>
      <c r="E2556" s="42"/>
      <c r="F2556" s="42" t="s">
        <v>6605</v>
      </c>
      <c r="G2556" s="43" t="str">
        <f t="shared" si="61"/>
        <v>7071370695458</v>
      </c>
      <c r="H2556" s="14" t="s">
        <v>6606</v>
      </c>
      <c r="I2556" s="12">
        <v>70695458</v>
      </c>
      <c r="J2556" s="14" t="s">
        <v>6607</v>
      </c>
      <c r="K2556" s="44" t="s">
        <v>230</v>
      </c>
      <c r="L2556" s="74">
        <v>3207827965</v>
      </c>
      <c r="M2556" s="17" t="s">
        <v>6608</v>
      </c>
      <c r="N2556" s="12" t="s">
        <v>259</v>
      </c>
      <c r="O2556" s="12" t="s">
        <v>260</v>
      </c>
      <c r="P2556" s="4" t="s">
        <v>261</v>
      </c>
      <c r="Q2556" s="42"/>
      <c r="R2556" s="74"/>
      <c r="S2556" s="14"/>
      <c r="T2556" s="14"/>
      <c r="U2556" s="14"/>
      <c r="V2556" s="70"/>
      <c r="W2556" s="14"/>
      <c r="X2556" s="42"/>
      <c r="Y2556" s="14"/>
      <c r="Z2556" s="14"/>
      <c r="AA2556" s="14"/>
      <c r="AC2556" s="14"/>
      <c r="AD2556" s="14"/>
      <c r="AE2556" s="14"/>
      <c r="AF2556" s="20"/>
      <c r="AH2556" s="14"/>
      <c r="AI2556" s="14"/>
      <c r="AJ2556" s="14"/>
      <c r="AK2556" s="20"/>
      <c r="AM2556" s="14"/>
      <c r="AN2556" s="14"/>
      <c r="AO2556" s="14"/>
      <c r="AU2556" s="71" t="s">
        <v>53</v>
      </c>
    </row>
    <row r="2557" spans="1:47" s="12" customFormat="1" ht="23.25" hidden="1" customHeight="1" x14ac:dyDescent="0.3">
      <c r="A2557" s="42" t="s">
        <v>505</v>
      </c>
      <c r="B2557" s="42" t="s">
        <v>6453</v>
      </c>
      <c r="C2557" s="42">
        <v>70</v>
      </c>
      <c r="D2557" s="42">
        <v>713</v>
      </c>
      <c r="E2557" s="42" t="s">
        <v>6609</v>
      </c>
      <c r="F2557" s="277" t="s">
        <v>6609</v>
      </c>
      <c r="G2557" s="43" t="str">
        <f t="shared" si="61"/>
        <v>707139012471513</v>
      </c>
      <c r="H2557" s="14" t="s">
        <v>6610</v>
      </c>
      <c r="I2557" s="12" t="s">
        <v>6611</v>
      </c>
      <c r="J2557" s="14" t="s">
        <v>6612</v>
      </c>
      <c r="K2557" s="44" t="s">
        <v>133</v>
      </c>
      <c r="L2557" s="74">
        <v>3106857210</v>
      </c>
      <c r="M2557" s="17" t="s">
        <v>6613</v>
      </c>
      <c r="N2557" s="14" t="s">
        <v>2901</v>
      </c>
      <c r="O2557" s="68" t="s">
        <v>6614</v>
      </c>
      <c r="P2557" s="4" t="s">
        <v>80</v>
      </c>
      <c r="Q2557" s="76">
        <v>46155</v>
      </c>
      <c r="R2557" s="169">
        <v>100</v>
      </c>
      <c r="S2557" s="4" t="s">
        <v>210</v>
      </c>
      <c r="T2557" s="14" t="s">
        <v>9086</v>
      </c>
      <c r="U2557" s="14"/>
      <c r="V2557" s="13"/>
      <c r="W2557" s="16">
        <v>1</v>
      </c>
      <c r="X2557" s="12" t="s">
        <v>210</v>
      </c>
      <c r="Y2557" s="14"/>
      <c r="Z2557" s="14" t="s">
        <v>2456</v>
      </c>
      <c r="AA2557" s="14"/>
      <c r="AC2557" s="70">
        <v>45435</v>
      </c>
      <c r="AD2557" s="23">
        <v>1</v>
      </c>
      <c r="AE2557" s="42" t="s">
        <v>210</v>
      </c>
      <c r="AF2557" s="20" t="s">
        <v>2456</v>
      </c>
      <c r="AH2557" s="14"/>
      <c r="AI2557" s="14"/>
      <c r="AJ2557" s="14"/>
      <c r="AK2557" s="20"/>
      <c r="AM2557" s="14"/>
      <c r="AN2557" s="14"/>
      <c r="AO2557" s="14"/>
      <c r="AU2557" s="71" t="s">
        <v>53</v>
      </c>
    </row>
    <row r="2558" spans="1:47" s="12" customFormat="1" ht="23.25" hidden="1" customHeight="1" x14ac:dyDescent="0.3">
      <c r="A2558" s="42" t="s">
        <v>505</v>
      </c>
      <c r="B2558" s="42" t="s">
        <v>6453</v>
      </c>
      <c r="C2558" s="42">
        <v>70</v>
      </c>
      <c r="D2558" s="42">
        <v>713</v>
      </c>
      <c r="E2558" s="42" t="s">
        <v>6615</v>
      </c>
      <c r="F2558" s="42" t="s">
        <v>6615</v>
      </c>
      <c r="G2558" s="43" t="str">
        <f t="shared" si="61"/>
        <v>707139013664525</v>
      </c>
      <c r="H2558" s="14" t="s">
        <v>6616</v>
      </c>
      <c r="I2558" s="12" t="s">
        <v>6617</v>
      </c>
      <c r="J2558" s="14" t="s">
        <v>6618</v>
      </c>
      <c r="K2558" s="44" t="s">
        <v>230</v>
      </c>
      <c r="L2558" s="74">
        <v>3107360495</v>
      </c>
      <c r="M2558" s="17" t="s">
        <v>6619</v>
      </c>
      <c r="N2558" s="12" t="s">
        <v>259</v>
      </c>
      <c r="O2558" s="12" t="s">
        <v>260</v>
      </c>
      <c r="P2558" s="4" t="s">
        <v>261</v>
      </c>
      <c r="Q2558" s="76">
        <v>45678</v>
      </c>
      <c r="R2558" s="79">
        <v>0.95</v>
      </c>
      <c r="S2558" s="4" t="s">
        <v>210</v>
      </c>
      <c r="T2558" s="14"/>
      <c r="U2558" s="14" t="s">
        <v>2456</v>
      </c>
      <c r="V2558" s="70">
        <v>45529</v>
      </c>
      <c r="W2558" s="14" t="s">
        <v>6620</v>
      </c>
      <c r="X2558" s="42" t="s">
        <v>210</v>
      </c>
      <c r="Y2558" s="14"/>
      <c r="Z2558" s="14"/>
      <c r="AA2558" s="14"/>
      <c r="AC2558" s="14"/>
      <c r="AD2558" s="14"/>
      <c r="AE2558" s="14"/>
      <c r="AF2558" s="20"/>
      <c r="AH2558" s="14"/>
      <c r="AI2558" s="14"/>
      <c r="AJ2558" s="14"/>
      <c r="AK2558" s="20"/>
      <c r="AM2558" s="14"/>
      <c r="AN2558" s="14"/>
      <c r="AO2558" s="14"/>
      <c r="AU2558" s="71" t="s">
        <v>53</v>
      </c>
    </row>
    <row r="2559" spans="1:47" s="12" customFormat="1" ht="21" hidden="1" customHeight="1" x14ac:dyDescent="0.3">
      <c r="A2559" s="42" t="s">
        <v>505</v>
      </c>
      <c r="B2559" s="42" t="s">
        <v>6661</v>
      </c>
      <c r="C2559" s="42">
        <v>70</v>
      </c>
      <c r="D2559" s="42">
        <v>717</v>
      </c>
      <c r="E2559" s="42" t="s">
        <v>6621</v>
      </c>
      <c r="F2559" s="277" t="s">
        <v>6622</v>
      </c>
      <c r="G2559" s="42" t="str">
        <f>C2559&amp;D2559&amp;I2559</f>
        <v>70717900759939-3</v>
      </c>
      <c r="H2559" s="4" t="s">
        <v>6623</v>
      </c>
      <c r="I2559" s="45" t="s">
        <v>6624</v>
      </c>
      <c r="J2559" s="4" t="s">
        <v>6625</v>
      </c>
      <c r="K2559" s="44" t="s">
        <v>230</v>
      </c>
      <c r="L2559" s="44">
        <v>3215207896</v>
      </c>
      <c r="M2559" s="3" t="s">
        <v>8884</v>
      </c>
      <c r="N2559" s="12" t="s">
        <v>127</v>
      </c>
      <c r="O2559" s="12" t="s">
        <v>2822</v>
      </c>
      <c r="P2559" s="4" t="s">
        <v>48</v>
      </c>
      <c r="Q2559" s="70">
        <v>46192</v>
      </c>
      <c r="R2559" s="12">
        <v>89</v>
      </c>
      <c r="S2559" s="12" t="s">
        <v>49</v>
      </c>
      <c r="T2559" s="14"/>
      <c r="U2559" s="14" t="s">
        <v>60</v>
      </c>
      <c r="V2559" s="69">
        <v>45846</v>
      </c>
      <c r="W2559" s="55">
        <v>0.875</v>
      </c>
      <c r="X2559" s="4" t="s">
        <v>49</v>
      </c>
      <c r="Y2559" s="14"/>
      <c r="Z2559" s="14" t="s">
        <v>60</v>
      </c>
      <c r="AA2559" s="14"/>
      <c r="AC2559" s="69">
        <v>45527</v>
      </c>
      <c r="AD2559" s="11">
        <v>0.87</v>
      </c>
      <c r="AE2559" s="4" t="s">
        <v>49</v>
      </c>
      <c r="AF2559" s="20" t="s">
        <v>60</v>
      </c>
      <c r="AH2559" s="14"/>
      <c r="AI2559" s="14"/>
      <c r="AJ2559" s="14"/>
      <c r="AK2559" s="20"/>
      <c r="AM2559" s="14"/>
      <c r="AN2559" s="14"/>
      <c r="AO2559" s="14"/>
      <c r="AU2559" s="71" t="s">
        <v>53</v>
      </c>
    </row>
    <row r="2560" spans="1:47" s="12" customFormat="1" ht="21" hidden="1" customHeight="1" x14ac:dyDescent="0.3">
      <c r="A2560" s="42" t="s">
        <v>505</v>
      </c>
      <c r="B2560" s="42" t="s">
        <v>6661</v>
      </c>
      <c r="C2560" s="42">
        <v>70</v>
      </c>
      <c r="D2560" s="42">
        <v>717</v>
      </c>
      <c r="E2560" s="42"/>
      <c r="F2560" s="42" t="s">
        <v>6627</v>
      </c>
      <c r="G2560" s="42" t="str">
        <f t="shared" ref="G2560:G2627" si="62">C2560&amp;D2560&amp;I2560</f>
        <v>707171036424926</v>
      </c>
      <c r="H2560" s="4" t="s">
        <v>6628</v>
      </c>
      <c r="I2560" s="45">
        <v>1036424926</v>
      </c>
      <c r="J2560" s="4" t="s">
        <v>6629</v>
      </c>
      <c r="K2560" s="44" t="s">
        <v>230</v>
      </c>
      <c r="L2560" s="44" t="s">
        <v>45</v>
      </c>
      <c r="M2560" s="7" t="s">
        <v>45</v>
      </c>
      <c r="N2560" s="12" t="s">
        <v>259</v>
      </c>
      <c r="O2560" s="12" t="s">
        <v>260</v>
      </c>
      <c r="P2560" s="4" t="s">
        <v>261</v>
      </c>
      <c r="Q2560" s="69">
        <v>45532</v>
      </c>
      <c r="R2560" s="11">
        <v>0.84250000000000003</v>
      </c>
      <c r="S2560" s="4" t="s">
        <v>49</v>
      </c>
      <c r="T2560" s="14"/>
      <c r="U2560" s="14"/>
      <c r="V2560" s="13"/>
      <c r="W2560" s="14"/>
      <c r="X2560" s="42"/>
      <c r="Y2560" s="14"/>
      <c r="Z2560" s="14"/>
      <c r="AA2560" s="14"/>
      <c r="AC2560" s="14"/>
      <c r="AD2560" s="14"/>
      <c r="AE2560" s="14"/>
      <c r="AF2560" s="20"/>
      <c r="AH2560" s="14"/>
      <c r="AI2560" s="14"/>
      <c r="AJ2560" s="14"/>
      <c r="AK2560" s="20"/>
      <c r="AM2560" s="14"/>
      <c r="AN2560" s="14"/>
      <c r="AO2560" s="14"/>
      <c r="AU2560" s="71" t="s">
        <v>53</v>
      </c>
    </row>
    <row r="2561" spans="1:47" s="12" customFormat="1" ht="21" hidden="1" customHeight="1" x14ac:dyDescent="0.3">
      <c r="A2561" s="42" t="s">
        <v>505</v>
      </c>
      <c r="B2561" s="42" t="s">
        <v>6661</v>
      </c>
      <c r="C2561" s="42">
        <v>70</v>
      </c>
      <c r="D2561" s="42">
        <v>717</v>
      </c>
      <c r="E2561" s="42" t="s">
        <v>6621</v>
      </c>
      <c r="F2561" s="277" t="s">
        <v>6630</v>
      </c>
      <c r="G2561" s="42" t="str">
        <f t="shared" si="62"/>
        <v>707179007599393</v>
      </c>
      <c r="H2561" s="4" t="s">
        <v>6623</v>
      </c>
      <c r="I2561" s="45">
        <v>9007599393</v>
      </c>
      <c r="J2561" s="4" t="s">
        <v>6631</v>
      </c>
      <c r="K2561" s="44" t="s">
        <v>230</v>
      </c>
      <c r="L2561" s="44">
        <v>3135072181</v>
      </c>
      <c r="M2561" s="3" t="s">
        <v>8884</v>
      </c>
      <c r="N2561" s="12" t="s">
        <v>127</v>
      </c>
      <c r="O2561" s="12" t="s">
        <v>2822</v>
      </c>
      <c r="P2561" s="4" t="s">
        <v>48</v>
      </c>
      <c r="Q2561" s="70">
        <v>46134</v>
      </c>
      <c r="R2561" s="12" t="s">
        <v>1090</v>
      </c>
      <c r="S2561" s="12" t="s">
        <v>49</v>
      </c>
      <c r="T2561" s="14"/>
      <c r="U2561" s="14" t="s">
        <v>60</v>
      </c>
      <c r="V2561" s="76">
        <v>45776</v>
      </c>
      <c r="W2561" s="22">
        <v>0.86499999999999999</v>
      </c>
      <c r="X2561" s="4" t="s">
        <v>49</v>
      </c>
      <c r="Y2561" s="14"/>
      <c r="Z2561" s="14" t="s">
        <v>60</v>
      </c>
      <c r="AA2561" s="14" t="s">
        <v>51</v>
      </c>
      <c r="AB2561" s="12" t="s">
        <v>51</v>
      </c>
      <c r="AC2561" s="69">
        <v>45497</v>
      </c>
      <c r="AD2561" s="11">
        <v>0.82499999999999996</v>
      </c>
      <c r="AE2561" s="4" t="s">
        <v>49</v>
      </c>
      <c r="AF2561" s="20" t="s">
        <v>60</v>
      </c>
      <c r="AG2561" s="12" t="s">
        <v>51</v>
      </c>
      <c r="AH2561" s="14" t="s">
        <v>51</v>
      </c>
      <c r="AI2561" s="69">
        <v>45204</v>
      </c>
      <c r="AJ2561" s="23">
        <v>0.745</v>
      </c>
      <c r="AK2561" s="4" t="s">
        <v>49</v>
      </c>
      <c r="AL2561" s="12" t="s">
        <v>60</v>
      </c>
      <c r="AM2561" s="14" t="s">
        <v>51</v>
      </c>
      <c r="AN2561" s="14" t="s">
        <v>51</v>
      </c>
      <c r="AO2561" s="14"/>
      <c r="AU2561" s="71" t="s">
        <v>53</v>
      </c>
    </row>
    <row r="2562" spans="1:47" s="12" customFormat="1" ht="21" hidden="1" customHeight="1" x14ac:dyDescent="0.3">
      <c r="A2562" s="42" t="s">
        <v>505</v>
      </c>
      <c r="B2562" s="42" t="s">
        <v>6661</v>
      </c>
      <c r="C2562" s="42">
        <v>70</v>
      </c>
      <c r="D2562" s="42">
        <v>717</v>
      </c>
      <c r="E2562" s="42"/>
      <c r="F2562" s="42" t="s">
        <v>6632</v>
      </c>
      <c r="G2562" s="42" t="str">
        <f t="shared" si="62"/>
        <v>707178230020607-7</v>
      </c>
      <c r="H2562" s="4" t="s">
        <v>4511</v>
      </c>
      <c r="I2562" s="45" t="s">
        <v>6633</v>
      </c>
      <c r="J2562" s="4" t="s">
        <v>6634</v>
      </c>
      <c r="K2562" s="44" t="s">
        <v>230</v>
      </c>
      <c r="L2562" s="44">
        <v>3046224014</v>
      </c>
      <c r="M2562" s="7" t="s">
        <v>45</v>
      </c>
      <c r="N2562" s="12" t="s">
        <v>127</v>
      </c>
      <c r="O2562" s="12" t="s">
        <v>2822</v>
      </c>
      <c r="P2562" s="4" t="s">
        <v>48</v>
      </c>
      <c r="Q2562" s="69">
        <v>45555</v>
      </c>
      <c r="R2562" s="11">
        <v>0.86</v>
      </c>
      <c r="S2562" s="4" t="s">
        <v>49</v>
      </c>
      <c r="T2562" s="14"/>
      <c r="U2562" s="14"/>
      <c r="V2562" s="13"/>
      <c r="W2562" s="14"/>
      <c r="X2562" s="42"/>
      <c r="Y2562" s="14"/>
      <c r="Z2562" s="14"/>
      <c r="AA2562" s="14"/>
      <c r="AC2562" s="14"/>
      <c r="AD2562" s="14"/>
      <c r="AE2562" s="14"/>
      <c r="AF2562" s="20"/>
      <c r="AH2562" s="14"/>
      <c r="AI2562" s="14"/>
      <c r="AJ2562" s="14"/>
      <c r="AK2562" s="20"/>
      <c r="AM2562" s="14"/>
      <c r="AN2562" s="14"/>
      <c r="AO2562" s="14"/>
      <c r="AU2562" s="71" t="s">
        <v>53</v>
      </c>
    </row>
    <row r="2563" spans="1:47" s="12" customFormat="1" ht="21" hidden="1" customHeight="1" x14ac:dyDescent="0.3">
      <c r="A2563" s="42" t="s">
        <v>505</v>
      </c>
      <c r="B2563" s="42" t="s">
        <v>6661</v>
      </c>
      <c r="C2563" s="42">
        <v>70</v>
      </c>
      <c r="D2563" s="42">
        <v>717</v>
      </c>
      <c r="E2563" s="42" t="s">
        <v>6621</v>
      </c>
      <c r="F2563" s="277" t="s">
        <v>6635</v>
      </c>
      <c r="G2563" s="42" t="str">
        <f t="shared" si="62"/>
        <v>70717900759939-3</v>
      </c>
      <c r="H2563" s="4" t="s">
        <v>6623</v>
      </c>
      <c r="I2563" s="45" t="s">
        <v>6624</v>
      </c>
      <c r="J2563" s="4" t="s">
        <v>6636</v>
      </c>
      <c r="K2563" s="44" t="s">
        <v>230</v>
      </c>
      <c r="L2563" s="44">
        <v>3113155617</v>
      </c>
      <c r="M2563" s="3" t="s">
        <v>6626</v>
      </c>
      <c r="N2563" s="12" t="s">
        <v>127</v>
      </c>
      <c r="O2563" s="12" t="s">
        <v>2822</v>
      </c>
      <c r="P2563" s="4" t="s">
        <v>48</v>
      </c>
      <c r="Q2563" s="76">
        <v>45783</v>
      </c>
      <c r="R2563" s="16">
        <v>0.86</v>
      </c>
      <c r="S2563" s="14" t="s">
        <v>49</v>
      </c>
      <c r="T2563" s="14"/>
      <c r="U2563" s="14"/>
      <c r="V2563" s="69">
        <v>45504</v>
      </c>
      <c r="W2563" s="11">
        <v>0.82499999999999996</v>
      </c>
      <c r="X2563" s="4" t="s">
        <v>49</v>
      </c>
      <c r="Y2563" s="14"/>
      <c r="Z2563" s="14"/>
      <c r="AA2563" s="14"/>
      <c r="AC2563" s="14"/>
      <c r="AD2563" s="14"/>
      <c r="AE2563" s="14"/>
      <c r="AF2563" s="20"/>
      <c r="AH2563" s="14"/>
      <c r="AI2563" s="14"/>
      <c r="AJ2563" s="14"/>
      <c r="AK2563" s="20"/>
      <c r="AM2563" s="14"/>
      <c r="AN2563" s="14"/>
      <c r="AO2563" s="14"/>
      <c r="AU2563" s="71" t="s">
        <v>53</v>
      </c>
    </row>
    <row r="2564" spans="1:47" s="12" customFormat="1" ht="21" hidden="1" customHeight="1" x14ac:dyDescent="0.3">
      <c r="A2564" s="42" t="s">
        <v>505</v>
      </c>
      <c r="B2564" s="42" t="s">
        <v>6661</v>
      </c>
      <c r="C2564" s="42">
        <v>70</v>
      </c>
      <c r="D2564" s="42">
        <v>717</v>
      </c>
      <c r="E2564" s="42"/>
      <c r="F2564" s="42" t="s">
        <v>6637</v>
      </c>
      <c r="G2564" s="42" t="str">
        <f t="shared" si="62"/>
        <v>707178230020607-7</v>
      </c>
      <c r="H2564" s="4" t="s">
        <v>4511</v>
      </c>
      <c r="I2564" s="45" t="s">
        <v>6633</v>
      </c>
      <c r="J2564" s="4" t="s">
        <v>6638</v>
      </c>
      <c r="K2564" s="44" t="s">
        <v>230</v>
      </c>
      <c r="L2564" s="44">
        <v>3144168430</v>
      </c>
      <c r="M2564" s="7" t="s">
        <v>45</v>
      </c>
      <c r="N2564" s="12" t="s">
        <v>127</v>
      </c>
      <c r="O2564" s="12" t="s">
        <v>2822</v>
      </c>
      <c r="P2564" s="4" t="s">
        <v>48</v>
      </c>
      <c r="Q2564" s="69">
        <v>45560</v>
      </c>
      <c r="R2564" s="11">
        <v>0.88</v>
      </c>
      <c r="S2564" s="4" t="s">
        <v>49</v>
      </c>
      <c r="T2564" s="14"/>
      <c r="U2564" s="14"/>
      <c r="V2564" s="13"/>
      <c r="W2564" s="14"/>
      <c r="X2564" s="42"/>
      <c r="Y2564" s="14"/>
      <c r="Z2564" s="14"/>
      <c r="AA2564" s="14"/>
      <c r="AC2564" s="14"/>
      <c r="AD2564" s="14"/>
      <c r="AE2564" s="14"/>
      <c r="AF2564" s="20"/>
      <c r="AH2564" s="14"/>
      <c r="AI2564" s="14"/>
      <c r="AJ2564" s="14"/>
      <c r="AK2564" s="20"/>
      <c r="AM2564" s="14"/>
      <c r="AN2564" s="14"/>
      <c r="AO2564" s="14"/>
      <c r="AU2564" s="71" t="s">
        <v>53</v>
      </c>
    </row>
    <row r="2565" spans="1:47" s="12" customFormat="1" ht="21" hidden="1" customHeight="1" x14ac:dyDescent="0.3">
      <c r="A2565" s="42" t="s">
        <v>505</v>
      </c>
      <c r="B2565" s="42" t="s">
        <v>6661</v>
      </c>
      <c r="C2565" s="42">
        <v>70</v>
      </c>
      <c r="D2565" s="42">
        <v>717</v>
      </c>
      <c r="E2565" s="42" t="s">
        <v>6621</v>
      </c>
      <c r="F2565" s="42" t="s">
        <v>6640</v>
      </c>
      <c r="G2565" s="42" t="str">
        <f t="shared" si="62"/>
        <v>70717900759939-3</v>
      </c>
      <c r="H2565" s="4" t="s">
        <v>6623</v>
      </c>
      <c r="I2565" s="45" t="s">
        <v>6624</v>
      </c>
      <c r="J2565" s="4" t="s">
        <v>6641</v>
      </c>
      <c r="K2565" s="44" t="s">
        <v>230</v>
      </c>
      <c r="L2565" s="44">
        <v>3217638799</v>
      </c>
      <c r="M2565" s="3" t="s">
        <v>6626</v>
      </c>
      <c r="N2565" s="12" t="s">
        <v>127</v>
      </c>
      <c r="O2565" s="12" t="s">
        <v>2822</v>
      </c>
      <c r="P2565" s="4" t="s">
        <v>48</v>
      </c>
      <c r="Q2565" s="69">
        <v>45839</v>
      </c>
      <c r="R2565" s="55">
        <v>0.82499999999999996</v>
      </c>
      <c r="S2565" s="4" t="s">
        <v>49</v>
      </c>
      <c r="T2565" s="14"/>
      <c r="U2565" s="14"/>
      <c r="V2565" s="69">
        <v>45527</v>
      </c>
      <c r="W2565" s="11">
        <v>0.87</v>
      </c>
      <c r="X2565" s="4" t="s">
        <v>49</v>
      </c>
      <c r="Y2565" s="14"/>
      <c r="Z2565" s="14"/>
      <c r="AA2565" s="14"/>
      <c r="AC2565" s="14"/>
      <c r="AD2565" s="14"/>
      <c r="AE2565" s="14"/>
      <c r="AF2565" s="20"/>
      <c r="AH2565" s="14"/>
      <c r="AI2565" s="14"/>
      <c r="AJ2565" s="14"/>
      <c r="AK2565" s="20"/>
      <c r="AM2565" s="14"/>
      <c r="AN2565" s="14"/>
      <c r="AO2565" s="14"/>
      <c r="AU2565" s="71" t="s">
        <v>53</v>
      </c>
    </row>
    <row r="2566" spans="1:47" s="12" customFormat="1" ht="21" hidden="1" customHeight="1" x14ac:dyDescent="0.3">
      <c r="A2566" s="42" t="s">
        <v>505</v>
      </c>
      <c r="B2566" s="42" t="s">
        <v>6661</v>
      </c>
      <c r="C2566" s="42">
        <v>70</v>
      </c>
      <c r="D2566" s="42">
        <v>717</v>
      </c>
      <c r="E2566" s="42" t="s">
        <v>6800</v>
      </c>
      <c r="F2566" s="277" t="s">
        <v>8882</v>
      </c>
      <c r="G2566" s="42" t="str">
        <f t="shared" si="62"/>
        <v>707179007599393</v>
      </c>
      <c r="H2566" s="4" t="s">
        <v>6623</v>
      </c>
      <c r="I2566" s="45">
        <v>9007599393</v>
      </c>
      <c r="J2566" s="4" t="s">
        <v>8883</v>
      </c>
      <c r="K2566" s="44" t="s">
        <v>230</v>
      </c>
      <c r="L2566" s="44">
        <v>3135072181</v>
      </c>
      <c r="M2566" s="3" t="s">
        <v>8884</v>
      </c>
      <c r="N2566" s="12" t="s">
        <v>127</v>
      </c>
      <c r="O2566" s="12" t="s">
        <v>2822</v>
      </c>
      <c r="P2566" s="4" t="s">
        <v>48</v>
      </c>
      <c r="Q2566" s="69">
        <v>46134</v>
      </c>
      <c r="R2566" s="55" t="s">
        <v>146</v>
      </c>
      <c r="S2566" s="4" t="s">
        <v>49</v>
      </c>
      <c r="T2566" s="14" t="s">
        <v>6817</v>
      </c>
      <c r="U2566" s="14" t="s">
        <v>60</v>
      </c>
      <c r="V2566" s="69">
        <v>45462</v>
      </c>
      <c r="W2566" s="11" t="s">
        <v>1937</v>
      </c>
      <c r="X2566" s="4" t="s">
        <v>49</v>
      </c>
      <c r="Y2566" s="14"/>
      <c r="Z2566" s="14" t="s">
        <v>60</v>
      </c>
      <c r="AA2566" s="14"/>
      <c r="AC2566" s="14"/>
      <c r="AD2566" s="14"/>
      <c r="AE2566" s="14"/>
      <c r="AF2566" s="20"/>
      <c r="AH2566" s="14"/>
      <c r="AI2566" s="14"/>
      <c r="AJ2566" s="14"/>
      <c r="AK2566" s="20"/>
      <c r="AM2566" s="14"/>
      <c r="AN2566" s="14"/>
      <c r="AO2566" s="14"/>
      <c r="AU2566" s="71" t="s">
        <v>53</v>
      </c>
    </row>
    <row r="2567" spans="1:47" s="12" customFormat="1" ht="21" hidden="1" customHeight="1" x14ac:dyDescent="0.3">
      <c r="A2567" s="42" t="s">
        <v>505</v>
      </c>
      <c r="B2567" s="42" t="s">
        <v>6661</v>
      </c>
      <c r="C2567" s="42">
        <v>70</v>
      </c>
      <c r="D2567" s="42">
        <v>717</v>
      </c>
      <c r="E2567" s="42"/>
      <c r="F2567" s="277" t="s">
        <v>6642</v>
      </c>
      <c r="G2567" s="42" t="str">
        <f t="shared" si="62"/>
        <v>7071792186640</v>
      </c>
      <c r="H2567" s="4" t="s">
        <v>6643</v>
      </c>
      <c r="I2567" s="45">
        <v>92186640</v>
      </c>
      <c r="J2567" s="4" t="s">
        <v>6644</v>
      </c>
      <c r="K2567" s="44" t="s">
        <v>230</v>
      </c>
      <c r="L2567" s="44">
        <v>3245387691</v>
      </c>
      <c r="M2567" s="7" t="s">
        <v>9492</v>
      </c>
      <c r="N2567" s="12" t="s">
        <v>46</v>
      </c>
      <c r="O2567" s="12" t="s">
        <v>2797</v>
      </c>
      <c r="P2567" s="4" t="s">
        <v>261</v>
      </c>
      <c r="Q2567" s="70">
        <v>46203</v>
      </c>
      <c r="R2567" s="12" t="s">
        <v>8587</v>
      </c>
      <c r="S2567" s="12" t="s">
        <v>49</v>
      </c>
      <c r="T2567" s="12" t="s">
        <v>6817</v>
      </c>
      <c r="U2567" s="12" t="s">
        <v>60</v>
      </c>
      <c r="V2567" s="69">
        <v>45503</v>
      </c>
      <c r="W2567" s="11">
        <v>0.87</v>
      </c>
      <c r="X2567" s="4" t="s">
        <v>49</v>
      </c>
      <c r="Y2567" s="14"/>
      <c r="Z2567" s="14"/>
      <c r="AA2567" s="14"/>
      <c r="AC2567" s="14"/>
      <c r="AD2567" s="14"/>
      <c r="AE2567" s="14"/>
      <c r="AF2567" s="20"/>
      <c r="AH2567" s="14"/>
      <c r="AI2567" s="14"/>
      <c r="AJ2567" s="14"/>
      <c r="AK2567" s="20"/>
      <c r="AM2567" s="14"/>
      <c r="AN2567" s="14"/>
      <c r="AO2567" s="14"/>
      <c r="AU2567" s="71" t="s">
        <v>53</v>
      </c>
    </row>
    <row r="2568" spans="1:47" s="12" customFormat="1" ht="21" hidden="1" customHeight="1" x14ac:dyDescent="0.3">
      <c r="A2568" s="42" t="s">
        <v>505</v>
      </c>
      <c r="B2568" s="42" t="s">
        <v>6661</v>
      </c>
      <c r="C2568" s="42">
        <v>70</v>
      </c>
      <c r="D2568" s="42">
        <v>717</v>
      </c>
      <c r="E2568" s="42"/>
      <c r="F2568" s="42" t="s">
        <v>6645</v>
      </c>
      <c r="G2568" s="42" t="str">
        <f t="shared" si="62"/>
        <v>7071772096985</v>
      </c>
      <c r="H2568" s="4" t="s">
        <v>6646</v>
      </c>
      <c r="I2568" s="45">
        <v>72096985</v>
      </c>
      <c r="J2568" s="4" t="s">
        <v>6647</v>
      </c>
      <c r="K2568" s="44" t="s">
        <v>230</v>
      </c>
      <c r="L2568" s="44">
        <v>72096985</v>
      </c>
      <c r="M2568" s="7" t="s">
        <v>45</v>
      </c>
      <c r="N2568" s="12" t="s">
        <v>259</v>
      </c>
      <c r="O2568" s="12" t="s">
        <v>260</v>
      </c>
      <c r="P2568" s="4" t="s">
        <v>261</v>
      </c>
      <c r="Q2568" s="4"/>
      <c r="R2568" s="11"/>
      <c r="S2568" s="4"/>
      <c r="T2568" s="14"/>
      <c r="U2568" s="14"/>
      <c r="V2568" s="13"/>
      <c r="W2568" s="14"/>
      <c r="X2568" s="42"/>
      <c r="Y2568" s="14"/>
      <c r="Z2568" s="14"/>
      <c r="AA2568" s="14"/>
      <c r="AC2568" s="14"/>
      <c r="AD2568" s="14"/>
      <c r="AE2568" s="14"/>
      <c r="AF2568" s="20"/>
      <c r="AH2568" s="14"/>
      <c r="AI2568" s="14"/>
      <c r="AJ2568" s="14"/>
      <c r="AK2568" s="20"/>
      <c r="AM2568" s="14"/>
      <c r="AN2568" s="14"/>
      <c r="AO2568" s="14"/>
      <c r="AU2568" s="71" t="s">
        <v>53</v>
      </c>
    </row>
    <row r="2569" spans="1:47" s="12" customFormat="1" ht="21" hidden="1" customHeight="1" x14ac:dyDescent="0.3">
      <c r="A2569" s="42" t="s">
        <v>505</v>
      </c>
      <c r="B2569" s="42" t="s">
        <v>6661</v>
      </c>
      <c r="C2569" s="42">
        <v>70</v>
      </c>
      <c r="D2569" s="42">
        <v>717</v>
      </c>
      <c r="E2569" s="80"/>
      <c r="F2569" s="42" t="s">
        <v>6648</v>
      </c>
      <c r="G2569" s="42" t="str">
        <f t="shared" si="62"/>
        <v>707171104016180</v>
      </c>
      <c r="H2569" s="4" t="s">
        <v>6649</v>
      </c>
      <c r="I2569" s="45">
        <v>1104016180</v>
      </c>
      <c r="J2569" s="4" t="s">
        <v>6650</v>
      </c>
      <c r="K2569" s="44" t="s">
        <v>230</v>
      </c>
      <c r="L2569" s="44" t="s">
        <v>45</v>
      </c>
      <c r="M2569" s="7" t="s">
        <v>45</v>
      </c>
      <c r="N2569" s="12" t="s">
        <v>432</v>
      </c>
      <c r="O2569" s="12" t="s">
        <v>432</v>
      </c>
      <c r="P2569" s="4" t="s">
        <v>261</v>
      </c>
      <c r="Q2569" s="69">
        <v>44537</v>
      </c>
      <c r="R2569" s="11">
        <v>0.81499999999999995</v>
      </c>
      <c r="S2569" s="4" t="s">
        <v>49</v>
      </c>
      <c r="T2569" s="14"/>
      <c r="U2569" s="14"/>
      <c r="V2569" s="13"/>
      <c r="W2569" s="14"/>
      <c r="X2569" s="42"/>
      <c r="Y2569" s="14"/>
      <c r="Z2569" s="14"/>
      <c r="AA2569" s="14"/>
      <c r="AC2569" s="14"/>
      <c r="AD2569" s="14"/>
      <c r="AE2569" s="14"/>
      <c r="AF2569" s="20"/>
      <c r="AH2569" s="14"/>
      <c r="AI2569" s="14"/>
      <c r="AJ2569" s="14"/>
      <c r="AK2569" s="20"/>
      <c r="AM2569" s="14"/>
      <c r="AN2569" s="14"/>
      <c r="AO2569" s="14"/>
      <c r="AU2569" s="71" t="s">
        <v>53</v>
      </c>
    </row>
    <row r="2570" spans="1:47" s="12" customFormat="1" ht="21" customHeight="1" x14ac:dyDescent="0.3">
      <c r="A2570" s="42" t="s">
        <v>505</v>
      </c>
      <c r="B2570" s="42" t="s">
        <v>6661</v>
      </c>
      <c r="C2570" s="42">
        <v>70</v>
      </c>
      <c r="D2570" s="42">
        <v>717</v>
      </c>
      <c r="E2570" s="42"/>
      <c r="F2570" s="42" t="s">
        <v>6651</v>
      </c>
      <c r="G2570" s="42" t="str">
        <f t="shared" si="62"/>
        <v>707173975265-1</v>
      </c>
      <c r="H2570" s="4" t="s">
        <v>6652</v>
      </c>
      <c r="I2570" s="45" t="s">
        <v>6653</v>
      </c>
      <c r="J2570" s="4" t="s">
        <v>6654</v>
      </c>
      <c r="K2570" s="44" t="s">
        <v>230</v>
      </c>
      <c r="L2570" s="44">
        <v>3053735418</v>
      </c>
      <c r="M2570" s="109" t="s">
        <v>6655</v>
      </c>
      <c r="N2570" s="12" t="s">
        <v>46</v>
      </c>
      <c r="O2570" s="12" t="s">
        <v>47</v>
      </c>
      <c r="P2570" s="4" t="s">
        <v>80</v>
      </c>
      <c r="Q2570" s="69">
        <v>45699</v>
      </c>
      <c r="R2570" s="11">
        <v>0.85</v>
      </c>
      <c r="S2570" s="4" t="s">
        <v>49</v>
      </c>
      <c r="T2570" s="14" t="s">
        <v>6656</v>
      </c>
      <c r="U2570" s="14" t="s">
        <v>60</v>
      </c>
      <c r="V2570" s="13" t="s">
        <v>6657</v>
      </c>
      <c r="W2570" s="21">
        <v>0.85</v>
      </c>
      <c r="X2570" s="42" t="s">
        <v>139</v>
      </c>
      <c r="Y2570" s="14"/>
      <c r="Z2570" s="14"/>
      <c r="AA2570" s="14"/>
      <c r="AC2570" s="14"/>
      <c r="AD2570" s="14"/>
      <c r="AE2570" s="14"/>
      <c r="AF2570" s="20"/>
      <c r="AH2570" s="14"/>
      <c r="AI2570" s="14"/>
      <c r="AJ2570" s="14"/>
      <c r="AK2570" s="20"/>
      <c r="AM2570" s="14"/>
      <c r="AN2570" s="14"/>
      <c r="AO2570" s="14"/>
      <c r="AU2570" s="71" t="s">
        <v>53</v>
      </c>
    </row>
    <row r="2571" spans="1:47" s="12" customFormat="1" ht="21" customHeight="1" x14ac:dyDescent="0.3">
      <c r="A2571" s="42" t="s">
        <v>505</v>
      </c>
      <c r="B2571" s="42" t="s">
        <v>6661</v>
      </c>
      <c r="C2571" s="42">
        <v>70</v>
      </c>
      <c r="D2571" s="42">
        <v>717</v>
      </c>
      <c r="E2571" s="42"/>
      <c r="F2571" s="42" t="s">
        <v>6658</v>
      </c>
      <c r="G2571" s="42" t="str">
        <f t="shared" si="62"/>
        <v>707176820096</v>
      </c>
      <c r="H2571" s="4" t="s">
        <v>6659</v>
      </c>
      <c r="I2571" s="45">
        <v>6820096</v>
      </c>
      <c r="J2571" s="4" t="s">
        <v>6660</v>
      </c>
      <c r="K2571" s="44" t="s">
        <v>230</v>
      </c>
      <c r="L2571" s="44" t="s">
        <v>45</v>
      </c>
      <c r="M2571" s="7" t="s">
        <v>45</v>
      </c>
      <c r="N2571" s="12" t="s">
        <v>46</v>
      </c>
      <c r="O2571" s="12" t="s">
        <v>47</v>
      </c>
      <c r="P2571" s="4" t="s">
        <v>80</v>
      </c>
      <c r="Q2571" s="69">
        <v>45259</v>
      </c>
      <c r="R2571" s="11">
        <v>0.76</v>
      </c>
      <c r="S2571" s="4" t="s">
        <v>49</v>
      </c>
      <c r="T2571" s="14"/>
      <c r="U2571" s="14"/>
      <c r="V2571" s="13"/>
      <c r="W2571" s="14"/>
      <c r="X2571" s="42"/>
      <c r="Y2571" s="14"/>
      <c r="Z2571" s="14"/>
      <c r="AA2571" s="14"/>
      <c r="AC2571" s="14"/>
      <c r="AD2571" s="14"/>
      <c r="AE2571" s="14"/>
      <c r="AF2571" s="20"/>
      <c r="AH2571" s="14"/>
      <c r="AI2571" s="14"/>
      <c r="AJ2571" s="14"/>
      <c r="AK2571" s="20"/>
      <c r="AM2571" s="14"/>
      <c r="AN2571" s="14"/>
      <c r="AO2571" s="14"/>
      <c r="AU2571" s="71" t="s">
        <v>53</v>
      </c>
    </row>
    <row r="2572" spans="1:47" s="12" customFormat="1" ht="21" hidden="1" customHeight="1" x14ac:dyDescent="0.3">
      <c r="A2572" s="42" t="s">
        <v>505</v>
      </c>
      <c r="B2572" s="42" t="s">
        <v>6661</v>
      </c>
      <c r="C2572" s="42">
        <v>70</v>
      </c>
      <c r="D2572" s="42">
        <v>717</v>
      </c>
      <c r="E2572" s="42"/>
      <c r="F2572" s="42" t="s">
        <v>6662</v>
      </c>
      <c r="G2572" s="42" t="str">
        <f t="shared" si="62"/>
        <v>70717830507103</v>
      </c>
      <c r="H2572" s="4" t="s">
        <v>6663</v>
      </c>
      <c r="I2572" s="72">
        <v>830507103</v>
      </c>
      <c r="J2572" s="4" t="s">
        <v>6664</v>
      </c>
      <c r="K2572" s="44" t="s">
        <v>230</v>
      </c>
      <c r="L2572" s="44" t="s">
        <v>45</v>
      </c>
      <c r="M2572" s="7" t="s">
        <v>45</v>
      </c>
      <c r="N2572" s="12" t="s">
        <v>127</v>
      </c>
      <c r="O2572" s="12" t="s">
        <v>2822</v>
      </c>
      <c r="P2572" s="4" t="s">
        <v>48</v>
      </c>
      <c r="Q2572" s="69">
        <v>44908</v>
      </c>
      <c r="R2572" s="11">
        <v>0.81499999999999995</v>
      </c>
      <c r="S2572" s="4" t="s">
        <v>49</v>
      </c>
      <c r="T2572" s="14"/>
      <c r="U2572" s="14"/>
      <c r="V2572" s="13"/>
      <c r="W2572" s="14"/>
      <c r="X2572" s="42"/>
      <c r="Y2572" s="14"/>
      <c r="Z2572" s="14"/>
      <c r="AA2572" s="14"/>
      <c r="AC2572" s="14"/>
      <c r="AD2572" s="14"/>
      <c r="AE2572" s="14"/>
      <c r="AF2572" s="20"/>
      <c r="AH2572" s="14"/>
      <c r="AI2572" s="14"/>
      <c r="AJ2572" s="14"/>
      <c r="AK2572" s="20"/>
      <c r="AM2572" s="14"/>
      <c r="AN2572" s="14"/>
      <c r="AO2572" s="14"/>
      <c r="AU2572" s="71" t="s">
        <v>53</v>
      </c>
    </row>
    <row r="2573" spans="1:47" s="12" customFormat="1" ht="21" hidden="1" customHeight="1" x14ac:dyDescent="0.3">
      <c r="A2573" s="42" t="s">
        <v>505</v>
      </c>
      <c r="B2573" s="42" t="s">
        <v>6661</v>
      </c>
      <c r="C2573" s="42">
        <v>70</v>
      </c>
      <c r="D2573" s="42">
        <v>717</v>
      </c>
      <c r="E2573" s="42"/>
      <c r="F2573" s="42" t="s">
        <v>6665</v>
      </c>
      <c r="G2573" s="42" t="str">
        <f t="shared" si="62"/>
        <v>707178230020607-7</v>
      </c>
      <c r="H2573" s="4" t="s">
        <v>4511</v>
      </c>
      <c r="I2573" s="45" t="s">
        <v>6633</v>
      </c>
      <c r="J2573" s="4" t="s">
        <v>6666</v>
      </c>
      <c r="K2573" s="44" t="s">
        <v>230</v>
      </c>
      <c r="L2573" s="44">
        <v>3122732839</v>
      </c>
      <c r="M2573" s="7" t="s">
        <v>45</v>
      </c>
      <c r="N2573" s="12" t="s">
        <v>127</v>
      </c>
      <c r="O2573" s="12" t="s">
        <v>2822</v>
      </c>
      <c r="P2573" s="4" t="s">
        <v>48</v>
      </c>
      <c r="Q2573" s="69">
        <v>44330</v>
      </c>
      <c r="R2573" s="11">
        <v>0.875</v>
      </c>
      <c r="S2573" s="4" t="s">
        <v>49</v>
      </c>
      <c r="T2573" s="14"/>
      <c r="U2573" s="14"/>
      <c r="V2573" s="13"/>
      <c r="W2573" s="14"/>
      <c r="X2573" s="42"/>
      <c r="Y2573" s="14"/>
      <c r="Z2573" s="14"/>
      <c r="AA2573" s="14"/>
      <c r="AC2573" s="14"/>
      <c r="AD2573" s="14"/>
      <c r="AE2573" s="14"/>
      <c r="AF2573" s="20"/>
      <c r="AH2573" s="14"/>
      <c r="AI2573" s="14"/>
      <c r="AJ2573" s="14"/>
      <c r="AK2573" s="20"/>
      <c r="AM2573" s="14"/>
      <c r="AN2573" s="14"/>
      <c r="AO2573" s="14"/>
      <c r="AU2573" s="71" t="s">
        <v>53</v>
      </c>
    </row>
    <row r="2574" spans="1:47" s="12" customFormat="1" ht="21" hidden="1" customHeight="1" x14ac:dyDescent="0.3">
      <c r="A2574" s="42" t="s">
        <v>505</v>
      </c>
      <c r="B2574" s="42" t="s">
        <v>6661</v>
      </c>
      <c r="C2574" s="42">
        <v>70</v>
      </c>
      <c r="D2574" s="42">
        <v>717</v>
      </c>
      <c r="E2574" s="42"/>
      <c r="F2574" s="42" t="s">
        <v>6667</v>
      </c>
      <c r="G2574" s="42" t="str">
        <f t="shared" si="62"/>
        <v>707178230026607-7</v>
      </c>
      <c r="H2574" s="4" t="s">
        <v>4511</v>
      </c>
      <c r="I2574" s="45" t="s">
        <v>6668</v>
      </c>
      <c r="J2574" s="4" t="s">
        <v>6669</v>
      </c>
      <c r="K2574" s="44" t="s">
        <v>230</v>
      </c>
      <c r="L2574" s="44">
        <v>3132361675</v>
      </c>
      <c r="M2574" s="7" t="s">
        <v>45</v>
      </c>
      <c r="N2574" s="12" t="s">
        <v>127</v>
      </c>
      <c r="O2574" s="12" t="s">
        <v>2822</v>
      </c>
      <c r="P2574" s="4" t="s">
        <v>48</v>
      </c>
      <c r="Q2574" s="69">
        <v>44685</v>
      </c>
      <c r="R2574" s="11">
        <v>0.87</v>
      </c>
      <c r="S2574" s="4" t="s">
        <v>49</v>
      </c>
      <c r="T2574" s="14"/>
      <c r="U2574" s="14"/>
      <c r="V2574" s="13"/>
      <c r="W2574" s="14"/>
      <c r="X2574" s="42"/>
      <c r="Y2574" s="14"/>
      <c r="Z2574" s="14"/>
      <c r="AA2574" s="14"/>
      <c r="AC2574" s="14"/>
      <c r="AD2574" s="14"/>
      <c r="AE2574" s="14"/>
      <c r="AF2574" s="20"/>
      <c r="AH2574" s="14"/>
      <c r="AI2574" s="14"/>
      <c r="AJ2574" s="14"/>
      <c r="AK2574" s="20"/>
      <c r="AM2574" s="14"/>
      <c r="AN2574" s="14"/>
      <c r="AO2574" s="14"/>
      <c r="AU2574" s="71" t="s">
        <v>53</v>
      </c>
    </row>
    <row r="2575" spans="1:47" s="12" customFormat="1" ht="21" hidden="1" customHeight="1" x14ac:dyDescent="0.3">
      <c r="A2575" s="42" t="s">
        <v>505</v>
      </c>
      <c r="B2575" s="42" t="s">
        <v>6661</v>
      </c>
      <c r="C2575" s="42">
        <v>70</v>
      </c>
      <c r="D2575" s="42">
        <v>717</v>
      </c>
      <c r="E2575" s="42"/>
      <c r="F2575" s="42" t="s">
        <v>6670</v>
      </c>
      <c r="G2575" s="42" t="str">
        <f t="shared" si="62"/>
        <v>707178230020607-7</v>
      </c>
      <c r="H2575" s="4" t="s">
        <v>6671</v>
      </c>
      <c r="I2575" s="45" t="s">
        <v>6633</v>
      </c>
      <c r="J2575" s="4" t="s">
        <v>6672</v>
      </c>
      <c r="K2575" s="44" t="s">
        <v>230</v>
      </c>
      <c r="L2575" s="44">
        <v>3215235453</v>
      </c>
      <c r="M2575" s="7" t="s">
        <v>45</v>
      </c>
      <c r="N2575" s="12" t="s">
        <v>127</v>
      </c>
      <c r="O2575" s="12" t="s">
        <v>2822</v>
      </c>
      <c r="P2575" s="4" t="s">
        <v>48</v>
      </c>
      <c r="Q2575" s="69">
        <v>45097</v>
      </c>
      <c r="R2575" s="11">
        <v>0.85</v>
      </c>
      <c r="S2575" s="4" t="s">
        <v>49</v>
      </c>
      <c r="T2575" s="14"/>
      <c r="U2575" s="14"/>
      <c r="V2575" s="13"/>
      <c r="W2575" s="14"/>
      <c r="X2575" s="42"/>
      <c r="Y2575" s="14"/>
      <c r="Z2575" s="14"/>
      <c r="AA2575" s="14"/>
      <c r="AC2575" s="14"/>
      <c r="AD2575" s="14"/>
      <c r="AE2575" s="14"/>
      <c r="AF2575" s="20"/>
      <c r="AH2575" s="14"/>
      <c r="AI2575" s="14"/>
      <c r="AJ2575" s="14"/>
      <c r="AK2575" s="20"/>
      <c r="AM2575" s="14"/>
      <c r="AN2575" s="14"/>
      <c r="AO2575" s="14"/>
      <c r="AU2575" s="81" t="s">
        <v>164</v>
      </c>
    </row>
    <row r="2576" spans="1:47" s="12" customFormat="1" ht="21" hidden="1" customHeight="1" x14ac:dyDescent="0.3">
      <c r="A2576" s="42" t="s">
        <v>505</v>
      </c>
      <c r="B2576" s="42" t="s">
        <v>6661</v>
      </c>
      <c r="C2576" s="42">
        <v>70</v>
      </c>
      <c r="D2576" s="42">
        <v>717</v>
      </c>
      <c r="E2576" s="42" t="s">
        <v>8528</v>
      </c>
      <c r="F2576" s="277" t="s">
        <v>8529</v>
      </c>
      <c r="G2576" s="42" t="str">
        <f t="shared" si="62"/>
        <v>707178230020607-7</v>
      </c>
      <c r="H2576" s="4" t="s">
        <v>4511</v>
      </c>
      <c r="I2576" s="45" t="s">
        <v>6633</v>
      </c>
      <c r="J2576" s="4" t="s">
        <v>6673</v>
      </c>
      <c r="K2576" s="44" t="s">
        <v>230</v>
      </c>
      <c r="L2576" s="44">
        <v>3145682120</v>
      </c>
      <c r="M2576" s="7" t="s">
        <v>45</v>
      </c>
      <c r="N2576" s="12" t="s">
        <v>127</v>
      </c>
      <c r="O2576" s="12" t="s">
        <v>2822</v>
      </c>
      <c r="P2576" s="4" t="s">
        <v>48</v>
      </c>
      <c r="Q2576" s="69">
        <v>44306</v>
      </c>
      <c r="R2576" s="11">
        <v>0.8125</v>
      </c>
      <c r="S2576" s="4" t="s">
        <v>49</v>
      </c>
      <c r="T2576" s="14"/>
      <c r="U2576" s="14"/>
      <c r="V2576" s="13"/>
      <c r="W2576" s="14"/>
      <c r="X2576" s="42"/>
      <c r="Y2576" s="14"/>
      <c r="Z2576" s="14"/>
      <c r="AA2576" s="14"/>
      <c r="AC2576" s="14"/>
      <c r="AD2576" s="14"/>
      <c r="AE2576" s="14"/>
      <c r="AF2576" s="20"/>
      <c r="AH2576" s="14"/>
      <c r="AI2576" s="14"/>
      <c r="AJ2576" s="14"/>
      <c r="AK2576" s="20"/>
      <c r="AM2576" s="14"/>
      <c r="AN2576" s="14"/>
      <c r="AO2576" s="14"/>
      <c r="AU2576" s="71" t="s">
        <v>53</v>
      </c>
    </row>
    <row r="2577" spans="1:47" s="12" customFormat="1" ht="21" hidden="1" customHeight="1" x14ac:dyDescent="0.3">
      <c r="A2577" s="42" t="s">
        <v>505</v>
      </c>
      <c r="B2577" s="42" t="s">
        <v>6661</v>
      </c>
      <c r="C2577" s="42">
        <v>70</v>
      </c>
      <c r="D2577" s="42">
        <v>717</v>
      </c>
      <c r="E2577" s="42"/>
      <c r="F2577" s="42" t="s">
        <v>6674</v>
      </c>
      <c r="G2577" s="42" t="str">
        <f t="shared" si="62"/>
        <v>707178230020607-7</v>
      </c>
      <c r="H2577" s="4" t="s">
        <v>4511</v>
      </c>
      <c r="I2577" s="45" t="s">
        <v>6633</v>
      </c>
      <c r="J2577" s="4" t="s">
        <v>6675</v>
      </c>
      <c r="K2577" s="44" t="s">
        <v>230</v>
      </c>
      <c r="L2577" s="44">
        <v>3103960974</v>
      </c>
      <c r="M2577" s="7" t="s">
        <v>45</v>
      </c>
      <c r="N2577" s="12" t="s">
        <v>127</v>
      </c>
      <c r="O2577" s="12" t="s">
        <v>2822</v>
      </c>
      <c r="P2577" s="4" t="s">
        <v>48</v>
      </c>
      <c r="Q2577" s="69">
        <v>44728</v>
      </c>
      <c r="R2577" s="11">
        <v>0.87</v>
      </c>
      <c r="S2577" s="4" t="s">
        <v>49</v>
      </c>
      <c r="T2577" s="14"/>
      <c r="U2577" s="14"/>
      <c r="V2577" s="13"/>
      <c r="W2577" s="14"/>
      <c r="X2577" s="42"/>
      <c r="Y2577" s="14"/>
      <c r="Z2577" s="14"/>
      <c r="AA2577" s="14"/>
      <c r="AC2577" s="14"/>
      <c r="AD2577" s="14"/>
      <c r="AE2577" s="14"/>
      <c r="AF2577" s="20"/>
      <c r="AH2577" s="14"/>
      <c r="AI2577" s="14"/>
      <c r="AJ2577" s="14"/>
      <c r="AK2577" s="20"/>
      <c r="AM2577" s="14"/>
      <c r="AN2577" s="14"/>
      <c r="AO2577" s="14"/>
      <c r="AU2577" s="71" t="s">
        <v>53</v>
      </c>
    </row>
    <row r="2578" spans="1:47" s="12" customFormat="1" ht="21" hidden="1" customHeight="1" x14ac:dyDescent="0.3">
      <c r="A2578" s="42" t="s">
        <v>505</v>
      </c>
      <c r="B2578" s="42" t="s">
        <v>6661</v>
      </c>
      <c r="C2578" s="42">
        <v>70</v>
      </c>
      <c r="D2578" s="42">
        <v>717</v>
      </c>
      <c r="E2578" s="42"/>
      <c r="F2578" s="42" t="s">
        <v>6676</v>
      </c>
      <c r="G2578" s="42" t="str">
        <f t="shared" si="62"/>
        <v>707178230020607-7</v>
      </c>
      <c r="H2578" s="4" t="s">
        <v>6671</v>
      </c>
      <c r="I2578" s="45" t="s">
        <v>6633</v>
      </c>
      <c r="J2578" s="4" t="s">
        <v>6677</v>
      </c>
      <c r="K2578" s="44" t="s">
        <v>230</v>
      </c>
      <c r="L2578" s="44" t="s">
        <v>45</v>
      </c>
      <c r="M2578" s="7" t="s">
        <v>45</v>
      </c>
      <c r="N2578" s="12" t="s">
        <v>127</v>
      </c>
      <c r="O2578" s="12" t="s">
        <v>2822</v>
      </c>
      <c r="P2578" s="4" t="s">
        <v>48</v>
      </c>
      <c r="Q2578" s="69">
        <v>45098</v>
      </c>
      <c r="R2578" s="11">
        <v>0.80500000000000005</v>
      </c>
      <c r="S2578" s="4" t="s">
        <v>49</v>
      </c>
      <c r="T2578" s="14"/>
      <c r="U2578" s="14"/>
      <c r="V2578" s="13"/>
      <c r="W2578" s="14"/>
      <c r="X2578" s="42"/>
      <c r="Y2578" s="14"/>
      <c r="Z2578" s="14"/>
      <c r="AA2578" s="14"/>
      <c r="AC2578" s="14"/>
      <c r="AD2578" s="14"/>
      <c r="AE2578" s="14"/>
      <c r="AF2578" s="20"/>
      <c r="AH2578" s="14"/>
      <c r="AI2578" s="14"/>
      <c r="AJ2578" s="14"/>
      <c r="AK2578" s="20"/>
      <c r="AM2578" s="14"/>
      <c r="AN2578" s="14"/>
      <c r="AO2578" s="14"/>
      <c r="AU2578" s="81" t="s">
        <v>164</v>
      </c>
    </row>
    <row r="2579" spans="1:47" s="12" customFormat="1" ht="21" hidden="1" customHeight="1" x14ac:dyDescent="0.3">
      <c r="A2579" s="42" t="s">
        <v>505</v>
      </c>
      <c r="B2579" s="42" t="s">
        <v>6661</v>
      </c>
      <c r="C2579" s="42">
        <v>70</v>
      </c>
      <c r="D2579" s="42">
        <v>717</v>
      </c>
      <c r="E2579" s="42"/>
      <c r="F2579" s="42" t="s">
        <v>6678</v>
      </c>
      <c r="G2579" s="42" t="str">
        <f t="shared" si="62"/>
        <v>707178305047786</v>
      </c>
      <c r="H2579" s="2" t="s">
        <v>6679</v>
      </c>
      <c r="I2579" s="45">
        <v>8305047786</v>
      </c>
      <c r="J2579" s="2" t="s">
        <v>6666</v>
      </c>
      <c r="K2579" s="44" t="s">
        <v>230</v>
      </c>
      <c r="L2579" s="44" t="s">
        <v>45</v>
      </c>
      <c r="M2579" s="7" t="s">
        <v>45</v>
      </c>
      <c r="N2579" s="12" t="s">
        <v>127</v>
      </c>
      <c r="O2579" s="12" t="s">
        <v>2822</v>
      </c>
      <c r="P2579" s="4" t="s">
        <v>48</v>
      </c>
      <c r="Q2579" s="4"/>
      <c r="R2579" s="11"/>
      <c r="S2579" s="4"/>
      <c r="T2579" s="14"/>
      <c r="U2579" s="14"/>
      <c r="V2579" s="13"/>
      <c r="W2579" s="14"/>
      <c r="X2579" s="42"/>
      <c r="Y2579" s="14"/>
      <c r="Z2579" s="14"/>
      <c r="AA2579" s="14"/>
      <c r="AC2579" s="14"/>
      <c r="AD2579" s="14"/>
      <c r="AE2579" s="14"/>
      <c r="AF2579" s="20"/>
      <c r="AH2579" s="14"/>
      <c r="AI2579" s="14"/>
      <c r="AJ2579" s="14"/>
      <c r="AK2579" s="20"/>
      <c r="AM2579" s="14"/>
      <c r="AN2579" s="14"/>
      <c r="AO2579" s="14"/>
      <c r="AU2579" s="71" t="s">
        <v>53</v>
      </c>
    </row>
    <row r="2580" spans="1:47" s="12" customFormat="1" ht="21" hidden="1" customHeight="1" x14ac:dyDescent="0.3">
      <c r="A2580" s="42" t="s">
        <v>505</v>
      </c>
      <c r="B2580" s="42" t="s">
        <v>6661</v>
      </c>
      <c r="C2580" s="42">
        <v>70</v>
      </c>
      <c r="D2580" s="42">
        <v>717</v>
      </c>
      <c r="E2580" s="42"/>
      <c r="F2580" s="42" t="s">
        <v>6680</v>
      </c>
      <c r="G2580" s="42" t="str">
        <f t="shared" si="62"/>
        <v>707171104013854</v>
      </c>
      <c r="H2580" s="4" t="s">
        <v>6681</v>
      </c>
      <c r="I2580" s="45">
        <v>1104013854</v>
      </c>
      <c r="J2580" s="4" t="s">
        <v>6682</v>
      </c>
      <c r="K2580" s="44" t="s">
        <v>230</v>
      </c>
      <c r="L2580" s="44" t="s">
        <v>45</v>
      </c>
      <c r="M2580" s="3" t="s">
        <v>45</v>
      </c>
      <c r="N2580" s="12" t="s">
        <v>432</v>
      </c>
      <c r="O2580" s="12" t="s">
        <v>432</v>
      </c>
      <c r="P2580" s="4" t="s">
        <v>261</v>
      </c>
      <c r="Q2580" s="69">
        <v>44694</v>
      </c>
      <c r="R2580" s="11">
        <v>0.93500000000000005</v>
      </c>
      <c r="S2580" s="4" t="s">
        <v>210</v>
      </c>
      <c r="T2580" s="14"/>
      <c r="U2580" s="14"/>
      <c r="V2580" s="13"/>
      <c r="W2580" s="14"/>
      <c r="X2580" s="42"/>
      <c r="Y2580" s="14"/>
      <c r="Z2580" s="14"/>
      <c r="AA2580" s="14"/>
      <c r="AC2580" s="14"/>
      <c r="AD2580" s="14"/>
      <c r="AE2580" s="14"/>
      <c r="AF2580" s="20"/>
      <c r="AH2580" s="14"/>
      <c r="AI2580" s="14"/>
      <c r="AJ2580" s="14"/>
      <c r="AK2580" s="20"/>
      <c r="AM2580" s="14"/>
      <c r="AN2580" s="14"/>
      <c r="AO2580" s="14"/>
      <c r="AU2580" s="71" t="s">
        <v>53</v>
      </c>
    </row>
    <row r="2581" spans="1:47" s="12" customFormat="1" ht="21" hidden="1" customHeight="1" x14ac:dyDescent="0.3">
      <c r="A2581" s="42" t="s">
        <v>505</v>
      </c>
      <c r="B2581" s="42" t="s">
        <v>6661</v>
      </c>
      <c r="C2581" s="42">
        <v>70</v>
      </c>
      <c r="D2581" s="42">
        <v>717</v>
      </c>
      <c r="E2581" s="42"/>
      <c r="F2581" s="277" t="s">
        <v>6683</v>
      </c>
      <c r="G2581" s="42" t="str">
        <f t="shared" si="62"/>
        <v>7071792185470</v>
      </c>
      <c r="H2581" s="4" t="s">
        <v>9505</v>
      </c>
      <c r="I2581" s="4">
        <v>92185470</v>
      </c>
      <c r="J2581" s="4" t="s">
        <v>9506</v>
      </c>
      <c r="K2581" s="44" t="s">
        <v>44</v>
      </c>
      <c r="L2581" s="44">
        <v>3004419124</v>
      </c>
      <c r="M2581" s="3" t="s">
        <v>9507</v>
      </c>
      <c r="N2581" s="12" t="s">
        <v>432</v>
      </c>
      <c r="O2581" s="12" t="s">
        <v>432</v>
      </c>
      <c r="P2581" s="4" t="s">
        <v>261</v>
      </c>
      <c r="Q2581" s="70">
        <v>46225</v>
      </c>
      <c r="R2581" s="12" t="s">
        <v>4658</v>
      </c>
      <c r="S2581" s="12" t="s">
        <v>49</v>
      </c>
      <c r="T2581" s="12" t="s">
        <v>6817</v>
      </c>
      <c r="U2581" s="12" t="s">
        <v>4747</v>
      </c>
      <c r="V2581" s="69">
        <v>44708</v>
      </c>
      <c r="W2581" s="11">
        <v>0.88500000000000001</v>
      </c>
      <c r="X2581" s="4" t="s">
        <v>49</v>
      </c>
      <c r="Y2581" s="14"/>
      <c r="Z2581" s="14" t="s">
        <v>60</v>
      </c>
      <c r="AA2581" s="14"/>
      <c r="AC2581" s="14"/>
      <c r="AD2581" s="14"/>
      <c r="AE2581" s="14"/>
      <c r="AF2581" s="20"/>
      <c r="AH2581" s="14"/>
      <c r="AI2581" s="14"/>
      <c r="AJ2581" s="14"/>
      <c r="AK2581" s="20"/>
      <c r="AM2581" s="14"/>
      <c r="AN2581" s="14"/>
      <c r="AO2581" s="14"/>
      <c r="AU2581" s="71" t="s">
        <v>53</v>
      </c>
    </row>
    <row r="2582" spans="1:47" s="12" customFormat="1" ht="21" hidden="1" customHeight="1" x14ac:dyDescent="0.3">
      <c r="A2582" s="42" t="s">
        <v>505</v>
      </c>
      <c r="B2582" s="42" t="s">
        <v>6661</v>
      </c>
      <c r="C2582" s="42">
        <v>70</v>
      </c>
      <c r="D2582" s="42">
        <v>717</v>
      </c>
      <c r="E2582" s="42"/>
      <c r="F2582" s="42" t="s">
        <v>6684</v>
      </c>
      <c r="G2582" s="42" t="str">
        <f t="shared" si="62"/>
        <v>7071764477853</v>
      </c>
      <c r="H2582" s="4" t="s">
        <v>6685</v>
      </c>
      <c r="I2582" s="45">
        <v>64477853</v>
      </c>
      <c r="J2582" s="4" t="s">
        <v>6686</v>
      </c>
      <c r="K2582" s="44" t="s">
        <v>230</v>
      </c>
      <c r="L2582" s="44">
        <v>3124388454</v>
      </c>
      <c r="M2582" s="3" t="s">
        <v>45</v>
      </c>
      <c r="N2582" s="12" t="s">
        <v>432</v>
      </c>
      <c r="O2582" s="12" t="s">
        <v>432</v>
      </c>
      <c r="P2582" s="4" t="s">
        <v>261</v>
      </c>
      <c r="Q2582" s="69">
        <v>45216</v>
      </c>
      <c r="R2582" s="11">
        <v>0.84</v>
      </c>
      <c r="S2582" s="4" t="s">
        <v>49</v>
      </c>
      <c r="T2582" s="14"/>
      <c r="U2582" s="14"/>
      <c r="V2582" s="13"/>
      <c r="W2582" s="14"/>
      <c r="X2582" s="42"/>
      <c r="Y2582" s="14"/>
      <c r="Z2582" s="14"/>
      <c r="AA2582" s="14"/>
      <c r="AC2582" s="14"/>
      <c r="AD2582" s="14"/>
      <c r="AE2582" s="14"/>
      <c r="AF2582" s="20"/>
      <c r="AH2582" s="14"/>
      <c r="AI2582" s="14"/>
      <c r="AJ2582" s="14"/>
      <c r="AK2582" s="20"/>
      <c r="AM2582" s="14"/>
      <c r="AN2582" s="14"/>
      <c r="AO2582" s="14"/>
      <c r="AU2582" s="71" t="s">
        <v>53</v>
      </c>
    </row>
    <row r="2583" spans="1:47" s="12" customFormat="1" ht="21" hidden="1" customHeight="1" x14ac:dyDescent="0.3">
      <c r="A2583" s="42" t="s">
        <v>505</v>
      </c>
      <c r="B2583" s="42" t="s">
        <v>6661</v>
      </c>
      <c r="C2583" s="42">
        <v>70</v>
      </c>
      <c r="D2583" s="42">
        <v>717</v>
      </c>
      <c r="E2583" s="42"/>
      <c r="F2583" s="42" t="s">
        <v>6687</v>
      </c>
      <c r="G2583" s="42" t="str">
        <f t="shared" si="62"/>
        <v>70717900507716-7</v>
      </c>
      <c r="H2583" s="4" t="s">
        <v>6688</v>
      </c>
      <c r="I2583" s="45" t="s">
        <v>6689</v>
      </c>
      <c r="J2583" s="4" t="s">
        <v>6690</v>
      </c>
      <c r="K2583" s="44" t="s">
        <v>230</v>
      </c>
      <c r="L2583" s="44">
        <v>3017646839</v>
      </c>
      <c r="M2583" s="3" t="s">
        <v>6691</v>
      </c>
      <c r="N2583" s="14" t="s">
        <v>2901</v>
      </c>
      <c r="O2583" s="88" t="s">
        <v>4949</v>
      </c>
      <c r="P2583" s="4" t="s">
        <v>261</v>
      </c>
      <c r="Q2583" s="69"/>
      <c r="R2583" s="11"/>
      <c r="S2583" s="4"/>
      <c r="T2583" s="14"/>
      <c r="U2583" s="14"/>
      <c r="V2583" s="13"/>
      <c r="W2583" s="14"/>
      <c r="X2583" s="42"/>
      <c r="Y2583" s="14"/>
      <c r="Z2583" s="14"/>
      <c r="AA2583" s="14"/>
      <c r="AC2583" s="14"/>
      <c r="AD2583" s="14"/>
      <c r="AE2583" s="14"/>
      <c r="AF2583" s="20"/>
      <c r="AH2583" s="14"/>
      <c r="AI2583" s="14"/>
      <c r="AJ2583" s="14"/>
      <c r="AK2583" s="20"/>
      <c r="AM2583" s="14"/>
      <c r="AN2583" s="14"/>
      <c r="AO2583" s="14"/>
      <c r="AU2583" s="71" t="s">
        <v>53</v>
      </c>
    </row>
    <row r="2584" spans="1:47" s="12" customFormat="1" ht="21" hidden="1" customHeight="1" x14ac:dyDescent="0.3">
      <c r="A2584" s="42" t="s">
        <v>505</v>
      </c>
      <c r="B2584" s="42" t="s">
        <v>6661</v>
      </c>
      <c r="C2584" s="42">
        <v>70</v>
      </c>
      <c r="D2584" s="42">
        <v>717</v>
      </c>
      <c r="E2584" s="42"/>
      <c r="F2584" s="42" t="s">
        <v>6692</v>
      </c>
      <c r="G2584" s="42" t="str">
        <f t="shared" si="62"/>
        <v>70717921902789</v>
      </c>
      <c r="H2584" s="4" t="s">
        <v>6693</v>
      </c>
      <c r="I2584" s="45">
        <v>921902789</v>
      </c>
      <c r="J2584" s="4" t="s">
        <v>6694</v>
      </c>
      <c r="K2584" s="44" t="s">
        <v>230</v>
      </c>
      <c r="L2584" s="44" t="s">
        <v>45</v>
      </c>
      <c r="M2584" s="3" t="s">
        <v>45</v>
      </c>
      <c r="N2584" s="12" t="s">
        <v>432</v>
      </c>
      <c r="O2584" s="12" t="s">
        <v>432</v>
      </c>
      <c r="P2584" s="4" t="s">
        <v>261</v>
      </c>
      <c r="Q2584" s="69">
        <v>44694</v>
      </c>
      <c r="R2584" s="11">
        <v>0.92</v>
      </c>
      <c r="S2584" s="4" t="s">
        <v>210</v>
      </c>
      <c r="T2584" s="14"/>
      <c r="U2584" s="14"/>
      <c r="V2584" s="13"/>
      <c r="W2584" s="14"/>
      <c r="X2584" s="42"/>
      <c r="Y2584" s="14"/>
      <c r="Z2584" s="14"/>
      <c r="AA2584" s="14"/>
      <c r="AC2584" s="14"/>
      <c r="AD2584" s="14"/>
      <c r="AE2584" s="14"/>
      <c r="AF2584" s="20"/>
      <c r="AH2584" s="14"/>
      <c r="AI2584" s="14"/>
      <c r="AJ2584" s="14"/>
      <c r="AK2584" s="20"/>
      <c r="AM2584" s="14"/>
      <c r="AN2584" s="14"/>
      <c r="AO2584" s="14"/>
      <c r="AU2584" s="71" t="s">
        <v>53</v>
      </c>
    </row>
    <row r="2585" spans="1:47" s="12" customFormat="1" ht="21" hidden="1" customHeight="1" x14ac:dyDescent="0.3">
      <c r="A2585" s="42" t="s">
        <v>505</v>
      </c>
      <c r="B2585" s="42" t="s">
        <v>6661</v>
      </c>
      <c r="C2585" s="42">
        <v>70</v>
      </c>
      <c r="D2585" s="42">
        <v>717</v>
      </c>
      <c r="E2585" s="42"/>
      <c r="F2585" s="42" t="s">
        <v>6695</v>
      </c>
      <c r="G2585" s="42" t="str">
        <f t="shared" si="62"/>
        <v>7071792539596</v>
      </c>
      <c r="H2585" s="4" t="s">
        <v>6696</v>
      </c>
      <c r="I2585" s="45">
        <v>92539596</v>
      </c>
      <c r="J2585" s="4" t="s">
        <v>6697</v>
      </c>
      <c r="K2585" s="44" t="s">
        <v>230</v>
      </c>
      <c r="L2585" s="44" t="s">
        <v>45</v>
      </c>
      <c r="M2585" s="3" t="s">
        <v>45</v>
      </c>
      <c r="N2585" s="12" t="s">
        <v>7648</v>
      </c>
      <c r="O2585" s="12" t="s">
        <v>7653</v>
      </c>
      <c r="P2585" s="4" t="s">
        <v>48</v>
      </c>
      <c r="Q2585" s="69"/>
      <c r="R2585" s="11"/>
      <c r="S2585" s="4"/>
      <c r="T2585" s="14"/>
      <c r="U2585" s="14"/>
      <c r="V2585" s="13"/>
      <c r="W2585" s="14"/>
      <c r="X2585" s="42"/>
      <c r="Y2585" s="14"/>
      <c r="Z2585" s="14"/>
      <c r="AA2585" s="14"/>
      <c r="AC2585" s="14"/>
      <c r="AD2585" s="14"/>
      <c r="AE2585" s="14"/>
      <c r="AF2585" s="20"/>
      <c r="AH2585" s="14"/>
      <c r="AI2585" s="14"/>
      <c r="AJ2585" s="14"/>
      <c r="AK2585" s="20"/>
      <c r="AM2585" s="14"/>
      <c r="AN2585" s="14"/>
      <c r="AO2585" s="14"/>
      <c r="AU2585" s="71" t="s">
        <v>53</v>
      </c>
    </row>
    <row r="2586" spans="1:47" s="12" customFormat="1" ht="21" hidden="1" customHeight="1" x14ac:dyDescent="0.3">
      <c r="A2586" s="42" t="s">
        <v>505</v>
      </c>
      <c r="B2586" s="42" t="s">
        <v>6661</v>
      </c>
      <c r="C2586" s="42">
        <v>70</v>
      </c>
      <c r="D2586" s="42">
        <v>717</v>
      </c>
      <c r="E2586" s="42" t="s">
        <v>8877</v>
      </c>
      <c r="F2586" s="277" t="s">
        <v>8878</v>
      </c>
      <c r="G2586" s="42" t="str">
        <f t="shared" si="62"/>
        <v>707179018916318</v>
      </c>
      <c r="H2586" s="4" t="s">
        <v>8879</v>
      </c>
      <c r="I2586" s="45">
        <v>9018916318</v>
      </c>
      <c r="J2586" s="4" t="s">
        <v>6698</v>
      </c>
      <c r="K2586" s="44" t="s">
        <v>230</v>
      </c>
      <c r="L2586" s="44">
        <v>3195923193</v>
      </c>
      <c r="M2586" s="3" t="s">
        <v>8880</v>
      </c>
      <c r="N2586" s="12" t="s">
        <v>127</v>
      </c>
      <c r="O2586" s="12" t="s">
        <v>2822</v>
      </c>
      <c r="P2586" s="4" t="s">
        <v>48</v>
      </c>
      <c r="Q2586" s="70">
        <v>46107</v>
      </c>
      <c r="R2586" s="12" t="s">
        <v>8709</v>
      </c>
      <c r="S2586" s="12" t="s">
        <v>319</v>
      </c>
      <c r="T2586" s="14" t="s">
        <v>8881</v>
      </c>
      <c r="U2586" s="14" t="s">
        <v>8832</v>
      </c>
      <c r="V2586" s="69">
        <v>45503</v>
      </c>
      <c r="W2586" s="11">
        <v>0.94499999999999995</v>
      </c>
      <c r="X2586" s="4" t="s">
        <v>210</v>
      </c>
      <c r="Y2586" s="14" t="s">
        <v>7662</v>
      </c>
      <c r="Z2586" s="14" t="s">
        <v>2456</v>
      </c>
      <c r="AA2586" s="14"/>
      <c r="AC2586" s="14"/>
      <c r="AD2586" s="14"/>
      <c r="AE2586" s="14"/>
      <c r="AF2586" s="20"/>
      <c r="AH2586" s="14"/>
      <c r="AI2586" s="14"/>
      <c r="AJ2586" s="14"/>
      <c r="AK2586" s="20"/>
      <c r="AM2586" s="14"/>
      <c r="AN2586" s="14"/>
      <c r="AO2586" s="14"/>
      <c r="AU2586" s="71" t="s">
        <v>53</v>
      </c>
    </row>
    <row r="2587" spans="1:47" s="12" customFormat="1" ht="21" hidden="1" customHeight="1" x14ac:dyDescent="0.3">
      <c r="A2587" s="42" t="s">
        <v>505</v>
      </c>
      <c r="B2587" s="42" t="s">
        <v>6661</v>
      </c>
      <c r="C2587" s="42">
        <v>70</v>
      </c>
      <c r="D2587" s="42">
        <v>717</v>
      </c>
      <c r="E2587" s="42"/>
      <c r="F2587" s="42" t="s">
        <v>6699</v>
      </c>
      <c r="G2587" s="42" t="str">
        <f t="shared" si="62"/>
        <v>70717823004403</v>
      </c>
      <c r="H2587" s="4" t="s">
        <v>6700</v>
      </c>
      <c r="I2587" s="45">
        <v>823004403</v>
      </c>
      <c r="J2587" s="4" t="s">
        <v>6701</v>
      </c>
      <c r="K2587" s="44" t="s">
        <v>230</v>
      </c>
      <c r="L2587" s="44" t="s">
        <v>45</v>
      </c>
      <c r="M2587" s="3" t="s">
        <v>45</v>
      </c>
      <c r="N2587" s="12" t="s">
        <v>127</v>
      </c>
      <c r="O2587" s="12" t="s">
        <v>2822</v>
      </c>
      <c r="P2587" s="4" t="s">
        <v>48</v>
      </c>
      <c r="Q2587" s="69">
        <v>43720</v>
      </c>
      <c r="R2587" s="11">
        <v>0.84</v>
      </c>
      <c r="S2587" s="4" t="s">
        <v>49</v>
      </c>
      <c r="T2587" s="14"/>
      <c r="U2587" s="14"/>
      <c r="V2587" s="13"/>
      <c r="W2587" s="14"/>
      <c r="X2587" s="42"/>
      <c r="Y2587" s="14"/>
      <c r="Z2587" s="14"/>
      <c r="AA2587" s="14"/>
      <c r="AC2587" s="14"/>
      <c r="AD2587" s="14"/>
      <c r="AE2587" s="14"/>
      <c r="AF2587" s="20"/>
      <c r="AH2587" s="14"/>
      <c r="AI2587" s="14"/>
      <c r="AJ2587" s="14"/>
      <c r="AK2587" s="20"/>
      <c r="AM2587" s="14"/>
      <c r="AN2587" s="14"/>
      <c r="AO2587" s="14"/>
      <c r="AU2587" s="71" t="s">
        <v>53</v>
      </c>
    </row>
    <row r="2588" spans="1:47" s="12" customFormat="1" ht="21" hidden="1" customHeight="1" x14ac:dyDescent="0.3">
      <c r="A2588" s="42" t="s">
        <v>505</v>
      </c>
      <c r="B2588" s="42" t="s">
        <v>6661</v>
      </c>
      <c r="C2588" s="42">
        <v>70</v>
      </c>
      <c r="D2588" s="42">
        <v>717</v>
      </c>
      <c r="E2588" s="42"/>
      <c r="F2588" s="42" t="s">
        <v>6702</v>
      </c>
      <c r="G2588" s="42" t="str">
        <f t="shared" si="62"/>
        <v>70717830507163</v>
      </c>
      <c r="H2588" s="4" t="s">
        <v>6703</v>
      </c>
      <c r="I2588" s="45">
        <v>830507163</v>
      </c>
      <c r="J2588" s="4" t="s">
        <v>6629</v>
      </c>
      <c r="K2588" s="44" t="s">
        <v>230</v>
      </c>
      <c r="L2588" s="44" t="s">
        <v>45</v>
      </c>
      <c r="M2588" s="3" t="s">
        <v>45</v>
      </c>
      <c r="N2588" s="12" t="s">
        <v>127</v>
      </c>
      <c r="O2588" s="12" t="s">
        <v>2822</v>
      </c>
      <c r="P2588" s="4" t="s">
        <v>48</v>
      </c>
      <c r="Q2588" s="69">
        <v>44706</v>
      </c>
      <c r="R2588" s="11">
        <v>0.98</v>
      </c>
      <c r="S2588" s="4" t="s">
        <v>210</v>
      </c>
      <c r="T2588" s="14"/>
      <c r="U2588" s="14"/>
      <c r="V2588" s="13"/>
      <c r="W2588" s="14"/>
      <c r="X2588" s="42"/>
      <c r="Y2588" s="14"/>
      <c r="Z2588" s="14"/>
      <c r="AA2588" s="14"/>
      <c r="AC2588" s="14"/>
      <c r="AD2588" s="14"/>
      <c r="AE2588" s="14"/>
      <c r="AF2588" s="20"/>
      <c r="AH2588" s="14"/>
      <c r="AI2588" s="14"/>
      <c r="AJ2588" s="14"/>
      <c r="AK2588" s="20"/>
      <c r="AM2588" s="14"/>
      <c r="AN2588" s="14"/>
      <c r="AO2588" s="14"/>
      <c r="AU2588" s="71" t="s">
        <v>53</v>
      </c>
    </row>
    <row r="2589" spans="1:47" s="12" customFormat="1" ht="21" hidden="1" customHeight="1" x14ac:dyDescent="0.3">
      <c r="A2589" s="42" t="s">
        <v>505</v>
      </c>
      <c r="B2589" s="42" t="s">
        <v>6661</v>
      </c>
      <c r="C2589" s="42">
        <v>70</v>
      </c>
      <c r="D2589" s="42">
        <v>717</v>
      </c>
      <c r="E2589" s="42"/>
      <c r="F2589" s="42" t="s">
        <v>6704</v>
      </c>
      <c r="G2589" s="42" t="str">
        <f t="shared" si="62"/>
        <v>70717830507103</v>
      </c>
      <c r="H2589" s="4" t="s">
        <v>6705</v>
      </c>
      <c r="I2589" s="45">
        <v>830507103</v>
      </c>
      <c r="J2589" s="4" t="s">
        <v>6706</v>
      </c>
      <c r="K2589" s="44" t="s">
        <v>230</v>
      </c>
      <c r="L2589" s="44" t="s">
        <v>45</v>
      </c>
      <c r="M2589" s="3" t="s">
        <v>45</v>
      </c>
      <c r="N2589" s="12" t="s">
        <v>127</v>
      </c>
      <c r="O2589" s="12" t="s">
        <v>2822</v>
      </c>
      <c r="P2589" s="4" t="s">
        <v>48</v>
      </c>
      <c r="Q2589" s="69">
        <v>44610</v>
      </c>
      <c r="R2589" s="11">
        <v>0.88</v>
      </c>
      <c r="S2589" s="4" t="s">
        <v>49</v>
      </c>
      <c r="T2589" s="14"/>
      <c r="U2589" s="14"/>
      <c r="V2589" s="13"/>
      <c r="W2589" s="14"/>
      <c r="X2589" s="42"/>
      <c r="Y2589" s="14"/>
      <c r="Z2589" s="14"/>
      <c r="AA2589" s="14"/>
      <c r="AC2589" s="14"/>
      <c r="AD2589" s="14"/>
      <c r="AE2589" s="14"/>
      <c r="AF2589" s="20"/>
      <c r="AH2589" s="14"/>
      <c r="AI2589" s="14"/>
      <c r="AJ2589" s="14"/>
      <c r="AK2589" s="20"/>
      <c r="AM2589" s="14"/>
      <c r="AN2589" s="14"/>
      <c r="AO2589" s="14"/>
      <c r="AU2589" s="71" t="s">
        <v>53</v>
      </c>
    </row>
    <row r="2590" spans="1:47" s="12" customFormat="1" ht="21" hidden="1" customHeight="1" x14ac:dyDescent="0.3">
      <c r="A2590" s="42" t="s">
        <v>505</v>
      </c>
      <c r="B2590" s="42" t="s">
        <v>6661</v>
      </c>
      <c r="C2590" s="42">
        <v>70</v>
      </c>
      <c r="D2590" s="42">
        <v>717</v>
      </c>
      <c r="E2590" s="42"/>
      <c r="F2590" s="42" t="s">
        <v>6707</v>
      </c>
      <c r="G2590" s="42" t="str">
        <f t="shared" si="62"/>
        <v>70717900503919</v>
      </c>
      <c r="H2590" s="4" t="s">
        <v>6708</v>
      </c>
      <c r="I2590" s="45">
        <v>900503919</v>
      </c>
      <c r="J2590" s="4" t="s">
        <v>6709</v>
      </c>
      <c r="K2590" s="44" t="s">
        <v>230</v>
      </c>
      <c r="L2590" s="44">
        <v>3014426278</v>
      </c>
      <c r="M2590" s="3" t="s">
        <v>45</v>
      </c>
      <c r="N2590" s="12" t="s">
        <v>127</v>
      </c>
      <c r="O2590" s="12" t="s">
        <v>2822</v>
      </c>
      <c r="P2590" s="4" t="s">
        <v>48</v>
      </c>
      <c r="Q2590" s="69">
        <v>45008</v>
      </c>
      <c r="R2590" s="11">
        <v>0.9</v>
      </c>
      <c r="S2590" s="4" t="s">
        <v>210</v>
      </c>
      <c r="T2590" s="14"/>
      <c r="U2590" s="14"/>
      <c r="V2590" s="13"/>
      <c r="W2590" s="14"/>
      <c r="X2590" s="42"/>
      <c r="Y2590" s="14"/>
      <c r="Z2590" s="14"/>
      <c r="AA2590" s="14"/>
      <c r="AC2590" s="14"/>
      <c r="AD2590" s="14"/>
      <c r="AE2590" s="14"/>
      <c r="AF2590" s="20"/>
      <c r="AH2590" s="14"/>
      <c r="AI2590" s="14"/>
      <c r="AJ2590" s="14"/>
      <c r="AK2590" s="20"/>
      <c r="AM2590" s="14"/>
      <c r="AN2590" s="14"/>
      <c r="AO2590" s="14"/>
      <c r="AU2590" s="71" t="s">
        <v>53</v>
      </c>
    </row>
    <row r="2591" spans="1:47" s="12" customFormat="1" ht="21" hidden="1" customHeight="1" x14ac:dyDescent="0.3">
      <c r="A2591" s="42" t="s">
        <v>505</v>
      </c>
      <c r="B2591" s="42" t="s">
        <v>6661</v>
      </c>
      <c r="C2591" s="42">
        <v>70</v>
      </c>
      <c r="D2591" s="42">
        <v>717</v>
      </c>
      <c r="E2591" s="42"/>
      <c r="F2591" s="42" t="s">
        <v>6710</v>
      </c>
      <c r="G2591" s="42" t="str">
        <f t="shared" si="62"/>
        <v>70717900503919</v>
      </c>
      <c r="H2591" s="4" t="s">
        <v>6711</v>
      </c>
      <c r="I2591" s="45">
        <v>900503919</v>
      </c>
      <c r="J2591" s="4" t="s">
        <v>1173</v>
      </c>
      <c r="K2591" s="44" t="s">
        <v>230</v>
      </c>
      <c r="L2591" s="44">
        <v>3014426278</v>
      </c>
      <c r="M2591" s="3" t="s">
        <v>45</v>
      </c>
      <c r="N2591" s="12" t="s">
        <v>127</v>
      </c>
      <c r="O2591" s="12" t="s">
        <v>2822</v>
      </c>
      <c r="P2591" s="4" t="s">
        <v>48</v>
      </c>
      <c r="Q2591" s="69">
        <v>45012</v>
      </c>
      <c r="R2591" s="11">
        <v>0.92</v>
      </c>
      <c r="S2591" s="4" t="s">
        <v>210</v>
      </c>
      <c r="T2591" s="14"/>
      <c r="U2591" s="14"/>
      <c r="V2591" s="13"/>
      <c r="W2591" s="14"/>
      <c r="X2591" s="42"/>
      <c r="Y2591" s="14"/>
      <c r="Z2591" s="14"/>
      <c r="AA2591" s="14"/>
      <c r="AC2591" s="14"/>
      <c r="AD2591" s="14"/>
      <c r="AE2591" s="14"/>
      <c r="AF2591" s="20"/>
      <c r="AH2591" s="14"/>
      <c r="AI2591" s="14"/>
      <c r="AJ2591" s="14"/>
      <c r="AK2591" s="20"/>
      <c r="AM2591" s="14"/>
      <c r="AN2591" s="14"/>
      <c r="AO2591" s="14"/>
      <c r="AU2591" s="71" t="s">
        <v>53</v>
      </c>
    </row>
    <row r="2592" spans="1:47" s="12" customFormat="1" ht="21" hidden="1" customHeight="1" x14ac:dyDescent="0.3">
      <c r="A2592" s="42" t="s">
        <v>505</v>
      </c>
      <c r="B2592" s="42" t="s">
        <v>6661</v>
      </c>
      <c r="C2592" s="42">
        <v>70</v>
      </c>
      <c r="D2592" s="42">
        <v>717</v>
      </c>
      <c r="E2592" s="42"/>
      <c r="F2592" s="42" t="s">
        <v>6712</v>
      </c>
      <c r="G2592" s="42" t="str">
        <f t="shared" si="62"/>
        <v>70717900503919</v>
      </c>
      <c r="H2592" s="4" t="s">
        <v>6711</v>
      </c>
      <c r="I2592" s="45">
        <v>900503919</v>
      </c>
      <c r="J2592" s="4" t="s">
        <v>6713</v>
      </c>
      <c r="K2592" s="44" t="s">
        <v>230</v>
      </c>
      <c r="L2592" s="44">
        <v>3014426278</v>
      </c>
      <c r="M2592" s="3" t="s">
        <v>45</v>
      </c>
      <c r="N2592" s="12" t="s">
        <v>127</v>
      </c>
      <c r="O2592" s="12" t="s">
        <v>2822</v>
      </c>
      <c r="P2592" s="4" t="s">
        <v>48</v>
      </c>
      <c r="Q2592" s="69">
        <v>45009</v>
      </c>
      <c r="R2592" s="11">
        <v>0.94</v>
      </c>
      <c r="S2592" s="4" t="s">
        <v>210</v>
      </c>
      <c r="T2592" s="14"/>
      <c r="U2592" s="14"/>
      <c r="V2592" s="13"/>
      <c r="W2592" s="14"/>
      <c r="X2592" s="42"/>
      <c r="Y2592" s="14"/>
      <c r="Z2592" s="14"/>
      <c r="AA2592" s="14"/>
      <c r="AC2592" s="14"/>
      <c r="AD2592" s="14"/>
      <c r="AE2592" s="14"/>
      <c r="AF2592" s="20"/>
      <c r="AH2592" s="14"/>
      <c r="AI2592" s="14"/>
      <c r="AJ2592" s="14"/>
      <c r="AK2592" s="20"/>
      <c r="AM2592" s="14"/>
      <c r="AN2592" s="14"/>
      <c r="AO2592" s="14"/>
      <c r="AU2592" s="71" t="s">
        <v>53</v>
      </c>
    </row>
    <row r="2593" spans="1:47" s="12" customFormat="1" ht="21" hidden="1" customHeight="1" x14ac:dyDescent="0.3">
      <c r="A2593" s="42" t="s">
        <v>505</v>
      </c>
      <c r="B2593" s="42" t="s">
        <v>6661</v>
      </c>
      <c r="C2593" s="42">
        <v>70</v>
      </c>
      <c r="D2593" s="42">
        <v>717</v>
      </c>
      <c r="E2593" s="42"/>
      <c r="F2593" s="42" t="s">
        <v>6714</v>
      </c>
      <c r="G2593" s="42" t="str">
        <f t="shared" si="62"/>
        <v>70717707764478481</v>
      </c>
      <c r="H2593" s="4" t="s">
        <v>6715</v>
      </c>
      <c r="I2593" s="45">
        <v>707764478481</v>
      </c>
      <c r="J2593" s="4" t="s">
        <v>6716</v>
      </c>
      <c r="K2593" s="44" t="s">
        <v>230</v>
      </c>
      <c r="L2593" s="44" t="s">
        <v>45</v>
      </c>
      <c r="M2593" s="3" t="s">
        <v>45</v>
      </c>
      <c r="N2593" s="12" t="s">
        <v>46</v>
      </c>
      <c r="O2593" s="68" t="s">
        <v>521</v>
      </c>
      <c r="P2593" s="4" t="s">
        <v>80</v>
      </c>
      <c r="Q2593" s="69">
        <v>44146</v>
      </c>
      <c r="R2593" s="11">
        <v>0.84</v>
      </c>
      <c r="S2593" s="4" t="s">
        <v>49</v>
      </c>
      <c r="T2593" s="14"/>
      <c r="U2593" s="14"/>
      <c r="V2593" s="13"/>
      <c r="W2593" s="14"/>
      <c r="X2593" s="42"/>
      <c r="Y2593" s="14"/>
      <c r="Z2593" s="14"/>
      <c r="AA2593" s="14"/>
      <c r="AC2593" s="14"/>
      <c r="AD2593" s="14"/>
      <c r="AE2593" s="14"/>
      <c r="AF2593" s="20"/>
      <c r="AH2593" s="14"/>
      <c r="AI2593" s="14"/>
      <c r="AJ2593" s="14"/>
      <c r="AK2593" s="20"/>
      <c r="AM2593" s="14"/>
      <c r="AN2593" s="14"/>
      <c r="AO2593" s="14"/>
      <c r="AU2593" s="71" t="s">
        <v>53</v>
      </c>
    </row>
    <row r="2594" spans="1:47" s="12" customFormat="1" ht="21" hidden="1" customHeight="1" x14ac:dyDescent="0.3">
      <c r="A2594" s="42" t="s">
        <v>505</v>
      </c>
      <c r="B2594" s="42" t="s">
        <v>6661</v>
      </c>
      <c r="C2594" s="42">
        <v>70</v>
      </c>
      <c r="D2594" s="42">
        <v>717</v>
      </c>
      <c r="E2594" s="42"/>
      <c r="F2594" s="42" t="s">
        <v>6717</v>
      </c>
      <c r="G2594" s="42" t="str">
        <f t="shared" si="62"/>
        <v>707171104017219</v>
      </c>
      <c r="H2594" s="4" t="s">
        <v>6718</v>
      </c>
      <c r="I2594" s="45">
        <v>1104017219</v>
      </c>
      <c r="J2594" s="4" t="s">
        <v>6719</v>
      </c>
      <c r="K2594" s="44" t="s">
        <v>230</v>
      </c>
      <c r="L2594" s="44" t="s">
        <v>45</v>
      </c>
      <c r="M2594" s="3" t="s">
        <v>45</v>
      </c>
      <c r="N2594" s="12" t="s">
        <v>46</v>
      </c>
      <c r="O2594" s="68" t="s">
        <v>521</v>
      </c>
      <c r="P2594" s="4" t="s">
        <v>80</v>
      </c>
      <c r="Q2594" s="69">
        <v>44544</v>
      </c>
      <c r="R2594" s="11">
        <v>0.76500000000000001</v>
      </c>
      <c r="S2594" s="4" t="s">
        <v>49</v>
      </c>
      <c r="T2594" s="14"/>
      <c r="U2594" s="14"/>
      <c r="V2594" s="13"/>
      <c r="W2594" s="14"/>
      <c r="X2594" s="42"/>
      <c r="Y2594" s="14"/>
      <c r="Z2594" s="14"/>
      <c r="AA2594" s="14"/>
      <c r="AC2594" s="14"/>
      <c r="AD2594" s="14"/>
      <c r="AE2594" s="14"/>
      <c r="AF2594" s="20"/>
      <c r="AH2594" s="14"/>
      <c r="AI2594" s="14"/>
      <c r="AJ2594" s="14"/>
      <c r="AK2594" s="20"/>
      <c r="AM2594" s="14"/>
      <c r="AN2594" s="14"/>
      <c r="AO2594" s="14"/>
      <c r="AU2594" s="71" t="s">
        <v>53</v>
      </c>
    </row>
    <row r="2595" spans="1:47" s="12" customFormat="1" ht="21" hidden="1" customHeight="1" x14ac:dyDescent="0.3">
      <c r="A2595" s="42" t="s">
        <v>505</v>
      </c>
      <c r="B2595" s="42" t="s">
        <v>6661</v>
      </c>
      <c r="C2595" s="42">
        <v>70</v>
      </c>
      <c r="D2595" s="42">
        <v>717</v>
      </c>
      <c r="E2595" s="42"/>
      <c r="F2595" s="42" t="s">
        <v>6720</v>
      </c>
      <c r="G2595" s="42" t="str">
        <f t="shared" si="62"/>
        <v>7071764861010</v>
      </c>
      <c r="H2595" s="4" t="s">
        <v>6721</v>
      </c>
      <c r="I2595" s="45">
        <v>64861010</v>
      </c>
      <c r="J2595" s="4" t="s">
        <v>6722</v>
      </c>
      <c r="K2595" s="44" t="s">
        <v>230</v>
      </c>
      <c r="L2595" s="44">
        <v>3205175720</v>
      </c>
      <c r="M2595" s="3" t="s">
        <v>45</v>
      </c>
      <c r="N2595" s="12" t="s">
        <v>46</v>
      </c>
      <c r="O2595" s="68" t="s">
        <v>521</v>
      </c>
      <c r="P2595" s="4" t="s">
        <v>80</v>
      </c>
      <c r="Q2595" s="69">
        <v>45632</v>
      </c>
      <c r="R2595" s="11">
        <v>0.81499999999999995</v>
      </c>
      <c r="S2595" s="4" t="s">
        <v>49</v>
      </c>
      <c r="T2595" s="14"/>
      <c r="U2595" s="14"/>
      <c r="V2595" s="13"/>
      <c r="W2595" s="14"/>
      <c r="X2595" s="42"/>
      <c r="Y2595" s="14"/>
      <c r="Z2595" s="14"/>
      <c r="AA2595" s="14"/>
      <c r="AC2595" s="14"/>
      <c r="AD2595" s="14"/>
      <c r="AE2595" s="14"/>
      <c r="AF2595" s="20"/>
      <c r="AH2595" s="14"/>
      <c r="AI2595" s="14"/>
      <c r="AJ2595" s="14"/>
      <c r="AK2595" s="20"/>
      <c r="AM2595" s="14"/>
      <c r="AN2595" s="14"/>
      <c r="AO2595" s="14"/>
      <c r="AU2595" s="71" t="s">
        <v>53</v>
      </c>
    </row>
    <row r="2596" spans="1:47" s="12" customFormat="1" ht="21" hidden="1" customHeight="1" x14ac:dyDescent="0.3">
      <c r="A2596" s="42" t="s">
        <v>505</v>
      </c>
      <c r="B2596" s="42" t="s">
        <v>6661</v>
      </c>
      <c r="C2596" s="42">
        <v>70</v>
      </c>
      <c r="D2596" s="42">
        <v>717</v>
      </c>
      <c r="E2596" s="42"/>
      <c r="F2596" s="42" t="s">
        <v>6723</v>
      </c>
      <c r="G2596" s="42" t="str">
        <f t="shared" si="62"/>
        <v>7071792521442</v>
      </c>
      <c r="H2596" s="4" t="s">
        <v>6724</v>
      </c>
      <c r="I2596" s="45">
        <v>92521442</v>
      </c>
      <c r="J2596" s="4" t="s">
        <v>6725</v>
      </c>
      <c r="K2596" s="44" t="s">
        <v>230</v>
      </c>
      <c r="L2596" s="44" t="s">
        <v>45</v>
      </c>
      <c r="M2596" s="3" t="s">
        <v>45</v>
      </c>
      <c r="N2596" s="12" t="s">
        <v>46</v>
      </c>
      <c r="O2596" s="68" t="s">
        <v>521</v>
      </c>
      <c r="P2596" s="4" t="s">
        <v>80</v>
      </c>
      <c r="Q2596" s="69">
        <v>44139</v>
      </c>
      <c r="R2596" s="11">
        <v>0.90500000000000003</v>
      </c>
      <c r="S2596" s="4" t="s">
        <v>210</v>
      </c>
      <c r="T2596" s="14"/>
      <c r="U2596" s="14"/>
      <c r="V2596" s="13"/>
      <c r="W2596" s="14"/>
      <c r="X2596" s="42"/>
      <c r="Y2596" s="14"/>
      <c r="Z2596" s="14"/>
      <c r="AA2596" s="14"/>
      <c r="AC2596" s="14"/>
      <c r="AD2596" s="14"/>
      <c r="AE2596" s="14"/>
      <c r="AF2596" s="20"/>
      <c r="AH2596" s="14"/>
      <c r="AI2596" s="14"/>
      <c r="AJ2596" s="14"/>
      <c r="AK2596" s="20"/>
      <c r="AM2596" s="14"/>
      <c r="AN2596" s="14"/>
      <c r="AO2596" s="14"/>
      <c r="AU2596" s="71" t="s">
        <v>53</v>
      </c>
    </row>
    <row r="2597" spans="1:47" s="12" customFormat="1" ht="21" hidden="1" customHeight="1" x14ac:dyDescent="0.3">
      <c r="A2597" s="42" t="s">
        <v>505</v>
      </c>
      <c r="B2597" s="42" t="s">
        <v>6661</v>
      </c>
      <c r="C2597" s="42">
        <v>70</v>
      </c>
      <c r="D2597" s="42">
        <v>717</v>
      </c>
      <c r="E2597" s="42"/>
      <c r="F2597" s="42" t="s">
        <v>6726</v>
      </c>
      <c r="G2597" s="42" t="str">
        <f t="shared" si="62"/>
        <v>70717900507716-7</v>
      </c>
      <c r="H2597" s="4" t="s">
        <v>6727</v>
      </c>
      <c r="I2597" s="45" t="s">
        <v>6689</v>
      </c>
      <c r="J2597" s="4" t="s">
        <v>6728</v>
      </c>
      <c r="K2597" s="44" t="s">
        <v>230</v>
      </c>
      <c r="L2597" s="44">
        <v>3128038861</v>
      </c>
      <c r="M2597" s="3" t="s">
        <v>45</v>
      </c>
      <c r="N2597" s="14" t="s">
        <v>2901</v>
      </c>
      <c r="O2597" s="88" t="s">
        <v>4949</v>
      </c>
      <c r="P2597" s="4" t="s">
        <v>261</v>
      </c>
      <c r="Q2597" s="69">
        <v>45590</v>
      </c>
      <c r="R2597" s="11">
        <v>0.92500000000000004</v>
      </c>
      <c r="S2597" s="4" t="s">
        <v>210</v>
      </c>
      <c r="T2597" s="14"/>
      <c r="U2597" s="14"/>
      <c r="V2597" s="13"/>
      <c r="W2597" s="14"/>
      <c r="X2597" s="42"/>
      <c r="Y2597" s="14"/>
      <c r="Z2597" s="14"/>
      <c r="AA2597" s="14"/>
      <c r="AC2597" s="14"/>
      <c r="AD2597" s="14"/>
      <c r="AE2597" s="14"/>
      <c r="AF2597" s="20"/>
      <c r="AH2597" s="14"/>
      <c r="AI2597" s="14"/>
      <c r="AJ2597" s="14"/>
      <c r="AK2597" s="20"/>
      <c r="AM2597" s="14"/>
      <c r="AN2597" s="14"/>
      <c r="AO2597" s="14"/>
      <c r="AU2597" s="71" t="s">
        <v>53</v>
      </c>
    </row>
    <row r="2598" spans="1:47" s="12" customFormat="1" ht="21" hidden="1" customHeight="1" x14ac:dyDescent="0.3">
      <c r="A2598" s="42" t="s">
        <v>505</v>
      </c>
      <c r="B2598" s="42" t="s">
        <v>6661</v>
      </c>
      <c r="C2598" s="42">
        <v>70</v>
      </c>
      <c r="D2598" s="42">
        <v>717</v>
      </c>
      <c r="E2598" s="42"/>
      <c r="F2598" s="42" t="s">
        <v>6729</v>
      </c>
      <c r="G2598" s="42" t="str">
        <f t="shared" si="62"/>
        <v>70717110017311-9</v>
      </c>
      <c r="H2598" s="4" t="s">
        <v>6730</v>
      </c>
      <c r="I2598" s="45" t="s">
        <v>6731</v>
      </c>
      <c r="J2598" s="4" t="s">
        <v>6732</v>
      </c>
      <c r="K2598" s="44" t="s">
        <v>230</v>
      </c>
      <c r="L2598" s="44">
        <v>3144045116</v>
      </c>
      <c r="M2598" s="3" t="s">
        <v>45</v>
      </c>
      <c r="N2598" s="12" t="s">
        <v>46</v>
      </c>
      <c r="O2598" s="68" t="s">
        <v>521</v>
      </c>
      <c r="P2598" s="4" t="s">
        <v>80</v>
      </c>
      <c r="Q2598" s="69">
        <v>45630</v>
      </c>
      <c r="R2598" s="11">
        <v>0.88500000000000001</v>
      </c>
      <c r="S2598" s="4" t="s">
        <v>49</v>
      </c>
      <c r="T2598" s="14"/>
      <c r="U2598" s="14"/>
      <c r="V2598" s="13"/>
      <c r="W2598" s="14"/>
      <c r="X2598" s="42"/>
      <c r="Y2598" s="14"/>
      <c r="Z2598" s="14"/>
      <c r="AA2598" s="14"/>
      <c r="AC2598" s="14"/>
      <c r="AD2598" s="14"/>
      <c r="AE2598" s="14"/>
      <c r="AF2598" s="20"/>
      <c r="AH2598" s="14"/>
      <c r="AI2598" s="14"/>
      <c r="AJ2598" s="14"/>
      <c r="AK2598" s="20"/>
      <c r="AM2598" s="14"/>
      <c r="AN2598" s="14"/>
      <c r="AO2598" s="14"/>
      <c r="AU2598" s="71" t="s">
        <v>53</v>
      </c>
    </row>
    <row r="2599" spans="1:47" s="12" customFormat="1" ht="21" hidden="1" customHeight="1" x14ac:dyDescent="0.3">
      <c r="A2599" s="42" t="s">
        <v>505</v>
      </c>
      <c r="B2599" s="42" t="s">
        <v>6661</v>
      </c>
      <c r="C2599" s="42">
        <v>70</v>
      </c>
      <c r="D2599" s="42">
        <v>717</v>
      </c>
      <c r="E2599" s="42"/>
      <c r="F2599" s="42" t="s">
        <v>6733</v>
      </c>
      <c r="G2599" s="42" t="str">
        <f t="shared" si="62"/>
        <v>707171104012143</v>
      </c>
      <c r="H2599" s="4" t="s">
        <v>6734</v>
      </c>
      <c r="I2599" s="45">
        <v>1104012143</v>
      </c>
      <c r="J2599" s="4" t="s">
        <v>6735</v>
      </c>
      <c r="K2599" s="44" t="s">
        <v>230</v>
      </c>
      <c r="L2599" s="44" t="s">
        <v>45</v>
      </c>
      <c r="M2599" s="3" t="s">
        <v>45</v>
      </c>
      <c r="N2599" s="12" t="s">
        <v>432</v>
      </c>
      <c r="O2599" s="12" t="s">
        <v>432</v>
      </c>
      <c r="P2599" s="4" t="s">
        <v>261</v>
      </c>
      <c r="Q2599" s="69"/>
      <c r="R2599" s="11"/>
      <c r="S2599" s="4"/>
      <c r="T2599" s="14"/>
      <c r="U2599" s="14"/>
      <c r="V2599" s="13"/>
      <c r="W2599" s="14"/>
      <c r="X2599" s="42"/>
      <c r="Y2599" s="14"/>
      <c r="Z2599" s="14"/>
      <c r="AA2599" s="14"/>
      <c r="AC2599" s="14"/>
      <c r="AD2599" s="14"/>
      <c r="AE2599" s="14"/>
      <c r="AF2599" s="20"/>
      <c r="AH2599" s="14"/>
      <c r="AI2599" s="14"/>
      <c r="AJ2599" s="14"/>
      <c r="AK2599" s="20"/>
      <c r="AM2599" s="14"/>
      <c r="AN2599" s="14"/>
      <c r="AO2599" s="14"/>
      <c r="AU2599" s="71" t="s">
        <v>53</v>
      </c>
    </row>
    <row r="2600" spans="1:47" s="12" customFormat="1" ht="21" hidden="1" customHeight="1" x14ac:dyDescent="0.3">
      <c r="A2600" s="42" t="s">
        <v>505</v>
      </c>
      <c r="B2600" s="42" t="s">
        <v>6661</v>
      </c>
      <c r="C2600" s="42">
        <v>70</v>
      </c>
      <c r="D2600" s="42">
        <v>717</v>
      </c>
      <c r="E2600" s="42"/>
      <c r="F2600" s="42" t="s">
        <v>6736</v>
      </c>
      <c r="G2600" s="42" t="str">
        <f t="shared" si="62"/>
        <v>707173975386</v>
      </c>
      <c r="H2600" s="4" t="s">
        <v>6737</v>
      </c>
      <c r="I2600" s="45">
        <v>3975386</v>
      </c>
      <c r="J2600" s="4" t="s">
        <v>6738</v>
      </c>
      <c r="K2600" s="44" t="s">
        <v>230</v>
      </c>
      <c r="L2600" s="44">
        <v>3122778303</v>
      </c>
      <c r="M2600" s="3" t="s">
        <v>45</v>
      </c>
      <c r="N2600" s="12" t="s">
        <v>432</v>
      </c>
      <c r="O2600" s="12" t="s">
        <v>432</v>
      </c>
      <c r="P2600" s="4" t="s">
        <v>261</v>
      </c>
      <c r="Q2600" s="69">
        <v>45632</v>
      </c>
      <c r="R2600" s="11">
        <v>0.81</v>
      </c>
      <c r="S2600" s="4" t="s">
        <v>49</v>
      </c>
      <c r="T2600" s="14"/>
      <c r="U2600" s="14"/>
      <c r="V2600" s="13"/>
      <c r="W2600" s="14"/>
      <c r="X2600" s="42"/>
      <c r="Y2600" s="14"/>
      <c r="Z2600" s="14"/>
      <c r="AA2600" s="14"/>
      <c r="AC2600" s="14"/>
      <c r="AD2600" s="14"/>
      <c r="AE2600" s="14"/>
      <c r="AF2600" s="20"/>
      <c r="AH2600" s="14"/>
      <c r="AI2600" s="14"/>
      <c r="AJ2600" s="14"/>
      <c r="AK2600" s="20"/>
      <c r="AM2600" s="14"/>
      <c r="AN2600" s="14"/>
      <c r="AO2600" s="14"/>
      <c r="AU2600" s="71" t="s">
        <v>53</v>
      </c>
    </row>
    <row r="2601" spans="1:47" s="12" customFormat="1" ht="21" hidden="1" customHeight="1" x14ac:dyDescent="0.3">
      <c r="A2601" s="42" t="s">
        <v>505</v>
      </c>
      <c r="B2601" s="42" t="s">
        <v>6661</v>
      </c>
      <c r="C2601" s="42">
        <v>70</v>
      </c>
      <c r="D2601" s="42">
        <v>717</v>
      </c>
      <c r="E2601" s="42"/>
      <c r="F2601" s="42" t="s">
        <v>6739</v>
      </c>
      <c r="G2601" s="42" t="str">
        <f t="shared" si="62"/>
        <v>707171104012143</v>
      </c>
      <c r="H2601" s="4" t="s">
        <v>6740</v>
      </c>
      <c r="I2601" s="45">
        <v>1104012143</v>
      </c>
      <c r="J2601" s="4" t="s">
        <v>6735</v>
      </c>
      <c r="K2601" s="44" t="s">
        <v>230</v>
      </c>
      <c r="L2601" s="44">
        <v>3015066876</v>
      </c>
      <c r="M2601" s="3" t="s">
        <v>45</v>
      </c>
      <c r="N2601" s="12" t="s">
        <v>432</v>
      </c>
      <c r="O2601" s="12" t="s">
        <v>432</v>
      </c>
      <c r="P2601" s="4" t="s">
        <v>261</v>
      </c>
      <c r="Q2601" s="69">
        <v>45041</v>
      </c>
      <c r="R2601" s="11">
        <v>0.87</v>
      </c>
      <c r="S2601" s="4" t="s">
        <v>49</v>
      </c>
      <c r="T2601" s="14"/>
      <c r="U2601" s="14"/>
      <c r="V2601" s="13"/>
      <c r="W2601" s="14"/>
      <c r="X2601" s="42"/>
      <c r="Y2601" s="14"/>
      <c r="Z2601" s="14"/>
      <c r="AA2601" s="14"/>
      <c r="AC2601" s="14"/>
      <c r="AD2601" s="14"/>
      <c r="AE2601" s="14"/>
      <c r="AF2601" s="20"/>
      <c r="AH2601" s="14"/>
      <c r="AI2601" s="14"/>
      <c r="AJ2601" s="14"/>
      <c r="AK2601" s="20"/>
      <c r="AM2601" s="14"/>
      <c r="AN2601" s="14"/>
      <c r="AO2601" s="14"/>
      <c r="AU2601" s="71" t="s">
        <v>53</v>
      </c>
    </row>
    <row r="2602" spans="1:47" s="12" customFormat="1" ht="21" hidden="1" customHeight="1" x14ac:dyDescent="0.3">
      <c r="A2602" s="42" t="s">
        <v>505</v>
      </c>
      <c r="B2602" s="42" t="s">
        <v>6661</v>
      </c>
      <c r="C2602" s="42">
        <v>70</v>
      </c>
      <c r="D2602" s="42">
        <v>717</v>
      </c>
      <c r="E2602" s="42"/>
      <c r="F2602" s="42" t="s">
        <v>6741</v>
      </c>
      <c r="G2602" s="42" t="str">
        <f t="shared" si="62"/>
        <v>7071764479270-1</v>
      </c>
      <c r="H2602" s="4" t="s">
        <v>6742</v>
      </c>
      <c r="I2602" s="45" t="s">
        <v>6743</v>
      </c>
      <c r="J2602" s="4" t="s">
        <v>6744</v>
      </c>
      <c r="K2602" s="44" t="s">
        <v>230</v>
      </c>
      <c r="L2602" s="44">
        <v>3113716637</v>
      </c>
      <c r="M2602" s="3" t="s">
        <v>45</v>
      </c>
      <c r="N2602" s="12" t="s">
        <v>432</v>
      </c>
      <c r="O2602" s="12" t="s">
        <v>432</v>
      </c>
      <c r="P2602" s="4" t="s">
        <v>261</v>
      </c>
      <c r="Q2602" s="69">
        <v>45622</v>
      </c>
      <c r="R2602" s="11">
        <v>0.875</v>
      </c>
      <c r="S2602" s="4" t="s">
        <v>49</v>
      </c>
      <c r="T2602" s="14"/>
      <c r="U2602" s="14"/>
      <c r="V2602" s="13"/>
      <c r="W2602" s="14"/>
      <c r="X2602" s="42"/>
      <c r="Y2602" s="14"/>
      <c r="Z2602" s="14"/>
      <c r="AA2602" s="14"/>
      <c r="AC2602" s="14"/>
      <c r="AD2602" s="14"/>
      <c r="AE2602" s="14"/>
      <c r="AF2602" s="20"/>
      <c r="AH2602" s="14"/>
      <c r="AI2602" s="14"/>
      <c r="AJ2602" s="14"/>
      <c r="AK2602" s="20"/>
      <c r="AM2602" s="14"/>
      <c r="AN2602" s="14"/>
      <c r="AO2602" s="14"/>
      <c r="AU2602" s="71" t="s">
        <v>53</v>
      </c>
    </row>
    <row r="2603" spans="1:47" s="12" customFormat="1" ht="21" hidden="1" customHeight="1" x14ac:dyDescent="0.3">
      <c r="A2603" s="42" t="s">
        <v>505</v>
      </c>
      <c r="B2603" s="42" t="s">
        <v>6661</v>
      </c>
      <c r="C2603" s="42">
        <v>70</v>
      </c>
      <c r="D2603" s="42">
        <v>717</v>
      </c>
      <c r="E2603" s="42"/>
      <c r="F2603" s="42" t="s">
        <v>3550</v>
      </c>
      <c r="G2603" s="42" t="str">
        <f t="shared" si="62"/>
        <v>7071773208113-4</v>
      </c>
      <c r="H2603" s="4" t="s">
        <v>6745</v>
      </c>
      <c r="I2603" s="45" t="s">
        <v>6746</v>
      </c>
      <c r="J2603" s="4" t="s">
        <v>6747</v>
      </c>
      <c r="K2603" s="44" t="s">
        <v>230</v>
      </c>
      <c r="L2603" s="44" t="s">
        <v>45</v>
      </c>
      <c r="M2603" s="3" t="s">
        <v>45</v>
      </c>
      <c r="N2603" s="12" t="s">
        <v>432</v>
      </c>
      <c r="O2603" s="12" t="s">
        <v>432</v>
      </c>
      <c r="P2603" s="4" t="s">
        <v>261</v>
      </c>
      <c r="Q2603" s="69">
        <v>44910</v>
      </c>
      <c r="R2603" s="11">
        <v>0.84499999999999997</v>
      </c>
      <c r="S2603" s="4" t="s">
        <v>49</v>
      </c>
      <c r="T2603" s="14"/>
      <c r="U2603" s="14"/>
      <c r="V2603" s="13"/>
      <c r="W2603" s="14"/>
      <c r="X2603" s="42"/>
      <c r="Y2603" s="14"/>
      <c r="Z2603" s="14"/>
      <c r="AA2603" s="14"/>
      <c r="AC2603" s="14"/>
      <c r="AD2603" s="14"/>
      <c r="AE2603" s="14"/>
      <c r="AF2603" s="20"/>
      <c r="AH2603" s="14"/>
      <c r="AI2603" s="14"/>
      <c r="AJ2603" s="14"/>
      <c r="AK2603" s="20"/>
      <c r="AM2603" s="14"/>
      <c r="AN2603" s="14"/>
      <c r="AO2603" s="14"/>
      <c r="AU2603" s="71" t="s">
        <v>53</v>
      </c>
    </row>
    <row r="2604" spans="1:47" s="12" customFormat="1" ht="21" hidden="1" customHeight="1" x14ac:dyDescent="0.3">
      <c r="A2604" s="42" t="s">
        <v>505</v>
      </c>
      <c r="B2604" s="42" t="s">
        <v>6661</v>
      </c>
      <c r="C2604" s="42">
        <v>70</v>
      </c>
      <c r="D2604" s="42">
        <v>717</v>
      </c>
      <c r="E2604" s="42"/>
      <c r="F2604" s="42" t="s">
        <v>6748</v>
      </c>
      <c r="G2604" s="42" t="str">
        <f t="shared" si="62"/>
        <v>7071792186657-1</v>
      </c>
      <c r="H2604" s="4" t="s">
        <v>6749</v>
      </c>
      <c r="I2604" s="45" t="s">
        <v>6750</v>
      </c>
      <c r="J2604" s="4" t="s">
        <v>6751</v>
      </c>
      <c r="K2604" s="44" t="s">
        <v>230</v>
      </c>
      <c r="L2604" s="44" t="s">
        <v>45</v>
      </c>
      <c r="M2604" s="3" t="s">
        <v>45</v>
      </c>
      <c r="N2604" s="12" t="s">
        <v>432</v>
      </c>
      <c r="O2604" s="12" t="s">
        <v>432</v>
      </c>
      <c r="P2604" s="4" t="s">
        <v>261</v>
      </c>
      <c r="Q2604" s="69">
        <v>45496</v>
      </c>
      <c r="R2604" s="11">
        <v>0.76</v>
      </c>
      <c r="S2604" s="4" t="s">
        <v>49</v>
      </c>
      <c r="T2604" s="14"/>
      <c r="U2604" s="14"/>
      <c r="V2604" s="13"/>
      <c r="W2604" s="14"/>
      <c r="X2604" s="42"/>
      <c r="Y2604" s="14"/>
      <c r="Z2604" s="14"/>
      <c r="AA2604" s="14"/>
      <c r="AC2604" s="14"/>
      <c r="AD2604" s="14"/>
      <c r="AE2604" s="14"/>
      <c r="AF2604" s="20"/>
      <c r="AH2604" s="14"/>
      <c r="AI2604" s="14"/>
      <c r="AJ2604" s="14"/>
      <c r="AK2604" s="20"/>
      <c r="AM2604" s="14"/>
      <c r="AN2604" s="14"/>
      <c r="AO2604" s="14"/>
      <c r="AU2604" s="71" t="s">
        <v>53</v>
      </c>
    </row>
    <row r="2605" spans="1:47" s="12" customFormat="1" ht="21" hidden="1" customHeight="1" x14ac:dyDescent="0.3">
      <c r="A2605" s="42" t="s">
        <v>505</v>
      </c>
      <c r="B2605" s="42" t="s">
        <v>6661</v>
      </c>
      <c r="C2605" s="42">
        <v>70</v>
      </c>
      <c r="D2605" s="42">
        <v>717</v>
      </c>
      <c r="E2605" s="42"/>
      <c r="F2605" s="42" t="s">
        <v>6752</v>
      </c>
      <c r="G2605" s="42" t="str">
        <f t="shared" si="62"/>
        <v>7071792131657-1</v>
      </c>
      <c r="H2605" s="4" t="s">
        <v>6753</v>
      </c>
      <c r="I2605" s="45" t="s">
        <v>6754</v>
      </c>
      <c r="J2605" s="4" t="s">
        <v>6755</v>
      </c>
      <c r="K2605" s="44" t="s">
        <v>230</v>
      </c>
      <c r="L2605" s="44">
        <v>3004306891</v>
      </c>
      <c r="M2605" s="3" t="s">
        <v>6756</v>
      </c>
      <c r="N2605" s="12" t="s">
        <v>432</v>
      </c>
      <c r="O2605" s="12" t="s">
        <v>432</v>
      </c>
      <c r="P2605" s="4" t="s">
        <v>261</v>
      </c>
      <c r="Q2605" s="69"/>
      <c r="R2605" s="11"/>
      <c r="S2605" s="4"/>
      <c r="T2605" s="14"/>
      <c r="U2605" s="14"/>
      <c r="V2605" s="13"/>
      <c r="W2605" s="14"/>
      <c r="X2605" s="42"/>
      <c r="Y2605" s="14"/>
      <c r="Z2605" s="14"/>
      <c r="AA2605" s="14"/>
      <c r="AC2605" s="14"/>
      <c r="AD2605" s="14"/>
      <c r="AE2605" s="14"/>
      <c r="AF2605" s="20"/>
      <c r="AH2605" s="14"/>
      <c r="AI2605" s="14"/>
      <c r="AJ2605" s="14"/>
      <c r="AK2605" s="20"/>
      <c r="AM2605" s="14"/>
      <c r="AN2605" s="14"/>
      <c r="AO2605" s="14"/>
      <c r="AU2605" s="71" t="s">
        <v>53</v>
      </c>
    </row>
    <row r="2606" spans="1:47" s="12" customFormat="1" ht="21" hidden="1" customHeight="1" x14ac:dyDescent="0.3">
      <c r="A2606" s="42" t="s">
        <v>505</v>
      </c>
      <c r="B2606" s="42" t="s">
        <v>6661</v>
      </c>
      <c r="C2606" s="42">
        <v>70</v>
      </c>
      <c r="D2606" s="42">
        <v>717</v>
      </c>
      <c r="E2606" s="42"/>
      <c r="F2606" s="42" t="s">
        <v>6757</v>
      </c>
      <c r="G2606" s="42" t="str">
        <f t="shared" si="62"/>
        <v>7071764475332</v>
      </c>
      <c r="H2606" s="4" t="s">
        <v>6758</v>
      </c>
      <c r="I2606" s="45">
        <v>64475332</v>
      </c>
      <c r="J2606" s="4" t="s">
        <v>6759</v>
      </c>
      <c r="K2606" s="44" t="s">
        <v>230</v>
      </c>
      <c r="L2606" s="44" t="s">
        <v>45</v>
      </c>
      <c r="M2606" s="3" t="s">
        <v>45</v>
      </c>
      <c r="N2606" s="12" t="s">
        <v>432</v>
      </c>
      <c r="O2606" s="12" t="s">
        <v>432</v>
      </c>
      <c r="P2606" s="4" t="s">
        <v>261</v>
      </c>
      <c r="Q2606" s="69">
        <v>44898</v>
      </c>
      <c r="R2606" s="11">
        <v>0.85499999999999998</v>
      </c>
      <c r="S2606" s="4" t="s">
        <v>49</v>
      </c>
      <c r="T2606" s="14"/>
      <c r="U2606" s="14"/>
      <c r="V2606" s="13"/>
      <c r="W2606" s="14"/>
      <c r="X2606" s="42"/>
      <c r="Y2606" s="14"/>
      <c r="Z2606" s="14"/>
      <c r="AA2606" s="14"/>
      <c r="AC2606" s="14"/>
      <c r="AD2606" s="14"/>
      <c r="AE2606" s="14"/>
      <c r="AF2606" s="20"/>
      <c r="AH2606" s="14"/>
      <c r="AI2606" s="14"/>
      <c r="AJ2606" s="14"/>
      <c r="AK2606" s="20"/>
      <c r="AM2606" s="14"/>
      <c r="AN2606" s="14"/>
      <c r="AO2606" s="14"/>
      <c r="AU2606" s="71" t="s">
        <v>53</v>
      </c>
    </row>
    <row r="2607" spans="1:47" s="12" customFormat="1" ht="21" hidden="1" customHeight="1" x14ac:dyDescent="0.3">
      <c r="A2607" s="42" t="s">
        <v>505</v>
      </c>
      <c r="B2607" s="42" t="s">
        <v>6661</v>
      </c>
      <c r="C2607" s="42">
        <v>70</v>
      </c>
      <c r="D2607" s="42">
        <v>717</v>
      </c>
      <c r="E2607" s="42"/>
      <c r="F2607" s="42" t="s">
        <v>6760</v>
      </c>
      <c r="G2607" s="42" t="str">
        <f t="shared" si="62"/>
        <v>7071723133876</v>
      </c>
      <c r="H2607" s="4" t="s">
        <v>6761</v>
      </c>
      <c r="I2607" s="45">
        <v>23133876</v>
      </c>
      <c r="J2607" s="4" t="s">
        <v>6762</v>
      </c>
      <c r="K2607" s="44" t="s">
        <v>230</v>
      </c>
      <c r="L2607" s="44" t="s">
        <v>45</v>
      </c>
      <c r="M2607" s="3" t="s">
        <v>45</v>
      </c>
      <c r="N2607" s="12" t="s">
        <v>432</v>
      </c>
      <c r="O2607" s="12" t="s">
        <v>432</v>
      </c>
      <c r="P2607" s="4" t="s">
        <v>261</v>
      </c>
      <c r="Q2607" s="69">
        <v>45616</v>
      </c>
      <c r="R2607" s="11">
        <v>0.89</v>
      </c>
      <c r="S2607" s="4" t="s">
        <v>49</v>
      </c>
      <c r="T2607" s="14"/>
      <c r="U2607" s="14"/>
      <c r="V2607" s="13"/>
      <c r="W2607" s="14"/>
      <c r="X2607" s="42"/>
      <c r="Y2607" s="14"/>
      <c r="Z2607" s="14"/>
      <c r="AA2607" s="14"/>
      <c r="AC2607" s="14"/>
      <c r="AD2607" s="14"/>
      <c r="AE2607" s="14"/>
      <c r="AF2607" s="20"/>
      <c r="AH2607" s="14"/>
      <c r="AI2607" s="14"/>
      <c r="AJ2607" s="14"/>
      <c r="AK2607" s="20"/>
      <c r="AM2607" s="14"/>
      <c r="AN2607" s="14"/>
      <c r="AO2607" s="14"/>
      <c r="AU2607" s="71" t="s">
        <v>53</v>
      </c>
    </row>
    <row r="2608" spans="1:47" s="12" customFormat="1" ht="21" hidden="1" customHeight="1" x14ac:dyDescent="0.3">
      <c r="A2608" s="42" t="s">
        <v>505</v>
      </c>
      <c r="B2608" s="42" t="s">
        <v>6661</v>
      </c>
      <c r="C2608" s="42">
        <v>70</v>
      </c>
      <c r="D2608" s="42">
        <v>717</v>
      </c>
      <c r="E2608" s="42" t="s">
        <v>6763</v>
      </c>
      <c r="F2608" s="42" t="s">
        <v>6764</v>
      </c>
      <c r="G2608" s="42" t="str">
        <f t="shared" si="62"/>
        <v>7071711040110460</v>
      </c>
      <c r="H2608" s="4" t="s">
        <v>6765</v>
      </c>
      <c r="I2608" s="45">
        <v>11040110460</v>
      </c>
      <c r="J2608" s="4" t="s">
        <v>6766</v>
      </c>
      <c r="K2608" s="44" t="s">
        <v>230</v>
      </c>
      <c r="L2608" s="44">
        <v>3146138955</v>
      </c>
      <c r="M2608" s="51" t="s">
        <v>6767</v>
      </c>
      <c r="N2608" s="12" t="s">
        <v>432</v>
      </c>
      <c r="O2608" s="12" t="s">
        <v>432</v>
      </c>
      <c r="P2608" s="4" t="s">
        <v>261</v>
      </c>
      <c r="Q2608" s="69" t="s">
        <v>6768</v>
      </c>
      <c r="R2608" s="11">
        <v>0.87</v>
      </c>
      <c r="S2608" s="4" t="s">
        <v>49</v>
      </c>
      <c r="T2608" s="14" t="s">
        <v>6769</v>
      </c>
      <c r="U2608" s="14" t="s">
        <v>60</v>
      </c>
      <c r="V2608" s="69">
        <v>45269</v>
      </c>
      <c r="W2608" s="11">
        <v>0.87</v>
      </c>
      <c r="X2608" s="4" t="s">
        <v>49</v>
      </c>
      <c r="Y2608" s="14"/>
      <c r="Z2608" s="14"/>
      <c r="AA2608" s="14"/>
      <c r="AC2608" s="69">
        <v>44480</v>
      </c>
      <c r="AD2608" s="23">
        <v>0.93500000000000005</v>
      </c>
      <c r="AE2608" s="4" t="s">
        <v>210</v>
      </c>
      <c r="AF2608" s="20"/>
      <c r="AH2608" s="14"/>
      <c r="AI2608" s="14"/>
      <c r="AJ2608" s="14"/>
      <c r="AK2608" s="20"/>
      <c r="AM2608" s="14"/>
      <c r="AN2608" s="14"/>
      <c r="AO2608" s="14"/>
      <c r="AU2608" s="71" t="s">
        <v>53</v>
      </c>
    </row>
    <row r="2609" spans="1:47" s="12" customFormat="1" ht="21" hidden="1" customHeight="1" x14ac:dyDescent="0.3">
      <c r="A2609" s="42" t="s">
        <v>505</v>
      </c>
      <c r="B2609" s="42" t="s">
        <v>6661</v>
      </c>
      <c r="C2609" s="42">
        <v>70</v>
      </c>
      <c r="D2609" s="42">
        <v>717</v>
      </c>
      <c r="E2609" s="42"/>
      <c r="F2609" s="42" t="s">
        <v>6770</v>
      </c>
      <c r="G2609" s="42" t="str">
        <f t="shared" si="62"/>
        <v>7071792508975-2</v>
      </c>
      <c r="H2609" s="4" t="s">
        <v>6771</v>
      </c>
      <c r="I2609" s="45" t="s">
        <v>6772</v>
      </c>
      <c r="J2609" s="4" t="s">
        <v>6773</v>
      </c>
      <c r="K2609" s="44" t="s">
        <v>230</v>
      </c>
      <c r="L2609" s="44">
        <v>3114191118</v>
      </c>
      <c r="M2609" s="3" t="s">
        <v>45</v>
      </c>
      <c r="N2609" s="12" t="s">
        <v>432</v>
      </c>
      <c r="O2609" s="12" t="s">
        <v>432</v>
      </c>
      <c r="P2609" s="4" t="s">
        <v>261</v>
      </c>
      <c r="Q2609" s="69">
        <v>45631</v>
      </c>
      <c r="R2609" s="11">
        <v>0.85</v>
      </c>
      <c r="S2609" s="4" t="s">
        <v>49</v>
      </c>
      <c r="T2609" s="14"/>
      <c r="U2609" s="14"/>
      <c r="V2609" s="13"/>
      <c r="W2609" s="14"/>
      <c r="X2609" s="42"/>
      <c r="Y2609" s="14"/>
      <c r="Z2609" s="14"/>
      <c r="AA2609" s="14"/>
      <c r="AC2609" s="14"/>
      <c r="AD2609" s="14"/>
      <c r="AE2609" s="14"/>
      <c r="AF2609" s="20"/>
      <c r="AH2609" s="14"/>
      <c r="AI2609" s="14"/>
      <c r="AJ2609" s="14"/>
      <c r="AK2609" s="20"/>
      <c r="AM2609" s="14"/>
      <c r="AN2609" s="14"/>
      <c r="AO2609" s="14"/>
      <c r="AU2609" s="71" t="s">
        <v>53</v>
      </c>
    </row>
    <row r="2610" spans="1:47" s="12" customFormat="1" ht="21" hidden="1" customHeight="1" x14ac:dyDescent="0.3">
      <c r="A2610" s="42" t="s">
        <v>505</v>
      </c>
      <c r="B2610" s="42" t="s">
        <v>6661</v>
      </c>
      <c r="C2610" s="42">
        <v>70</v>
      </c>
      <c r="D2610" s="42">
        <v>717</v>
      </c>
      <c r="E2610" s="42"/>
      <c r="F2610" s="42" t="s">
        <v>6774</v>
      </c>
      <c r="G2610" s="42" t="str">
        <f t="shared" si="62"/>
        <v>7071764479146-6</v>
      </c>
      <c r="H2610" s="4" t="s">
        <v>6775</v>
      </c>
      <c r="I2610" s="45" t="s">
        <v>6776</v>
      </c>
      <c r="J2610" s="4" t="s">
        <v>6777</v>
      </c>
      <c r="K2610" s="44" t="s">
        <v>230</v>
      </c>
      <c r="L2610" s="44">
        <v>3114122065</v>
      </c>
      <c r="M2610" s="3" t="s">
        <v>45</v>
      </c>
      <c r="N2610" s="12" t="s">
        <v>432</v>
      </c>
      <c r="O2610" s="12" t="s">
        <v>432</v>
      </c>
      <c r="P2610" s="4" t="s">
        <v>261</v>
      </c>
      <c r="Q2610" s="69">
        <v>44638</v>
      </c>
      <c r="R2610" s="11">
        <v>0.88500000000000001</v>
      </c>
      <c r="S2610" s="4" t="s">
        <v>49</v>
      </c>
      <c r="T2610" s="14"/>
      <c r="U2610" s="14"/>
      <c r="V2610" s="13"/>
      <c r="W2610" s="14"/>
      <c r="X2610" s="42"/>
      <c r="Y2610" s="14"/>
      <c r="Z2610" s="14"/>
      <c r="AA2610" s="14"/>
      <c r="AC2610" s="14"/>
      <c r="AD2610" s="14"/>
      <c r="AE2610" s="14"/>
      <c r="AF2610" s="20"/>
      <c r="AH2610" s="14"/>
      <c r="AI2610" s="14"/>
      <c r="AJ2610" s="14"/>
      <c r="AK2610" s="20"/>
      <c r="AM2610" s="14"/>
      <c r="AN2610" s="14"/>
      <c r="AO2610" s="14"/>
      <c r="AU2610" s="71" t="s">
        <v>53</v>
      </c>
    </row>
    <row r="2611" spans="1:47" s="12" customFormat="1" ht="21" hidden="1" customHeight="1" x14ac:dyDescent="0.3">
      <c r="A2611" s="42" t="s">
        <v>505</v>
      </c>
      <c r="B2611" s="42" t="s">
        <v>6661</v>
      </c>
      <c r="C2611" s="42">
        <v>70</v>
      </c>
      <c r="D2611" s="42">
        <v>717</v>
      </c>
      <c r="E2611" s="42"/>
      <c r="F2611" s="277" t="s">
        <v>9493</v>
      </c>
      <c r="G2611" s="42" t="str">
        <f t="shared" si="62"/>
        <v>707171005649689</v>
      </c>
      <c r="H2611" s="4" t="s">
        <v>9494</v>
      </c>
      <c r="I2611" s="4">
        <v>1005649689</v>
      </c>
      <c r="J2611" s="4" t="s">
        <v>9495</v>
      </c>
      <c r="K2611" s="44" t="s">
        <v>44</v>
      </c>
      <c r="L2611" s="44">
        <v>3017335663</v>
      </c>
      <c r="M2611" s="3" t="s">
        <v>9496</v>
      </c>
      <c r="N2611" s="12" t="s">
        <v>432</v>
      </c>
      <c r="O2611" s="12" t="s">
        <v>432</v>
      </c>
      <c r="P2611" s="4" t="s">
        <v>261</v>
      </c>
      <c r="Q2611" s="69">
        <v>46203</v>
      </c>
      <c r="R2611" s="9" t="s">
        <v>8270</v>
      </c>
      <c r="S2611" s="4" t="s">
        <v>49</v>
      </c>
      <c r="T2611" s="14" t="s">
        <v>6817</v>
      </c>
      <c r="U2611" s="14" t="s">
        <v>2456</v>
      </c>
      <c r="V2611" s="13"/>
      <c r="W2611" s="14"/>
      <c r="X2611" s="42"/>
      <c r="Y2611" s="14"/>
      <c r="Z2611" s="14"/>
      <c r="AA2611" s="14"/>
      <c r="AC2611" s="14"/>
      <c r="AD2611" s="14"/>
      <c r="AE2611" s="14"/>
      <c r="AF2611" s="20"/>
      <c r="AH2611" s="14"/>
      <c r="AI2611" s="14"/>
      <c r="AJ2611" s="14"/>
      <c r="AK2611" s="20"/>
      <c r="AM2611" s="14"/>
      <c r="AN2611" s="14"/>
      <c r="AO2611" s="14"/>
      <c r="AU2611" s="71" t="s">
        <v>53</v>
      </c>
    </row>
    <row r="2612" spans="1:47" s="12" customFormat="1" ht="21" hidden="1" customHeight="1" x14ac:dyDescent="0.3">
      <c r="A2612" s="42" t="s">
        <v>505</v>
      </c>
      <c r="B2612" s="42" t="s">
        <v>6661</v>
      </c>
      <c r="C2612" s="42">
        <v>70</v>
      </c>
      <c r="D2612" s="42">
        <v>717</v>
      </c>
      <c r="E2612" s="42"/>
      <c r="F2612" s="277" t="s">
        <v>9497</v>
      </c>
      <c r="G2612" s="42" t="str">
        <f t="shared" si="62"/>
        <v>707171102816123</v>
      </c>
      <c r="H2612" s="4" t="s">
        <v>9498</v>
      </c>
      <c r="I2612" s="4">
        <v>1102816123</v>
      </c>
      <c r="J2612" s="4" t="s">
        <v>9499</v>
      </c>
      <c r="K2612" s="44" t="s">
        <v>44</v>
      </c>
      <c r="L2612" s="44">
        <v>3146688991</v>
      </c>
      <c r="M2612" s="3" t="s">
        <v>9500</v>
      </c>
      <c r="N2612" s="12" t="s">
        <v>432</v>
      </c>
      <c r="O2612" s="12" t="s">
        <v>432</v>
      </c>
      <c r="P2612" s="4" t="s">
        <v>261</v>
      </c>
      <c r="Q2612" s="69">
        <v>46205</v>
      </c>
      <c r="R2612" s="9">
        <v>85</v>
      </c>
      <c r="S2612" s="4" t="s">
        <v>49</v>
      </c>
      <c r="T2612" s="14" t="s">
        <v>6817</v>
      </c>
      <c r="U2612" s="14" t="s">
        <v>2456</v>
      </c>
      <c r="V2612" s="13"/>
      <c r="W2612" s="14"/>
      <c r="X2612" s="42"/>
      <c r="Y2612" s="14"/>
      <c r="Z2612" s="14"/>
      <c r="AA2612" s="14"/>
      <c r="AC2612" s="14"/>
      <c r="AD2612" s="14"/>
      <c r="AE2612" s="14"/>
      <c r="AF2612" s="20"/>
      <c r="AH2612" s="14"/>
      <c r="AI2612" s="14"/>
      <c r="AJ2612" s="14"/>
      <c r="AK2612" s="20"/>
      <c r="AM2612" s="14"/>
      <c r="AN2612" s="14"/>
      <c r="AO2612" s="14"/>
      <c r="AU2612" s="71" t="s">
        <v>53</v>
      </c>
    </row>
    <row r="2613" spans="1:47" s="12" customFormat="1" ht="21" hidden="1" customHeight="1" x14ac:dyDescent="0.3">
      <c r="A2613" s="42" t="s">
        <v>505</v>
      </c>
      <c r="B2613" s="42" t="s">
        <v>6661</v>
      </c>
      <c r="C2613" s="42">
        <v>70</v>
      </c>
      <c r="D2613" s="42">
        <v>717</v>
      </c>
      <c r="E2613" s="42"/>
      <c r="F2613" s="277" t="s">
        <v>9501</v>
      </c>
      <c r="G2613" s="42" t="str">
        <f t="shared" si="62"/>
        <v>7071711040106365</v>
      </c>
      <c r="H2613" s="4" t="s">
        <v>9502</v>
      </c>
      <c r="I2613" s="4">
        <v>11040106365</v>
      </c>
      <c r="J2613" s="4" t="s">
        <v>9503</v>
      </c>
      <c r="K2613" s="44" t="s">
        <v>44</v>
      </c>
      <c r="L2613" s="44">
        <v>3226005853</v>
      </c>
      <c r="M2613" s="3" t="s">
        <v>9504</v>
      </c>
      <c r="N2613" s="12" t="s">
        <v>432</v>
      </c>
      <c r="O2613" s="12" t="s">
        <v>432</v>
      </c>
      <c r="P2613" s="4" t="s">
        <v>261</v>
      </c>
      <c r="Q2613" s="69">
        <v>46205</v>
      </c>
      <c r="R2613" s="9" t="s">
        <v>8270</v>
      </c>
      <c r="S2613" s="4" t="s">
        <v>49</v>
      </c>
      <c r="T2613" s="14" t="s">
        <v>6817</v>
      </c>
      <c r="U2613" s="14" t="s">
        <v>2456</v>
      </c>
      <c r="V2613" s="13"/>
      <c r="W2613" s="14"/>
      <c r="X2613" s="42"/>
      <c r="Y2613" s="14"/>
      <c r="Z2613" s="14"/>
      <c r="AA2613" s="14"/>
      <c r="AC2613" s="14"/>
      <c r="AD2613" s="14"/>
      <c r="AE2613" s="14"/>
      <c r="AF2613" s="20"/>
      <c r="AH2613" s="14"/>
      <c r="AI2613" s="14"/>
      <c r="AJ2613" s="14"/>
      <c r="AK2613" s="20"/>
      <c r="AM2613" s="14"/>
      <c r="AN2613" s="14"/>
      <c r="AO2613" s="14"/>
      <c r="AU2613" s="71" t="s">
        <v>53</v>
      </c>
    </row>
    <row r="2614" spans="1:47" s="12" customFormat="1" ht="21" hidden="1" customHeight="1" x14ac:dyDescent="0.3">
      <c r="A2614" s="42" t="s">
        <v>505</v>
      </c>
      <c r="B2614" s="42" t="s">
        <v>6661</v>
      </c>
      <c r="C2614" s="42">
        <v>70</v>
      </c>
      <c r="D2614" s="42">
        <v>717</v>
      </c>
      <c r="E2614" s="42"/>
      <c r="F2614" s="42" t="s">
        <v>6778</v>
      </c>
      <c r="G2614" s="42" t="str">
        <f t="shared" si="62"/>
        <v>7071752720559</v>
      </c>
      <c r="H2614" s="4" t="s">
        <v>6779</v>
      </c>
      <c r="I2614" s="45">
        <v>52720559</v>
      </c>
      <c r="J2614" s="4" t="s">
        <v>6780</v>
      </c>
      <c r="K2614" s="44" t="s">
        <v>230</v>
      </c>
      <c r="L2614" s="44">
        <v>3114295529</v>
      </c>
      <c r="M2614" s="3" t="s">
        <v>45</v>
      </c>
      <c r="N2614" s="12" t="s">
        <v>432</v>
      </c>
      <c r="O2614" s="12" t="s">
        <v>432</v>
      </c>
      <c r="P2614" s="4" t="s">
        <v>261</v>
      </c>
      <c r="Q2614" s="69">
        <v>45202</v>
      </c>
      <c r="R2614" s="11">
        <v>0.77</v>
      </c>
      <c r="S2614" s="4" t="s">
        <v>49</v>
      </c>
      <c r="T2614" s="14"/>
      <c r="U2614" s="14"/>
      <c r="V2614" s="13"/>
      <c r="W2614" s="14"/>
      <c r="X2614" s="42"/>
      <c r="Y2614" s="14"/>
      <c r="Z2614" s="14"/>
      <c r="AA2614" s="14"/>
      <c r="AC2614" s="14"/>
      <c r="AD2614" s="14"/>
      <c r="AE2614" s="14"/>
      <c r="AF2614" s="20"/>
      <c r="AH2614" s="14"/>
      <c r="AI2614" s="14"/>
      <c r="AJ2614" s="14"/>
      <c r="AK2614" s="20"/>
      <c r="AM2614" s="14"/>
      <c r="AN2614" s="14"/>
      <c r="AO2614" s="14"/>
      <c r="AU2614" s="71" t="s">
        <v>53</v>
      </c>
    </row>
    <row r="2615" spans="1:47" s="12" customFormat="1" ht="21" hidden="1" customHeight="1" x14ac:dyDescent="0.3">
      <c r="A2615" s="42" t="s">
        <v>505</v>
      </c>
      <c r="B2615" s="42" t="s">
        <v>6661</v>
      </c>
      <c r="C2615" s="42">
        <v>70</v>
      </c>
      <c r="D2615" s="42">
        <v>717</v>
      </c>
      <c r="E2615" s="42"/>
      <c r="F2615" s="42" t="s">
        <v>6781</v>
      </c>
      <c r="G2615" s="42" t="str">
        <f t="shared" si="62"/>
        <v>7071770697877</v>
      </c>
      <c r="H2615" s="4" t="s">
        <v>6782</v>
      </c>
      <c r="I2615" s="45">
        <v>70697877</v>
      </c>
      <c r="J2615" s="4" t="s">
        <v>6783</v>
      </c>
      <c r="K2615" s="44" t="s">
        <v>230</v>
      </c>
      <c r="L2615" s="44" t="s">
        <v>45</v>
      </c>
      <c r="M2615" s="3" t="s">
        <v>45</v>
      </c>
      <c r="N2615" s="12" t="s">
        <v>259</v>
      </c>
      <c r="O2615" s="12" t="s">
        <v>260</v>
      </c>
      <c r="P2615" s="4" t="s">
        <v>261</v>
      </c>
      <c r="Q2615" s="69">
        <v>44452</v>
      </c>
      <c r="R2615" s="11">
        <v>0.84</v>
      </c>
      <c r="S2615" s="4" t="s">
        <v>49</v>
      </c>
      <c r="T2615" s="14"/>
      <c r="U2615" s="14"/>
      <c r="V2615" s="13"/>
      <c r="W2615" s="14"/>
      <c r="X2615" s="42"/>
      <c r="Y2615" s="14"/>
      <c r="Z2615" s="14"/>
      <c r="AA2615" s="14"/>
      <c r="AC2615" s="14"/>
      <c r="AD2615" s="14"/>
      <c r="AE2615" s="14"/>
      <c r="AF2615" s="20"/>
      <c r="AH2615" s="14"/>
      <c r="AI2615" s="14"/>
      <c r="AJ2615" s="14"/>
      <c r="AK2615" s="20"/>
      <c r="AM2615" s="14"/>
      <c r="AN2615" s="14"/>
      <c r="AO2615" s="14"/>
      <c r="AU2615" s="71" t="s">
        <v>53</v>
      </c>
    </row>
    <row r="2616" spans="1:47" s="12" customFormat="1" ht="21" hidden="1" customHeight="1" x14ac:dyDescent="0.3">
      <c r="A2616" s="42" t="s">
        <v>505</v>
      </c>
      <c r="B2616" s="42" t="s">
        <v>6661</v>
      </c>
      <c r="C2616" s="42">
        <v>70</v>
      </c>
      <c r="D2616" s="42">
        <v>717</v>
      </c>
      <c r="E2616" s="42"/>
      <c r="F2616" s="42" t="s">
        <v>6784</v>
      </c>
      <c r="G2616" s="42" t="str">
        <f t="shared" si="62"/>
        <v>7071792187634</v>
      </c>
      <c r="H2616" s="4" t="s">
        <v>6785</v>
      </c>
      <c r="I2616" s="45">
        <v>92187634</v>
      </c>
      <c r="J2616" s="4" t="s">
        <v>6786</v>
      </c>
      <c r="K2616" s="44" t="s">
        <v>230</v>
      </c>
      <c r="L2616" s="44" t="s">
        <v>45</v>
      </c>
      <c r="M2616" s="3" t="s">
        <v>45</v>
      </c>
      <c r="N2616" s="12" t="s">
        <v>259</v>
      </c>
      <c r="O2616" s="12" t="s">
        <v>260</v>
      </c>
      <c r="P2616" s="4" t="s">
        <v>261</v>
      </c>
      <c r="Q2616" s="69">
        <v>44455</v>
      </c>
      <c r="R2616" s="11">
        <v>0.85</v>
      </c>
      <c r="S2616" s="4" t="s">
        <v>49</v>
      </c>
      <c r="T2616" s="14"/>
      <c r="U2616" s="14"/>
      <c r="V2616" s="13"/>
      <c r="W2616" s="14"/>
      <c r="X2616" s="42"/>
      <c r="Y2616" s="14"/>
      <c r="Z2616" s="14"/>
      <c r="AA2616" s="14"/>
      <c r="AC2616" s="14"/>
      <c r="AD2616" s="14"/>
      <c r="AE2616" s="14"/>
      <c r="AF2616" s="20"/>
      <c r="AH2616" s="14"/>
      <c r="AI2616" s="14"/>
      <c r="AJ2616" s="14"/>
      <c r="AK2616" s="20"/>
      <c r="AM2616" s="14"/>
      <c r="AN2616" s="14"/>
      <c r="AO2616" s="14"/>
      <c r="AU2616" s="71" t="s">
        <v>53</v>
      </c>
    </row>
    <row r="2617" spans="1:47" s="12" customFormat="1" ht="21" hidden="1" customHeight="1" x14ac:dyDescent="0.3">
      <c r="A2617" s="42" t="s">
        <v>505</v>
      </c>
      <c r="B2617" s="42" t="s">
        <v>6661</v>
      </c>
      <c r="C2617" s="42">
        <v>70</v>
      </c>
      <c r="D2617" s="42">
        <v>717</v>
      </c>
      <c r="E2617" s="42"/>
      <c r="F2617" s="42" t="s">
        <v>6787</v>
      </c>
      <c r="G2617" s="42" t="str">
        <f t="shared" si="62"/>
        <v>70717706978778</v>
      </c>
      <c r="H2617" s="4" t="s">
        <v>6788</v>
      </c>
      <c r="I2617" s="45">
        <v>706978778</v>
      </c>
      <c r="J2617" s="4" t="s">
        <v>6789</v>
      </c>
      <c r="K2617" s="44" t="s">
        <v>230</v>
      </c>
      <c r="L2617" s="44">
        <v>3114354028</v>
      </c>
      <c r="M2617" s="3" t="s">
        <v>45</v>
      </c>
      <c r="N2617" s="12" t="s">
        <v>259</v>
      </c>
      <c r="O2617" s="12" t="s">
        <v>260</v>
      </c>
      <c r="P2617" s="4" t="s">
        <v>261</v>
      </c>
      <c r="Q2617" s="69">
        <v>45586</v>
      </c>
      <c r="R2617" s="11">
        <v>0.93500000000000005</v>
      </c>
      <c r="S2617" s="4" t="s">
        <v>210</v>
      </c>
      <c r="T2617" s="14"/>
      <c r="U2617" s="14"/>
      <c r="V2617" s="13"/>
      <c r="W2617" s="14"/>
      <c r="X2617" s="42"/>
      <c r="Y2617" s="14"/>
      <c r="Z2617" s="14"/>
      <c r="AA2617" s="14"/>
      <c r="AC2617" s="14"/>
      <c r="AD2617" s="14"/>
      <c r="AE2617" s="14"/>
      <c r="AF2617" s="20"/>
      <c r="AH2617" s="14"/>
      <c r="AI2617" s="14"/>
      <c r="AJ2617" s="14"/>
      <c r="AK2617" s="20"/>
      <c r="AM2617" s="14"/>
      <c r="AN2617" s="14"/>
      <c r="AO2617" s="14"/>
      <c r="AU2617" s="71" t="s">
        <v>53</v>
      </c>
    </row>
    <row r="2618" spans="1:47" s="12" customFormat="1" ht="21" hidden="1" customHeight="1" x14ac:dyDescent="0.3">
      <c r="A2618" s="42" t="s">
        <v>505</v>
      </c>
      <c r="B2618" s="42" t="s">
        <v>6661</v>
      </c>
      <c r="C2618" s="42">
        <v>70</v>
      </c>
      <c r="D2618" s="42">
        <v>717</v>
      </c>
      <c r="E2618" s="42"/>
      <c r="F2618" s="42" t="s">
        <v>6790</v>
      </c>
      <c r="G2618" s="42" t="str">
        <f t="shared" si="62"/>
        <v>70717110287038</v>
      </c>
      <c r="H2618" s="4" t="s">
        <v>6791</v>
      </c>
      <c r="I2618" s="45">
        <v>110287038</v>
      </c>
      <c r="J2618" s="4" t="s">
        <v>6792</v>
      </c>
      <c r="K2618" s="44" t="s">
        <v>230</v>
      </c>
      <c r="L2618" s="44">
        <v>3042932121</v>
      </c>
      <c r="M2618" s="3" t="s">
        <v>45</v>
      </c>
      <c r="N2618" s="12" t="s">
        <v>259</v>
      </c>
      <c r="O2618" s="12" t="s">
        <v>260</v>
      </c>
      <c r="P2618" s="4" t="s">
        <v>261</v>
      </c>
      <c r="Q2618" s="69">
        <v>45608</v>
      </c>
      <c r="R2618" s="11">
        <v>0.81499999999999995</v>
      </c>
      <c r="S2618" s="4" t="s">
        <v>49</v>
      </c>
      <c r="T2618" s="14"/>
      <c r="U2618" s="14"/>
      <c r="V2618" s="13"/>
      <c r="W2618" s="14"/>
      <c r="X2618" s="42"/>
      <c r="Y2618" s="14"/>
      <c r="Z2618" s="14"/>
      <c r="AA2618" s="14"/>
      <c r="AC2618" s="14"/>
      <c r="AD2618" s="14"/>
      <c r="AE2618" s="14"/>
      <c r="AF2618" s="20"/>
      <c r="AH2618" s="14"/>
      <c r="AI2618" s="14"/>
      <c r="AJ2618" s="14"/>
      <c r="AK2618" s="20"/>
      <c r="AM2618" s="14"/>
      <c r="AN2618" s="14"/>
      <c r="AO2618" s="14"/>
      <c r="AU2618" s="71" t="s">
        <v>53</v>
      </c>
    </row>
    <row r="2619" spans="1:47" s="12" customFormat="1" ht="21" hidden="1" customHeight="1" x14ac:dyDescent="0.3">
      <c r="A2619" s="42" t="s">
        <v>505</v>
      </c>
      <c r="B2619" s="42" t="s">
        <v>6661</v>
      </c>
      <c r="C2619" s="42">
        <v>70</v>
      </c>
      <c r="D2619" s="42">
        <v>717</v>
      </c>
      <c r="E2619" s="42"/>
      <c r="F2619" s="42" t="s">
        <v>6793</v>
      </c>
      <c r="G2619" s="42" t="str">
        <f t="shared" si="62"/>
        <v>7071770694162-7</v>
      </c>
      <c r="H2619" s="4" t="s">
        <v>6794</v>
      </c>
      <c r="I2619" s="45" t="s">
        <v>6795</v>
      </c>
      <c r="J2619" s="4" t="s">
        <v>6796</v>
      </c>
      <c r="K2619" s="44" t="s">
        <v>230</v>
      </c>
      <c r="L2619" s="44">
        <v>3187549714</v>
      </c>
      <c r="M2619" s="3" t="s">
        <v>45</v>
      </c>
      <c r="N2619" s="12" t="s">
        <v>259</v>
      </c>
      <c r="O2619" s="12" t="s">
        <v>260</v>
      </c>
      <c r="P2619" s="4" t="s">
        <v>261</v>
      </c>
      <c r="Q2619" s="69">
        <v>44692</v>
      </c>
      <c r="R2619" s="11">
        <v>0.87</v>
      </c>
      <c r="S2619" s="4" t="s">
        <v>49</v>
      </c>
      <c r="T2619" s="14"/>
      <c r="U2619" s="14"/>
      <c r="V2619" s="13"/>
      <c r="W2619" s="14"/>
      <c r="X2619" s="42"/>
      <c r="Y2619" s="14"/>
      <c r="Z2619" s="14"/>
      <c r="AA2619" s="14"/>
      <c r="AC2619" s="14"/>
      <c r="AD2619" s="14"/>
      <c r="AE2619" s="14"/>
      <c r="AF2619" s="20"/>
      <c r="AH2619" s="14"/>
      <c r="AI2619" s="14"/>
      <c r="AJ2619" s="14"/>
      <c r="AK2619" s="20"/>
      <c r="AM2619" s="14"/>
      <c r="AN2619" s="14"/>
      <c r="AO2619" s="14"/>
      <c r="AU2619" s="71" t="s">
        <v>53</v>
      </c>
    </row>
    <row r="2620" spans="1:47" s="12" customFormat="1" ht="21" hidden="1" customHeight="1" x14ac:dyDescent="0.3">
      <c r="A2620" s="42" t="s">
        <v>505</v>
      </c>
      <c r="B2620" s="42" t="s">
        <v>6661</v>
      </c>
      <c r="C2620" s="42">
        <v>70</v>
      </c>
      <c r="D2620" s="42">
        <v>717</v>
      </c>
      <c r="E2620" s="42"/>
      <c r="F2620" s="42" t="s">
        <v>6797</v>
      </c>
      <c r="G2620" s="42" t="str">
        <f t="shared" si="62"/>
        <v>7071772096985</v>
      </c>
      <c r="H2620" s="4" t="s">
        <v>6798</v>
      </c>
      <c r="I2620" s="45">
        <v>72096985</v>
      </c>
      <c r="J2620" s="4" t="s">
        <v>6799</v>
      </c>
      <c r="K2620" s="44" t="s">
        <v>230</v>
      </c>
      <c r="L2620" s="44" t="s">
        <v>45</v>
      </c>
      <c r="M2620" s="3" t="s">
        <v>45</v>
      </c>
      <c r="N2620" s="12" t="s">
        <v>259</v>
      </c>
      <c r="O2620" s="12" t="s">
        <v>260</v>
      </c>
      <c r="P2620" s="4" t="s">
        <v>261</v>
      </c>
      <c r="Q2620" s="69">
        <v>45250</v>
      </c>
      <c r="R2620" s="11">
        <v>0.82499999999999996</v>
      </c>
      <c r="S2620" s="4" t="s">
        <v>49</v>
      </c>
      <c r="T2620" s="14"/>
      <c r="U2620" s="14"/>
      <c r="V2620" s="13"/>
      <c r="W2620" s="14"/>
      <c r="X2620" s="42"/>
      <c r="Y2620" s="14"/>
      <c r="Z2620" s="14"/>
      <c r="AA2620" s="14"/>
      <c r="AC2620" s="14"/>
      <c r="AD2620" s="14"/>
      <c r="AE2620" s="14"/>
      <c r="AF2620" s="20"/>
      <c r="AH2620" s="14"/>
      <c r="AI2620" s="14"/>
      <c r="AJ2620" s="14"/>
      <c r="AK2620" s="20"/>
      <c r="AM2620" s="14"/>
      <c r="AN2620" s="14"/>
      <c r="AO2620" s="14"/>
      <c r="AU2620" s="71" t="s">
        <v>53</v>
      </c>
    </row>
    <row r="2621" spans="1:47" s="12" customFormat="1" ht="21" hidden="1" customHeight="1" x14ac:dyDescent="0.3">
      <c r="A2621" s="42" t="s">
        <v>505</v>
      </c>
      <c r="B2621" s="42" t="s">
        <v>6661</v>
      </c>
      <c r="C2621" s="42">
        <v>70</v>
      </c>
      <c r="D2621" s="42">
        <v>717</v>
      </c>
      <c r="E2621" s="42" t="s">
        <v>6800</v>
      </c>
      <c r="F2621" s="42" t="s">
        <v>6801</v>
      </c>
      <c r="G2621" s="42" t="str">
        <f t="shared" si="62"/>
        <v>70717900759939-2</v>
      </c>
      <c r="H2621" s="4" t="s">
        <v>6802</v>
      </c>
      <c r="I2621" s="45" t="s">
        <v>6803</v>
      </c>
      <c r="J2621" s="4" t="s">
        <v>6804</v>
      </c>
      <c r="K2621" s="44" t="s">
        <v>230</v>
      </c>
      <c r="L2621" s="44">
        <v>3217653661</v>
      </c>
      <c r="M2621" s="51" t="s">
        <v>6805</v>
      </c>
      <c r="N2621" s="12" t="s">
        <v>127</v>
      </c>
      <c r="O2621" s="12" t="s">
        <v>2822</v>
      </c>
      <c r="P2621" s="4" t="s">
        <v>48</v>
      </c>
      <c r="Q2621" s="69" t="s">
        <v>6806</v>
      </c>
      <c r="R2621" s="11">
        <v>0.92</v>
      </c>
      <c r="S2621" s="4" t="s">
        <v>49</v>
      </c>
      <c r="T2621" s="14" t="s">
        <v>6807</v>
      </c>
      <c r="U2621" s="14" t="s">
        <v>6808</v>
      </c>
      <c r="V2621" s="13" t="s">
        <v>5697</v>
      </c>
      <c r="W2621" s="22">
        <v>0.88500000000000001</v>
      </c>
      <c r="X2621" s="42" t="s">
        <v>74</v>
      </c>
      <c r="Y2621" s="14"/>
      <c r="Z2621" s="14"/>
      <c r="AA2621" s="14"/>
      <c r="AC2621" s="14"/>
      <c r="AD2621" s="14"/>
      <c r="AE2621" s="14"/>
      <c r="AF2621" s="20"/>
      <c r="AH2621" s="14"/>
      <c r="AI2621" s="14"/>
      <c r="AJ2621" s="14"/>
      <c r="AK2621" s="20"/>
      <c r="AM2621" s="14"/>
      <c r="AN2621" s="14"/>
      <c r="AO2621" s="14"/>
      <c r="AU2621" s="71" t="s">
        <v>53</v>
      </c>
    </row>
    <row r="2622" spans="1:47" s="12" customFormat="1" ht="21" hidden="1" customHeight="1" x14ac:dyDescent="0.3">
      <c r="A2622" s="42" t="s">
        <v>505</v>
      </c>
      <c r="B2622" s="42" t="s">
        <v>6661</v>
      </c>
      <c r="C2622" s="42">
        <v>70</v>
      </c>
      <c r="D2622" s="42">
        <v>717</v>
      </c>
      <c r="E2622" s="42"/>
      <c r="F2622" s="42" t="s">
        <v>6809</v>
      </c>
      <c r="G2622" s="42" t="str">
        <f t="shared" si="62"/>
        <v>707178305047786</v>
      </c>
      <c r="H2622" s="2" t="s">
        <v>6810</v>
      </c>
      <c r="I2622" s="45">
        <v>8305047786</v>
      </c>
      <c r="J2622" s="4" t="s">
        <v>6811</v>
      </c>
      <c r="K2622" s="44" t="s">
        <v>230</v>
      </c>
      <c r="L2622" s="44" t="s">
        <v>45</v>
      </c>
      <c r="M2622" s="7" t="s">
        <v>45</v>
      </c>
      <c r="N2622" s="12" t="s">
        <v>127</v>
      </c>
      <c r="O2622" s="12" t="s">
        <v>2822</v>
      </c>
      <c r="P2622" s="4" t="s">
        <v>48</v>
      </c>
      <c r="Q2622" s="69">
        <v>44631</v>
      </c>
      <c r="R2622" s="11">
        <v>0.85</v>
      </c>
      <c r="S2622" s="4" t="s">
        <v>49</v>
      </c>
      <c r="T2622" s="14"/>
      <c r="U2622" s="14"/>
      <c r="V2622" s="13"/>
      <c r="W2622" s="14"/>
      <c r="X2622" s="42"/>
      <c r="Y2622" s="14"/>
      <c r="Z2622" s="14"/>
      <c r="AA2622" s="14"/>
      <c r="AC2622" s="14"/>
      <c r="AD2622" s="14"/>
      <c r="AE2622" s="14"/>
      <c r="AF2622" s="20"/>
      <c r="AH2622" s="14"/>
      <c r="AI2622" s="14"/>
      <c r="AJ2622" s="14"/>
      <c r="AK2622" s="20"/>
      <c r="AM2622" s="14"/>
      <c r="AN2622" s="14"/>
      <c r="AO2622" s="14"/>
      <c r="AU2622" s="71" t="s">
        <v>53</v>
      </c>
    </row>
    <row r="2623" spans="1:47" s="12" customFormat="1" ht="21" hidden="1" customHeight="1" x14ac:dyDescent="0.3">
      <c r="A2623" s="42" t="s">
        <v>505</v>
      </c>
      <c r="B2623" s="42" t="s">
        <v>6661</v>
      </c>
      <c r="C2623" s="42">
        <v>70</v>
      </c>
      <c r="D2623" s="42">
        <v>717</v>
      </c>
      <c r="E2623" s="42"/>
      <c r="F2623" s="42" t="s">
        <v>6812</v>
      </c>
      <c r="G2623" s="42" t="str">
        <f t="shared" si="62"/>
        <v>70717830504778</v>
      </c>
      <c r="H2623" s="4" t="s">
        <v>6679</v>
      </c>
      <c r="I2623" s="45">
        <v>830504778</v>
      </c>
      <c r="J2623" s="4" t="s">
        <v>6813</v>
      </c>
      <c r="K2623" s="44" t="s">
        <v>230</v>
      </c>
      <c r="L2623" s="44" t="s">
        <v>45</v>
      </c>
      <c r="M2623" s="7" t="s">
        <v>45</v>
      </c>
      <c r="N2623" s="12" t="s">
        <v>127</v>
      </c>
      <c r="O2623" s="12" t="s">
        <v>2822</v>
      </c>
      <c r="P2623" s="4" t="s">
        <v>48</v>
      </c>
      <c r="Q2623" s="69">
        <v>44265</v>
      </c>
      <c r="R2623" s="11">
        <v>0.87</v>
      </c>
      <c r="S2623" s="4" t="s">
        <v>49</v>
      </c>
      <c r="T2623" s="14"/>
      <c r="U2623" s="14"/>
      <c r="V2623" s="13"/>
      <c r="W2623" s="14"/>
      <c r="X2623" s="42"/>
      <c r="Y2623" s="14"/>
      <c r="Z2623" s="14"/>
      <c r="AA2623" s="14"/>
      <c r="AC2623" s="14"/>
      <c r="AD2623" s="14"/>
      <c r="AE2623" s="14"/>
      <c r="AF2623" s="20"/>
      <c r="AH2623" s="14"/>
      <c r="AI2623" s="14"/>
      <c r="AJ2623" s="14"/>
      <c r="AK2623" s="20"/>
      <c r="AM2623" s="14"/>
      <c r="AN2623" s="14"/>
      <c r="AO2623" s="14"/>
      <c r="AU2623" s="71" t="s">
        <v>53</v>
      </c>
    </row>
    <row r="2624" spans="1:47" s="12" customFormat="1" ht="21" hidden="1" customHeight="1" x14ac:dyDescent="0.3">
      <c r="A2624" s="42" t="s">
        <v>505</v>
      </c>
      <c r="B2624" s="42" t="s">
        <v>6661</v>
      </c>
      <c r="C2624" s="42">
        <v>70</v>
      </c>
      <c r="D2624" s="42">
        <v>717</v>
      </c>
      <c r="E2624" s="42" t="s">
        <v>6621</v>
      </c>
      <c r="F2624" s="42" t="s">
        <v>6814</v>
      </c>
      <c r="G2624" s="42" t="str">
        <f t="shared" si="62"/>
        <v>70717900759939-3</v>
      </c>
      <c r="H2624" s="4" t="s">
        <v>6623</v>
      </c>
      <c r="I2624" s="45" t="s">
        <v>6624</v>
      </c>
      <c r="J2624" s="4" t="s">
        <v>6815</v>
      </c>
      <c r="K2624" s="44" t="s">
        <v>230</v>
      </c>
      <c r="L2624" s="44">
        <v>3004147796</v>
      </c>
      <c r="M2624" s="51" t="s">
        <v>6626</v>
      </c>
      <c r="N2624" s="12" t="s">
        <v>127</v>
      </c>
      <c r="O2624" s="12" t="s">
        <v>2822</v>
      </c>
      <c r="P2624" s="4" t="s">
        <v>48</v>
      </c>
      <c r="Q2624" s="69" t="s">
        <v>6816</v>
      </c>
      <c r="R2624" s="11">
        <v>0.88</v>
      </c>
      <c r="S2624" s="4" t="s">
        <v>49</v>
      </c>
      <c r="T2624" s="14" t="s">
        <v>6817</v>
      </c>
      <c r="U2624" s="14" t="s">
        <v>60</v>
      </c>
      <c r="V2624" s="69">
        <v>45526</v>
      </c>
      <c r="W2624" s="11">
        <v>0.87</v>
      </c>
      <c r="X2624" s="4" t="s">
        <v>49</v>
      </c>
      <c r="Y2624" s="14"/>
      <c r="Z2624" s="14"/>
      <c r="AA2624" s="14"/>
      <c r="AC2624" s="14"/>
      <c r="AD2624" s="14"/>
      <c r="AE2624" s="14"/>
      <c r="AF2624" s="20"/>
      <c r="AH2624" s="14"/>
      <c r="AI2624" s="14"/>
      <c r="AJ2624" s="14"/>
      <c r="AK2624" s="20"/>
      <c r="AM2624" s="14"/>
      <c r="AN2624" s="14"/>
      <c r="AO2624" s="14"/>
      <c r="AU2624" s="71" t="s">
        <v>53</v>
      </c>
    </row>
    <row r="2625" spans="1:47" s="12" customFormat="1" ht="21" hidden="1" customHeight="1" x14ac:dyDescent="0.3">
      <c r="A2625" s="42" t="s">
        <v>505</v>
      </c>
      <c r="B2625" s="42" t="s">
        <v>6661</v>
      </c>
      <c r="C2625" s="42">
        <v>70</v>
      </c>
      <c r="D2625" s="42">
        <v>717</v>
      </c>
      <c r="E2625" s="42"/>
      <c r="F2625" s="42" t="s">
        <v>6818</v>
      </c>
      <c r="G2625" s="42" t="str">
        <f t="shared" si="62"/>
        <v>707178230020607-7</v>
      </c>
      <c r="H2625" s="4" t="s">
        <v>4511</v>
      </c>
      <c r="I2625" s="45" t="s">
        <v>6633</v>
      </c>
      <c r="J2625" s="4" t="s">
        <v>6819</v>
      </c>
      <c r="K2625" s="44" t="s">
        <v>230</v>
      </c>
      <c r="L2625" s="44">
        <v>3215459567</v>
      </c>
      <c r="M2625" s="7" t="s">
        <v>45</v>
      </c>
      <c r="N2625" s="12" t="s">
        <v>127</v>
      </c>
      <c r="O2625" s="12" t="s">
        <v>2822</v>
      </c>
      <c r="P2625" s="4" t="s">
        <v>48</v>
      </c>
      <c r="Q2625" s="69">
        <v>44610</v>
      </c>
      <c r="R2625" s="11">
        <v>0.94</v>
      </c>
      <c r="S2625" s="4" t="s">
        <v>210</v>
      </c>
      <c r="T2625" s="14"/>
      <c r="U2625" s="14"/>
      <c r="V2625" s="13"/>
      <c r="W2625" s="14"/>
      <c r="X2625" s="42"/>
      <c r="Y2625" s="14"/>
      <c r="Z2625" s="14"/>
      <c r="AA2625" s="14"/>
      <c r="AC2625" s="14"/>
      <c r="AD2625" s="14"/>
      <c r="AE2625" s="14"/>
      <c r="AF2625" s="20"/>
      <c r="AH2625" s="14"/>
      <c r="AI2625" s="14"/>
      <c r="AJ2625" s="14"/>
      <c r="AK2625" s="20"/>
      <c r="AM2625" s="14"/>
      <c r="AN2625" s="14"/>
      <c r="AO2625" s="14"/>
      <c r="AU2625" s="71" t="s">
        <v>53</v>
      </c>
    </row>
    <row r="2626" spans="1:47" s="12" customFormat="1" ht="21" hidden="1" customHeight="1" x14ac:dyDescent="0.3">
      <c r="A2626" s="42" t="s">
        <v>505</v>
      </c>
      <c r="B2626" s="42" t="s">
        <v>6661</v>
      </c>
      <c r="C2626" s="42">
        <v>70</v>
      </c>
      <c r="D2626" s="42">
        <v>717</v>
      </c>
      <c r="E2626" s="42" t="s">
        <v>6639</v>
      </c>
      <c r="F2626" s="277" t="s">
        <v>6820</v>
      </c>
      <c r="G2626" s="42" t="str">
        <f t="shared" si="62"/>
        <v>70717900759939-3</v>
      </c>
      <c r="H2626" s="4" t="s">
        <v>6623</v>
      </c>
      <c r="I2626" s="45" t="s">
        <v>6624</v>
      </c>
      <c r="J2626" s="4" t="s">
        <v>6821</v>
      </c>
      <c r="K2626" s="44" t="s">
        <v>230</v>
      </c>
      <c r="L2626" s="44">
        <v>3207980887</v>
      </c>
      <c r="M2626" s="3" t="s">
        <v>6626</v>
      </c>
      <c r="N2626" s="12" t="s">
        <v>127</v>
      </c>
      <c r="O2626" s="12" t="s">
        <v>2822</v>
      </c>
      <c r="P2626" s="4" t="s">
        <v>48</v>
      </c>
      <c r="Q2626" s="70">
        <v>46198</v>
      </c>
      <c r="R2626" s="12">
        <v>85</v>
      </c>
      <c r="S2626" s="12" t="s">
        <v>49</v>
      </c>
      <c r="U2626" s="12" t="s">
        <v>60</v>
      </c>
      <c r="V2626" s="69">
        <v>45817</v>
      </c>
      <c r="W2626" s="55">
        <v>0.77500000000000002</v>
      </c>
      <c r="X2626" s="4" t="s">
        <v>49</v>
      </c>
      <c r="Y2626" s="14"/>
      <c r="Z2626" s="14" t="s">
        <v>60</v>
      </c>
      <c r="AA2626" s="14"/>
      <c r="AC2626" s="69">
        <v>45505</v>
      </c>
      <c r="AD2626" s="11">
        <v>0.81499999999999995</v>
      </c>
      <c r="AE2626" s="4" t="s">
        <v>49</v>
      </c>
      <c r="AF2626" s="20" t="s">
        <v>60</v>
      </c>
      <c r="AH2626" s="14"/>
      <c r="AI2626" s="14"/>
      <c r="AJ2626" s="14"/>
      <c r="AK2626" s="20"/>
      <c r="AM2626" s="14"/>
      <c r="AN2626" s="14"/>
      <c r="AO2626" s="14"/>
      <c r="AU2626" s="71" t="s">
        <v>53</v>
      </c>
    </row>
    <row r="2627" spans="1:47" s="12" customFormat="1" ht="21" hidden="1" customHeight="1" x14ac:dyDescent="0.3">
      <c r="A2627" s="42" t="s">
        <v>505</v>
      </c>
      <c r="B2627" s="42" t="s">
        <v>6661</v>
      </c>
      <c r="C2627" s="42">
        <v>70</v>
      </c>
      <c r="D2627" s="42">
        <v>717</v>
      </c>
      <c r="E2627" s="42" t="s">
        <v>6621</v>
      </c>
      <c r="F2627" s="277" t="s">
        <v>6822</v>
      </c>
      <c r="G2627" s="42" t="str">
        <f t="shared" si="62"/>
        <v>70717900759939-3</v>
      </c>
      <c r="H2627" s="4" t="s">
        <v>6623</v>
      </c>
      <c r="I2627" s="45" t="s">
        <v>6624</v>
      </c>
      <c r="J2627" s="4" t="s">
        <v>6823</v>
      </c>
      <c r="K2627" s="44" t="s">
        <v>230</v>
      </c>
      <c r="L2627" s="44">
        <v>3115755627</v>
      </c>
      <c r="M2627" s="3" t="s">
        <v>6626</v>
      </c>
      <c r="N2627" s="12" t="s">
        <v>127</v>
      </c>
      <c r="O2627" s="12" t="s">
        <v>2822</v>
      </c>
      <c r="P2627" s="4" t="s">
        <v>48</v>
      </c>
      <c r="Q2627" s="70">
        <v>46164</v>
      </c>
      <c r="R2627" s="12">
        <v>85</v>
      </c>
      <c r="S2627" s="12" t="s">
        <v>49</v>
      </c>
      <c r="U2627" s="12" t="s">
        <v>60</v>
      </c>
      <c r="V2627" s="69">
        <v>45748</v>
      </c>
      <c r="W2627" s="11">
        <v>0.8</v>
      </c>
      <c r="X2627" s="4" t="s">
        <v>49</v>
      </c>
      <c r="Y2627" s="14"/>
      <c r="Z2627" s="14" t="s">
        <v>60</v>
      </c>
      <c r="AA2627" s="14"/>
      <c r="AC2627" s="13">
        <v>45463</v>
      </c>
      <c r="AD2627" s="22">
        <v>0.78500000000000003</v>
      </c>
      <c r="AE2627" s="42" t="s">
        <v>49</v>
      </c>
      <c r="AF2627" s="20" t="s">
        <v>60</v>
      </c>
      <c r="AH2627" s="14"/>
      <c r="AI2627" s="14"/>
      <c r="AJ2627" s="14"/>
      <c r="AK2627" s="20"/>
      <c r="AM2627" s="14"/>
      <c r="AN2627" s="14"/>
      <c r="AO2627" s="14"/>
      <c r="AU2627" s="71" t="s">
        <v>53</v>
      </c>
    </row>
    <row r="2628" spans="1:47" s="12" customFormat="1" ht="21" hidden="1" customHeight="1" x14ac:dyDescent="0.3">
      <c r="A2628" s="42" t="s">
        <v>505</v>
      </c>
      <c r="B2628" s="42" t="s">
        <v>6661</v>
      </c>
      <c r="C2628" s="42">
        <v>70</v>
      </c>
      <c r="D2628" s="42">
        <v>717</v>
      </c>
      <c r="E2628" s="42" t="s">
        <v>6824</v>
      </c>
      <c r="F2628" s="42" t="s">
        <v>6825</v>
      </c>
      <c r="G2628" s="42" t="str">
        <f t="shared" ref="G2628:G2691" si="63">C2628&amp;D2628&amp;I2628</f>
        <v>70717900759939-3</v>
      </c>
      <c r="H2628" s="4" t="s">
        <v>6826</v>
      </c>
      <c r="I2628" s="45" t="s">
        <v>6624</v>
      </c>
      <c r="J2628" s="4" t="s">
        <v>6827</v>
      </c>
      <c r="K2628" s="44" t="s">
        <v>230</v>
      </c>
      <c r="L2628" s="44">
        <v>3135826677</v>
      </c>
      <c r="M2628" s="109" t="s">
        <v>6828</v>
      </c>
      <c r="N2628" s="12" t="s">
        <v>127</v>
      </c>
      <c r="O2628" s="12" t="s">
        <v>2822</v>
      </c>
      <c r="P2628" s="4" t="s">
        <v>48</v>
      </c>
      <c r="Q2628" s="69">
        <v>45911</v>
      </c>
      <c r="R2628" s="11">
        <v>0.86</v>
      </c>
      <c r="S2628" s="4" t="s">
        <v>49</v>
      </c>
      <c r="T2628" s="14" t="s">
        <v>6829</v>
      </c>
      <c r="U2628" s="14" t="s">
        <v>60</v>
      </c>
      <c r="V2628" s="13" t="s">
        <v>6830</v>
      </c>
      <c r="W2628" s="22">
        <v>0.82499999999999996</v>
      </c>
      <c r="X2628" s="42" t="s">
        <v>139</v>
      </c>
      <c r="Y2628" s="14"/>
      <c r="Z2628" s="14" t="s">
        <v>60</v>
      </c>
      <c r="AA2628" s="14"/>
      <c r="AC2628" s="14"/>
      <c r="AD2628" s="14"/>
      <c r="AE2628" s="14"/>
      <c r="AF2628" s="20"/>
      <c r="AH2628" s="14"/>
      <c r="AI2628" s="14"/>
      <c r="AJ2628" s="14"/>
      <c r="AK2628" s="20"/>
      <c r="AM2628" s="14"/>
      <c r="AN2628" s="14"/>
      <c r="AO2628" s="14"/>
      <c r="AU2628" s="71" t="s">
        <v>53</v>
      </c>
    </row>
    <row r="2629" spans="1:47" s="12" customFormat="1" ht="21" hidden="1" customHeight="1" x14ac:dyDescent="0.3">
      <c r="A2629" s="42" t="s">
        <v>505</v>
      </c>
      <c r="B2629" s="42" t="s">
        <v>6661</v>
      </c>
      <c r="C2629" s="42">
        <v>70</v>
      </c>
      <c r="D2629" s="42">
        <v>717</v>
      </c>
      <c r="E2629" s="42" t="s">
        <v>6621</v>
      </c>
      <c r="F2629" s="42" t="s">
        <v>6831</v>
      </c>
      <c r="G2629" s="42" t="str">
        <f t="shared" si="63"/>
        <v>70717900759939-3</v>
      </c>
      <c r="H2629" s="4" t="s">
        <v>6623</v>
      </c>
      <c r="I2629" s="45" t="s">
        <v>6624</v>
      </c>
      <c r="J2629" s="4" t="s">
        <v>6832</v>
      </c>
      <c r="K2629" s="44" t="s">
        <v>230</v>
      </c>
      <c r="L2629" s="44">
        <v>3107325298</v>
      </c>
      <c r="M2629" s="3" t="s">
        <v>6626</v>
      </c>
      <c r="N2629" s="12" t="s">
        <v>127</v>
      </c>
      <c r="O2629" s="12" t="s">
        <v>2822</v>
      </c>
      <c r="P2629" s="4" t="s">
        <v>48</v>
      </c>
      <c r="Q2629" s="69">
        <v>45777</v>
      </c>
      <c r="R2629" s="55">
        <v>0.84499999999999997</v>
      </c>
      <c r="S2629" s="4" t="s">
        <v>49</v>
      </c>
      <c r="T2629" s="14"/>
      <c r="U2629" s="14"/>
      <c r="V2629" s="13">
        <v>45524</v>
      </c>
      <c r="W2629" s="22">
        <v>0.78500000000000003</v>
      </c>
      <c r="X2629" s="42" t="s">
        <v>49</v>
      </c>
      <c r="Y2629" s="14"/>
      <c r="Z2629" s="14"/>
      <c r="AA2629" s="14"/>
      <c r="AC2629" s="69">
        <v>45097</v>
      </c>
      <c r="AD2629" s="23">
        <v>0.82499999999999996</v>
      </c>
      <c r="AE2629" s="4" t="s">
        <v>49</v>
      </c>
      <c r="AF2629" s="20"/>
      <c r="AH2629" s="14"/>
      <c r="AI2629" s="14"/>
      <c r="AJ2629" s="14"/>
      <c r="AK2629" s="20"/>
      <c r="AM2629" s="14"/>
      <c r="AN2629" s="14"/>
      <c r="AO2629" s="14"/>
      <c r="AU2629" s="71" t="s">
        <v>53</v>
      </c>
    </row>
    <row r="2630" spans="1:47" s="12" customFormat="1" ht="21" hidden="1" customHeight="1" x14ac:dyDescent="0.3">
      <c r="A2630" s="42" t="s">
        <v>505</v>
      </c>
      <c r="B2630" s="42" t="s">
        <v>6661</v>
      </c>
      <c r="C2630" s="42">
        <v>70</v>
      </c>
      <c r="D2630" s="42">
        <v>717</v>
      </c>
      <c r="E2630" s="42"/>
      <c r="F2630" s="42" t="s">
        <v>6833</v>
      </c>
      <c r="G2630" s="42" t="str">
        <f t="shared" si="63"/>
        <v>707171102805294</v>
      </c>
      <c r="H2630" s="4" t="s">
        <v>6834</v>
      </c>
      <c r="I2630" s="45">
        <v>1102805294</v>
      </c>
      <c r="J2630" s="4" t="s">
        <v>6835</v>
      </c>
      <c r="K2630" s="44" t="s">
        <v>230</v>
      </c>
      <c r="L2630" s="44" t="s">
        <v>45</v>
      </c>
      <c r="M2630" s="3" t="s">
        <v>45</v>
      </c>
      <c r="N2630" s="12" t="s">
        <v>46</v>
      </c>
      <c r="O2630" s="68" t="s">
        <v>521</v>
      </c>
      <c r="P2630" s="4" t="s">
        <v>80</v>
      </c>
      <c r="Q2630" s="69">
        <v>44545</v>
      </c>
      <c r="R2630" s="55">
        <v>0.72499999999999998</v>
      </c>
      <c r="S2630" s="4" t="s">
        <v>49</v>
      </c>
      <c r="T2630" s="14"/>
      <c r="U2630" s="14"/>
      <c r="V2630" s="13"/>
      <c r="W2630" s="22"/>
      <c r="X2630" s="42"/>
      <c r="Y2630" s="14"/>
      <c r="Z2630" s="14"/>
      <c r="AA2630" s="14"/>
      <c r="AC2630" s="69"/>
      <c r="AD2630" s="23"/>
      <c r="AE2630" s="4"/>
      <c r="AF2630" s="20"/>
      <c r="AH2630" s="14"/>
      <c r="AI2630" s="14"/>
      <c r="AJ2630" s="14"/>
      <c r="AK2630" s="20"/>
      <c r="AM2630" s="14"/>
      <c r="AN2630" s="14"/>
      <c r="AO2630" s="14"/>
      <c r="AU2630" s="71" t="s">
        <v>53</v>
      </c>
    </row>
    <row r="2631" spans="1:47" s="12" customFormat="1" ht="21" hidden="1" customHeight="1" x14ac:dyDescent="0.3">
      <c r="A2631" s="42" t="s">
        <v>505</v>
      </c>
      <c r="B2631" s="42" t="s">
        <v>6661</v>
      </c>
      <c r="C2631" s="42">
        <v>70</v>
      </c>
      <c r="D2631" s="42">
        <v>717</v>
      </c>
      <c r="E2631" s="42"/>
      <c r="F2631" s="42" t="s">
        <v>6836</v>
      </c>
      <c r="G2631" s="42" t="str">
        <f t="shared" si="63"/>
        <v>7071764745047</v>
      </c>
      <c r="H2631" s="4" t="s">
        <v>6837</v>
      </c>
      <c r="I2631" s="45">
        <v>64745047</v>
      </c>
      <c r="J2631" s="4" t="s">
        <v>6838</v>
      </c>
      <c r="K2631" s="44" t="s">
        <v>230</v>
      </c>
      <c r="L2631" s="44" t="s">
        <v>45</v>
      </c>
      <c r="M2631" s="3" t="s">
        <v>45</v>
      </c>
      <c r="N2631" s="12" t="s">
        <v>432</v>
      </c>
      <c r="O2631" s="12" t="s">
        <v>432</v>
      </c>
      <c r="P2631" s="4" t="s">
        <v>261</v>
      </c>
      <c r="Q2631" s="69">
        <v>44481</v>
      </c>
      <c r="R2631" s="55">
        <v>0.79500000000000004</v>
      </c>
      <c r="S2631" s="4" t="s">
        <v>49</v>
      </c>
      <c r="T2631" s="14"/>
      <c r="U2631" s="14"/>
      <c r="V2631" s="13"/>
      <c r="W2631" s="22"/>
      <c r="X2631" s="42"/>
      <c r="Y2631" s="14"/>
      <c r="Z2631" s="14"/>
      <c r="AA2631" s="14"/>
      <c r="AC2631" s="69"/>
      <c r="AD2631" s="23"/>
      <c r="AE2631" s="4"/>
      <c r="AF2631" s="20"/>
      <c r="AH2631" s="14"/>
      <c r="AI2631" s="14"/>
      <c r="AJ2631" s="14"/>
      <c r="AK2631" s="20"/>
      <c r="AM2631" s="14"/>
      <c r="AN2631" s="14"/>
      <c r="AO2631" s="14"/>
      <c r="AU2631" s="71" t="s">
        <v>53</v>
      </c>
    </row>
    <row r="2632" spans="1:47" s="12" customFormat="1" ht="21" customHeight="1" x14ac:dyDescent="0.3">
      <c r="A2632" s="42" t="s">
        <v>505</v>
      </c>
      <c r="B2632" s="42" t="s">
        <v>6661</v>
      </c>
      <c r="C2632" s="42">
        <v>70</v>
      </c>
      <c r="D2632" s="42">
        <v>717</v>
      </c>
      <c r="E2632" s="42"/>
      <c r="F2632" s="42" t="s">
        <v>6839</v>
      </c>
      <c r="G2632" s="42" t="str">
        <f t="shared" si="63"/>
        <v>70717764479222</v>
      </c>
      <c r="H2632" s="4" t="s">
        <v>6840</v>
      </c>
      <c r="I2632" s="45">
        <v>764479222</v>
      </c>
      <c r="J2632" s="4" t="s">
        <v>6841</v>
      </c>
      <c r="K2632" s="44" t="s">
        <v>230</v>
      </c>
      <c r="L2632" s="44" t="s">
        <v>45</v>
      </c>
      <c r="M2632" s="3" t="s">
        <v>45</v>
      </c>
      <c r="N2632" s="12" t="s">
        <v>46</v>
      </c>
      <c r="O2632" s="12" t="s">
        <v>47</v>
      </c>
      <c r="P2632" s="4" t="s">
        <v>80</v>
      </c>
      <c r="Q2632" s="69">
        <v>44244</v>
      </c>
      <c r="R2632" s="55">
        <v>0.86</v>
      </c>
      <c r="S2632" s="4" t="s">
        <v>49</v>
      </c>
      <c r="T2632" s="14"/>
      <c r="U2632" s="14"/>
      <c r="V2632" s="13"/>
      <c r="W2632" s="22"/>
      <c r="X2632" s="42"/>
      <c r="Y2632" s="14"/>
      <c r="Z2632" s="14"/>
      <c r="AA2632" s="14"/>
      <c r="AC2632" s="69"/>
      <c r="AD2632" s="23"/>
      <c r="AE2632" s="4"/>
      <c r="AF2632" s="20"/>
      <c r="AH2632" s="14"/>
      <c r="AI2632" s="14"/>
      <c r="AJ2632" s="14"/>
      <c r="AK2632" s="20"/>
      <c r="AM2632" s="14"/>
      <c r="AN2632" s="14"/>
      <c r="AO2632" s="14"/>
      <c r="AU2632" s="71" t="s">
        <v>53</v>
      </c>
    </row>
    <row r="2633" spans="1:47" s="12" customFormat="1" ht="21" hidden="1" customHeight="1" x14ac:dyDescent="0.3">
      <c r="A2633" s="42" t="s">
        <v>505</v>
      </c>
      <c r="B2633" s="42" t="s">
        <v>6661</v>
      </c>
      <c r="C2633" s="42">
        <v>70</v>
      </c>
      <c r="D2633" s="42">
        <v>717</v>
      </c>
      <c r="E2633" s="42"/>
      <c r="F2633" s="42" t="s">
        <v>6842</v>
      </c>
      <c r="G2633" s="42" t="str">
        <f t="shared" si="63"/>
        <v>7071764479514</v>
      </c>
      <c r="H2633" s="4" t="s">
        <v>6843</v>
      </c>
      <c r="I2633" s="45">
        <v>64479514</v>
      </c>
      <c r="J2633" s="4" t="s">
        <v>6844</v>
      </c>
      <c r="K2633" s="44" t="s">
        <v>230</v>
      </c>
      <c r="L2633" s="44">
        <v>30181316889</v>
      </c>
      <c r="M2633" s="3" t="s">
        <v>45</v>
      </c>
      <c r="N2633" s="12" t="s">
        <v>46</v>
      </c>
      <c r="O2633" s="68" t="s">
        <v>521</v>
      </c>
      <c r="P2633" s="4" t="s">
        <v>80</v>
      </c>
      <c r="Q2633" s="69">
        <v>45631</v>
      </c>
      <c r="R2633" s="55">
        <v>0.85</v>
      </c>
      <c r="S2633" s="4" t="s">
        <v>49</v>
      </c>
      <c r="T2633" s="14"/>
      <c r="U2633" s="14"/>
      <c r="V2633" s="13"/>
      <c r="W2633" s="22"/>
      <c r="X2633" s="42"/>
      <c r="Y2633" s="14"/>
      <c r="Z2633" s="14"/>
      <c r="AA2633" s="14"/>
      <c r="AC2633" s="69"/>
      <c r="AD2633" s="23"/>
      <c r="AE2633" s="4"/>
      <c r="AF2633" s="20"/>
      <c r="AH2633" s="14"/>
      <c r="AI2633" s="14"/>
      <c r="AJ2633" s="14"/>
      <c r="AK2633" s="20"/>
      <c r="AM2633" s="14"/>
      <c r="AN2633" s="14"/>
      <c r="AO2633" s="14"/>
      <c r="AU2633" s="71" t="s">
        <v>53</v>
      </c>
    </row>
    <row r="2634" spans="1:47" s="12" customFormat="1" ht="21" hidden="1" customHeight="1" x14ac:dyDescent="0.3">
      <c r="A2634" s="42" t="s">
        <v>505</v>
      </c>
      <c r="B2634" s="42" t="s">
        <v>6661</v>
      </c>
      <c r="C2634" s="42">
        <v>70</v>
      </c>
      <c r="D2634" s="42">
        <v>717</v>
      </c>
      <c r="E2634" s="42"/>
      <c r="F2634" s="42" t="s">
        <v>6845</v>
      </c>
      <c r="G2634" s="42" t="str">
        <f t="shared" si="63"/>
        <v>707178305047786</v>
      </c>
      <c r="H2634" s="4" t="s">
        <v>6679</v>
      </c>
      <c r="I2634" s="45">
        <v>8305047786</v>
      </c>
      <c r="J2634" s="4" t="s">
        <v>6846</v>
      </c>
      <c r="K2634" s="44" t="s">
        <v>230</v>
      </c>
      <c r="L2634" s="44" t="s">
        <v>45</v>
      </c>
      <c r="M2634" s="3" t="s">
        <v>45</v>
      </c>
      <c r="N2634" s="12" t="s">
        <v>259</v>
      </c>
      <c r="O2634" s="12" t="s">
        <v>260</v>
      </c>
      <c r="P2634" s="4" t="s">
        <v>261</v>
      </c>
      <c r="Q2634" s="69">
        <v>44832</v>
      </c>
      <c r="R2634" s="55">
        <v>0.91</v>
      </c>
      <c r="S2634" s="4" t="s">
        <v>210</v>
      </c>
      <c r="T2634" s="14"/>
      <c r="U2634" s="14"/>
      <c r="V2634" s="13"/>
      <c r="W2634" s="22"/>
      <c r="X2634" s="42"/>
      <c r="Y2634" s="14"/>
      <c r="Z2634" s="14"/>
      <c r="AA2634" s="14"/>
      <c r="AC2634" s="69"/>
      <c r="AD2634" s="23"/>
      <c r="AE2634" s="4"/>
      <c r="AF2634" s="20"/>
      <c r="AH2634" s="14"/>
      <c r="AI2634" s="14"/>
      <c r="AJ2634" s="14"/>
      <c r="AK2634" s="20"/>
      <c r="AM2634" s="14"/>
      <c r="AN2634" s="14"/>
      <c r="AO2634" s="14"/>
      <c r="AU2634" s="71" t="s">
        <v>53</v>
      </c>
    </row>
    <row r="2635" spans="1:47" s="12" customFormat="1" ht="21" hidden="1" customHeight="1" x14ac:dyDescent="0.3">
      <c r="A2635" s="42" t="s">
        <v>505</v>
      </c>
      <c r="B2635" s="42" t="s">
        <v>6661</v>
      </c>
      <c r="C2635" s="42">
        <v>70</v>
      </c>
      <c r="D2635" s="42">
        <v>717</v>
      </c>
      <c r="E2635" s="42"/>
      <c r="F2635" s="42" t="s">
        <v>6847</v>
      </c>
      <c r="G2635" s="42" t="str">
        <f t="shared" si="63"/>
        <v>70717100558336</v>
      </c>
      <c r="H2635" s="4" t="s">
        <v>6848</v>
      </c>
      <c r="I2635" s="45">
        <v>100558336</v>
      </c>
      <c r="J2635" s="4" t="s">
        <v>6849</v>
      </c>
      <c r="K2635" s="44" t="s">
        <v>230</v>
      </c>
      <c r="L2635" s="44">
        <v>3222356738</v>
      </c>
      <c r="M2635" s="3" t="s">
        <v>45</v>
      </c>
      <c r="N2635" s="12" t="s">
        <v>432</v>
      </c>
      <c r="O2635" s="12" t="s">
        <v>432</v>
      </c>
      <c r="P2635" s="4" t="s">
        <v>261</v>
      </c>
      <c r="Q2635" s="69">
        <v>45219</v>
      </c>
      <c r="R2635" s="55">
        <v>0.89</v>
      </c>
      <c r="S2635" s="4" t="s">
        <v>49</v>
      </c>
      <c r="T2635" s="14"/>
      <c r="U2635" s="14"/>
      <c r="V2635" s="13"/>
      <c r="W2635" s="22"/>
      <c r="X2635" s="42"/>
      <c r="Y2635" s="14"/>
      <c r="Z2635" s="14"/>
      <c r="AA2635" s="14"/>
      <c r="AC2635" s="69"/>
      <c r="AD2635" s="23"/>
      <c r="AE2635" s="4"/>
      <c r="AF2635" s="20"/>
      <c r="AH2635" s="14"/>
      <c r="AI2635" s="14"/>
      <c r="AJ2635" s="14"/>
      <c r="AK2635" s="20"/>
      <c r="AM2635" s="14"/>
      <c r="AN2635" s="14"/>
      <c r="AO2635" s="14"/>
      <c r="AU2635" s="71" t="s">
        <v>53</v>
      </c>
    </row>
    <row r="2636" spans="1:47" s="12" customFormat="1" ht="21" hidden="1" customHeight="1" x14ac:dyDescent="0.3">
      <c r="A2636" s="42" t="s">
        <v>505</v>
      </c>
      <c r="B2636" s="42" t="s">
        <v>6661</v>
      </c>
      <c r="C2636" s="42">
        <v>70</v>
      </c>
      <c r="D2636" s="42">
        <v>717</v>
      </c>
      <c r="E2636" s="42"/>
      <c r="F2636" s="42" t="s">
        <v>6850</v>
      </c>
      <c r="G2636" s="42" t="str">
        <f t="shared" si="63"/>
        <v>707178305047786</v>
      </c>
      <c r="H2636" s="4" t="s">
        <v>6851</v>
      </c>
      <c r="I2636" s="45">
        <v>8305047786</v>
      </c>
      <c r="J2636" s="4" t="s">
        <v>6852</v>
      </c>
      <c r="K2636" s="44" t="s">
        <v>230</v>
      </c>
      <c r="L2636" s="44" t="s">
        <v>45</v>
      </c>
      <c r="M2636" s="7" t="s">
        <v>45</v>
      </c>
      <c r="N2636" s="12" t="s">
        <v>127</v>
      </c>
      <c r="O2636" s="12" t="s">
        <v>2822</v>
      </c>
      <c r="P2636" s="4" t="s">
        <v>48</v>
      </c>
      <c r="Q2636" s="69">
        <v>44817</v>
      </c>
      <c r="R2636" s="11">
        <v>0.83499999999999996</v>
      </c>
      <c r="S2636" s="4" t="s">
        <v>49</v>
      </c>
      <c r="T2636" s="14"/>
      <c r="U2636" s="14"/>
      <c r="V2636" s="13"/>
      <c r="W2636" s="14"/>
      <c r="X2636" s="42"/>
      <c r="Y2636" s="14"/>
      <c r="Z2636" s="14"/>
      <c r="AA2636" s="14"/>
      <c r="AC2636" s="14"/>
      <c r="AD2636" s="14"/>
      <c r="AE2636" s="14"/>
      <c r="AF2636" s="20"/>
      <c r="AH2636" s="14"/>
      <c r="AI2636" s="14"/>
      <c r="AJ2636" s="14"/>
      <c r="AK2636" s="20"/>
      <c r="AM2636" s="14"/>
      <c r="AN2636" s="14"/>
      <c r="AO2636" s="14"/>
      <c r="AU2636" s="71" t="s">
        <v>53</v>
      </c>
    </row>
    <row r="2637" spans="1:47" s="12" customFormat="1" ht="21" hidden="1" customHeight="1" x14ac:dyDescent="0.3">
      <c r="A2637" s="42" t="s">
        <v>505</v>
      </c>
      <c r="B2637" s="42" t="s">
        <v>6661</v>
      </c>
      <c r="C2637" s="42">
        <v>70</v>
      </c>
      <c r="D2637" s="42">
        <v>717</v>
      </c>
      <c r="E2637" s="42"/>
      <c r="F2637" s="42" t="s">
        <v>6853</v>
      </c>
      <c r="G2637" s="42" t="str">
        <f t="shared" si="63"/>
        <v>707171075673477</v>
      </c>
      <c r="H2637" s="4" t="s">
        <v>6854</v>
      </c>
      <c r="I2637" s="45">
        <v>1075673477</v>
      </c>
      <c r="J2637" s="4" t="s">
        <v>6855</v>
      </c>
      <c r="K2637" s="44" t="s">
        <v>230</v>
      </c>
      <c r="L2637" s="44">
        <v>3144408841</v>
      </c>
      <c r="M2637" s="7" t="s">
        <v>45</v>
      </c>
      <c r="N2637" s="12" t="s">
        <v>46</v>
      </c>
      <c r="O2637" s="68" t="s">
        <v>521</v>
      </c>
      <c r="P2637" s="4" t="s">
        <v>80</v>
      </c>
      <c r="Q2637" s="69">
        <v>45631</v>
      </c>
      <c r="R2637" s="11">
        <v>0.85</v>
      </c>
      <c r="S2637" s="4" t="s">
        <v>49</v>
      </c>
      <c r="T2637" s="14"/>
      <c r="U2637" s="14"/>
      <c r="V2637" s="13"/>
      <c r="W2637" s="14"/>
      <c r="X2637" s="42"/>
      <c r="Y2637" s="14"/>
      <c r="Z2637" s="14"/>
      <c r="AA2637" s="14"/>
      <c r="AC2637" s="14"/>
      <c r="AD2637" s="14"/>
      <c r="AE2637" s="14"/>
      <c r="AF2637" s="20"/>
      <c r="AH2637" s="14"/>
      <c r="AI2637" s="14"/>
      <c r="AJ2637" s="14"/>
      <c r="AK2637" s="20"/>
      <c r="AM2637" s="14"/>
      <c r="AN2637" s="14"/>
      <c r="AO2637" s="14"/>
      <c r="AU2637" s="71" t="s">
        <v>53</v>
      </c>
    </row>
    <row r="2638" spans="1:47" s="12" customFormat="1" ht="21" hidden="1" customHeight="1" x14ac:dyDescent="0.3">
      <c r="A2638" s="42" t="s">
        <v>505</v>
      </c>
      <c r="B2638" s="42" t="s">
        <v>6661</v>
      </c>
      <c r="C2638" s="42">
        <v>70</v>
      </c>
      <c r="D2638" s="42">
        <v>717</v>
      </c>
      <c r="E2638" s="42"/>
      <c r="F2638" s="42" t="s">
        <v>6856</v>
      </c>
      <c r="G2638" s="42" t="str">
        <f t="shared" si="63"/>
        <v>7071770388670</v>
      </c>
      <c r="H2638" s="4" t="s">
        <v>6857</v>
      </c>
      <c r="I2638" s="45">
        <v>70388670</v>
      </c>
      <c r="J2638" s="4" t="s">
        <v>6858</v>
      </c>
      <c r="K2638" s="44" t="s">
        <v>230</v>
      </c>
      <c r="L2638" s="44" t="s">
        <v>45</v>
      </c>
      <c r="M2638" s="7" t="s">
        <v>45</v>
      </c>
      <c r="N2638" s="12" t="s">
        <v>259</v>
      </c>
      <c r="O2638" s="12" t="s">
        <v>260</v>
      </c>
      <c r="P2638" s="4" t="s">
        <v>261</v>
      </c>
      <c r="Q2638" s="69">
        <v>44862</v>
      </c>
      <c r="R2638" s="11">
        <v>0.83750000000000002</v>
      </c>
      <c r="S2638" s="4" t="s">
        <v>49</v>
      </c>
      <c r="T2638" s="14"/>
      <c r="U2638" s="14"/>
      <c r="V2638" s="13"/>
      <c r="W2638" s="14"/>
      <c r="X2638" s="42"/>
      <c r="Y2638" s="14"/>
      <c r="Z2638" s="14"/>
      <c r="AA2638" s="14"/>
      <c r="AC2638" s="14"/>
      <c r="AD2638" s="14"/>
      <c r="AE2638" s="14"/>
      <c r="AF2638" s="20"/>
      <c r="AH2638" s="14"/>
      <c r="AI2638" s="14"/>
      <c r="AJ2638" s="14"/>
      <c r="AK2638" s="20"/>
      <c r="AM2638" s="14"/>
      <c r="AN2638" s="14"/>
      <c r="AO2638" s="14"/>
      <c r="AU2638" s="71" t="s">
        <v>53</v>
      </c>
    </row>
    <row r="2639" spans="1:47" s="12" customFormat="1" ht="21" hidden="1" customHeight="1" x14ac:dyDescent="0.3">
      <c r="A2639" s="42" t="s">
        <v>505</v>
      </c>
      <c r="B2639" s="42" t="s">
        <v>6661</v>
      </c>
      <c r="C2639" s="42">
        <v>70</v>
      </c>
      <c r="D2639" s="42">
        <v>717</v>
      </c>
      <c r="E2639" s="42"/>
      <c r="F2639" s="42" t="s">
        <v>6859</v>
      </c>
      <c r="G2639" s="42" t="str">
        <f t="shared" si="63"/>
        <v>7071728024223-1</v>
      </c>
      <c r="H2639" s="4" t="s">
        <v>6860</v>
      </c>
      <c r="I2639" s="45" t="s">
        <v>6861</v>
      </c>
      <c r="J2639" s="4" t="s">
        <v>6862</v>
      </c>
      <c r="K2639" s="44" t="s">
        <v>230</v>
      </c>
      <c r="L2639" s="44">
        <v>3215395827</v>
      </c>
      <c r="M2639" s="3" t="s">
        <v>6863</v>
      </c>
      <c r="N2639" s="12" t="s">
        <v>46</v>
      </c>
      <c r="O2639" s="12" t="s">
        <v>2797</v>
      </c>
      <c r="P2639" s="4" t="s">
        <v>261</v>
      </c>
      <c r="Q2639" s="69" t="s">
        <v>789</v>
      </c>
      <c r="R2639" s="55">
        <v>0.88500000000000001</v>
      </c>
      <c r="S2639" s="4" t="s">
        <v>49</v>
      </c>
      <c r="T2639" s="14" t="s">
        <v>6769</v>
      </c>
      <c r="U2639" s="14" t="s">
        <v>60</v>
      </c>
      <c r="V2639" s="69">
        <v>45525</v>
      </c>
      <c r="W2639" s="11">
        <v>0.85</v>
      </c>
      <c r="X2639" s="4" t="s">
        <v>49</v>
      </c>
      <c r="Y2639" s="14"/>
      <c r="Z2639" s="14"/>
      <c r="AA2639" s="14"/>
      <c r="AC2639" s="14"/>
      <c r="AD2639" s="14"/>
      <c r="AE2639" s="14"/>
      <c r="AF2639" s="20"/>
      <c r="AH2639" s="14"/>
      <c r="AI2639" s="14"/>
      <c r="AJ2639" s="14"/>
      <c r="AK2639" s="20"/>
      <c r="AM2639" s="14"/>
      <c r="AN2639" s="14"/>
      <c r="AO2639" s="14"/>
      <c r="AU2639" s="71" t="s">
        <v>53</v>
      </c>
    </row>
    <row r="2640" spans="1:47" s="12" customFormat="1" ht="21" hidden="1" customHeight="1" x14ac:dyDescent="0.3">
      <c r="A2640" s="42" t="s">
        <v>505</v>
      </c>
      <c r="B2640" s="42" t="s">
        <v>6661</v>
      </c>
      <c r="C2640" s="42">
        <v>70</v>
      </c>
      <c r="D2640" s="42">
        <v>717</v>
      </c>
      <c r="E2640" s="42"/>
      <c r="F2640" s="42" t="s">
        <v>6864</v>
      </c>
      <c r="G2640" s="42" t="str">
        <f t="shared" si="63"/>
        <v>707179014797460</v>
      </c>
      <c r="H2640" s="4" t="s">
        <v>6865</v>
      </c>
      <c r="I2640" s="45">
        <v>9014797460</v>
      </c>
      <c r="J2640" s="4" t="s">
        <v>6866</v>
      </c>
      <c r="K2640" s="44" t="s">
        <v>230</v>
      </c>
      <c r="L2640" s="44">
        <v>3022671521</v>
      </c>
      <c r="M2640" s="7" t="s">
        <v>45</v>
      </c>
      <c r="N2640" s="12" t="s">
        <v>432</v>
      </c>
      <c r="O2640" s="12" t="s">
        <v>432</v>
      </c>
      <c r="P2640" s="4" t="s">
        <v>261</v>
      </c>
      <c r="Q2640" s="69">
        <v>45608</v>
      </c>
      <c r="R2640" s="11">
        <v>0.91</v>
      </c>
      <c r="S2640" s="4" t="s">
        <v>210</v>
      </c>
      <c r="T2640" s="14"/>
      <c r="U2640" s="14"/>
      <c r="V2640" s="13"/>
      <c r="W2640" s="14"/>
      <c r="X2640" s="42"/>
      <c r="Y2640" s="14"/>
      <c r="Z2640" s="14"/>
      <c r="AA2640" s="14"/>
      <c r="AC2640" s="14"/>
      <c r="AD2640" s="14"/>
      <c r="AE2640" s="14"/>
      <c r="AF2640" s="20"/>
      <c r="AH2640" s="14"/>
      <c r="AI2640" s="14"/>
      <c r="AJ2640" s="14"/>
      <c r="AK2640" s="20"/>
      <c r="AM2640" s="14"/>
      <c r="AN2640" s="14"/>
      <c r="AO2640" s="14"/>
      <c r="AU2640" s="71" t="s">
        <v>53</v>
      </c>
    </row>
    <row r="2641" spans="1:47" s="12" customFormat="1" ht="21" hidden="1" customHeight="1" x14ac:dyDescent="0.3">
      <c r="A2641" s="42" t="s">
        <v>505</v>
      </c>
      <c r="B2641" s="42" t="s">
        <v>6661</v>
      </c>
      <c r="C2641" s="42">
        <v>70</v>
      </c>
      <c r="D2641" s="42">
        <v>717</v>
      </c>
      <c r="E2641" s="42"/>
      <c r="F2641" s="42" t="s">
        <v>6867</v>
      </c>
      <c r="G2641" s="42" t="str">
        <f t="shared" si="63"/>
        <v>7071792185854</v>
      </c>
      <c r="H2641" s="4" t="s">
        <v>6868</v>
      </c>
      <c r="I2641" s="45">
        <v>92185854</v>
      </c>
      <c r="J2641" s="4" t="s">
        <v>6762</v>
      </c>
      <c r="K2641" s="44" t="s">
        <v>230</v>
      </c>
      <c r="L2641" s="44" t="s">
        <v>45</v>
      </c>
      <c r="M2641" s="7" t="s">
        <v>45</v>
      </c>
      <c r="N2641" s="12" t="s">
        <v>432</v>
      </c>
      <c r="O2641" s="12" t="s">
        <v>432</v>
      </c>
      <c r="P2641" s="4" t="s">
        <v>261</v>
      </c>
      <c r="Q2641" s="69">
        <v>44861</v>
      </c>
      <c r="R2641" s="11">
        <v>0.92</v>
      </c>
      <c r="S2641" s="4" t="s">
        <v>210</v>
      </c>
      <c r="T2641" s="14"/>
      <c r="U2641" s="14"/>
      <c r="V2641" s="13"/>
      <c r="W2641" s="14"/>
      <c r="X2641" s="42"/>
      <c r="Y2641" s="14"/>
      <c r="Z2641" s="14"/>
      <c r="AA2641" s="14"/>
      <c r="AC2641" s="14"/>
      <c r="AD2641" s="14"/>
      <c r="AE2641" s="14"/>
      <c r="AF2641" s="20"/>
      <c r="AH2641" s="14"/>
      <c r="AI2641" s="14"/>
      <c r="AJ2641" s="14"/>
      <c r="AK2641" s="20"/>
      <c r="AM2641" s="14"/>
      <c r="AN2641" s="14"/>
      <c r="AO2641" s="14"/>
      <c r="AU2641" s="71" t="s">
        <v>53</v>
      </c>
    </row>
    <row r="2642" spans="1:47" s="12" customFormat="1" ht="21" customHeight="1" x14ac:dyDescent="0.3">
      <c r="A2642" s="42" t="s">
        <v>505</v>
      </c>
      <c r="B2642" s="42" t="s">
        <v>6661</v>
      </c>
      <c r="C2642" s="42">
        <v>70</v>
      </c>
      <c r="D2642" s="42">
        <v>717</v>
      </c>
      <c r="E2642" s="42"/>
      <c r="F2642" s="42" t="s">
        <v>6869</v>
      </c>
      <c r="G2642" s="42" t="str">
        <f t="shared" si="63"/>
        <v>7071764476713</v>
      </c>
      <c r="H2642" s="4" t="s">
        <v>6870</v>
      </c>
      <c r="I2642" s="45">
        <v>64476713</v>
      </c>
      <c r="J2642" s="4" t="s">
        <v>6871</v>
      </c>
      <c r="K2642" s="44" t="s">
        <v>230</v>
      </c>
      <c r="L2642" s="44" t="s">
        <v>45</v>
      </c>
      <c r="M2642" s="7" t="s">
        <v>45</v>
      </c>
      <c r="N2642" s="12" t="s">
        <v>46</v>
      </c>
      <c r="O2642" s="12" t="s">
        <v>47</v>
      </c>
      <c r="P2642" s="4" t="s">
        <v>80</v>
      </c>
      <c r="Q2642" s="69">
        <v>44873</v>
      </c>
      <c r="R2642" s="11">
        <v>0.83250000000000002</v>
      </c>
      <c r="S2642" s="4" t="s">
        <v>49</v>
      </c>
      <c r="T2642" s="14"/>
      <c r="U2642" s="14"/>
      <c r="V2642" s="13"/>
      <c r="W2642" s="14"/>
      <c r="X2642" s="42"/>
      <c r="Y2642" s="14"/>
      <c r="Z2642" s="14"/>
      <c r="AA2642" s="14"/>
      <c r="AC2642" s="14"/>
      <c r="AD2642" s="14"/>
      <c r="AE2642" s="14"/>
      <c r="AF2642" s="20"/>
      <c r="AH2642" s="14"/>
      <c r="AI2642" s="14"/>
      <c r="AJ2642" s="14"/>
      <c r="AK2642" s="20"/>
      <c r="AM2642" s="14"/>
      <c r="AN2642" s="14"/>
      <c r="AO2642" s="14"/>
      <c r="AU2642" s="71" t="s">
        <v>53</v>
      </c>
    </row>
    <row r="2643" spans="1:47" s="12" customFormat="1" ht="21" customHeight="1" x14ac:dyDescent="0.3">
      <c r="A2643" s="42" t="s">
        <v>505</v>
      </c>
      <c r="B2643" s="42" t="s">
        <v>6661</v>
      </c>
      <c r="C2643" s="42">
        <v>70</v>
      </c>
      <c r="D2643" s="42">
        <v>717</v>
      </c>
      <c r="E2643" s="42"/>
      <c r="F2643" s="42" t="s">
        <v>6872</v>
      </c>
      <c r="G2643" s="42" t="str">
        <f t="shared" si="63"/>
        <v>707171077083625</v>
      </c>
      <c r="H2643" s="4" t="s">
        <v>6873</v>
      </c>
      <c r="I2643" s="45">
        <v>1077083625</v>
      </c>
      <c r="J2643" s="4" t="s">
        <v>6874</v>
      </c>
      <c r="K2643" s="44" t="s">
        <v>230</v>
      </c>
      <c r="L2643" s="44" t="s">
        <v>45</v>
      </c>
      <c r="M2643" s="7" t="s">
        <v>45</v>
      </c>
      <c r="N2643" s="12" t="s">
        <v>46</v>
      </c>
      <c r="O2643" s="12" t="s">
        <v>47</v>
      </c>
      <c r="P2643" s="4" t="s">
        <v>80</v>
      </c>
      <c r="Q2643" s="69">
        <v>45275</v>
      </c>
      <c r="R2643" s="11">
        <v>0.76</v>
      </c>
      <c r="S2643" s="4" t="s">
        <v>49</v>
      </c>
      <c r="T2643" s="14"/>
      <c r="U2643" s="14"/>
      <c r="V2643" s="13"/>
      <c r="W2643" s="14"/>
      <c r="X2643" s="42"/>
      <c r="Y2643" s="14"/>
      <c r="Z2643" s="14"/>
      <c r="AA2643" s="14"/>
      <c r="AC2643" s="14"/>
      <c r="AD2643" s="14"/>
      <c r="AE2643" s="14"/>
      <c r="AF2643" s="20"/>
      <c r="AH2643" s="14"/>
      <c r="AI2643" s="14"/>
      <c r="AJ2643" s="14"/>
      <c r="AK2643" s="20"/>
      <c r="AM2643" s="14"/>
      <c r="AN2643" s="14"/>
      <c r="AO2643" s="14"/>
      <c r="AU2643" s="71" t="s">
        <v>53</v>
      </c>
    </row>
    <row r="2644" spans="1:47" s="12" customFormat="1" ht="21" customHeight="1" x14ac:dyDescent="0.3">
      <c r="A2644" s="42" t="s">
        <v>505</v>
      </c>
      <c r="B2644" s="42" t="s">
        <v>6661</v>
      </c>
      <c r="C2644" s="42">
        <v>70</v>
      </c>
      <c r="D2644" s="42">
        <v>717</v>
      </c>
      <c r="E2644" s="42"/>
      <c r="F2644" s="42" t="s">
        <v>6875</v>
      </c>
      <c r="G2644" s="42" t="str">
        <f t="shared" si="63"/>
        <v>70717268996682</v>
      </c>
      <c r="H2644" s="4" t="s">
        <v>6876</v>
      </c>
      <c r="I2644" s="45">
        <v>268996682</v>
      </c>
      <c r="J2644" s="4" t="s">
        <v>6877</v>
      </c>
      <c r="K2644" s="44" t="s">
        <v>230</v>
      </c>
      <c r="L2644" s="44" t="s">
        <v>45</v>
      </c>
      <c r="M2644" s="7" t="s">
        <v>45</v>
      </c>
      <c r="N2644" s="12" t="s">
        <v>46</v>
      </c>
      <c r="O2644" s="12" t="s">
        <v>47</v>
      </c>
      <c r="P2644" s="4" t="s">
        <v>80</v>
      </c>
      <c r="Q2644" s="69">
        <v>44902</v>
      </c>
      <c r="R2644" s="11">
        <v>0.85</v>
      </c>
      <c r="S2644" s="4" t="s">
        <v>49</v>
      </c>
      <c r="T2644" s="14"/>
      <c r="U2644" s="14"/>
      <c r="V2644" s="13"/>
      <c r="W2644" s="14"/>
      <c r="X2644" s="42"/>
      <c r="Y2644" s="14"/>
      <c r="Z2644" s="14"/>
      <c r="AA2644" s="14"/>
      <c r="AC2644" s="14"/>
      <c r="AD2644" s="14"/>
      <c r="AE2644" s="14"/>
      <c r="AF2644" s="20"/>
      <c r="AH2644" s="14"/>
      <c r="AI2644" s="14"/>
      <c r="AJ2644" s="14"/>
      <c r="AK2644" s="20"/>
      <c r="AM2644" s="14"/>
      <c r="AN2644" s="14"/>
      <c r="AO2644" s="14"/>
      <c r="AU2644" s="71" t="s">
        <v>53</v>
      </c>
    </row>
    <row r="2645" spans="1:47" s="12" customFormat="1" ht="21" customHeight="1" x14ac:dyDescent="0.3">
      <c r="A2645" s="42" t="s">
        <v>505</v>
      </c>
      <c r="B2645" s="42" t="s">
        <v>6661</v>
      </c>
      <c r="C2645" s="42">
        <v>70</v>
      </c>
      <c r="D2645" s="42">
        <v>717</v>
      </c>
      <c r="E2645" s="42"/>
      <c r="F2645" s="277" t="s">
        <v>6878</v>
      </c>
      <c r="G2645" s="42" t="str">
        <f t="shared" si="63"/>
        <v>7071788220127</v>
      </c>
      <c r="H2645" s="4" t="s">
        <v>6879</v>
      </c>
      <c r="I2645" s="45">
        <v>88220127</v>
      </c>
      <c r="J2645" s="4" t="s">
        <v>6880</v>
      </c>
      <c r="K2645" s="44" t="s">
        <v>230</v>
      </c>
      <c r="L2645" s="44">
        <v>3154138852</v>
      </c>
      <c r="M2645" s="7" t="s">
        <v>6881</v>
      </c>
      <c r="N2645" s="12" t="s">
        <v>46</v>
      </c>
      <c r="O2645" s="12" t="s">
        <v>47</v>
      </c>
      <c r="P2645" s="4" t="s">
        <v>80</v>
      </c>
      <c r="Q2645" s="70">
        <v>46148</v>
      </c>
      <c r="R2645" s="12">
        <v>85</v>
      </c>
      <c r="S2645" s="12" t="s">
        <v>49</v>
      </c>
      <c r="T2645" s="14"/>
      <c r="U2645" s="14" t="s">
        <v>60</v>
      </c>
      <c r="V2645" s="69">
        <v>45786</v>
      </c>
      <c r="W2645" s="11">
        <v>0.83</v>
      </c>
      <c r="X2645" s="4" t="s">
        <v>49</v>
      </c>
      <c r="Y2645" s="14"/>
      <c r="Z2645" s="14" t="s">
        <v>60</v>
      </c>
      <c r="AA2645" s="14"/>
      <c r="AC2645" s="20">
        <v>45512</v>
      </c>
      <c r="AD2645" s="21">
        <v>0.85</v>
      </c>
      <c r="AE2645" s="14" t="s">
        <v>49</v>
      </c>
      <c r="AF2645" s="20" t="s">
        <v>60</v>
      </c>
      <c r="AH2645" s="14"/>
      <c r="AI2645" s="14"/>
      <c r="AJ2645" s="14"/>
      <c r="AK2645" s="20"/>
      <c r="AM2645" s="14"/>
      <c r="AN2645" s="14"/>
      <c r="AO2645" s="14"/>
      <c r="AU2645" s="71" t="s">
        <v>53</v>
      </c>
    </row>
    <row r="2646" spans="1:47" s="12" customFormat="1" ht="21" customHeight="1" x14ac:dyDescent="0.3">
      <c r="A2646" s="42" t="s">
        <v>505</v>
      </c>
      <c r="B2646" s="42" t="s">
        <v>6661</v>
      </c>
      <c r="C2646" s="42">
        <v>70</v>
      </c>
      <c r="D2646" s="42">
        <v>717</v>
      </c>
      <c r="E2646" s="42"/>
      <c r="F2646" s="42" t="s">
        <v>6882</v>
      </c>
      <c r="G2646" s="42" t="str">
        <f t="shared" si="63"/>
        <v>70717764475332</v>
      </c>
      <c r="H2646" s="4" t="s">
        <v>6758</v>
      </c>
      <c r="I2646" s="45">
        <v>764475332</v>
      </c>
      <c r="J2646" s="4" t="s">
        <v>6883</v>
      </c>
      <c r="K2646" s="44" t="s">
        <v>230</v>
      </c>
      <c r="L2646" s="44" t="s">
        <v>45</v>
      </c>
      <c r="M2646" s="7" t="s">
        <v>45</v>
      </c>
      <c r="N2646" s="12" t="s">
        <v>46</v>
      </c>
      <c r="O2646" s="12" t="s">
        <v>47</v>
      </c>
      <c r="P2646" s="4" t="s">
        <v>80</v>
      </c>
      <c r="Q2646" s="69">
        <v>44363</v>
      </c>
      <c r="R2646" s="11">
        <v>0.78500000000000003</v>
      </c>
      <c r="S2646" s="4" t="s">
        <v>49</v>
      </c>
      <c r="T2646" s="14"/>
      <c r="U2646" s="14"/>
      <c r="V2646" s="13"/>
      <c r="W2646" s="14"/>
      <c r="X2646" s="42"/>
      <c r="Y2646" s="14"/>
      <c r="Z2646" s="14"/>
      <c r="AA2646" s="14"/>
      <c r="AC2646" s="14"/>
      <c r="AD2646" s="14"/>
      <c r="AE2646" s="14"/>
      <c r="AF2646" s="20"/>
      <c r="AH2646" s="14"/>
      <c r="AI2646" s="14"/>
      <c r="AJ2646" s="14"/>
      <c r="AK2646" s="20"/>
      <c r="AM2646" s="14"/>
      <c r="AN2646" s="14"/>
      <c r="AO2646" s="14"/>
      <c r="AU2646" s="71" t="s">
        <v>53</v>
      </c>
    </row>
    <row r="2647" spans="1:47" s="12" customFormat="1" ht="21" customHeight="1" x14ac:dyDescent="0.3">
      <c r="A2647" s="42" t="s">
        <v>505</v>
      </c>
      <c r="B2647" s="42" t="s">
        <v>6661</v>
      </c>
      <c r="C2647" s="42">
        <v>70</v>
      </c>
      <c r="D2647" s="42">
        <v>717</v>
      </c>
      <c r="E2647" s="42"/>
      <c r="F2647" s="42" t="s">
        <v>6884</v>
      </c>
      <c r="G2647" s="42" t="str">
        <f t="shared" si="63"/>
        <v>707171102873605</v>
      </c>
      <c r="H2647" s="4" t="s">
        <v>6885</v>
      </c>
      <c r="I2647" s="45">
        <v>1102873605</v>
      </c>
      <c r="J2647" s="4" t="s">
        <v>6886</v>
      </c>
      <c r="K2647" s="44" t="s">
        <v>230</v>
      </c>
      <c r="L2647" s="44" t="s">
        <v>45</v>
      </c>
      <c r="M2647" s="7" t="s">
        <v>45</v>
      </c>
      <c r="N2647" s="12" t="s">
        <v>46</v>
      </c>
      <c r="O2647" s="12" t="s">
        <v>47</v>
      </c>
      <c r="P2647" s="4" t="s">
        <v>80</v>
      </c>
      <c r="Q2647" s="69">
        <v>44447</v>
      </c>
      <c r="R2647" s="11">
        <v>0.86</v>
      </c>
      <c r="S2647" s="4" t="s">
        <v>49</v>
      </c>
      <c r="T2647" s="14"/>
      <c r="U2647" s="14"/>
      <c r="V2647" s="13"/>
      <c r="W2647" s="14"/>
      <c r="X2647" s="42"/>
      <c r="Y2647" s="14"/>
      <c r="Z2647" s="14"/>
      <c r="AA2647" s="14"/>
      <c r="AC2647" s="14"/>
      <c r="AD2647" s="14"/>
      <c r="AE2647" s="14"/>
      <c r="AF2647" s="20"/>
      <c r="AH2647" s="14"/>
      <c r="AI2647" s="14"/>
      <c r="AJ2647" s="14"/>
      <c r="AK2647" s="20"/>
      <c r="AM2647" s="14"/>
      <c r="AN2647" s="14"/>
      <c r="AO2647" s="14"/>
      <c r="AU2647" s="71" t="s">
        <v>53</v>
      </c>
    </row>
    <row r="2648" spans="1:47" s="12" customFormat="1" ht="21" customHeight="1" x14ac:dyDescent="0.3">
      <c r="A2648" s="42" t="s">
        <v>505</v>
      </c>
      <c r="B2648" s="42" t="s">
        <v>6661</v>
      </c>
      <c r="C2648" s="42">
        <v>70</v>
      </c>
      <c r="D2648" s="42">
        <v>717</v>
      </c>
      <c r="E2648" s="42"/>
      <c r="F2648" s="42" t="s">
        <v>6887</v>
      </c>
      <c r="G2648" s="42" t="str">
        <f t="shared" si="63"/>
        <v>7071764745783</v>
      </c>
      <c r="H2648" s="4" t="s">
        <v>6888</v>
      </c>
      <c r="I2648" s="45">
        <v>64745783</v>
      </c>
      <c r="J2648" s="4" t="s">
        <v>6889</v>
      </c>
      <c r="K2648" s="44" t="s">
        <v>230</v>
      </c>
      <c r="L2648" s="44" t="s">
        <v>45</v>
      </c>
      <c r="M2648" s="7" t="s">
        <v>45</v>
      </c>
      <c r="N2648" s="12" t="s">
        <v>46</v>
      </c>
      <c r="O2648" s="12" t="s">
        <v>47</v>
      </c>
      <c r="P2648" s="4" t="s">
        <v>80</v>
      </c>
      <c r="Q2648" s="69">
        <v>44824</v>
      </c>
      <c r="R2648" s="11">
        <v>0.81</v>
      </c>
      <c r="S2648" s="4" t="s">
        <v>49</v>
      </c>
      <c r="T2648" s="14"/>
      <c r="U2648" s="14"/>
      <c r="V2648" s="13"/>
      <c r="W2648" s="14"/>
      <c r="X2648" s="42"/>
      <c r="Y2648" s="14"/>
      <c r="Z2648" s="14"/>
      <c r="AA2648" s="14"/>
      <c r="AC2648" s="14"/>
      <c r="AD2648" s="14"/>
      <c r="AE2648" s="14"/>
      <c r="AF2648" s="20"/>
      <c r="AH2648" s="14"/>
      <c r="AI2648" s="14"/>
      <c r="AJ2648" s="14"/>
      <c r="AK2648" s="20"/>
      <c r="AM2648" s="14"/>
      <c r="AN2648" s="14"/>
      <c r="AO2648" s="14"/>
      <c r="AU2648" s="71" t="s">
        <v>53</v>
      </c>
    </row>
    <row r="2649" spans="1:47" s="12" customFormat="1" ht="21" hidden="1" customHeight="1" x14ac:dyDescent="0.3">
      <c r="A2649" s="42" t="s">
        <v>505</v>
      </c>
      <c r="B2649" s="42" t="s">
        <v>6661</v>
      </c>
      <c r="C2649" s="42">
        <v>70</v>
      </c>
      <c r="D2649" s="42">
        <v>717</v>
      </c>
      <c r="E2649" s="42"/>
      <c r="F2649" s="42" t="s">
        <v>6890</v>
      </c>
      <c r="G2649" s="42" t="str">
        <f t="shared" si="63"/>
        <v>707171104011172</v>
      </c>
      <c r="H2649" s="4" t="s">
        <v>6891</v>
      </c>
      <c r="I2649" s="45">
        <v>1104011172</v>
      </c>
      <c r="J2649" s="4" t="s">
        <v>6892</v>
      </c>
      <c r="K2649" s="44" t="s">
        <v>230</v>
      </c>
      <c r="L2649" s="44">
        <v>3143256545</v>
      </c>
      <c r="M2649" s="7" t="s">
        <v>45</v>
      </c>
      <c r="N2649" s="12" t="s">
        <v>432</v>
      </c>
      <c r="O2649" s="12" t="s">
        <v>432</v>
      </c>
      <c r="P2649" s="4" t="s">
        <v>261</v>
      </c>
      <c r="Q2649" s="69">
        <v>45508</v>
      </c>
      <c r="R2649" s="11">
        <v>0.95</v>
      </c>
      <c r="S2649" s="4" t="s">
        <v>210</v>
      </c>
      <c r="T2649" s="14"/>
      <c r="U2649" s="14"/>
      <c r="V2649" s="13"/>
      <c r="W2649" s="14"/>
      <c r="X2649" s="42"/>
      <c r="Y2649" s="14"/>
      <c r="Z2649" s="14"/>
      <c r="AA2649" s="14"/>
      <c r="AC2649" s="14"/>
      <c r="AD2649" s="14"/>
      <c r="AE2649" s="14"/>
      <c r="AF2649" s="20"/>
      <c r="AH2649" s="14"/>
      <c r="AI2649" s="14"/>
      <c r="AJ2649" s="14"/>
      <c r="AK2649" s="20"/>
      <c r="AM2649" s="14"/>
      <c r="AN2649" s="14"/>
      <c r="AO2649" s="14"/>
      <c r="AU2649" s="71" t="s">
        <v>53</v>
      </c>
    </row>
    <row r="2650" spans="1:47" s="12" customFormat="1" ht="21" hidden="1" customHeight="1" x14ac:dyDescent="0.3">
      <c r="A2650" s="42" t="s">
        <v>505</v>
      </c>
      <c r="B2650" s="42" t="s">
        <v>6661</v>
      </c>
      <c r="C2650" s="42">
        <v>70</v>
      </c>
      <c r="D2650" s="42">
        <v>717</v>
      </c>
      <c r="E2650" s="14"/>
      <c r="F2650" s="42" t="s">
        <v>6893</v>
      </c>
      <c r="G2650" s="42" t="str">
        <f t="shared" si="63"/>
        <v>70717900411402</v>
      </c>
      <c r="H2650" s="4" t="s">
        <v>6894</v>
      </c>
      <c r="I2650" s="45">
        <v>900411402</v>
      </c>
      <c r="J2650" s="4" t="s">
        <v>6895</v>
      </c>
      <c r="K2650" s="44" t="s">
        <v>230</v>
      </c>
      <c r="L2650" s="44" t="s">
        <v>45</v>
      </c>
      <c r="M2650" s="7" t="s">
        <v>45</v>
      </c>
      <c r="N2650" s="12" t="s">
        <v>259</v>
      </c>
      <c r="O2650" s="12" t="s">
        <v>260</v>
      </c>
      <c r="P2650" s="4" t="s">
        <v>261</v>
      </c>
      <c r="Q2650" s="69">
        <v>44147</v>
      </c>
      <c r="R2650" s="11">
        <v>0.83</v>
      </c>
      <c r="S2650" s="4" t="s">
        <v>49</v>
      </c>
      <c r="T2650" s="14"/>
      <c r="U2650" s="14"/>
      <c r="V2650" s="13"/>
      <c r="W2650" s="14"/>
      <c r="X2650" s="42"/>
      <c r="Y2650" s="14"/>
      <c r="Z2650" s="14"/>
      <c r="AA2650" s="14"/>
      <c r="AC2650" s="14"/>
      <c r="AD2650" s="14"/>
      <c r="AE2650" s="14"/>
      <c r="AF2650" s="20"/>
      <c r="AH2650" s="14"/>
      <c r="AI2650" s="14"/>
      <c r="AJ2650" s="14"/>
      <c r="AK2650" s="20"/>
      <c r="AM2650" s="14"/>
      <c r="AN2650" s="14"/>
      <c r="AO2650" s="14"/>
      <c r="AU2650" s="71" t="s">
        <v>53</v>
      </c>
    </row>
    <row r="2651" spans="1:47" s="12" customFormat="1" ht="21" hidden="1" customHeight="1" x14ac:dyDescent="0.3">
      <c r="A2651" s="42" t="s">
        <v>505</v>
      </c>
      <c r="B2651" s="42" t="s">
        <v>6661</v>
      </c>
      <c r="C2651" s="42">
        <v>70</v>
      </c>
      <c r="D2651" s="42">
        <v>717</v>
      </c>
      <c r="E2651" s="42"/>
      <c r="F2651" s="42" t="s">
        <v>6896</v>
      </c>
      <c r="G2651" s="42" t="str">
        <f t="shared" si="63"/>
        <v>7071792189084</v>
      </c>
      <c r="H2651" s="4" t="s">
        <v>6897</v>
      </c>
      <c r="I2651" s="45">
        <v>92189084</v>
      </c>
      <c r="J2651" s="4" t="s">
        <v>6898</v>
      </c>
      <c r="K2651" s="44" t="s">
        <v>230</v>
      </c>
      <c r="L2651" s="44">
        <v>3117428732</v>
      </c>
      <c r="M2651" s="7" t="s">
        <v>45</v>
      </c>
      <c r="N2651" s="12" t="s">
        <v>259</v>
      </c>
      <c r="O2651" s="12" t="s">
        <v>260</v>
      </c>
      <c r="P2651" s="4" t="s">
        <v>261</v>
      </c>
      <c r="Q2651" s="69">
        <v>45590</v>
      </c>
      <c r="R2651" s="11">
        <v>0.80249999999999999</v>
      </c>
      <c r="S2651" s="4" t="s">
        <v>49</v>
      </c>
      <c r="T2651" s="14"/>
      <c r="U2651" s="14"/>
      <c r="V2651" s="13"/>
      <c r="W2651" s="14"/>
      <c r="X2651" s="42"/>
      <c r="Y2651" s="14"/>
      <c r="Z2651" s="14"/>
      <c r="AA2651" s="14"/>
      <c r="AC2651" s="14"/>
      <c r="AD2651" s="14"/>
      <c r="AE2651" s="14"/>
      <c r="AF2651" s="20"/>
      <c r="AH2651" s="14"/>
      <c r="AI2651" s="14"/>
      <c r="AJ2651" s="14"/>
      <c r="AK2651" s="20"/>
      <c r="AM2651" s="14"/>
      <c r="AN2651" s="14"/>
      <c r="AO2651" s="14"/>
      <c r="AU2651" s="71" t="s">
        <v>53</v>
      </c>
    </row>
    <row r="2652" spans="1:47" s="12" customFormat="1" ht="21" hidden="1" customHeight="1" x14ac:dyDescent="0.3">
      <c r="A2652" s="42" t="s">
        <v>505</v>
      </c>
      <c r="B2652" s="42" t="s">
        <v>6661</v>
      </c>
      <c r="C2652" s="42">
        <v>70</v>
      </c>
      <c r="D2652" s="42">
        <v>717</v>
      </c>
      <c r="E2652" s="42"/>
      <c r="F2652" s="42" t="s">
        <v>6899</v>
      </c>
      <c r="G2652" s="42" t="str">
        <f t="shared" si="63"/>
        <v>7071770697877</v>
      </c>
      <c r="H2652" s="4" t="s">
        <v>6900</v>
      </c>
      <c r="I2652" s="45">
        <v>70697877</v>
      </c>
      <c r="J2652" s="4" t="s">
        <v>6901</v>
      </c>
      <c r="K2652" s="44" t="s">
        <v>230</v>
      </c>
      <c r="L2652" s="44" t="s">
        <v>45</v>
      </c>
      <c r="M2652" s="7" t="s">
        <v>45</v>
      </c>
      <c r="N2652" s="12" t="s">
        <v>259</v>
      </c>
      <c r="O2652" s="12" t="s">
        <v>260</v>
      </c>
      <c r="P2652" s="4" t="s">
        <v>261</v>
      </c>
      <c r="Q2652" s="69">
        <v>45252</v>
      </c>
      <c r="R2652" s="11">
        <v>0.90500000000000003</v>
      </c>
      <c r="S2652" s="4" t="s">
        <v>210</v>
      </c>
      <c r="T2652" s="14"/>
      <c r="U2652" s="14"/>
      <c r="V2652" s="13"/>
      <c r="W2652" s="14"/>
      <c r="X2652" s="42"/>
      <c r="Y2652" s="14"/>
      <c r="Z2652" s="14"/>
      <c r="AA2652" s="14"/>
      <c r="AC2652" s="14"/>
      <c r="AD2652" s="14"/>
      <c r="AE2652" s="14"/>
      <c r="AF2652" s="20"/>
      <c r="AH2652" s="14"/>
      <c r="AI2652" s="14"/>
      <c r="AJ2652" s="14"/>
      <c r="AK2652" s="20"/>
      <c r="AM2652" s="14"/>
      <c r="AN2652" s="14"/>
      <c r="AO2652" s="14"/>
      <c r="AU2652" s="71" t="s">
        <v>53</v>
      </c>
    </row>
    <row r="2653" spans="1:47" s="12" customFormat="1" ht="21" hidden="1" customHeight="1" x14ac:dyDescent="0.3">
      <c r="A2653" s="42" t="s">
        <v>505</v>
      </c>
      <c r="B2653" s="42" t="s">
        <v>6661</v>
      </c>
      <c r="C2653" s="42">
        <v>70</v>
      </c>
      <c r="D2653" s="42">
        <v>717</v>
      </c>
      <c r="E2653" s="42"/>
      <c r="F2653" s="42" t="s">
        <v>6902</v>
      </c>
      <c r="G2653" s="42" t="str">
        <f t="shared" si="63"/>
        <v>70717900480569</v>
      </c>
      <c r="H2653" s="4" t="s">
        <v>1429</v>
      </c>
      <c r="I2653" s="45">
        <v>900480569</v>
      </c>
      <c r="J2653" s="4" t="s">
        <v>6903</v>
      </c>
      <c r="K2653" s="44" t="s">
        <v>230</v>
      </c>
      <c r="L2653" s="44">
        <v>3222486496</v>
      </c>
      <c r="M2653" s="7" t="s">
        <v>6904</v>
      </c>
      <c r="N2653" s="42" t="s">
        <v>1757</v>
      </c>
      <c r="O2653" s="14" t="s">
        <v>1758</v>
      </c>
      <c r="P2653" s="4" t="s">
        <v>48</v>
      </c>
      <c r="Q2653" s="69">
        <v>45497</v>
      </c>
      <c r="R2653" s="11">
        <v>0.92</v>
      </c>
      <c r="S2653" s="4" t="s">
        <v>210</v>
      </c>
      <c r="T2653" s="14"/>
      <c r="U2653" s="14"/>
      <c r="V2653" s="13">
        <v>44873</v>
      </c>
      <c r="W2653" s="14">
        <v>0.96</v>
      </c>
      <c r="X2653" s="42" t="s">
        <v>319</v>
      </c>
      <c r="Y2653" s="14"/>
      <c r="Z2653" s="14"/>
      <c r="AA2653" s="14"/>
      <c r="AC2653" s="14"/>
      <c r="AD2653" s="14"/>
      <c r="AE2653" s="14"/>
      <c r="AF2653" s="20"/>
      <c r="AH2653" s="14"/>
      <c r="AI2653" s="14"/>
      <c r="AJ2653" s="14"/>
      <c r="AK2653" s="20"/>
      <c r="AM2653" s="14"/>
      <c r="AN2653" s="14"/>
      <c r="AO2653" s="14"/>
      <c r="AU2653" s="71" t="s">
        <v>53</v>
      </c>
    </row>
    <row r="2654" spans="1:47" s="12" customFormat="1" ht="21" hidden="1" customHeight="1" x14ac:dyDescent="0.3">
      <c r="A2654" s="42" t="s">
        <v>505</v>
      </c>
      <c r="B2654" s="42" t="s">
        <v>6661</v>
      </c>
      <c r="C2654" s="42">
        <v>70</v>
      </c>
      <c r="D2654" s="42">
        <v>717</v>
      </c>
      <c r="E2654" s="42"/>
      <c r="F2654" s="42" t="s">
        <v>6905</v>
      </c>
      <c r="G2654" s="42" t="str">
        <f t="shared" si="63"/>
        <v>7071792189705</v>
      </c>
      <c r="H2654" s="4" t="s">
        <v>6906</v>
      </c>
      <c r="I2654" s="45">
        <v>92189705</v>
      </c>
      <c r="J2654" s="4" t="s">
        <v>6907</v>
      </c>
      <c r="K2654" s="44" t="s">
        <v>230</v>
      </c>
      <c r="L2654" s="44" t="s">
        <v>45</v>
      </c>
      <c r="M2654" s="7" t="s">
        <v>45</v>
      </c>
      <c r="N2654" s="12" t="s">
        <v>259</v>
      </c>
      <c r="O2654" s="12" t="s">
        <v>260</v>
      </c>
      <c r="P2654" s="4" t="s">
        <v>261</v>
      </c>
      <c r="Q2654" s="69">
        <v>44699</v>
      </c>
      <c r="R2654" s="11">
        <v>0.89249999999999996</v>
      </c>
      <c r="S2654" s="4" t="s">
        <v>49</v>
      </c>
      <c r="T2654" s="14"/>
      <c r="U2654" s="14"/>
      <c r="V2654" s="13"/>
      <c r="W2654" s="14"/>
      <c r="X2654" s="42"/>
      <c r="Y2654" s="14"/>
      <c r="Z2654" s="14"/>
      <c r="AA2654" s="14"/>
      <c r="AC2654" s="14"/>
      <c r="AD2654" s="14"/>
      <c r="AE2654" s="14"/>
      <c r="AF2654" s="20"/>
      <c r="AH2654" s="14"/>
      <c r="AI2654" s="14"/>
      <c r="AJ2654" s="14"/>
      <c r="AK2654" s="20"/>
      <c r="AM2654" s="14"/>
      <c r="AN2654" s="14"/>
      <c r="AO2654" s="14"/>
      <c r="AU2654" s="71" t="s">
        <v>53</v>
      </c>
    </row>
    <row r="2655" spans="1:47" s="12" customFormat="1" ht="21" hidden="1" customHeight="1" x14ac:dyDescent="0.3">
      <c r="A2655" s="42" t="s">
        <v>505</v>
      </c>
      <c r="B2655" s="42" t="s">
        <v>6661</v>
      </c>
      <c r="C2655" s="42">
        <v>70</v>
      </c>
      <c r="D2655" s="42">
        <v>717</v>
      </c>
      <c r="E2655" s="42"/>
      <c r="F2655" s="42" t="s">
        <v>6908</v>
      </c>
      <c r="G2655" s="42" t="str">
        <f t="shared" si="63"/>
        <v>7071764478178</v>
      </c>
      <c r="H2655" s="4" t="s">
        <v>6909</v>
      </c>
      <c r="I2655" s="45">
        <v>64478178</v>
      </c>
      <c r="J2655" s="4" t="s">
        <v>6629</v>
      </c>
      <c r="K2655" s="44" t="s">
        <v>230</v>
      </c>
      <c r="L2655" s="44" t="s">
        <v>45</v>
      </c>
      <c r="M2655" s="7" t="s">
        <v>45</v>
      </c>
      <c r="N2655" s="12" t="s">
        <v>259</v>
      </c>
      <c r="O2655" s="12" t="s">
        <v>260</v>
      </c>
      <c r="P2655" s="4" t="s">
        <v>261</v>
      </c>
      <c r="Q2655" s="69">
        <v>44391</v>
      </c>
      <c r="R2655" s="11">
        <v>0.85</v>
      </c>
      <c r="S2655" s="4" t="s">
        <v>49</v>
      </c>
      <c r="T2655" s="14"/>
      <c r="U2655" s="14"/>
      <c r="V2655" s="13"/>
      <c r="W2655" s="14"/>
      <c r="X2655" s="42"/>
      <c r="Y2655" s="14"/>
      <c r="Z2655" s="14"/>
      <c r="AA2655" s="14"/>
      <c r="AC2655" s="14"/>
      <c r="AD2655" s="14"/>
      <c r="AE2655" s="14"/>
      <c r="AF2655" s="20"/>
      <c r="AH2655" s="14"/>
      <c r="AI2655" s="14"/>
      <c r="AJ2655" s="14"/>
      <c r="AK2655" s="20"/>
      <c r="AM2655" s="14"/>
      <c r="AN2655" s="14"/>
      <c r="AO2655" s="14"/>
      <c r="AU2655" s="71" t="s">
        <v>53</v>
      </c>
    </row>
    <row r="2656" spans="1:47" s="12" customFormat="1" ht="21" hidden="1" customHeight="1" x14ac:dyDescent="0.3">
      <c r="A2656" s="42" t="s">
        <v>505</v>
      </c>
      <c r="B2656" s="42" t="s">
        <v>6661</v>
      </c>
      <c r="C2656" s="42">
        <v>70</v>
      </c>
      <c r="D2656" s="42">
        <v>717</v>
      </c>
      <c r="E2656" s="42"/>
      <c r="F2656" s="42" t="s">
        <v>6911</v>
      </c>
      <c r="G2656" s="42" t="str">
        <f t="shared" si="63"/>
        <v>707178394049</v>
      </c>
      <c r="H2656" s="4" t="s">
        <v>6912</v>
      </c>
      <c r="I2656" s="45">
        <v>8394049</v>
      </c>
      <c r="J2656" s="4" t="s">
        <v>6913</v>
      </c>
      <c r="K2656" s="44" t="s">
        <v>230</v>
      </c>
      <c r="L2656" s="44" t="s">
        <v>45</v>
      </c>
      <c r="M2656" s="7" t="s">
        <v>45</v>
      </c>
      <c r="N2656" s="12" t="s">
        <v>259</v>
      </c>
      <c r="O2656" s="12" t="s">
        <v>260</v>
      </c>
      <c r="P2656" s="4" t="s">
        <v>261</v>
      </c>
      <c r="Q2656" s="69">
        <v>44364</v>
      </c>
      <c r="R2656" s="11">
        <v>0.85</v>
      </c>
      <c r="S2656" s="4" t="s">
        <v>49</v>
      </c>
      <c r="T2656" s="14"/>
      <c r="U2656" s="14"/>
      <c r="V2656" s="13"/>
      <c r="W2656" s="14"/>
      <c r="X2656" s="42"/>
      <c r="Y2656" s="14"/>
      <c r="Z2656" s="14"/>
      <c r="AA2656" s="14"/>
      <c r="AC2656" s="14"/>
      <c r="AD2656" s="14"/>
      <c r="AE2656" s="14"/>
      <c r="AF2656" s="20"/>
      <c r="AH2656" s="14"/>
      <c r="AI2656" s="14"/>
      <c r="AJ2656" s="14"/>
      <c r="AK2656" s="20"/>
      <c r="AM2656" s="14"/>
      <c r="AN2656" s="14"/>
      <c r="AO2656" s="14"/>
      <c r="AU2656" s="71" t="s">
        <v>53</v>
      </c>
    </row>
    <row r="2657" spans="1:47" s="12" customFormat="1" ht="21" hidden="1" customHeight="1" x14ac:dyDescent="0.3">
      <c r="A2657" s="42" t="s">
        <v>505</v>
      </c>
      <c r="B2657" s="42" t="s">
        <v>6661</v>
      </c>
      <c r="C2657" s="42">
        <v>70</v>
      </c>
      <c r="D2657" s="42">
        <v>717</v>
      </c>
      <c r="E2657" s="42"/>
      <c r="F2657" s="42" t="s">
        <v>6914</v>
      </c>
      <c r="G2657" s="42" t="str">
        <f t="shared" si="63"/>
        <v>7071792191942</v>
      </c>
      <c r="H2657" s="4" t="s">
        <v>6915</v>
      </c>
      <c r="I2657" s="45">
        <v>92191942</v>
      </c>
      <c r="J2657" s="4" t="s">
        <v>6916</v>
      </c>
      <c r="K2657" s="44" t="s">
        <v>230</v>
      </c>
      <c r="L2657" s="44" t="s">
        <v>45</v>
      </c>
      <c r="M2657" s="7" t="s">
        <v>45</v>
      </c>
      <c r="N2657" s="12" t="s">
        <v>259</v>
      </c>
      <c r="O2657" s="12" t="s">
        <v>260</v>
      </c>
      <c r="P2657" s="4" t="s">
        <v>261</v>
      </c>
      <c r="Q2657" s="69">
        <v>44496</v>
      </c>
      <c r="R2657" s="11">
        <v>0.8175</v>
      </c>
      <c r="S2657" s="4" t="s">
        <v>49</v>
      </c>
      <c r="T2657" s="14"/>
      <c r="U2657" s="14"/>
      <c r="V2657" s="13"/>
      <c r="W2657" s="14"/>
      <c r="X2657" s="42"/>
      <c r="Y2657" s="14"/>
      <c r="Z2657" s="14"/>
      <c r="AA2657" s="14"/>
      <c r="AC2657" s="14"/>
      <c r="AD2657" s="14"/>
      <c r="AE2657" s="14"/>
      <c r="AF2657" s="20"/>
      <c r="AH2657" s="14"/>
      <c r="AI2657" s="14"/>
      <c r="AJ2657" s="14"/>
      <c r="AK2657" s="20"/>
      <c r="AM2657" s="14"/>
      <c r="AN2657" s="14"/>
      <c r="AO2657" s="14"/>
      <c r="AU2657" s="71" t="s">
        <v>53</v>
      </c>
    </row>
    <row r="2658" spans="1:47" s="12" customFormat="1" ht="21" hidden="1" customHeight="1" x14ac:dyDescent="0.3">
      <c r="A2658" s="42" t="s">
        <v>505</v>
      </c>
      <c r="B2658" s="42" t="s">
        <v>6661</v>
      </c>
      <c r="C2658" s="42">
        <v>70</v>
      </c>
      <c r="D2658" s="42">
        <v>717</v>
      </c>
      <c r="E2658" s="42"/>
      <c r="F2658" s="42" t="s">
        <v>6917</v>
      </c>
      <c r="G2658" s="42" t="str">
        <f t="shared" si="63"/>
        <v>7071770697877</v>
      </c>
      <c r="H2658" s="4" t="s">
        <v>6782</v>
      </c>
      <c r="I2658" s="45">
        <v>70697877</v>
      </c>
      <c r="J2658" s="4" t="s">
        <v>6918</v>
      </c>
      <c r="K2658" s="44" t="s">
        <v>230</v>
      </c>
      <c r="L2658" s="44" t="s">
        <v>45</v>
      </c>
      <c r="M2658" s="7" t="s">
        <v>45</v>
      </c>
      <c r="N2658" s="12" t="s">
        <v>259</v>
      </c>
      <c r="O2658" s="12" t="s">
        <v>260</v>
      </c>
      <c r="P2658" s="4" t="s">
        <v>261</v>
      </c>
      <c r="Q2658" s="69">
        <v>44448</v>
      </c>
      <c r="R2658" s="11">
        <v>0.82</v>
      </c>
      <c r="S2658" s="4" t="s">
        <v>49</v>
      </c>
      <c r="T2658" s="14"/>
      <c r="U2658" s="14"/>
      <c r="V2658" s="13"/>
      <c r="W2658" s="14"/>
      <c r="X2658" s="42"/>
      <c r="Y2658" s="14"/>
      <c r="Z2658" s="14"/>
      <c r="AA2658" s="14"/>
      <c r="AC2658" s="14"/>
      <c r="AD2658" s="14"/>
      <c r="AE2658" s="14"/>
      <c r="AF2658" s="20"/>
      <c r="AH2658" s="14"/>
      <c r="AI2658" s="14"/>
      <c r="AJ2658" s="14"/>
      <c r="AK2658" s="20"/>
      <c r="AM2658" s="14"/>
      <c r="AN2658" s="14"/>
      <c r="AO2658" s="14"/>
      <c r="AU2658" s="71" t="s">
        <v>53</v>
      </c>
    </row>
    <row r="2659" spans="1:47" s="12" customFormat="1" ht="21" hidden="1" customHeight="1" x14ac:dyDescent="0.3">
      <c r="A2659" s="42" t="s">
        <v>505</v>
      </c>
      <c r="B2659" s="42" t="s">
        <v>6661</v>
      </c>
      <c r="C2659" s="42">
        <v>70</v>
      </c>
      <c r="D2659" s="42">
        <v>717</v>
      </c>
      <c r="E2659" s="42"/>
      <c r="F2659" s="42" t="s">
        <v>6919</v>
      </c>
      <c r="G2659" s="42" t="str">
        <f t="shared" si="63"/>
        <v>707171045021263</v>
      </c>
      <c r="H2659" s="4" t="s">
        <v>6920</v>
      </c>
      <c r="I2659" s="45">
        <v>1045021263</v>
      </c>
      <c r="J2659" s="4" t="s">
        <v>6921</v>
      </c>
      <c r="K2659" s="44" t="s">
        <v>230</v>
      </c>
      <c r="L2659" s="44" t="s">
        <v>45</v>
      </c>
      <c r="M2659" s="7" t="s">
        <v>45</v>
      </c>
      <c r="N2659" s="12" t="s">
        <v>259</v>
      </c>
      <c r="O2659" s="12" t="s">
        <v>260</v>
      </c>
      <c r="P2659" s="4" t="s">
        <v>261</v>
      </c>
      <c r="Q2659" s="69">
        <v>44154</v>
      </c>
      <c r="R2659" s="11">
        <v>0.79</v>
      </c>
      <c r="S2659" s="4" t="s">
        <v>49</v>
      </c>
      <c r="T2659" s="14"/>
      <c r="U2659" s="14"/>
      <c r="V2659" s="13"/>
      <c r="W2659" s="14"/>
      <c r="X2659" s="42"/>
      <c r="Y2659" s="14"/>
      <c r="Z2659" s="14"/>
      <c r="AA2659" s="14"/>
      <c r="AC2659" s="14"/>
      <c r="AD2659" s="14"/>
      <c r="AE2659" s="14"/>
      <c r="AF2659" s="20"/>
      <c r="AH2659" s="14"/>
      <c r="AI2659" s="14"/>
      <c r="AJ2659" s="14"/>
      <c r="AK2659" s="20"/>
      <c r="AM2659" s="14"/>
      <c r="AN2659" s="14"/>
      <c r="AO2659" s="14"/>
      <c r="AU2659" s="71" t="s">
        <v>53</v>
      </c>
    </row>
    <row r="2660" spans="1:47" s="12" customFormat="1" ht="21" hidden="1" customHeight="1" x14ac:dyDescent="0.3">
      <c r="A2660" s="42" t="s">
        <v>505</v>
      </c>
      <c r="B2660" s="42" t="s">
        <v>6661</v>
      </c>
      <c r="C2660" s="42">
        <v>70</v>
      </c>
      <c r="D2660" s="42">
        <v>717</v>
      </c>
      <c r="E2660" s="42"/>
      <c r="F2660" s="42" t="s">
        <v>6922</v>
      </c>
      <c r="G2660" s="42" t="str">
        <f t="shared" si="63"/>
        <v>70717518917732</v>
      </c>
      <c r="H2660" s="4" t="s">
        <v>6923</v>
      </c>
      <c r="I2660" s="45">
        <v>518917732</v>
      </c>
      <c r="J2660" s="4" t="s">
        <v>6924</v>
      </c>
      <c r="K2660" s="44" t="s">
        <v>230</v>
      </c>
      <c r="L2660" s="44" t="s">
        <v>45</v>
      </c>
      <c r="M2660" s="7" t="s">
        <v>45</v>
      </c>
      <c r="N2660" s="12" t="s">
        <v>259</v>
      </c>
      <c r="O2660" s="12" t="s">
        <v>260</v>
      </c>
      <c r="P2660" s="4" t="s">
        <v>261</v>
      </c>
      <c r="Q2660" s="69">
        <v>44497</v>
      </c>
      <c r="R2660" s="11">
        <v>0.85</v>
      </c>
      <c r="S2660" s="4" t="s">
        <v>49</v>
      </c>
      <c r="T2660" s="14"/>
      <c r="U2660" s="14"/>
      <c r="V2660" s="13"/>
      <c r="W2660" s="14"/>
      <c r="X2660" s="42"/>
      <c r="Y2660" s="14"/>
      <c r="Z2660" s="14"/>
      <c r="AA2660" s="14"/>
      <c r="AC2660" s="14"/>
      <c r="AD2660" s="14"/>
      <c r="AE2660" s="14"/>
      <c r="AF2660" s="20"/>
      <c r="AH2660" s="14"/>
      <c r="AI2660" s="14"/>
      <c r="AJ2660" s="14"/>
      <c r="AK2660" s="20"/>
      <c r="AM2660" s="14"/>
      <c r="AN2660" s="14"/>
      <c r="AO2660" s="14"/>
      <c r="AU2660" s="71" t="s">
        <v>53</v>
      </c>
    </row>
    <row r="2661" spans="1:47" s="12" customFormat="1" ht="21" hidden="1" customHeight="1" x14ac:dyDescent="0.3">
      <c r="A2661" s="42" t="s">
        <v>505</v>
      </c>
      <c r="B2661" s="42" t="s">
        <v>6661</v>
      </c>
      <c r="C2661" s="42">
        <v>70</v>
      </c>
      <c r="D2661" s="42">
        <v>717</v>
      </c>
      <c r="E2661" s="42"/>
      <c r="F2661" s="42" t="s">
        <v>6925</v>
      </c>
      <c r="G2661" s="42" t="str">
        <f t="shared" si="63"/>
        <v>707171104016099</v>
      </c>
      <c r="H2661" s="4" t="s">
        <v>6926</v>
      </c>
      <c r="I2661" s="45">
        <v>1104016099</v>
      </c>
      <c r="J2661" s="4" t="s">
        <v>6927</v>
      </c>
      <c r="K2661" s="44" t="s">
        <v>230</v>
      </c>
      <c r="L2661" s="44">
        <v>3106122054</v>
      </c>
      <c r="M2661" s="7" t="s">
        <v>45</v>
      </c>
      <c r="N2661" s="12" t="s">
        <v>259</v>
      </c>
      <c r="O2661" s="12" t="s">
        <v>260</v>
      </c>
      <c r="P2661" s="4" t="s">
        <v>261</v>
      </c>
      <c r="Q2661" s="69">
        <v>45630</v>
      </c>
      <c r="R2661" s="11">
        <v>0.82499999999999996</v>
      </c>
      <c r="S2661" s="4" t="s">
        <v>49</v>
      </c>
      <c r="T2661" s="14"/>
      <c r="U2661" s="14"/>
      <c r="V2661" s="13"/>
      <c r="W2661" s="14"/>
      <c r="X2661" s="42"/>
      <c r="Y2661" s="14"/>
      <c r="Z2661" s="14"/>
      <c r="AA2661" s="14"/>
      <c r="AC2661" s="14"/>
      <c r="AD2661" s="14"/>
      <c r="AE2661" s="14"/>
      <c r="AF2661" s="20"/>
      <c r="AH2661" s="14"/>
      <c r="AI2661" s="14"/>
      <c r="AJ2661" s="14"/>
      <c r="AK2661" s="20"/>
      <c r="AM2661" s="14"/>
      <c r="AN2661" s="14"/>
      <c r="AO2661" s="14"/>
      <c r="AU2661" s="71" t="s">
        <v>53</v>
      </c>
    </row>
    <row r="2662" spans="1:47" s="12" customFormat="1" ht="21" hidden="1" customHeight="1" x14ac:dyDescent="0.3">
      <c r="A2662" s="42" t="s">
        <v>505</v>
      </c>
      <c r="B2662" s="42" t="s">
        <v>6661</v>
      </c>
      <c r="C2662" s="42">
        <v>70</v>
      </c>
      <c r="D2662" s="42">
        <v>717</v>
      </c>
      <c r="E2662" s="42"/>
      <c r="F2662" s="42" t="s">
        <v>6928</v>
      </c>
      <c r="G2662" s="42" t="str">
        <f t="shared" si="63"/>
        <v>707176813798</v>
      </c>
      <c r="H2662" s="4" t="s">
        <v>6929</v>
      </c>
      <c r="I2662" s="45">
        <v>6813798</v>
      </c>
      <c r="J2662" s="4" t="s">
        <v>6930</v>
      </c>
      <c r="K2662" s="44" t="s">
        <v>230</v>
      </c>
      <c r="L2662" s="44" t="s">
        <v>45</v>
      </c>
      <c r="M2662" s="7" t="s">
        <v>45</v>
      </c>
      <c r="N2662" s="12" t="s">
        <v>259</v>
      </c>
      <c r="O2662" s="12" t="s">
        <v>260</v>
      </c>
      <c r="P2662" s="4" t="s">
        <v>261</v>
      </c>
      <c r="Q2662" s="69">
        <v>44495</v>
      </c>
      <c r="R2662" s="11">
        <v>0.85</v>
      </c>
      <c r="S2662" s="4" t="s">
        <v>49</v>
      </c>
      <c r="T2662" s="14"/>
      <c r="U2662" s="14"/>
      <c r="V2662" s="13"/>
      <c r="W2662" s="14"/>
      <c r="X2662" s="42"/>
      <c r="Y2662" s="14"/>
      <c r="Z2662" s="14"/>
      <c r="AA2662" s="14"/>
      <c r="AC2662" s="14"/>
      <c r="AD2662" s="14"/>
      <c r="AE2662" s="14"/>
      <c r="AF2662" s="20"/>
      <c r="AH2662" s="14"/>
      <c r="AI2662" s="14"/>
      <c r="AJ2662" s="14"/>
      <c r="AK2662" s="20"/>
      <c r="AM2662" s="14"/>
      <c r="AN2662" s="14"/>
      <c r="AO2662" s="14"/>
      <c r="AU2662" s="71" t="s">
        <v>53</v>
      </c>
    </row>
    <row r="2663" spans="1:47" s="12" customFormat="1" ht="21" hidden="1" customHeight="1" x14ac:dyDescent="0.3">
      <c r="A2663" s="42" t="s">
        <v>505</v>
      </c>
      <c r="B2663" s="42" t="s">
        <v>6661</v>
      </c>
      <c r="C2663" s="42">
        <v>70</v>
      </c>
      <c r="D2663" s="42">
        <v>717</v>
      </c>
      <c r="E2663" s="42"/>
      <c r="F2663" s="42" t="s">
        <v>6931</v>
      </c>
      <c r="G2663" s="42" t="str">
        <f t="shared" si="63"/>
        <v>7071792190431</v>
      </c>
      <c r="H2663" s="4" t="s">
        <v>6932</v>
      </c>
      <c r="I2663" s="45">
        <v>92190431</v>
      </c>
      <c r="J2663" s="4" t="s">
        <v>6933</v>
      </c>
      <c r="K2663" s="44" t="s">
        <v>230</v>
      </c>
      <c r="L2663" s="44">
        <v>3233270545</v>
      </c>
      <c r="M2663" s="7" t="s">
        <v>45</v>
      </c>
      <c r="N2663" s="12" t="s">
        <v>259</v>
      </c>
      <c r="O2663" s="12" t="s">
        <v>260</v>
      </c>
      <c r="P2663" s="4" t="s">
        <v>261</v>
      </c>
      <c r="Q2663" s="69">
        <v>45629</v>
      </c>
      <c r="R2663" s="11">
        <v>0.79</v>
      </c>
      <c r="S2663" s="4" t="s">
        <v>49</v>
      </c>
      <c r="T2663" s="14"/>
      <c r="U2663" s="14"/>
      <c r="V2663" s="13"/>
      <c r="W2663" s="14"/>
      <c r="X2663" s="42"/>
      <c r="Y2663" s="14"/>
      <c r="Z2663" s="14"/>
      <c r="AA2663" s="14"/>
      <c r="AC2663" s="14"/>
      <c r="AD2663" s="14"/>
      <c r="AE2663" s="14"/>
      <c r="AF2663" s="20"/>
      <c r="AH2663" s="14"/>
      <c r="AI2663" s="14"/>
      <c r="AJ2663" s="14"/>
      <c r="AK2663" s="20"/>
      <c r="AM2663" s="14"/>
      <c r="AN2663" s="14"/>
      <c r="AO2663" s="14"/>
      <c r="AU2663" s="71" t="s">
        <v>53</v>
      </c>
    </row>
    <row r="2664" spans="1:47" s="12" customFormat="1" ht="21" hidden="1" customHeight="1" x14ac:dyDescent="0.3">
      <c r="A2664" s="42" t="s">
        <v>505</v>
      </c>
      <c r="B2664" s="42" t="s">
        <v>6661</v>
      </c>
      <c r="C2664" s="42">
        <v>70</v>
      </c>
      <c r="D2664" s="42">
        <v>717</v>
      </c>
      <c r="E2664" s="42"/>
      <c r="F2664" s="42" t="s">
        <v>6473</v>
      </c>
      <c r="G2664" s="42" t="str">
        <f t="shared" si="63"/>
        <v>707171104012951</v>
      </c>
      <c r="H2664" s="4" t="s">
        <v>6934</v>
      </c>
      <c r="I2664" s="45">
        <v>1104012951</v>
      </c>
      <c r="J2664" s="4" t="s">
        <v>6935</v>
      </c>
      <c r="K2664" s="44" t="s">
        <v>230</v>
      </c>
      <c r="L2664" s="44" t="s">
        <v>45</v>
      </c>
      <c r="M2664" s="7" t="s">
        <v>45</v>
      </c>
      <c r="N2664" s="12" t="s">
        <v>259</v>
      </c>
      <c r="O2664" s="12" t="s">
        <v>260</v>
      </c>
      <c r="P2664" s="4" t="s">
        <v>261</v>
      </c>
      <c r="Q2664" s="69">
        <v>44460</v>
      </c>
      <c r="R2664" s="11">
        <v>0.9</v>
      </c>
      <c r="S2664" s="4" t="s">
        <v>210</v>
      </c>
      <c r="T2664" s="14"/>
      <c r="U2664" s="14"/>
      <c r="V2664" s="13"/>
      <c r="W2664" s="14"/>
      <c r="X2664" s="42"/>
      <c r="Y2664" s="14"/>
      <c r="Z2664" s="14"/>
      <c r="AA2664" s="14"/>
      <c r="AC2664" s="14"/>
      <c r="AD2664" s="14"/>
      <c r="AE2664" s="14"/>
      <c r="AF2664" s="20"/>
      <c r="AH2664" s="14"/>
      <c r="AI2664" s="14"/>
      <c r="AJ2664" s="14"/>
      <c r="AK2664" s="20"/>
      <c r="AM2664" s="14"/>
      <c r="AN2664" s="14"/>
      <c r="AO2664" s="14"/>
      <c r="AU2664" s="71" t="s">
        <v>53</v>
      </c>
    </row>
    <row r="2665" spans="1:47" s="12" customFormat="1" ht="21" hidden="1" customHeight="1" x14ac:dyDescent="0.3">
      <c r="A2665" s="42" t="s">
        <v>505</v>
      </c>
      <c r="B2665" s="42" t="s">
        <v>6661</v>
      </c>
      <c r="C2665" s="42">
        <v>70</v>
      </c>
      <c r="D2665" s="42">
        <v>717</v>
      </c>
      <c r="E2665" s="42"/>
      <c r="F2665" s="42" t="s">
        <v>6936</v>
      </c>
      <c r="G2665" s="42" t="str">
        <f t="shared" si="63"/>
        <v>7071792192313</v>
      </c>
      <c r="H2665" s="4" t="s">
        <v>6937</v>
      </c>
      <c r="I2665" s="45">
        <v>92192313</v>
      </c>
      <c r="J2665" s="4" t="s">
        <v>6938</v>
      </c>
      <c r="K2665" s="44" t="s">
        <v>230</v>
      </c>
      <c r="L2665" s="44">
        <v>3013972595</v>
      </c>
      <c r="M2665" s="7" t="s">
        <v>45</v>
      </c>
      <c r="N2665" s="12" t="s">
        <v>259</v>
      </c>
      <c r="O2665" s="12" t="s">
        <v>260</v>
      </c>
      <c r="P2665" s="4" t="s">
        <v>261</v>
      </c>
      <c r="Q2665" s="69">
        <v>45587</v>
      </c>
      <c r="R2665" s="11">
        <v>0.85</v>
      </c>
      <c r="S2665" s="4" t="s">
        <v>49</v>
      </c>
      <c r="T2665" s="14"/>
      <c r="U2665" s="14"/>
      <c r="V2665" s="13">
        <v>44890</v>
      </c>
      <c r="W2665" s="23">
        <v>0.86</v>
      </c>
      <c r="X2665" s="42" t="s">
        <v>49</v>
      </c>
      <c r="Y2665" s="14"/>
      <c r="Z2665" s="14"/>
      <c r="AA2665" s="14"/>
      <c r="AC2665" s="14"/>
      <c r="AD2665" s="14"/>
      <c r="AE2665" s="14"/>
      <c r="AF2665" s="20"/>
      <c r="AH2665" s="14"/>
      <c r="AI2665" s="14"/>
      <c r="AJ2665" s="14"/>
      <c r="AK2665" s="20"/>
      <c r="AM2665" s="14"/>
      <c r="AN2665" s="14"/>
      <c r="AO2665" s="14"/>
      <c r="AU2665" s="71" t="s">
        <v>53</v>
      </c>
    </row>
    <row r="2666" spans="1:47" s="12" customFormat="1" ht="21" hidden="1" customHeight="1" x14ac:dyDescent="0.3">
      <c r="A2666" s="42" t="s">
        <v>505</v>
      </c>
      <c r="B2666" s="42" t="s">
        <v>6661</v>
      </c>
      <c r="C2666" s="42">
        <v>70</v>
      </c>
      <c r="D2666" s="42">
        <v>717</v>
      </c>
      <c r="E2666" s="42"/>
      <c r="F2666" s="42" t="s">
        <v>6939</v>
      </c>
      <c r="G2666" s="42" t="str">
        <f t="shared" si="63"/>
        <v>707171104011574</v>
      </c>
      <c r="H2666" s="4" t="s">
        <v>6940</v>
      </c>
      <c r="I2666" s="45">
        <v>1104011574</v>
      </c>
      <c r="J2666" s="4" t="s">
        <v>6941</v>
      </c>
      <c r="K2666" s="44" t="s">
        <v>230</v>
      </c>
      <c r="L2666" s="44">
        <v>3137368983</v>
      </c>
      <c r="M2666" s="7" t="s">
        <v>45</v>
      </c>
      <c r="N2666" s="12" t="s">
        <v>259</v>
      </c>
      <c r="O2666" s="12" t="s">
        <v>260</v>
      </c>
      <c r="P2666" s="4" t="s">
        <v>261</v>
      </c>
      <c r="Q2666" s="69">
        <v>45561</v>
      </c>
      <c r="R2666" s="11">
        <v>0.88</v>
      </c>
      <c r="S2666" s="4" t="s">
        <v>49</v>
      </c>
      <c r="T2666" s="14"/>
      <c r="U2666" s="14"/>
      <c r="V2666" s="13"/>
      <c r="W2666" s="14"/>
      <c r="X2666" s="42"/>
      <c r="Y2666" s="14"/>
      <c r="Z2666" s="14"/>
      <c r="AA2666" s="14"/>
      <c r="AC2666" s="14"/>
      <c r="AD2666" s="14"/>
      <c r="AE2666" s="14"/>
      <c r="AF2666" s="20"/>
      <c r="AH2666" s="14"/>
      <c r="AI2666" s="14"/>
      <c r="AJ2666" s="14"/>
      <c r="AK2666" s="20"/>
      <c r="AM2666" s="14"/>
      <c r="AN2666" s="14"/>
      <c r="AO2666" s="14"/>
      <c r="AU2666" s="71" t="s">
        <v>53</v>
      </c>
    </row>
    <row r="2667" spans="1:47" s="12" customFormat="1" ht="21" hidden="1" customHeight="1" x14ac:dyDescent="0.3">
      <c r="A2667" s="42" t="s">
        <v>505</v>
      </c>
      <c r="B2667" s="42" t="s">
        <v>6661</v>
      </c>
      <c r="C2667" s="42">
        <v>70</v>
      </c>
      <c r="D2667" s="42">
        <v>717</v>
      </c>
      <c r="E2667" s="42"/>
      <c r="F2667" s="42" t="s">
        <v>6942</v>
      </c>
      <c r="G2667" s="42" t="str">
        <f t="shared" si="63"/>
        <v>7071764478375</v>
      </c>
      <c r="H2667" s="4" t="s">
        <v>6943</v>
      </c>
      <c r="I2667" s="45">
        <v>64478375</v>
      </c>
      <c r="J2667" s="4" t="s">
        <v>6944</v>
      </c>
      <c r="K2667" s="44" t="s">
        <v>230</v>
      </c>
      <c r="L2667" s="44">
        <v>3135761436</v>
      </c>
      <c r="M2667" s="7" t="s">
        <v>45</v>
      </c>
      <c r="N2667" s="12" t="s">
        <v>259</v>
      </c>
      <c r="O2667" s="12" t="s">
        <v>260</v>
      </c>
      <c r="P2667" s="4" t="s">
        <v>261</v>
      </c>
      <c r="Q2667" s="69">
        <v>45623</v>
      </c>
      <c r="R2667" s="11">
        <v>0.83499999999999996</v>
      </c>
      <c r="S2667" s="4" t="s">
        <v>49</v>
      </c>
      <c r="T2667" s="14"/>
      <c r="U2667" s="14"/>
      <c r="V2667" s="13"/>
      <c r="W2667" s="14"/>
      <c r="X2667" s="42"/>
      <c r="Y2667" s="14"/>
      <c r="Z2667" s="14"/>
      <c r="AA2667" s="14"/>
      <c r="AC2667" s="14"/>
      <c r="AD2667" s="14"/>
      <c r="AE2667" s="14"/>
      <c r="AF2667" s="20"/>
      <c r="AH2667" s="14"/>
      <c r="AI2667" s="14"/>
      <c r="AJ2667" s="14"/>
      <c r="AK2667" s="20"/>
      <c r="AM2667" s="14"/>
      <c r="AN2667" s="14"/>
      <c r="AO2667" s="14"/>
      <c r="AU2667" s="71" t="s">
        <v>53</v>
      </c>
    </row>
    <row r="2668" spans="1:47" s="12" customFormat="1" ht="21" hidden="1" customHeight="1" x14ac:dyDescent="0.3">
      <c r="A2668" s="42" t="s">
        <v>505</v>
      </c>
      <c r="B2668" s="42" t="s">
        <v>6661</v>
      </c>
      <c r="C2668" s="42">
        <v>70</v>
      </c>
      <c r="D2668" s="42">
        <v>717</v>
      </c>
      <c r="E2668" s="42"/>
      <c r="F2668" s="42" t="s">
        <v>6945</v>
      </c>
      <c r="G2668" s="42" t="str">
        <f t="shared" si="63"/>
        <v>7071792188423</v>
      </c>
      <c r="H2668" s="4" t="s">
        <v>6946</v>
      </c>
      <c r="I2668" s="45">
        <v>92188423</v>
      </c>
      <c r="J2668" s="4" t="s">
        <v>6947</v>
      </c>
      <c r="K2668" s="44" t="s">
        <v>230</v>
      </c>
      <c r="L2668" s="44" t="s">
        <v>45</v>
      </c>
      <c r="M2668" s="7" t="s">
        <v>45</v>
      </c>
      <c r="N2668" s="12" t="s">
        <v>259</v>
      </c>
      <c r="O2668" s="12" t="s">
        <v>260</v>
      </c>
      <c r="P2668" s="4" t="s">
        <v>261</v>
      </c>
      <c r="Q2668" s="69">
        <v>44453</v>
      </c>
      <c r="R2668" s="11">
        <v>0.85</v>
      </c>
      <c r="S2668" s="4" t="s">
        <v>49</v>
      </c>
      <c r="T2668" s="14"/>
      <c r="U2668" s="14"/>
      <c r="V2668" s="13"/>
      <c r="W2668" s="14"/>
      <c r="X2668" s="42"/>
      <c r="Y2668" s="14"/>
      <c r="Z2668" s="14"/>
      <c r="AA2668" s="14"/>
      <c r="AC2668" s="14"/>
      <c r="AD2668" s="14"/>
      <c r="AE2668" s="14"/>
      <c r="AF2668" s="20"/>
      <c r="AH2668" s="14"/>
      <c r="AI2668" s="14"/>
      <c r="AJ2668" s="14"/>
      <c r="AK2668" s="20"/>
      <c r="AM2668" s="14"/>
      <c r="AN2668" s="14"/>
      <c r="AO2668" s="14"/>
      <c r="AU2668" s="71" t="s">
        <v>53</v>
      </c>
    </row>
    <row r="2669" spans="1:47" s="12" customFormat="1" ht="21" hidden="1" customHeight="1" x14ac:dyDescent="0.3">
      <c r="A2669" s="42" t="s">
        <v>505</v>
      </c>
      <c r="B2669" s="42" t="s">
        <v>6661</v>
      </c>
      <c r="C2669" s="42">
        <v>70</v>
      </c>
      <c r="D2669" s="42">
        <v>717</v>
      </c>
      <c r="E2669" s="42"/>
      <c r="F2669" s="42" t="s">
        <v>6948</v>
      </c>
      <c r="G2669" s="42" t="str">
        <f t="shared" si="63"/>
        <v>7071792187177</v>
      </c>
      <c r="H2669" s="4" t="s">
        <v>6949</v>
      </c>
      <c r="I2669" s="45">
        <v>92187177</v>
      </c>
      <c r="J2669" s="4" t="s">
        <v>6950</v>
      </c>
      <c r="K2669" s="44" t="s">
        <v>230</v>
      </c>
      <c r="L2669" s="44">
        <v>3215862366</v>
      </c>
      <c r="M2669" s="7" t="s">
        <v>45</v>
      </c>
      <c r="N2669" s="12" t="s">
        <v>259</v>
      </c>
      <c r="O2669" s="12" t="s">
        <v>260</v>
      </c>
      <c r="P2669" s="4" t="s">
        <v>261</v>
      </c>
      <c r="Q2669" s="69">
        <v>45624</v>
      </c>
      <c r="R2669" s="11">
        <v>0.83750000000000002</v>
      </c>
      <c r="S2669" s="4" t="s">
        <v>49</v>
      </c>
      <c r="T2669" s="14"/>
      <c r="U2669" s="14"/>
      <c r="V2669" s="13"/>
      <c r="W2669" s="14"/>
      <c r="X2669" s="42"/>
      <c r="Y2669" s="14"/>
      <c r="Z2669" s="14"/>
      <c r="AA2669" s="14"/>
      <c r="AC2669" s="14"/>
      <c r="AD2669" s="14"/>
      <c r="AE2669" s="14"/>
      <c r="AF2669" s="20"/>
      <c r="AH2669" s="14"/>
      <c r="AI2669" s="14"/>
      <c r="AJ2669" s="14"/>
      <c r="AK2669" s="20"/>
      <c r="AM2669" s="14"/>
      <c r="AN2669" s="14"/>
      <c r="AO2669" s="14"/>
      <c r="AU2669" s="71" t="s">
        <v>53</v>
      </c>
    </row>
    <row r="2670" spans="1:47" s="12" customFormat="1" ht="21" hidden="1" customHeight="1" x14ac:dyDescent="0.3">
      <c r="A2670" s="42" t="s">
        <v>505</v>
      </c>
      <c r="B2670" s="42" t="s">
        <v>6661</v>
      </c>
      <c r="C2670" s="42">
        <v>70</v>
      </c>
      <c r="D2670" s="42">
        <v>717</v>
      </c>
      <c r="E2670" s="42"/>
      <c r="F2670" s="42" t="s">
        <v>1255</v>
      </c>
      <c r="G2670" s="42" t="str">
        <f t="shared" si="63"/>
        <v>7071792187714</v>
      </c>
      <c r="H2670" s="4" t="s">
        <v>6951</v>
      </c>
      <c r="I2670" s="45">
        <v>92187714</v>
      </c>
      <c r="J2670" s="4" t="s">
        <v>6952</v>
      </c>
      <c r="K2670" s="44" t="s">
        <v>230</v>
      </c>
      <c r="L2670" s="44" t="s">
        <v>45</v>
      </c>
      <c r="M2670" s="7" t="s">
        <v>45</v>
      </c>
      <c r="N2670" s="12" t="s">
        <v>259</v>
      </c>
      <c r="O2670" s="12" t="s">
        <v>260</v>
      </c>
      <c r="P2670" s="4" t="s">
        <v>261</v>
      </c>
      <c r="Q2670" s="69">
        <v>45589</v>
      </c>
      <c r="R2670" s="11">
        <v>0.8175</v>
      </c>
      <c r="S2670" s="4" t="s">
        <v>49</v>
      </c>
      <c r="T2670" s="14"/>
      <c r="U2670" s="14"/>
      <c r="V2670" s="13"/>
      <c r="W2670" s="14"/>
      <c r="X2670" s="42"/>
      <c r="Y2670" s="14"/>
      <c r="Z2670" s="14"/>
      <c r="AA2670" s="14"/>
      <c r="AC2670" s="14"/>
      <c r="AD2670" s="14"/>
      <c r="AE2670" s="14"/>
      <c r="AF2670" s="20"/>
      <c r="AH2670" s="14"/>
      <c r="AI2670" s="14"/>
      <c r="AJ2670" s="14"/>
      <c r="AK2670" s="20"/>
      <c r="AM2670" s="14"/>
      <c r="AN2670" s="14"/>
      <c r="AO2670" s="14"/>
      <c r="AU2670" s="71" t="s">
        <v>53</v>
      </c>
    </row>
    <row r="2671" spans="1:47" s="12" customFormat="1" ht="21" hidden="1" customHeight="1" x14ac:dyDescent="0.3">
      <c r="A2671" s="42" t="s">
        <v>505</v>
      </c>
      <c r="B2671" s="42" t="s">
        <v>6661</v>
      </c>
      <c r="C2671" s="42">
        <v>70</v>
      </c>
      <c r="D2671" s="42">
        <v>717</v>
      </c>
      <c r="E2671" s="42"/>
      <c r="F2671" s="42" t="s">
        <v>6504</v>
      </c>
      <c r="G2671" s="42" t="str">
        <f t="shared" si="63"/>
        <v>70717901462081</v>
      </c>
      <c r="H2671" s="4" t="s">
        <v>6953</v>
      </c>
      <c r="I2671" s="45">
        <v>901462081</v>
      </c>
      <c r="J2671" s="4" t="s">
        <v>6954</v>
      </c>
      <c r="K2671" s="44" t="s">
        <v>230</v>
      </c>
      <c r="L2671" s="44" t="s">
        <v>45</v>
      </c>
      <c r="M2671" s="7" t="s">
        <v>45</v>
      </c>
      <c r="N2671" s="12" t="s">
        <v>259</v>
      </c>
      <c r="O2671" s="12" t="s">
        <v>260</v>
      </c>
      <c r="P2671" s="4" t="s">
        <v>261</v>
      </c>
      <c r="Q2671" s="69">
        <v>44678</v>
      </c>
      <c r="R2671" s="11">
        <v>0.87</v>
      </c>
      <c r="S2671" s="4" t="s">
        <v>49</v>
      </c>
      <c r="T2671" s="14"/>
      <c r="U2671" s="14"/>
      <c r="V2671" s="13"/>
      <c r="W2671" s="14"/>
      <c r="X2671" s="42"/>
      <c r="Y2671" s="14"/>
      <c r="Z2671" s="14"/>
      <c r="AA2671" s="14"/>
      <c r="AC2671" s="14"/>
      <c r="AD2671" s="14"/>
      <c r="AE2671" s="14"/>
      <c r="AF2671" s="20"/>
      <c r="AH2671" s="14"/>
      <c r="AI2671" s="14"/>
      <c r="AJ2671" s="14"/>
      <c r="AK2671" s="20"/>
      <c r="AM2671" s="14"/>
      <c r="AN2671" s="14"/>
      <c r="AO2671" s="14"/>
      <c r="AU2671" s="71" t="s">
        <v>53</v>
      </c>
    </row>
    <row r="2672" spans="1:47" s="12" customFormat="1" ht="21" hidden="1" customHeight="1" x14ac:dyDescent="0.3">
      <c r="A2672" s="42" t="s">
        <v>505</v>
      </c>
      <c r="B2672" s="42" t="s">
        <v>6661</v>
      </c>
      <c r="C2672" s="42">
        <v>70</v>
      </c>
      <c r="D2672" s="42">
        <v>717</v>
      </c>
      <c r="E2672" s="42"/>
      <c r="F2672" s="42" t="s">
        <v>6955</v>
      </c>
      <c r="G2672" s="42" t="str">
        <f t="shared" si="63"/>
        <v>707176816816</v>
      </c>
      <c r="H2672" s="4" t="s">
        <v>6956</v>
      </c>
      <c r="I2672" s="45">
        <v>6816816</v>
      </c>
      <c r="J2672" s="4" t="s">
        <v>6957</v>
      </c>
      <c r="K2672" s="44" t="s">
        <v>230</v>
      </c>
      <c r="L2672" s="44" t="s">
        <v>45</v>
      </c>
      <c r="M2672" s="7" t="s">
        <v>45</v>
      </c>
      <c r="N2672" s="12" t="s">
        <v>259</v>
      </c>
      <c r="O2672" s="12" t="s">
        <v>260</v>
      </c>
      <c r="P2672" s="4" t="s">
        <v>261</v>
      </c>
      <c r="Q2672" s="69">
        <v>44459</v>
      </c>
      <c r="R2672" s="11">
        <v>0.85</v>
      </c>
      <c r="S2672" s="4" t="s">
        <v>49</v>
      </c>
      <c r="T2672" s="14"/>
      <c r="U2672" s="14"/>
      <c r="V2672" s="13"/>
      <c r="W2672" s="14"/>
      <c r="X2672" s="42"/>
      <c r="Y2672" s="14"/>
      <c r="Z2672" s="14"/>
      <c r="AA2672" s="14"/>
      <c r="AC2672" s="14"/>
      <c r="AD2672" s="14"/>
      <c r="AE2672" s="14"/>
      <c r="AF2672" s="20"/>
      <c r="AH2672" s="14"/>
      <c r="AI2672" s="14"/>
      <c r="AJ2672" s="14"/>
      <c r="AK2672" s="20"/>
      <c r="AM2672" s="14"/>
      <c r="AN2672" s="14"/>
      <c r="AO2672" s="14"/>
      <c r="AU2672" s="71" t="s">
        <v>53</v>
      </c>
    </row>
    <row r="2673" spans="1:53" s="12" customFormat="1" ht="21" hidden="1" customHeight="1" x14ac:dyDescent="0.3">
      <c r="A2673" s="42" t="s">
        <v>505</v>
      </c>
      <c r="B2673" s="42" t="s">
        <v>6661</v>
      </c>
      <c r="C2673" s="42">
        <v>70</v>
      </c>
      <c r="D2673" s="42">
        <v>717</v>
      </c>
      <c r="E2673" s="42"/>
      <c r="F2673" s="42" t="s">
        <v>6958</v>
      </c>
      <c r="G2673" s="42" t="str">
        <f t="shared" si="63"/>
        <v>7071764475773</v>
      </c>
      <c r="H2673" s="4" t="s">
        <v>6959</v>
      </c>
      <c r="I2673" s="45">
        <v>64475773</v>
      </c>
      <c r="J2673" s="4" t="s">
        <v>6960</v>
      </c>
      <c r="K2673" s="44" t="s">
        <v>230</v>
      </c>
      <c r="L2673" s="44">
        <v>3006109561</v>
      </c>
      <c r="M2673" s="7" t="s">
        <v>45</v>
      </c>
      <c r="N2673" s="12" t="s">
        <v>259</v>
      </c>
      <c r="O2673" s="12" t="s">
        <v>260</v>
      </c>
      <c r="P2673" s="4" t="s">
        <v>261</v>
      </c>
      <c r="Q2673" s="69">
        <v>45562</v>
      </c>
      <c r="R2673" s="11">
        <v>0.83750000000000002</v>
      </c>
      <c r="S2673" s="4" t="s">
        <v>49</v>
      </c>
      <c r="T2673" s="14"/>
      <c r="U2673" s="14"/>
      <c r="V2673" s="13"/>
      <c r="W2673" s="14"/>
      <c r="X2673" s="42"/>
      <c r="Y2673" s="14"/>
      <c r="Z2673" s="14"/>
      <c r="AA2673" s="14"/>
      <c r="AC2673" s="14"/>
      <c r="AD2673" s="14"/>
      <c r="AE2673" s="14"/>
      <c r="AF2673" s="20"/>
      <c r="AH2673" s="14"/>
      <c r="AI2673" s="14"/>
      <c r="AJ2673" s="14"/>
      <c r="AK2673" s="20"/>
      <c r="AM2673" s="14"/>
      <c r="AN2673" s="14"/>
      <c r="AO2673" s="14"/>
      <c r="AU2673" s="71" t="s">
        <v>53</v>
      </c>
    </row>
    <row r="2674" spans="1:53" s="12" customFormat="1" ht="21" hidden="1" customHeight="1" x14ac:dyDescent="0.3">
      <c r="A2674" s="42" t="s">
        <v>505</v>
      </c>
      <c r="B2674" s="42" t="s">
        <v>6661</v>
      </c>
      <c r="C2674" s="42">
        <v>70</v>
      </c>
      <c r="D2674" s="42">
        <v>717</v>
      </c>
      <c r="E2674" s="42"/>
      <c r="F2674" s="42" t="s">
        <v>2310</v>
      </c>
      <c r="G2674" s="42" t="str">
        <f t="shared" si="63"/>
        <v>7071725739</v>
      </c>
      <c r="H2674" s="4" t="s">
        <v>6961</v>
      </c>
      <c r="I2674" s="45">
        <v>25739</v>
      </c>
      <c r="J2674" s="4" t="s">
        <v>6962</v>
      </c>
      <c r="K2674" s="44" t="s">
        <v>230</v>
      </c>
      <c r="L2674" s="44" t="s">
        <v>45</v>
      </c>
      <c r="M2674" s="7" t="s">
        <v>45</v>
      </c>
      <c r="N2674" s="12" t="s">
        <v>259</v>
      </c>
      <c r="O2674" s="12" t="s">
        <v>260</v>
      </c>
      <c r="P2674" s="4" t="s">
        <v>261</v>
      </c>
      <c r="Q2674" s="69">
        <v>44832</v>
      </c>
      <c r="R2674" s="11">
        <v>0.85</v>
      </c>
      <c r="S2674" s="4" t="s">
        <v>49</v>
      </c>
      <c r="T2674" s="14"/>
      <c r="U2674" s="14"/>
      <c r="V2674" s="13"/>
      <c r="W2674" s="14"/>
      <c r="X2674" s="42"/>
      <c r="Y2674" s="14"/>
      <c r="Z2674" s="14"/>
      <c r="AA2674" s="14"/>
      <c r="AC2674" s="14"/>
      <c r="AD2674" s="14"/>
      <c r="AE2674" s="14"/>
      <c r="AF2674" s="20"/>
      <c r="AH2674" s="14"/>
      <c r="AI2674" s="14"/>
      <c r="AJ2674" s="14"/>
      <c r="AK2674" s="20"/>
      <c r="AM2674" s="14"/>
      <c r="AN2674" s="14"/>
      <c r="AO2674" s="14"/>
      <c r="AU2674" s="71" t="s">
        <v>53</v>
      </c>
    </row>
    <row r="2675" spans="1:53" s="12" customFormat="1" ht="21" hidden="1" customHeight="1" x14ac:dyDescent="0.3">
      <c r="A2675" s="42" t="s">
        <v>505</v>
      </c>
      <c r="B2675" s="42" t="s">
        <v>6661</v>
      </c>
      <c r="C2675" s="42">
        <v>70</v>
      </c>
      <c r="D2675" s="42">
        <v>717</v>
      </c>
      <c r="E2675" s="42"/>
      <c r="F2675" s="42" t="s">
        <v>6963</v>
      </c>
      <c r="G2675" s="42" t="str">
        <f t="shared" si="63"/>
        <v>707171147694317</v>
      </c>
      <c r="H2675" s="4" t="s">
        <v>6964</v>
      </c>
      <c r="I2675" s="45">
        <v>1147694317</v>
      </c>
      <c r="J2675" s="4" t="s">
        <v>6965</v>
      </c>
      <c r="K2675" s="44" t="s">
        <v>230</v>
      </c>
      <c r="L2675" s="44">
        <v>3102140119</v>
      </c>
      <c r="M2675" s="7" t="s">
        <v>6966</v>
      </c>
      <c r="N2675" s="12" t="s">
        <v>259</v>
      </c>
      <c r="O2675" s="12" t="s">
        <v>260</v>
      </c>
      <c r="P2675" s="4" t="s">
        <v>261</v>
      </c>
      <c r="Q2675" s="69">
        <v>45561</v>
      </c>
      <c r="R2675" s="11">
        <v>0.85</v>
      </c>
      <c r="S2675" s="4" t="s">
        <v>49</v>
      </c>
      <c r="T2675" s="14"/>
      <c r="U2675" s="14"/>
      <c r="V2675" s="13"/>
      <c r="W2675" s="14"/>
      <c r="X2675" s="42"/>
      <c r="Y2675" s="14"/>
      <c r="Z2675" s="14"/>
      <c r="AA2675" s="14"/>
      <c r="AC2675" s="14"/>
      <c r="AD2675" s="14"/>
      <c r="AE2675" s="14"/>
      <c r="AF2675" s="20"/>
      <c r="AH2675" s="14"/>
      <c r="AI2675" s="14"/>
      <c r="AJ2675" s="14"/>
      <c r="AK2675" s="20"/>
      <c r="AM2675" s="14"/>
      <c r="AN2675" s="14"/>
      <c r="AO2675" s="14"/>
      <c r="AU2675" s="71" t="s">
        <v>53</v>
      </c>
    </row>
    <row r="2676" spans="1:53" s="12" customFormat="1" ht="21" hidden="1" customHeight="1" x14ac:dyDescent="0.3">
      <c r="A2676" s="42" t="s">
        <v>505</v>
      </c>
      <c r="B2676" s="42" t="s">
        <v>6661</v>
      </c>
      <c r="C2676" s="42">
        <v>70</v>
      </c>
      <c r="D2676" s="42">
        <v>717</v>
      </c>
      <c r="E2676" s="42"/>
      <c r="F2676" s="42" t="s">
        <v>6967</v>
      </c>
      <c r="G2676" s="42" t="str">
        <f t="shared" si="63"/>
        <v>7071770697877-8</v>
      </c>
      <c r="H2676" s="4" t="s">
        <v>6968</v>
      </c>
      <c r="I2676" s="45" t="s">
        <v>6969</v>
      </c>
      <c r="J2676" s="4" t="s">
        <v>6970</v>
      </c>
      <c r="K2676" s="44" t="s">
        <v>230</v>
      </c>
      <c r="L2676" s="44">
        <v>3114354028</v>
      </c>
      <c r="M2676" s="7" t="s">
        <v>45</v>
      </c>
      <c r="N2676" s="12" t="s">
        <v>259</v>
      </c>
      <c r="O2676" s="12" t="s">
        <v>260</v>
      </c>
      <c r="P2676" s="4" t="s">
        <v>261</v>
      </c>
      <c r="Q2676" s="69">
        <v>45586</v>
      </c>
      <c r="R2676" s="11">
        <v>0.87749999999999995</v>
      </c>
      <c r="S2676" s="4" t="s">
        <v>49</v>
      </c>
      <c r="T2676" s="14"/>
      <c r="U2676" s="14"/>
      <c r="V2676" s="13"/>
      <c r="W2676" s="14"/>
      <c r="X2676" s="42"/>
      <c r="Y2676" s="14"/>
      <c r="Z2676" s="14"/>
      <c r="AA2676" s="14"/>
      <c r="AC2676" s="14"/>
      <c r="AD2676" s="14"/>
      <c r="AE2676" s="14"/>
      <c r="AF2676" s="20"/>
      <c r="AH2676" s="14"/>
      <c r="AI2676" s="14"/>
      <c r="AJ2676" s="14"/>
      <c r="AK2676" s="20"/>
      <c r="AM2676" s="14"/>
      <c r="AN2676" s="14"/>
      <c r="AO2676" s="14"/>
      <c r="AU2676" s="71" t="s">
        <v>53</v>
      </c>
    </row>
    <row r="2677" spans="1:53" s="12" customFormat="1" ht="21" hidden="1" customHeight="1" x14ac:dyDescent="0.3">
      <c r="A2677" s="42" t="s">
        <v>505</v>
      </c>
      <c r="B2677" s="42" t="s">
        <v>6661</v>
      </c>
      <c r="C2677" s="42">
        <v>70</v>
      </c>
      <c r="D2677" s="42">
        <v>717</v>
      </c>
      <c r="E2677" s="42"/>
      <c r="F2677" s="42" t="s">
        <v>6971</v>
      </c>
      <c r="G2677" s="42" t="str">
        <f t="shared" si="63"/>
        <v>7071792191717</v>
      </c>
      <c r="H2677" s="4" t="s">
        <v>6972</v>
      </c>
      <c r="I2677" s="45">
        <v>92191717</v>
      </c>
      <c r="J2677" s="4" t="s">
        <v>6973</v>
      </c>
      <c r="K2677" s="44" t="s">
        <v>230</v>
      </c>
      <c r="L2677" s="44">
        <v>3148040714</v>
      </c>
      <c r="M2677" s="7" t="s">
        <v>45</v>
      </c>
      <c r="N2677" s="12" t="s">
        <v>259</v>
      </c>
      <c r="O2677" s="12" t="s">
        <v>260</v>
      </c>
      <c r="P2677" s="4" t="s">
        <v>261</v>
      </c>
      <c r="Q2677" s="69">
        <v>45629</v>
      </c>
      <c r="R2677" s="11">
        <v>0.83250000000000002</v>
      </c>
      <c r="S2677" s="4" t="s">
        <v>49</v>
      </c>
      <c r="T2677" s="14"/>
      <c r="U2677" s="14"/>
      <c r="V2677" s="13"/>
      <c r="W2677" s="14"/>
      <c r="X2677" s="42"/>
      <c r="Y2677" s="14"/>
      <c r="Z2677" s="14"/>
      <c r="AA2677" s="14"/>
      <c r="AC2677" s="14"/>
      <c r="AD2677" s="14"/>
      <c r="AE2677" s="14"/>
      <c r="AF2677" s="20"/>
      <c r="AH2677" s="14"/>
      <c r="AI2677" s="14"/>
      <c r="AJ2677" s="14"/>
      <c r="AK2677" s="20"/>
      <c r="AM2677" s="14"/>
      <c r="AN2677" s="14"/>
      <c r="AO2677" s="14"/>
      <c r="AU2677" s="71" t="s">
        <v>53</v>
      </c>
    </row>
    <row r="2678" spans="1:53" s="12" customFormat="1" ht="21" hidden="1" customHeight="1" x14ac:dyDescent="0.3">
      <c r="A2678" s="42" t="s">
        <v>505</v>
      </c>
      <c r="B2678" s="42" t="s">
        <v>6661</v>
      </c>
      <c r="C2678" s="42">
        <v>70</v>
      </c>
      <c r="D2678" s="42">
        <v>717</v>
      </c>
      <c r="E2678" s="42"/>
      <c r="F2678" s="42" t="s">
        <v>6974</v>
      </c>
      <c r="G2678" s="42" t="str">
        <f t="shared" si="63"/>
        <v>7071770900817</v>
      </c>
      <c r="H2678" s="4" t="s">
        <v>6975</v>
      </c>
      <c r="I2678" s="45">
        <v>70900817</v>
      </c>
      <c r="J2678" s="4" t="s">
        <v>6976</v>
      </c>
      <c r="K2678" s="44" t="s">
        <v>230</v>
      </c>
      <c r="L2678" s="44" t="s">
        <v>45</v>
      </c>
      <c r="M2678" s="7" t="s">
        <v>45</v>
      </c>
      <c r="N2678" s="12" t="s">
        <v>259</v>
      </c>
      <c r="O2678" s="12" t="s">
        <v>260</v>
      </c>
      <c r="P2678" s="4" t="s">
        <v>261</v>
      </c>
      <c r="Q2678" s="69">
        <v>44427</v>
      </c>
      <c r="R2678" s="11">
        <v>0.84</v>
      </c>
      <c r="S2678" s="4" t="s">
        <v>49</v>
      </c>
      <c r="T2678" s="14"/>
      <c r="U2678" s="14"/>
      <c r="V2678" s="13"/>
      <c r="W2678" s="14"/>
      <c r="X2678" s="42"/>
      <c r="Y2678" s="14"/>
      <c r="Z2678" s="14"/>
      <c r="AA2678" s="14"/>
      <c r="AC2678" s="14"/>
      <c r="AD2678" s="14"/>
      <c r="AE2678" s="14"/>
      <c r="AF2678" s="20"/>
      <c r="AH2678" s="14"/>
      <c r="AI2678" s="14"/>
      <c r="AJ2678" s="14"/>
      <c r="AK2678" s="20"/>
      <c r="AM2678" s="14"/>
      <c r="AN2678" s="14"/>
      <c r="AO2678" s="14"/>
      <c r="AU2678" s="71" t="s">
        <v>53</v>
      </c>
    </row>
    <row r="2679" spans="1:53" s="12" customFormat="1" ht="21" hidden="1" customHeight="1" x14ac:dyDescent="0.3">
      <c r="A2679" s="42" t="s">
        <v>505</v>
      </c>
      <c r="B2679" s="42" t="s">
        <v>6661</v>
      </c>
      <c r="C2679" s="42">
        <v>70</v>
      </c>
      <c r="D2679" s="42">
        <v>717</v>
      </c>
      <c r="E2679" s="42"/>
      <c r="F2679" s="42" t="s">
        <v>6977</v>
      </c>
      <c r="G2679" s="42" t="str">
        <f t="shared" si="63"/>
        <v>7071742271371</v>
      </c>
      <c r="H2679" s="4" t="s">
        <v>6978</v>
      </c>
      <c r="I2679" s="45">
        <v>42271371</v>
      </c>
      <c r="J2679" s="4" t="s">
        <v>6979</v>
      </c>
      <c r="K2679" s="44" t="s">
        <v>230</v>
      </c>
      <c r="L2679" s="44" t="s">
        <v>45</v>
      </c>
      <c r="M2679" s="7" t="s">
        <v>45</v>
      </c>
      <c r="N2679" s="12" t="s">
        <v>259</v>
      </c>
      <c r="O2679" s="12" t="s">
        <v>260</v>
      </c>
      <c r="P2679" s="4" t="s">
        <v>261</v>
      </c>
      <c r="Q2679" s="69">
        <v>44392</v>
      </c>
      <c r="R2679" s="11">
        <v>0.83</v>
      </c>
      <c r="S2679" s="4" t="s">
        <v>49</v>
      </c>
      <c r="T2679" s="14"/>
      <c r="U2679" s="14"/>
      <c r="V2679" s="13"/>
      <c r="W2679" s="14"/>
      <c r="X2679" s="42"/>
      <c r="Y2679" s="14"/>
      <c r="Z2679" s="14"/>
      <c r="AA2679" s="14"/>
      <c r="AC2679" s="14"/>
      <c r="AD2679" s="14"/>
      <c r="AE2679" s="14"/>
      <c r="AF2679" s="20"/>
      <c r="AH2679" s="14"/>
      <c r="AI2679" s="14"/>
      <c r="AJ2679" s="14"/>
      <c r="AK2679" s="20"/>
      <c r="AM2679" s="14"/>
      <c r="AN2679" s="14"/>
      <c r="AO2679" s="14"/>
      <c r="AU2679" s="71" t="s">
        <v>53</v>
      </c>
    </row>
    <row r="2680" spans="1:53" s="12" customFormat="1" ht="21" hidden="1" customHeight="1" x14ac:dyDescent="0.3">
      <c r="A2680" s="42" t="s">
        <v>505</v>
      </c>
      <c r="B2680" s="42" t="s">
        <v>6661</v>
      </c>
      <c r="C2680" s="42">
        <v>70</v>
      </c>
      <c r="D2680" s="42">
        <v>717</v>
      </c>
      <c r="E2680" s="42"/>
      <c r="F2680" s="42" t="s">
        <v>2532</v>
      </c>
      <c r="G2680" s="42" t="str">
        <f t="shared" si="63"/>
        <v>7071792189558</v>
      </c>
      <c r="H2680" s="4" t="s">
        <v>6980</v>
      </c>
      <c r="I2680" s="45">
        <v>92189558</v>
      </c>
      <c r="J2680" s="4" t="s">
        <v>6981</v>
      </c>
      <c r="K2680" s="44" t="s">
        <v>230</v>
      </c>
      <c r="L2680" s="44" t="s">
        <v>45</v>
      </c>
      <c r="M2680" s="7" t="s">
        <v>45</v>
      </c>
      <c r="N2680" s="12" t="s">
        <v>259</v>
      </c>
      <c r="O2680" s="12" t="s">
        <v>260</v>
      </c>
      <c r="P2680" s="4" t="s">
        <v>261</v>
      </c>
      <c r="Q2680" s="69">
        <v>44187</v>
      </c>
      <c r="R2680" s="11">
        <v>0.81499999999999995</v>
      </c>
      <c r="S2680" s="4" t="s">
        <v>49</v>
      </c>
      <c r="T2680" s="14"/>
      <c r="U2680" s="14"/>
      <c r="V2680" s="13"/>
      <c r="W2680" s="14"/>
      <c r="X2680" s="42"/>
      <c r="Y2680" s="14"/>
      <c r="Z2680" s="14"/>
      <c r="AA2680" s="14"/>
      <c r="AC2680" s="14"/>
      <c r="AD2680" s="14"/>
      <c r="AE2680" s="14"/>
      <c r="AF2680" s="20"/>
      <c r="AH2680" s="14"/>
      <c r="AI2680" s="14"/>
      <c r="AJ2680" s="14"/>
      <c r="AK2680" s="20"/>
      <c r="AM2680" s="14"/>
      <c r="AN2680" s="14"/>
      <c r="AO2680" s="14"/>
      <c r="AU2680" s="71" t="s">
        <v>53</v>
      </c>
    </row>
    <row r="2681" spans="1:53" s="12" customFormat="1" ht="21" hidden="1" customHeight="1" x14ac:dyDescent="0.3">
      <c r="A2681" s="42" t="s">
        <v>505</v>
      </c>
      <c r="B2681" s="42" t="s">
        <v>6661</v>
      </c>
      <c r="C2681" s="42">
        <v>70</v>
      </c>
      <c r="D2681" s="42">
        <v>717</v>
      </c>
      <c r="E2681" s="42"/>
      <c r="F2681" s="42" t="s">
        <v>6982</v>
      </c>
      <c r="G2681" s="42" t="str">
        <f t="shared" si="63"/>
        <v>7071792192157</v>
      </c>
      <c r="H2681" s="4" t="s">
        <v>6983</v>
      </c>
      <c r="I2681" s="45">
        <v>92192157</v>
      </c>
      <c r="J2681" s="4" t="s">
        <v>6984</v>
      </c>
      <c r="K2681" s="44" t="s">
        <v>230</v>
      </c>
      <c r="L2681" s="44" t="s">
        <v>45</v>
      </c>
      <c r="M2681" s="7" t="s">
        <v>45</v>
      </c>
      <c r="N2681" s="12" t="s">
        <v>259</v>
      </c>
      <c r="O2681" s="12" t="s">
        <v>260</v>
      </c>
      <c r="P2681" s="4" t="s">
        <v>261</v>
      </c>
      <c r="Q2681" s="69">
        <v>44677</v>
      </c>
      <c r="R2681" s="11">
        <v>0.85</v>
      </c>
      <c r="S2681" s="4" t="s">
        <v>49</v>
      </c>
      <c r="T2681" s="14"/>
      <c r="U2681" s="14"/>
      <c r="V2681" s="13"/>
      <c r="W2681" s="14"/>
      <c r="X2681" s="42"/>
      <c r="Y2681" s="14"/>
      <c r="Z2681" s="14"/>
      <c r="AA2681" s="14"/>
      <c r="AC2681" s="14"/>
      <c r="AD2681" s="14"/>
      <c r="AE2681" s="14"/>
      <c r="AF2681" s="20"/>
      <c r="AH2681" s="14"/>
      <c r="AI2681" s="14"/>
      <c r="AJ2681" s="14"/>
      <c r="AK2681" s="20"/>
      <c r="AM2681" s="14"/>
      <c r="AN2681" s="14"/>
      <c r="AO2681" s="14"/>
      <c r="AU2681" s="71" t="s">
        <v>53</v>
      </c>
    </row>
    <row r="2682" spans="1:53" s="12" customFormat="1" ht="21" hidden="1" customHeight="1" x14ac:dyDescent="0.3">
      <c r="A2682" s="42" t="s">
        <v>505</v>
      </c>
      <c r="B2682" s="42" t="s">
        <v>6661</v>
      </c>
      <c r="C2682" s="42">
        <v>70</v>
      </c>
      <c r="D2682" s="42">
        <v>717</v>
      </c>
      <c r="E2682" s="42"/>
      <c r="F2682" s="42" t="s">
        <v>6985</v>
      </c>
      <c r="G2682" s="42" t="str">
        <f t="shared" si="63"/>
        <v>707171103217186</v>
      </c>
      <c r="H2682" s="4" t="s">
        <v>6986</v>
      </c>
      <c r="I2682" s="45">
        <v>1103217186</v>
      </c>
      <c r="J2682" s="4" t="s">
        <v>6987</v>
      </c>
      <c r="K2682" s="44" t="s">
        <v>230</v>
      </c>
      <c r="L2682" s="44" t="s">
        <v>45</v>
      </c>
      <c r="M2682" s="7" t="s">
        <v>45</v>
      </c>
      <c r="N2682" s="12" t="s">
        <v>259</v>
      </c>
      <c r="O2682" s="12" t="s">
        <v>260</v>
      </c>
      <c r="P2682" s="4" t="s">
        <v>261</v>
      </c>
      <c r="Q2682" s="69">
        <v>44365</v>
      </c>
      <c r="R2682" s="11">
        <v>0.82</v>
      </c>
      <c r="S2682" s="4" t="s">
        <v>49</v>
      </c>
      <c r="T2682" s="14"/>
      <c r="U2682" s="14"/>
      <c r="V2682" s="13"/>
      <c r="W2682" s="14"/>
      <c r="X2682" s="42"/>
      <c r="Y2682" s="14"/>
      <c r="Z2682" s="14"/>
      <c r="AA2682" s="14"/>
      <c r="AC2682" s="14"/>
      <c r="AD2682" s="14"/>
      <c r="AE2682" s="14"/>
      <c r="AF2682" s="20"/>
      <c r="AH2682" s="14"/>
      <c r="AI2682" s="14"/>
      <c r="AJ2682" s="14"/>
      <c r="AK2682" s="20"/>
      <c r="AM2682" s="14"/>
      <c r="AN2682" s="14"/>
      <c r="AO2682" s="14"/>
      <c r="AU2682" s="71" t="s">
        <v>53</v>
      </c>
    </row>
    <row r="2683" spans="1:53" s="12" customFormat="1" ht="21" customHeight="1" x14ac:dyDescent="0.3">
      <c r="A2683" s="42" t="s">
        <v>505</v>
      </c>
      <c r="B2683" s="42" t="s">
        <v>6661</v>
      </c>
      <c r="C2683" s="42">
        <v>70</v>
      </c>
      <c r="D2683" s="42">
        <v>717</v>
      </c>
      <c r="E2683" s="42"/>
      <c r="F2683" s="42" t="s">
        <v>6988</v>
      </c>
      <c r="G2683" s="42" t="str">
        <f t="shared" si="63"/>
        <v>7071711040101620</v>
      </c>
      <c r="H2683" s="4" t="s">
        <v>6989</v>
      </c>
      <c r="I2683" s="45">
        <v>11040101620</v>
      </c>
      <c r="J2683" s="4" t="s">
        <v>6990</v>
      </c>
      <c r="K2683" s="44" t="s">
        <v>230</v>
      </c>
      <c r="L2683" s="44">
        <v>3147179501</v>
      </c>
      <c r="M2683" s="7" t="s">
        <v>45</v>
      </c>
      <c r="N2683" s="12" t="s">
        <v>46</v>
      </c>
      <c r="O2683" s="12" t="s">
        <v>47</v>
      </c>
      <c r="P2683" s="4" t="s">
        <v>80</v>
      </c>
      <c r="Q2683" s="69">
        <v>45226</v>
      </c>
      <c r="R2683" s="11">
        <v>0.79500000000000004</v>
      </c>
      <c r="S2683" s="4" t="s">
        <v>49</v>
      </c>
      <c r="T2683" s="14"/>
      <c r="U2683" s="14"/>
      <c r="V2683" s="13"/>
      <c r="W2683" s="14"/>
      <c r="X2683" s="42"/>
      <c r="Y2683" s="14"/>
      <c r="Z2683" s="14"/>
      <c r="AA2683" s="14"/>
      <c r="AC2683" s="14"/>
      <c r="AD2683" s="14"/>
      <c r="AE2683" s="14"/>
      <c r="AF2683" s="20"/>
      <c r="AH2683" s="14"/>
      <c r="AI2683" s="14"/>
      <c r="AJ2683" s="14"/>
      <c r="AK2683" s="20"/>
      <c r="AM2683" s="14"/>
      <c r="AN2683" s="14"/>
      <c r="AO2683" s="14"/>
      <c r="AU2683" s="71" t="s">
        <v>53</v>
      </c>
    </row>
    <row r="2684" spans="1:53" s="42" customFormat="1" ht="21" hidden="1" customHeight="1" x14ac:dyDescent="0.3">
      <c r="A2684" s="42" t="s">
        <v>505</v>
      </c>
      <c r="B2684" s="42" t="s">
        <v>6661</v>
      </c>
      <c r="C2684" s="42">
        <v>70</v>
      </c>
      <c r="D2684" s="42">
        <v>717</v>
      </c>
      <c r="E2684" s="42" t="s">
        <v>8337</v>
      </c>
      <c r="F2684" s="277" t="s">
        <v>6992</v>
      </c>
      <c r="G2684" s="42" t="str">
        <f t="shared" si="63"/>
        <v>707179020247794</v>
      </c>
      <c r="H2684" s="42" t="s">
        <v>6993</v>
      </c>
      <c r="I2684" s="42">
        <v>9020247794</v>
      </c>
      <c r="J2684" s="42" t="s">
        <v>6994</v>
      </c>
      <c r="K2684" s="42" t="s">
        <v>133</v>
      </c>
      <c r="L2684" s="42">
        <v>3103155698</v>
      </c>
      <c r="M2684" s="42" t="s">
        <v>8335</v>
      </c>
      <c r="N2684" s="12" t="s">
        <v>127</v>
      </c>
      <c r="O2684" s="12" t="s">
        <v>2822</v>
      </c>
      <c r="P2684" s="4" t="s">
        <v>48</v>
      </c>
      <c r="Q2684" s="76">
        <v>46080</v>
      </c>
      <c r="R2684" s="42">
        <v>86</v>
      </c>
      <c r="S2684" s="42" t="s">
        <v>49</v>
      </c>
      <c r="U2684" s="42" t="s">
        <v>50</v>
      </c>
      <c r="V2684" s="76">
        <v>45728</v>
      </c>
      <c r="W2684" s="82">
        <v>0.84499999999999997</v>
      </c>
      <c r="X2684" s="42" t="s">
        <v>49</v>
      </c>
      <c r="Z2684" s="42" t="s">
        <v>2881</v>
      </c>
      <c r="AF2684" s="76"/>
      <c r="AK2684" s="76"/>
      <c r="AU2684" s="71" t="s">
        <v>53</v>
      </c>
      <c r="AZ2684" s="12"/>
      <c r="BA2684" s="12"/>
    </row>
    <row r="2685" spans="1:53" s="42" customFormat="1" ht="21" hidden="1" customHeight="1" x14ac:dyDescent="0.3">
      <c r="A2685" s="42" t="s">
        <v>505</v>
      </c>
      <c r="B2685" s="42" t="s">
        <v>6661</v>
      </c>
      <c r="C2685" s="42">
        <v>70</v>
      </c>
      <c r="D2685" s="42">
        <v>717</v>
      </c>
      <c r="E2685" s="42" t="s">
        <v>8337</v>
      </c>
      <c r="F2685" s="277" t="s">
        <v>6995</v>
      </c>
      <c r="G2685" s="42" t="str">
        <f t="shared" si="63"/>
        <v>707179020247794</v>
      </c>
      <c r="H2685" s="42" t="s">
        <v>6993</v>
      </c>
      <c r="I2685" s="42">
        <v>9020247794</v>
      </c>
      <c r="J2685" s="42" t="s">
        <v>6996</v>
      </c>
      <c r="K2685" s="42" t="s">
        <v>133</v>
      </c>
      <c r="L2685" s="42">
        <v>3103155698</v>
      </c>
      <c r="M2685" s="42" t="s">
        <v>8335</v>
      </c>
      <c r="N2685" s="12" t="s">
        <v>127</v>
      </c>
      <c r="O2685" s="12" t="s">
        <v>2822</v>
      </c>
      <c r="P2685" s="4" t="s">
        <v>48</v>
      </c>
      <c r="Q2685" s="76">
        <v>46080</v>
      </c>
      <c r="R2685" s="42" t="s">
        <v>8538</v>
      </c>
      <c r="S2685" s="42" t="s">
        <v>49</v>
      </c>
      <c r="U2685" s="42" t="s">
        <v>50</v>
      </c>
      <c r="V2685" s="76">
        <v>45728</v>
      </c>
      <c r="W2685" s="82">
        <v>0.89500000000000002</v>
      </c>
      <c r="X2685" s="42" t="s">
        <v>49</v>
      </c>
      <c r="Z2685" s="42" t="s">
        <v>2881</v>
      </c>
      <c r="AF2685" s="76"/>
      <c r="AK2685" s="76"/>
      <c r="AU2685" s="71" t="s">
        <v>53</v>
      </c>
      <c r="AZ2685" s="12"/>
      <c r="BA2685" s="12"/>
    </row>
    <row r="2686" spans="1:53" s="42" customFormat="1" ht="21" hidden="1" customHeight="1" x14ac:dyDescent="0.3">
      <c r="A2686" s="42" t="s">
        <v>505</v>
      </c>
      <c r="B2686" s="42" t="s">
        <v>6661</v>
      </c>
      <c r="C2686" s="42">
        <v>70</v>
      </c>
      <c r="D2686" s="42">
        <v>717</v>
      </c>
      <c r="E2686" s="42" t="s">
        <v>6991</v>
      </c>
      <c r="F2686" s="42" t="s">
        <v>6997</v>
      </c>
      <c r="G2686" s="42" t="str">
        <f t="shared" si="63"/>
        <v>70717901748431-0</v>
      </c>
      <c r="H2686" s="42" t="s">
        <v>6993</v>
      </c>
      <c r="I2686" s="42" t="s">
        <v>198</v>
      </c>
      <c r="J2686" s="42" t="s">
        <v>6998</v>
      </c>
      <c r="K2686" s="42" t="s">
        <v>133</v>
      </c>
      <c r="L2686" s="42">
        <v>3233274360</v>
      </c>
      <c r="M2686" s="42" t="s">
        <v>200</v>
      </c>
      <c r="N2686" s="12" t="s">
        <v>127</v>
      </c>
      <c r="O2686" s="12" t="s">
        <v>2822</v>
      </c>
      <c r="P2686" s="4" t="s">
        <v>48</v>
      </c>
      <c r="Q2686" s="76">
        <v>45729</v>
      </c>
      <c r="R2686" s="329">
        <v>0.82499999999999996</v>
      </c>
      <c r="S2686" s="42" t="s">
        <v>49</v>
      </c>
      <c r="V2686" s="76"/>
      <c r="AF2686" s="76"/>
      <c r="AK2686" s="76"/>
      <c r="AU2686" s="71" t="s">
        <v>53</v>
      </c>
      <c r="AZ2686" s="12"/>
      <c r="BA2686" s="12"/>
    </row>
    <row r="2687" spans="1:53" s="42" customFormat="1" ht="21" hidden="1" customHeight="1" x14ac:dyDescent="0.3">
      <c r="A2687" s="42" t="s">
        <v>505</v>
      </c>
      <c r="B2687" s="42" t="s">
        <v>6661</v>
      </c>
      <c r="C2687" s="42">
        <v>70</v>
      </c>
      <c r="D2687" s="42">
        <v>717</v>
      </c>
      <c r="E2687" s="42" t="s">
        <v>8337</v>
      </c>
      <c r="F2687" s="277" t="s">
        <v>8885</v>
      </c>
      <c r="G2687" s="42" t="str">
        <f t="shared" si="63"/>
        <v>707179020247794</v>
      </c>
      <c r="H2687" s="42" t="s">
        <v>6993</v>
      </c>
      <c r="I2687" s="42">
        <v>9020247794</v>
      </c>
      <c r="J2687" s="42" t="s">
        <v>8886</v>
      </c>
      <c r="K2687" s="42" t="s">
        <v>133</v>
      </c>
      <c r="L2687" s="42">
        <v>3103155698</v>
      </c>
      <c r="M2687" s="42" t="s">
        <v>8335</v>
      </c>
      <c r="N2687" s="12" t="s">
        <v>127</v>
      </c>
      <c r="O2687" s="12" t="s">
        <v>2822</v>
      </c>
      <c r="P2687" s="4" t="s">
        <v>48</v>
      </c>
      <c r="Q2687" s="76">
        <v>46139</v>
      </c>
      <c r="R2687" s="42" t="s">
        <v>2148</v>
      </c>
      <c r="S2687" s="42" t="s">
        <v>74</v>
      </c>
      <c r="U2687" s="42" t="s">
        <v>60</v>
      </c>
      <c r="V2687" s="76"/>
      <c r="AF2687" s="76"/>
      <c r="AK2687" s="76"/>
      <c r="AU2687" s="71" t="s">
        <v>53</v>
      </c>
      <c r="AZ2687" s="12"/>
      <c r="BA2687" s="12"/>
    </row>
    <row r="2688" spans="1:53" s="42" customFormat="1" ht="21" hidden="1" customHeight="1" x14ac:dyDescent="0.3">
      <c r="A2688" s="42" t="s">
        <v>505</v>
      </c>
      <c r="B2688" s="42" t="s">
        <v>6661</v>
      </c>
      <c r="C2688" s="42">
        <v>70</v>
      </c>
      <c r="D2688" s="42">
        <v>717</v>
      </c>
      <c r="E2688" s="42" t="s">
        <v>8337</v>
      </c>
      <c r="F2688" s="277" t="s">
        <v>8345</v>
      </c>
      <c r="G2688" s="42" t="str">
        <f t="shared" si="63"/>
        <v>707179020247794</v>
      </c>
      <c r="H2688" s="42" t="s">
        <v>6993</v>
      </c>
      <c r="I2688" s="42">
        <v>9020247794</v>
      </c>
      <c r="J2688" s="42" t="s">
        <v>6999</v>
      </c>
      <c r="K2688" s="42" t="s">
        <v>133</v>
      </c>
      <c r="L2688" s="42">
        <v>3103155698</v>
      </c>
      <c r="M2688" s="42" t="s">
        <v>8335</v>
      </c>
      <c r="N2688" s="12" t="s">
        <v>127</v>
      </c>
      <c r="O2688" s="12" t="s">
        <v>2822</v>
      </c>
      <c r="P2688" s="4" t="s">
        <v>48</v>
      </c>
      <c r="Q2688" s="76">
        <v>46084</v>
      </c>
      <c r="R2688" s="83">
        <v>0.82</v>
      </c>
      <c r="S2688" s="42" t="s">
        <v>49</v>
      </c>
      <c r="U2688" s="42" t="s">
        <v>60</v>
      </c>
      <c r="V2688" s="76">
        <v>45751</v>
      </c>
      <c r="W2688" s="83">
        <v>0.79</v>
      </c>
      <c r="X2688" s="42" t="s">
        <v>49</v>
      </c>
      <c r="Z2688" s="42" t="s">
        <v>2881</v>
      </c>
      <c r="AF2688" s="76"/>
      <c r="AK2688" s="76"/>
      <c r="AU2688" s="71" t="s">
        <v>53</v>
      </c>
      <c r="AZ2688" s="12"/>
      <c r="BA2688" s="12"/>
    </row>
    <row r="2689" spans="1:53" s="42" customFormat="1" ht="21" hidden="1" customHeight="1" x14ac:dyDescent="0.3">
      <c r="A2689" s="42" t="s">
        <v>505</v>
      </c>
      <c r="B2689" s="42" t="s">
        <v>6661</v>
      </c>
      <c r="C2689" s="42">
        <v>70</v>
      </c>
      <c r="D2689" s="42">
        <v>717</v>
      </c>
      <c r="E2689" s="42" t="s">
        <v>8337</v>
      </c>
      <c r="F2689" s="277" t="s">
        <v>8344</v>
      </c>
      <c r="G2689" s="42" t="str">
        <f t="shared" si="63"/>
        <v>707179020247794</v>
      </c>
      <c r="H2689" s="42" t="s">
        <v>6993</v>
      </c>
      <c r="I2689" s="42">
        <v>9020247794</v>
      </c>
      <c r="J2689" s="42" t="s">
        <v>7000</v>
      </c>
      <c r="K2689" s="42" t="s">
        <v>133</v>
      </c>
      <c r="L2689" s="42">
        <v>3103155698</v>
      </c>
      <c r="M2689" s="42" t="s">
        <v>8335</v>
      </c>
      <c r="N2689" s="12" t="s">
        <v>127</v>
      </c>
      <c r="O2689" s="12" t="s">
        <v>2822</v>
      </c>
      <c r="P2689" s="4" t="s">
        <v>48</v>
      </c>
      <c r="Q2689" s="76">
        <v>46084</v>
      </c>
      <c r="R2689" s="42" t="s">
        <v>186</v>
      </c>
      <c r="S2689" s="42" t="s">
        <v>49</v>
      </c>
      <c r="U2689" s="42" t="s">
        <v>60</v>
      </c>
      <c r="V2689" s="76">
        <v>45751</v>
      </c>
      <c r="W2689" s="329">
        <v>0.83499999999999996</v>
      </c>
      <c r="X2689" s="42" t="s">
        <v>49</v>
      </c>
      <c r="Z2689" s="42" t="s">
        <v>2881</v>
      </c>
      <c r="AF2689" s="76"/>
      <c r="AK2689" s="76"/>
      <c r="AU2689" s="71" t="s">
        <v>53</v>
      </c>
      <c r="AZ2689" s="12"/>
      <c r="BA2689" s="12"/>
    </row>
    <row r="2690" spans="1:53" s="42" customFormat="1" ht="21" hidden="1" customHeight="1" x14ac:dyDescent="0.3">
      <c r="A2690" s="42" t="s">
        <v>505</v>
      </c>
      <c r="B2690" s="42" t="s">
        <v>6661</v>
      </c>
      <c r="C2690" s="42">
        <v>70</v>
      </c>
      <c r="D2690" s="42">
        <v>717</v>
      </c>
      <c r="F2690" s="42" t="s">
        <v>7001</v>
      </c>
      <c r="G2690" s="42" t="str">
        <f t="shared" si="63"/>
        <v>7071773211644</v>
      </c>
      <c r="H2690" s="42" t="s">
        <v>7002</v>
      </c>
      <c r="I2690" s="42">
        <v>73211644</v>
      </c>
      <c r="J2690" s="42" t="s">
        <v>7003</v>
      </c>
      <c r="K2690" s="42" t="s">
        <v>230</v>
      </c>
      <c r="L2690" s="42">
        <v>3234496284</v>
      </c>
      <c r="M2690" s="42" t="s">
        <v>7004</v>
      </c>
      <c r="N2690" s="12" t="s">
        <v>259</v>
      </c>
      <c r="O2690" s="12" t="s">
        <v>260</v>
      </c>
      <c r="P2690" s="4" t="s">
        <v>261</v>
      </c>
      <c r="Q2690" s="76"/>
      <c r="R2690" s="82"/>
      <c r="V2690" s="76"/>
      <c r="AF2690" s="76"/>
      <c r="AK2690" s="76"/>
      <c r="AU2690" s="71" t="s">
        <v>53</v>
      </c>
      <c r="AZ2690" s="12"/>
      <c r="BA2690" s="12"/>
    </row>
    <row r="2691" spans="1:53" s="42" customFormat="1" ht="21" hidden="1" customHeight="1" x14ac:dyDescent="0.3">
      <c r="A2691" s="42" t="s">
        <v>505</v>
      </c>
      <c r="B2691" s="42" t="s">
        <v>6661</v>
      </c>
      <c r="C2691" s="42">
        <v>70</v>
      </c>
      <c r="D2691" s="42">
        <v>717</v>
      </c>
      <c r="F2691" s="42" t="s">
        <v>7005</v>
      </c>
      <c r="G2691" s="42" t="str">
        <f t="shared" si="63"/>
        <v>707171104013069-2</v>
      </c>
      <c r="I2691" s="42" t="s">
        <v>7006</v>
      </c>
      <c r="J2691" s="42" t="s">
        <v>7007</v>
      </c>
      <c r="K2691" s="42" t="s">
        <v>230</v>
      </c>
      <c r="L2691" s="42">
        <v>3206456479</v>
      </c>
      <c r="M2691" s="42" t="s">
        <v>7008</v>
      </c>
      <c r="N2691" s="12" t="s">
        <v>46</v>
      </c>
      <c r="O2691" s="12" t="s">
        <v>2797</v>
      </c>
      <c r="P2691" s="4" t="s">
        <v>261</v>
      </c>
      <c r="Q2691" s="76"/>
      <c r="R2691" s="82"/>
      <c r="V2691" s="76"/>
      <c r="AF2691" s="76"/>
      <c r="AK2691" s="76"/>
      <c r="AU2691" s="71" t="s">
        <v>53</v>
      </c>
      <c r="AZ2691" s="12"/>
      <c r="BA2691" s="12"/>
    </row>
    <row r="2692" spans="1:53" s="42" customFormat="1" ht="21" hidden="1" customHeight="1" x14ac:dyDescent="0.3">
      <c r="A2692" s="42" t="s">
        <v>505</v>
      </c>
      <c r="B2692" s="42" t="s">
        <v>6661</v>
      </c>
      <c r="C2692" s="42">
        <v>70</v>
      </c>
      <c r="D2692" s="42">
        <v>717</v>
      </c>
      <c r="F2692" s="42" t="s">
        <v>7009</v>
      </c>
      <c r="G2692" s="42" t="str">
        <f t="shared" ref="G2692:G2695" si="64">C2692&amp;D2692&amp;I2692</f>
        <v>7071770697877-8</v>
      </c>
      <c r="H2692" s="42" t="s">
        <v>7010</v>
      </c>
      <c r="I2692" s="42" t="s">
        <v>6969</v>
      </c>
      <c r="J2692" s="42" t="s">
        <v>7011</v>
      </c>
      <c r="K2692" s="42" t="s">
        <v>230</v>
      </c>
      <c r="L2692" s="42">
        <v>3128552710</v>
      </c>
      <c r="M2692" s="42" t="s">
        <v>7012</v>
      </c>
      <c r="N2692" s="12" t="s">
        <v>46</v>
      </c>
      <c r="O2692" s="42" t="s">
        <v>521</v>
      </c>
      <c r="P2692" s="4" t="s">
        <v>80</v>
      </c>
      <c r="Q2692" s="76"/>
      <c r="R2692" s="82"/>
      <c r="V2692" s="76"/>
      <c r="AF2692" s="76"/>
      <c r="AK2692" s="76"/>
      <c r="AU2692" s="71" t="s">
        <v>53</v>
      </c>
      <c r="AZ2692" s="12"/>
      <c r="BA2692" s="12"/>
    </row>
    <row r="2693" spans="1:53" s="42" customFormat="1" ht="21" hidden="1" customHeight="1" x14ac:dyDescent="0.3">
      <c r="A2693" s="42" t="s">
        <v>505</v>
      </c>
      <c r="B2693" s="42" t="s">
        <v>6661</v>
      </c>
      <c r="C2693" s="42">
        <v>70</v>
      </c>
      <c r="D2693" s="42">
        <v>717</v>
      </c>
      <c r="F2693" s="42" t="s">
        <v>7013</v>
      </c>
      <c r="G2693" s="42" t="str">
        <f t="shared" si="64"/>
        <v>707171043653375-6</v>
      </c>
      <c r="H2693" s="42" t="s">
        <v>7014</v>
      </c>
      <c r="I2693" s="42" t="s">
        <v>7015</v>
      </c>
      <c r="J2693" s="42" t="s">
        <v>7016</v>
      </c>
      <c r="K2693" s="42" t="s">
        <v>230</v>
      </c>
      <c r="L2693" s="42">
        <v>3106152538</v>
      </c>
      <c r="M2693" s="42" t="s">
        <v>7017</v>
      </c>
      <c r="N2693" s="12" t="s">
        <v>432</v>
      </c>
      <c r="O2693" s="12" t="s">
        <v>432</v>
      </c>
      <c r="P2693" s="4" t="s">
        <v>261</v>
      </c>
      <c r="Q2693" s="76">
        <v>45665</v>
      </c>
      <c r="R2693" s="82">
        <v>0.92500000000000004</v>
      </c>
      <c r="S2693" s="42" t="s">
        <v>210</v>
      </c>
      <c r="T2693" s="42" t="s">
        <v>6769</v>
      </c>
      <c r="U2693" s="42" t="s">
        <v>60</v>
      </c>
      <c r="V2693" s="76"/>
      <c r="AF2693" s="76"/>
      <c r="AK2693" s="76"/>
      <c r="AU2693" s="71" t="s">
        <v>53</v>
      </c>
      <c r="AZ2693" s="12"/>
      <c r="BA2693" s="12"/>
    </row>
    <row r="2694" spans="1:53" s="42" customFormat="1" ht="21" hidden="1" customHeight="1" x14ac:dyDescent="0.3">
      <c r="A2694" s="42" t="s">
        <v>505</v>
      </c>
      <c r="B2694" s="42" t="s">
        <v>6661</v>
      </c>
      <c r="C2694" s="42">
        <v>70</v>
      </c>
      <c r="D2694" s="42">
        <v>717</v>
      </c>
      <c r="E2694" s="42" t="s">
        <v>8337</v>
      </c>
      <c r="F2694" s="277" t="s">
        <v>8346</v>
      </c>
      <c r="G2694" s="42" t="str">
        <f t="shared" si="64"/>
        <v>707179020247794</v>
      </c>
      <c r="H2694" s="42" t="s">
        <v>6993</v>
      </c>
      <c r="I2694" s="42">
        <v>9020247794</v>
      </c>
      <c r="J2694" s="42" t="s">
        <v>6998</v>
      </c>
      <c r="K2694" s="42" t="s">
        <v>192</v>
      </c>
      <c r="L2694" s="42">
        <v>3103155698</v>
      </c>
      <c r="M2694" s="42" t="s">
        <v>8335</v>
      </c>
      <c r="N2694" s="12" t="s">
        <v>127</v>
      </c>
      <c r="O2694" s="12" t="s">
        <v>2822</v>
      </c>
      <c r="P2694" s="4" t="s">
        <v>48</v>
      </c>
      <c r="Q2694" s="76">
        <v>46091</v>
      </c>
      <c r="R2694" s="42" t="s">
        <v>186</v>
      </c>
      <c r="S2694" s="42" t="s">
        <v>49</v>
      </c>
      <c r="U2694" s="42" t="s">
        <v>60</v>
      </c>
      <c r="V2694" s="76">
        <v>45729</v>
      </c>
      <c r="W2694" s="83" t="s">
        <v>1937</v>
      </c>
      <c r="X2694" s="42" t="s">
        <v>49</v>
      </c>
      <c r="Z2694" s="42" t="s">
        <v>2881</v>
      </c>
      <c r="AF2694" s="76"/>
      <c r="AK2694" s="76"/>
      <c r="AU2694" s="71" t="s">
        <v>53</v>
      </c>
      <c r="AZ2694" s="12"/>
      <c r="BA2694" s="12"/>
    </row>
    <row r="2695" spans="1:53" s="42" customFormat="1" ht="21" hidden="1" customHeight="1" x14ac:dyDescent="0.3">
      <c r="A2695" s="42" t="s">
        <v>505</v>
      </c>
      <c r="B2695" s="42" t="s">
        <v>6661</v>
      </c>
      <c r="C2695" s="42">
        <v>70</v>
      </c>
      <c r="D2695" s="42">
        <v>717</v>
      </c>
      <c r="E2695" s="42" t="s">
        <v>6621</v>
      </c>
      <c r="F2695" s="42" t="s">
        <v>7018</v>
      </c>
      <c r="G2695" s="42" t="str">
        <f t="shared" si="64"/>
        <v>70717900759939-3</v>
      </c>
      <c r="H2695" s="42" t="s">
        <v>6623</v>
      </c>
      <c r="I2695" s="42" t="s">
        <v>6624</v>
      </c>
      <c r="J2695" s="42" t="s">
        <v>6713</v>
      </c>
      <c r="K2695" s="42" t="s">
        <v>230</v>
      </c>
      <c r="L2695" s="42">
        <v>3003210410</v>
      </c>
      <c r="M2695" s="42" t="s">
        <v>6626</v>
      </c>
      <c r="N2695" s="12" t="s">
        <v>127</v>
      </c>
      <c r="O2695" s="12" t="s">
        <v>2822</v>
      </c>
      <c r="P2695" s="4" t="s">
        <v>48</v>
      </c>
      <c r="Q2695" s="76">
        <v>45867</v>
      </c>
      <c r="R2695" s="82">
        <v>0.86499999999999999</v>
      </c>
      <c r="S2695" s="42" t="s">
        <v>49</v>
      </c>
      <c r="V2695" s="76">
        <v>45509</v>
      </c>
      <c r="W2695" s="84">
        <v>0.89</v>
      </c>
      <c r="X2695" s="42" t="s">
        <v>49</v>
      </c>
      <c r="AF2695" s="76"/>
      <c r="AK2695" s="76"/>
      <c r="AU2695" s="71" t="s">
        <v>53</v>
      </c>
      <c r="AZ2695" s="12"/>
      <c r="BA2695" s="12"/>
    </row>
    <row r="2696" spans="1:53" s="42" customFormat="1" ht="21" customHeight="1" x14ac:dyDescent="0.3">
      <c r="A2696" s="42" t="s">
        <v>505</v>
      </c>
      <c r="B2696" s="42" t="s">
        <v>6661</v>
      </c>
      <c r="C2696" s="42">
        <v>70</v>
      </c>
      <c r="D2696" s="42">
        <v>717</v>
      </c>
      <c r="F2696" s="42" t="s">
        <v>7019</v>
      </c>
      <c r="G2696" s="42" t="str">
        <f>C2696 &amp; D2696 &amp; SUBSTITUTE(I2696, "-", "")</f>
        <v>7071792192228</v>
      </c>
      <c r="H2696" s="42" t="s">
        <v>7020</v>
      </c>
      <c r="I2696" s="42">
        <v>92192228</v>
      </c>
      <c r="J2696" s="42" t="s">
        <v>7021</v>
      </c>
      <c r="K2696" s="42" t="s">
        <v>230</v>
      </c>
      <c r="L2696" s="42">
        <v>3105566211</v>
      </c>
      <c r="M2696" s="42" t="s">
        <v>7022</v>
      </c>
      <c r="N2696" s="12" t="s">
        <v>46</v>
      </c>
      <c r="O2696" s="12" t="s">
        <v>47</v>
      </c>
      <c r="P2696" s="4" t="s">
        <v>80</v>
      </c>
      <c r="Q2696" s="76">
        <v>45999</v>
      </c>
      <c r="R2696" s="82">
        <v>0.875</v>
      </c>
      <c r="S2696" s="42" t="s">
        <v>49</v>
      </c>
      <c r="T2696" s="42" t="s">
        <v>6769</v>
      </c>
      <c r="U2696" s="42" t="s">
        <v>60</v>
      </c>
      <c r="V2696" s="76"/>
      <c r="AF2696" s="76"/>
      <c r="AK2696" s="76"/>
      <c r="AU2696" s="71" t="s">
        <v>53</v>
      </c>
      <c r="AZ2696" s="12"/>
      <c r="BA2696" s="12"/>
    </row>
    <row r="2697" spans="1:53" s="42" customFormat="1" ht="21" customHeight="1" x14ac:dyDescent="0.3">
      <c r="A2697" s="42" t="s">
        <v>505</v>
      </c>
      <c r="B2697" s="42" t="s">
        <v>6661</v>
      </c>
      <c r="C2697" s="42">
        <v>70</v>
      </c>
      <c r="D2697" s="42">
        <v>717</v>
      </c>
      <c r="F2697" s="42" t="s">
        <v>7023</v>
      </c>
      <c r="G2697" s="42" t="str">
        <f>C2697 &amp; D2697 &amp; SUBSTITUTE(I2697, "-", "")</f>
        <v>70717644800707</v>
      </c>
      <c r="H2697" s="42" t="s">
        <v>7024</v>
      </c>
      <c r="I2697" s="42" t="s">
        <v>7025</v>
      </c>
      <c r="J2697" s="42" t="s">
        <v>7026</v>
      </c>
      <c r="K2697" s="42" t="s">
        <v>230</v>
      </c>
      <c r="L2697" s="42">
        <v>3147416503</v>
      </c>
      <c r="M2697" s="42" t="s">
        <v>7027</v>
      </c>
      <c r="N2697" s="12" t="s">
        <v>46</v>
      </c>
      <c r="O2697" s="12" t="s">
        <v>47</v>
      </c>
      <c r="P2697" s="4" t="s">
        <v>80</v>
      </c>
      <c r="Q2697" s="76">
        <v>45665</v>
      </c>
      <c r="R2697" s="83">
        <v>0.89</v>
      </c>
      <c r="S2697" s="42" t="s">
        <v>49</v>
      </c>
      <c r="T2697" s="42" t="s">
        <v>6769</v>
      </c>
      <c r="V2697" s="76"/>
      <c r="AF2697" s="76"/>
      <c r="AK2697" s="76"/>
      <c r="AU2697" s="71" t="s">
        <v>53</v>
      </c>
      <c r="AZ2697" s="12"/>
      <c r="BA2697" s="12"/>
    </row>
    <row r="2698" spans="1:53" s="42" customFormat="1" ht="27.75" hidden="1" customHeight="1" x14ac:dyDescent="0.3">
      <c r="A2698" s="42" t="s">
        <v>505</v>
      </c>
      <c r="B2698" s="42" t="s">
        <v>6661</v>
      </c>
      <c r="C2698" s="42">
        <v>70</v>
      </c>
      <c r="D2698" s="42">
        <v>717</v>
      </c>
      <c r="E2698" s="42" t="s">
        <v>7028</v>
      </c>
      <c r="F2698" s="42" t="s">
        <v>7029</v>
      </c>
      <c r="G2698" s="80">
        <v>707179018916318</v>
      </c>
      <c r="H2698" s="42" t="s">
        <v>7030</v>
      </c>
      <c r="I2698" s="42" t="s">
        <v>7031</v>
      </c>
      <c r="J2698" s="42" t="s">
        <v>7032</v>
      </c>
      <c r="K2698" s="42" t="s">
        <v>230</v>
      </c>
      <c r="L2698" s="42">
        <v>3008156087</v>
      </c>
      <c r="M2698" s="42" t="s">
        <v>7033</v>
      </c>
      <c r="N2698" s="42" t="s">
        <v>2901</v>
      </c>
      <c r="O2698" s="88" t="s">
        <v>4949</v>
      </c>
      <c r="P2698" s="4" t="s">
        <v>261</v>
      </c>
      <c r="Q2698" s="76">
        <v>45737</v>
      </c>
      <c r="R2698" s="82">
        <v>0.96</v>
      </c>
      <c r="S2698" s="42" t="s">
        <v>210</v>
      </c>
      <c r="U2698" s="42" t="s">
        <v>2456</v>
      </c>
      <c r="V2698" s="76"/>
      <c r="AF2698" s="76"/>
      <c r="AK2698" s="76"/>
      <c r="AU2698" s="71" t="s">
        <v>53</v>
      </c>
      <c r="AZ2698" s="12"/>
      <c r="BA2698" s="12"/>
    </row>
    <row r="2699" spans="1:53" s="14" customFormat="1" ht="27.75" hidden="1" customHeight="1" x14ac:dyDescent="0.3">
      <c r="A2699" s="14" t="s">
        <v>39</v>
      </c>
      <c r="B2699" s="14" t="s">
        <v>7068</v>
      </c>
      <c r="C2699" s="14">
        <v>70</v>
      </c>
      <c r="D2699" s="14">
        <v>820</v>
      </c>
      <c r="F2699" s="14" t="s">
        <v>7037</v>
      </c>
      <c r="G2699" s="14" t="str">
        <f t="shared" ref="G2699:G2771" si="65">C2699&amp;D2699&amp;I2699</f>
        <v>70820800144364-6</v>
      </c>
      <c r="H2699" s="14" t="s">
        <v>7038</v>
      </c>
      <c r="I2699" s="19" t="s">
        <v>1910</v>
      </c>
      <c r="J2699" s="14" t="s">
        <v>7039</v>
      </c>
      <c r="K2699" s="14" t="s">
        <v>230</v>
      </c>
      <c r="L2699" s="14">
        <v>3136499227</v>
      </c>
      <c r="M2699" s="14" t="s">
        <v>7040</v>
      </c>
      <c r="N2699" s="12" t="s">
        <v>127</v>
      </c>
      <c r="O2699" s="12" t="s">
        <v>2822</v>
      </c>
      <c r="P2699" s="176" t="s">
        <v>48</v>
      </c>
      <c r="Q2699" s="20">
        <v>45840</v>
      </c>
      <c r="R2699" s="22">
        <v>0.93500000000000005</v>
      </c>
      <c r="S2699" s="14" t="s">
        <v>210</v>
      </c>
      <c r="T2699" s="14" t="s">
        <v>7041</v>
      </c>
      <c r="U2699" s="14" t="s">
        <v>60</v>
      </c>
      <c r="V2699" s="20">
        <v>45517</v>
      </c>
      <c r="W2699" s="23">
        <v>0.81</v>
      </c>
      <c r="X2699" s="14" t="s">
        <v>49</v>
      </c>
      <c r="AC2699" s="20">
        <v>44869</v>
      </c>
      <c r="AD2699" s="21">
        <v>0.89</v>
      </c>
      <c r="AE2699" s="14" t="s">
        <v>49</v>
      </c>
      <c r="AU2699" s="330" t="s">
        <v>53</v>
      </c>
    </row>
    <row r="2700" spans="1:53" s="14" customFormat="1" ht="27.75" hidden="1" customHeight="1" x14ac:dyDescent="0.3">
      <c r="A2700" s="14" t="s">
        <v>39</v>
      </c>
      <c r="B2700" s="14" t="s">
        <v>7068</v>
      </c>
      <c r="C2700" s="14">
        <v>70</v>
      </c>
      <c r="D2700" s="14">
        <v>820</v>
      </c>
      <c r="F2700" s="14" t="s">
        <v>7042</v>
      </c>
      <c r="G2700" s="14" t="str">
        <f t="shared" si="65"/>
        <v>70820800144364-6</v>
      </c>
      <c r="H2700" s="14" t="s">
        <v>7043</v>
      </c>
      <c r="I2700" s="19" t="s">
        <v>1910</v>
      </c>
      <c r="J2700" s="14" t="s">
        <v>2060</v>
      </c>
      <c r="K2700" s="14" t="s">
        <v>230</v>
      </c>
      <c r="L2700" s="14">
        <v>3108987915</v>
      </c>
      <c r="M2700" s="14" t="s">
        <v>7044</v>
      </c>
      <c r="N2700" s="12" t="s">
        <v>127</v>
      </c>
      <c r="O2700" s="12" t="s">
        <v>2822</v>
      </c>
      <c r="P2700" s="176" t="s">
        <v>48</v>
      </c>
      <c r="Q2700" s="20">
        <v>45812</v>
      </c>
      <c r="R2700" s="21">
        <v>0.81</v>
      </c>
      <c r="S2700" s="14" t="s">
        <v>49</v>
      </c>
      <c r="T2700" s="14" t="s">
        <v>7041</v>
      </c>
      <c r="U2700" s="14" t="s">
        <v>60</v>
      </c>
      <c r="V2700" s="20">
        <v>45551</v>
      </c>
      <c r="W2700" s="23">
        <v>0.86</v>
      </c>
      <c r="X2700" s="14" t="s">
        <v>49</v>
      </c>
      <c r="AC2700" s="20" t="s">
        <v>1272</v>
      </c>
      <c r="AD2700" s="21">
        <v>0.86</v>
      </c>
      <c r="AE2700" s="14" t="s">
        <v>49</v>
      </c>
      <c r="AU2700" s="330" t="s">
        <v>53</v>
      </c>
    </row>
    <row r="2701" spans="1:53" s="14" customFormat="1" ht="27.75" hidden="1" customHeight="1" x14ac:dyDescent="0.3">
      <c r="A2701" s="14" t="s">
        <v>39</v>
      </c>
      <c r="B2701" s="14" t="s">
        <v>7068</v>
      </c>
      <c r="C2701" s="14">
        <v>70</v>
      </c>
      <c r="D2701" s="14">
        <v>820</v>
      </c>
      <c r="F2701" s="14" t="s">
        <v>7045</v>
      </c>
      <c r="G2701" s="14" t="str">
        <f t="shared" si="65"/>
        <v>70820800144364-6</v>
      </c>
      <c r="H2701" s="14" t="s">
        <v>7043</v>
      </c>
      <c r="I2701" s="19" t="s">
        <v>1910</v>
      </c>
      <c r="J2701" s="14" t="s">
        <v>7046</v>
      </c>
      <c r="K2701" s="14" t="s">
        <v>230</v>
      </c>
      <c r="L2701" s="14">
        <v>3107359176</v>
      </c>
      <c r="M2701" s="14" t="s">
        <v>7047</v>
      </c>
      <c r="N2701" s="12" t="s">
        <v>127</v>
      </c>
      <c r="O2701" s="12" t="s">
        <v>2822</v>
      </c>
      <c r="P2701" s="176" t="s">
        <v>48</v>
      </c>
      <c r="Q2701" s="20">
        <v>45777</v>
      </c>
      <c r="R2701" s="22">
        <v>0.89500000000000002</v>
      </c>
      <c r="S2701" s="14" t="s">
        <v>49</v>
      </c>
      <c r="T2701" s="14" t="s">
        <v>7041</v>
      </c>
      <c r="U2701" s="14" t="s">
        <v>60</v>
      </c>
      <c r="V2701" s="20">
        <v>45488</v>
      </c>
      <c r="W2701" s="23">
        <v>0.77500000000000002</v>
      </c>
      <c r="X2701" s="14" t="s">
        <v>49</v>
      </c>
      <c r="AC2701" s="20">
        <v>45114</v>
      </c>
      <c r="AD2701" s="22">
        <v>0.70499999999999996</v>
      </c>
      <c r="AE2701" s="14" t="s">
        <v>49</v>
      </c>
      <c r="AF2701" s="14" t="s">
        <v>50</v>
      </c>
      <c r="AU2701" s="330" t="s">
        <v>53</v>
      </c>
    </row>
    <row r="2702" spans="1:53" s="14" customFormat="1" ht="27.75" hidden="1" customHeight="1" x14ac:dyDescent="0.3">
      <c r="A2702" s="14" t="s">
        <v>39</v>
      </c>
      <c r="B2702" s="14" t="s">
        <v>7068</v>
      </c>
      <c r="C2702" s="14">
        <v>70</v>
      </c>
      <c r="D2702" s="14">
        <v>820</v>
      </c>
      <c r="F2702" s="14" t="s">
        <v>7048</v>
      </c>
      <c r="G2702" s="14" t="str">
        <f t="shared" si="65"/>
        <v>70820800144364-6</v>
      </c>
      <c r="H2702" s="14" t="s">
        <v>7043</v>
      </c>
      <c r="I2702" s="19" t="s">
        <v>1910</v>
      </c>
      <c r="J2702" s="14" t="s">
        <v>7049</v>
      </c>
      <c r="K2702" s="14" t="s">
        <v>230</v>
      </c>
      <c r="L2702" s="14">
        <v>3004454345</v>
      </c>
      <c r="M2702" s="14" t="s">
        <v>193</v>
      </c>
      <c r="N2702" s="12" t="s">
        <v>127</v>
      </c>
      <c r="O2702" s="12" t="s">
        <v>2822</v>
      </c>
      <c r="P2702" s="176" t="s">
        <v>48</v>
      </c>
      <c r="Q2702" s="20">
        <v>45812</v>
      </c>
      <c r="R2702" s="21">
        <v>0.86</v>
      </c>
      <c r="S2702" s="14" t="s">
        <v>49</v>
      </c>
      <c r="T2702" s="14" t="s">
        <v>7041</v>
      </c>
      <c r="U2702" s="14" t="s">
        <v>60</v>
      </c>
      <c r="V2702" s="20">
        <v>45547</v>
      </c>
      <c r="W2702" s="23">
        <v>0.87</v>
      </c>
      <c r="X2702" s="14" t="s">
        <v>49</v>
      </c>
      <c r="AC2702" s="20">
        <v>45154</v>
      </c>
      <c r="AD2702" s="21">
        <v>0.97</v>
      </c>
      <c r="AE2702" s="14" t="s">
        <v>319</v>
      </c>
      <c r="AU2702" s="330" t="s">
        <v>53</v>
      </c>
    </row>
    <row r="2703" spans="1:53" s="14" customFormat="1" ht="27.75" hidden="1" customHeight="1" x14ac:dyDescent="0.3">
      <c r="A2703" s="14" t="s">
        <v>39</v>
      </c>
      <c r="B2703" s="14" t="s">
        <v>7068</v>
      </c>
      <c r="C2703" s="14">
        <v>70</v>
      </c>
      <c r="D2703" s="14">
        <v>820</v>
      </c>
      <c r="F2703" s="14" t="s">
        <v>7050</v>
      </c>
      <c r="G2703" s="14" t="str">
        <f t="shared" si="65"/>
        <v>708209014353910</v>
      </c>
      <c r="H2703" s="14" t="s">
        <v>7051</v>
      </c>
      <c r="I2703" s="19">
        <v>9014353910</v>
      </c>
      <c r="J2703" s="14" t="s">
        <v>7052</v>
      </c>
      <c r="K2703" s="14" t="s">
        <v>230</v>
      </c>
      <c r="L2703" s="14">
        <v>3106834608</v>
      </c>
      <c r="N2703" s="12" t="s">
        <v>127</v>
      </c>
      <c r="O2703" s="12" t="s">
        <v>2822</v>
      </c>
      <c r="P2703" s="176" t="s">
        <v>48</v>
      </c>
      <c r="Q2703" s="20">
        <v>44868</v>
      </c>
      <c r="R2703" s="21">
        <v>0.85</v>
      </c>
      <c r="S2703" s="14" t="s">
        <v>49</v>
      </c>
      <c r="U2703" s="14" t="s">
        <v>60</v>
      </c>
      <c r="W2703" s="23"/>
      <c r="AU2703" s="330" t="s">
        <v>53</v>
      </c>
    </row>
    <row r="2704" spans="1:53" s="14" customFormat="1" ht="27.75" hidden="1" customHeight="1" x14ac:dyDescent="0.3">
      <c r="A2704" s="14" t="s">
        <v>39</v>
      </c>
      <c r="B2704" s="14" t="s">
        <v>7068</v>
      </c>
      <c r="C2704" s="14">
        <v>70</v>
      </c>
      <c r="D2704" s="14">
        <v>820</v>
      </c>
      <c r="F2704" s="14" t="s">
        <v>7053</v>
      </c>
      <c r="G2704" s="14" t="str">
        <f t="shared" si="65"/>
        <v>70820901687022-9</v>
      </c>
      <c r="H2704" s="14" t="s">
        <v>7054</v>
      </c>
      <c r="I2704" s="19" t="s">
        <v>7055</v>
      </c>
      <c r="J2704" s="14" t="s">
        <v>1004</v>
      </c>
      <c r="K2704" s="14" t="s">
        <v>230</v>
      </c>
      <c r="L2704" s="14" t="s">
        <v>193</v>
      </c>
      <c r="N2704" s="12" t="s">
        <v>127</v>
      </c>
      <c r="O2704" s="12" t="s">
        <v>2822</v>
      </c>
      <c r="P2704" s="176" t="s">
        <v>48</v>
      </c>
      <c r="Q2704" s="20">
        <v>45195</v>
      </c>
      <c r="R2704" s="22">
        <v>0.92500000000000004</v>
      </c>
      <c r="S2704" s="14" t="s">
        <v>319</v>
      </c>
      <c r="U2704" s="14" t="s">
        <v>60</v>
      </c>
      <c r="W2704" s="23"/>
      <c r="AU2704" s="330" t="s">
        <v>53</v>
      </c>
    </row>
    <row r="2705" spans="1:52" s="14" customFormat="1" ht="27.75" hidden="1" customHeight="1" x14ac:dyDescent="0.3">
      <c r="A2705" s="14" t="s">
        <v>39</v>
      </c>
      <c r="B2705" s="14" t="s">
        <v>7068</v>
      </c>
      <c r="C2705" s="14">
        <v>70</v>
      </c>
      <c r="D2705" s="14">
        <v>820</v>
      </c>
      <c r="E2705" s="14" t="s">
        <v>8337</v>
      </c>
      <c r="F2705" s="276" t="s">
        <v>7057</v>
      </c>
      <c r="G2705" s="14" t="str">
        <f t="shared" si="65"/>
        <v>708209020247794</v>
      </c>
      <c r="H2705" s="14" t="s">
        <v>8888</v>
      </c>
      <c r="I2705" s="19">
        <v>9020247794</v>
      </c>
      <c r="J2705" s="14" t="s">
        <v>7058</v>
      </c>
      <c r="K2705" s="14" t="s">
        <v>133</v>
      </c>
      <c r="L2705" s="14">
        <v>3007092613</v>
      </c>
      <c r="M2705" s="14" t="s">
        <v>8458</v>
      </c>
      <c r="N2705" s="12" t="s">
        <v>127</v>
      </c>
      <c r="O2705" s="12" t="s">
        <v>2822</v>
      </c>
      <c r="P2705" s="176" t="s">
        <v>48</v>
      </c>
      <c r="Q2705" s="20">
        <v>46086</v>
      </c>
      <c r="R2705" s="14" t="s">
        <v>1071</v>
      </c>
      <c r="S2705" s="14" t="s">
        <v>49</v>
      </c>
      <c r="V2705" s="20">
        <v>45783</v>
      </c>
      <c r="W2705" s="21">
        <v>0.94</v>
      </c>
      <c r="X2705" s="14" t="s">
        <v>319</v>
      </c>
      <c r="Z2705" s="14" t="s">
        <v>2881</v>
      </c>
      <c r="AU2705" s="330" t="s">
        <v>53</v>
      </c>
    </row>
    <row r="2706" spans="1:52" s="14" customFormat="1" ht="27.75" hidden="1" customHeight="1" x14ac:dyDescent="0.3">
      <c r="A2706" s="14" t="s">
        <v>39</v>
      </c>
      <c r="B2706" s="14" t="s">
        <v>7068</v>
      </c>
      <c r="C2706" s="14">
        <v>70</v>
      </c>
      <c r="D2706" s="14">
        <v>820</v>
      </c>
      <c r="E2706" s="14" t="s">
        <v>7056</v>
      </c>
      <c r="F2706" s="14" t="s">
        <v>7059</v>
      </c>
      <c r="G2706" s="14" t="str">
        <f t="shared" si="65"/>
        <v>70820901748431-0</v>
      </c>
      <c r="H2706" s="14" t="s">
        <v>8888</v>
      </c>
      <c r="I2706" s="19" t="s">
        <v>198</v>
      </c>
      <c r="J2706" s="14" t="s">
        <v>7060</v>
      </c>
      <c r="K2706" s="14" t="s">
        <v>133</v>
      </c>
      <c r="L2706" s="14">
        <v>3044469873</v>
      </c>
      <c r="M2706" s="14" t="s">
        <v>788</v>
      </c>
      <c r="N2706" s="12" t="s">
        <v>127</v>
      </c>
      <c r="O2706" s="12" t="s">
        <v>2822</v>
      </c>
      <c r="P2706" s="176" t="s">
        <v>48</v>
      </c>
      <c r="Q2706" s="20">
        <v>45779</v>
      </c>
      <c r="R2706" s="22">
        <v>0.86499999999999999</v>
      </c>
      <c r="S2706" s="14" t="s">
        <v>49</v>
      </c>
      <c r="T2706" s="14" t="s">
        <v>7041</v>
      </c>
      <c r="U2706" s="14" t="s">
        <v>60</v>
      </c>
      <c r="W2706" s="23"/>
      <c r="AU2706" s="330" t="s">
        <v>53</v>
      </c>
    </row>
    <row r="2707" spans="1:52" s="14" customFormat="1" ht="27.75" hidden="1" customHeight="1" x14ac:dyDescent="0.3">
      <c r="A2707" s="14" t="s">
        <v>39</v>
      </c>
      <c r="B2707" s="14" t="s">
        <v>7068</v>
      </c>
      <c r="C2707" s="14">
        <v>70</v>
      </c>
      <c r="D2707" s="14">
        <v>820</v>
      </c>
      <c r="E2707" s="14" t="s">
        <v>8337</v>
      </c>
      <c r="F2707" s="276" t="s">
        <v>7061</v>
      </c>
      <c r="G2707" s="14" t="str">
        <f t="shared" si="65"/>
        <v>708209020247794</v>
      </c>
      <c r="H2707" s="14" t="s">
        <v>8888</v>
      </c>
      <c r="I2707" s="19">
        <v>9020247794</v>
      </c>
      <c r="J2707" s="14" t="s">
        <v>7062</v>
      </c>
      <c r="K2707" s="14" t="s">
        <v>133</v>
      </c>
      <c r="L2707" s="14">
        <v>3217080599</v>
      </c>
      <c r="M2707" s="14" t="s">
        <v>8458</v>
      </c>
      <c r="N2707" s="12" t="s">
        <v>127</v>
      </c>
      <c r="O2707" s="12" t="s">
        <v>2822</v>
      </c>
      <c r="P2707" s="176" t="s">
        <v>48</v>
      </c>
      <c r="Q2707" s="20">
        <v>46078</v>
      </c>
      <c r="R2707" s="14">
        <v>83</v>
      </c>
      <c r="S2707" s="14" t="s">
        <v>49</v>
      </c>
      <c r="U2707" s="14" t="s">
        <v>60</v>
      </c>
      <c r="V2707" s="20">
        <v>45783</v>
      </c>
      <c r="W2707" s="21">
        <v>0.94</v>
      </c>
      <c r="X2707" s="14" t="s">
        <v>319</v>
      </c>
      <c r="Z2707" s="14" t="s">
        <v>2881</v>
      </c>
      <c r="AU2707" s="330" t="s">
        <v>53</v>
      </c>
    </row>
    <row r="2708" spans="1:52" s="14" customFormat="1" ht="27.75" hidden="1" customHeight="1" x14ac:dyDescent="0.3">
      <c r="A2708" s="14" t="s">
        <v>39</v>
      </c>
      <c r="B2708" s="14" t="s">
        <v>7068</v>
      </c>
      <c r="C2708" s="14">
        <v>70</v>
      </c>
      <c r="D2708" s="14">
        <v>820</v>
      </c>
      <c r="E2708" s="14" t="s">
        <v>8410</v>
      </c>
      <c r="F2708" s="276" t="s">
        <v>7063</v>
      </c>
      <c r="G2708" s="14" t="str">
        <f t="shared" si="65"/>
        <v>708209020211365</v>
      </c>
      <c r="H2708" s="14" t="s">
        <v>8830</v>
      </c>
      <c r="I2708" s="19">
        <v>9020211365</v>
      </c>
      <c r="J2708" s="14" t="s">
        <v>7064</v>
      </c>
      <c r="K2708" s="14" t="s">
        <v>133</v>
      </c>
      <c r="L2708" s="14">
        <v>3013447327</v>
      </c>
      <c r="M2708" s="14" t="s">
        <v>8891</v>
      </c>
      <c r="N2708" s="12" t="s">
        <v>127</v>
      </c>
      <c r="O2708" s="12" t="s">
        <v>2822</v>
      </c>
      <c r="P2708" s="176" t="s">
        <v>48</v>
      </c>
      <c r="Q2708" s="20">
        <v>46125</v>
      </c>
      <c r="R2708" s="14" t="s">
        <v>176</v>
      </c>
      <c r="S2708" s="14" t="s">
        <v>49</v>
      </c>
      <c r="U2708" s="14" t="s">
        <v>60</v>
      </c>
      <c r="V2708" s="20">
        <v>45783</v>
      </c>
      <c r="W2708" s="21">
        <v>0.88</v>
      </c>
      <c r="X2708" s="14" t="s">
        <v>49</v>
      </c>
      <c r="Z2708" s="14" t="s">
        <v>2881</v>
      </c>
      <c r="AU2708" s="330" t="s">
        <v>53</v>
      </c>
    </row>
    <row r="2709" spans="1:52" s="14" customFormat="1" ht="27.75" hidden="1" customHeight="1" x14ac:dyDescent="0.3">
      <c r="A2709" s="14" t="s">
        <v>39</v>
      </c>
      <c r="B2709" s="14" t="s">
        <v>7068</v>
      </c>
      <c r="C2709" s="14">
        <v>70</v>
      </c>
      <c r="D2709" s="14">
        <v>820</v>
      </c>
      <c r="E2709" s="14" t="s">
        <v>8410</v>
      </c>
      <c r="F2709" s="276" t="s">
        <v>7065</v>
      </c>
      <c r="G2709" s="14" t="str">
        <f t="shared" si="65"/>
        <v>708209020211365</v>
      </c>
      <c r="H2709" s="14" t="s">
        <v>8464</v>
      </c>
      <c r="I2709" s="19">
        <v>9020211365</v>
      </c>
      <c r="J2709" s="14" t="s">
        <v>7066</v>
      </c>
      <c r="K2709" s="14" t="s">
        <v>133</v>
      </c>
      <c r="L2709" s="14">
        <v>3106868292</v>
      </c>
      <c r="M2709" s="14" t="s">
        <v>8413</v>
      </c>
      <c r="N2709" s="12" t="s">
        <v>127</v>
      </c>
      <c r="O2709" s="12" t="s">
        <v>2822</v>
      </c>
      <c r="P2709" s="176" t="s">
        <v>48</v>
      </c>
      <c r="Q2709" s="20">
        <v>46084</v>
      </c>
      <c r="R2709" s="14" t="s">
        <v>8514</v>
      </c>
      <c r="S2709" s="14" t="s">
        <v>49</v>
      </c>
      <c r="U2709" s="14" t="s">
        <v>60</v>
      </c>
      <c r="V2709" s="20" t="s">
        <v>7067</v>
      </c>
      <c r="W2709" s="21">
        <v>0.89</v>
      </c>
      <c r="X2709" s="14" t="s">
        <v>49</v>
      </c>
      <c r="Z2709" s="14" t="s">
        <v>8317</v>
      </c>
      <c r="AU2709" s="330" t="s">
        <v>53</v>
      </c>
    </row>
    <row r="2710" spans="1:52" s="14" customFormat="1" ht="27.75" hidden="1" customHeight="1" x14ac:dyDescent="0.3">
      <c r="A2710" s="14" t="s">
        <v>39</v>
      </c>
      <c r="B2710" s="14" t="s">
        <v>7068</v>
      </c>
      <c r="C2710" s="14">
        <v>70</v>
      </c>
      <c r="D2710" s="14">
        <v>820</v>
      </c>
      <c r="E2710" s="14" t="s">
        <v>8337</v>
      </c>
      <c r="F2710" s="276" t="s">
        <v>8887</v>
      </c>
      <c r="G2710" s="14" t="str">
        <f t="shared" si="65"/>
        <v>708209020247794</v>
      </c>
      <c r="H2710" s="14" t="s">
        <v>8888</v>
      </c>
      <c r="I2710" s="19">
        <v>9020247794</v>
      </c>
      <c r="J2710" s="14" t="s">
        <v>8889</v>
      </c>
      <c r="K2710" s="14" t="s">
        <v>133</v>
      </c>
      <c r="L2710" s="14">
        <v>310369377</v>
      </c>
      <c r="M2710" s="14" t="s">
        <v>8890</v>
      </c>
      <c r="N2710" s="12" t="s">
        <v>127</v>
      </c>
      <c r="O2710" s="12" t="s">
        <v>2822</v>
      </c>
      <c r="P2710" s="176" t="s">
        <v>48</v>
      </c>
      <c r="Q2710" s="20">
        <v>46125</v>
      </c>
      <c r="R2710" s="21">
        <v>0.85</v>
      </c>
      <c r="S2710" s="14" t="s">
        <v>49</v>
      </c>
      <c r="U2710" s="14" t="s">
        <v>60</v>
      </c>
      <c r="V2710" s="20"/>
      <c r="W2710" s="21"/>
      <c r="AU2710" s="330" t="s">
        <v>1208</v>
      </c>
    </row>
    <row r="2711" spans="1:52" s="14" customFormat="1" ht="27.75" hidden="1" customHeight="1" x14ac:dyDescent="0.3">
      <c r="A2711" s="14" t="s">
        <v>39</v>
      </c>
      <c r="B2711" s="14" t="s">
        <v>7068</v>
      </c>
      <c r="C2711" s="14">
        <v>70</v>
      </c>
      <c r="D2711" s="14">
        <v>820</v>
      </c>
      <c r="E2711" s="14" t="s">
        <v>8337</v>
      </c>
      <c r="F2711" s="276" t="s">
        <v>9511</v>
      </c>
      <c r="G2711" s="14" t="str">
        <f t="shared" si="65"/>
        <v>708209020247794</v>
      </c>
      <c r="H2711" s="14" t="s">
        <v>8888</v>
      </c>
      <c r="I2711" s="19">
        <v>9020247794</v>
      </c>
      <c r="J2711" s="14" t="s">
        <v>9512</v>
      </c>
      <c r="K2711" s="14" t="s">
        <v>133</v>
      </c>
      <c r="L2711" s="14">
        <v>3137957793</v>
      </c>
      <c r="M2711" s="14" t="s">
        <v>8335</v>
      </c>
      <c r="N2711" s="12" t="s">
        <v>127</v>
      </c>
      <c r="O2711" s="12" t="s">
        <v>2822</v>
      </c>
      <c r="P2711" s="176" t="s">
        <v>48</v>
      </c>
      <c r="Q2711" s="20">
        <v>46147</v>
      </c>
      <c r="R2711" s="14">
        <v>87</v>
      </c>
      <c r="S2711" s="14" t="s">
        <v>49</v>
      </c>
      <c r="T2711" s="14" t="s">
        <v>7041</v>
      </c>
      <c r="U2711" s="14" t="s">
        <v>60</v>
      </c>
      <c r="V2711" s="20"/>
      <c r="W2711" s="21"/>
      <c r="AU2711" s="330" t="s">
        <v>53</v>
      </c>
    </row>
    <row r="2712" spans="1:52" s="14" customFormat="1" ht="27.75" hidden="1" customHeight="1" x14ac:dyDescent="0.3">
      <c r="A2712" s="14" t="s">
        <v>39</v>
      </c>
      <c r="B2712" s="14" t="s">
        <v>7068</v>
      </c>
      <c r="C2712" s="14">
        <v>70</v>
      </c>
      <c r="D2712" s="14">
        <v>820</v>
      </c>
      <c r="F2712" s="14" t="s">
        <v>7069</v>
      </c>
      <c r="G2712" s="14" t="str">
        <f t="shared" si="65"/>
        <v>708209013198424</v>
      </c>
      <c r="H2712" s="14" t="s">
        <v>7054</v>
      </c>
      <c r="I2712" s="24">
        <v>9013198424</v>
      </c>
      <c r="J2712" s="14" t="s">
        <v>7070</v>
      </c>
      <c r="K2712" s="14" t="s">
        <v>230</v>
      </c>
      <c r="L2712" s="14" t="s">
        <v>193</v>
      </c>
      <c r="N2712" s="12" t="s">
        <v>127</v>
      </c>
      <c r="O2712" s="12" t="s">
        <v>2822</v>
      </c>
      <c r="P2712" s="176" t="s">
        <v>48</v>
      </c>
      <c r="Q2712" s="20">
        <v>45194</v>
      </c>
      <c r="R2712" s="21">
        <v>0.96</v>
      </c>
      <c r="S2712" s="14" t="s">
        <v>319</v>
      </c>
      <c r="U2712" s="14" t="s">
        <v>60</v>
      </c>
      <c r="W2712" s="23"/>
      <c r="AU2712" s="330" t="s">
        <v>53</v>
      </c>
    </row>
    <row r="2713" spans="1:52" s="14" customFormat="1" ht="27.75" hidden="1" customHeight="1" x14ac:dyDescent="0.3">
      <c r="A2713" s="14" t="s">
        <v>39</v>
      </c>
      <c r="B2713" s="14" t="s">
        <v>7068</v>
      </c>
      <c r="C2713" s="14">
        <v>70</v>
      </c>
      <c r="D2713" s="14">
        <v>820</v>
      </c>
      <c r="E2713" s="14" t="s">
        <v>9535</v>
      </c>
      <c r="F2713" s="276" t="s">
        <v>7071</v>
      </c>
      <c r="G2713" s="14" t="str">
        <f t="shared" si="65"/>
        <v>70820800188895-4</v>
      </c>
      <c r="H2713" s="14" t="s">
        <v>9532</v>
      </c>
      <c r="I2713" s="19" t="s">
        <v>7072</v>
      </c>
      <c r="J2713" s="14" t="s">
        <v>7073</v>
      </c>
      <c r="K2713" s="14" t="s">
        <v>230</v>
      </c>
      <c r="L2713" s="14">
        <v>3126354638</v>
      </c>
      <c r="M2713" s="14" t="s">
        <v>9533</v>
      </c>
      <c r="N2713" s="12" t="s">
        <v>127</v>
      </c>
      <c r="O2713" s="12" t="s">
        <v>2822</v>
      </c>
      <c r="P2713" s="176" t="s">
        <v>48</v>
      </c>
      <c r="Q2713" s="20">
        <v>46225</v>
      </c>
      <c r="R2713" s="21">
        <v>0.75</v>
      </c>
      <c r="S2713" s="14" t="s">
        <v>49</v>
      </c>
      <c r="T2713" s="14" t="s">
        <v>7672</v>
      </c>
      <c r="U2713" s="14" t="s">
        <v>2456</v>
      </c>
      <c r="V2713" s="20">
        <v>45812</v>
      </c>
      <c r="W2713" s="21">
        <v>0.68</v>
      </c>
      <c r="X2713" s="14" t="s">
        <v>49</v>
      </c>
      <c r="Z2713" s="14" t="s">
        <v>60</v>
      </c>
      <c r="AC2713" s="20">
        <v>45205</v>
      </c>
      <c r="AD2713" s="21">
        <v>0.96</v>
      </c>
      <c r="AE2713" s="14" t="s">
        <v>319</v>
      </c>
      <c r="AF2713" s="14" t="s">
        <v>60</v>
      </c>
      <c r="AU2713" s="330" t="s">
        <v>53</v>
      </c>
    </row>
    <row r="2714" spans="1:52" s="14" customFormat="1" ht="27.75" hidden="1" customHeight="1" x14ac:dyDescent="0.3">
      <c r="A2714" s="14" t="s">
        <v>39</v>
      </c>
      <c r="B2714" s="14" t="s">
        <v>7068</v>
      </c>
      <c r="C2714" s="14">
        <v>70</v>
      </c>
      <c r="D2714" s="14">
        <v>820</v>
      </c>
      <c r="F2714" s="14" t="s">
        <v>7074</v>
      </c>
      <c r="G2714" s="14" t="str">
        <f t="shared" si="65"/>
        <v>70820900084881-7</v>
      </c>
      <c r="H2714" s="14" t="s">
        <v>7075</v>
      </c>
      <c r="I2714" s="24" t="s">
        <v>765</v>
      </c>
      <c r="J2714" s="14" t="s">
        <v>7076</v>
      </c>
      <c r="K2714" s="14" t="s">
        <v>230</v>
      </c>
      <c r="L2714" s="14" t="s">
        <v>193</v>
      </c>
      <c r="N2714" s="12" t="s">
        <v>127</v>
      </c>
      <c r="O2714" s="12" t="s">
        <v>2822</v>
      </c>
      <c r="P2714" s="176" t="s">
        <v>48</v>
      </c>
      <c r="Q2714" s="20">
        <v>44988</v>
      </c>
      <c r="R2714" s="21">
        <v>0.96</v>
      </c>
      <c r="S2714" s="14" t="s">
        <v>319</v>
      </c>
      <c r="U2714" s="14" t="s">
        <v>60</v>
      </c>
      <c r="W2714" s="23"/>
      <c r="AU2714" s="330" t="s">
        <v>53</v>
      </c>
    </row>
    <row r="2715" spans="1:52" s="14" customFormat="1" ht="27.75" hidden="1" customHeight="1" x14ac:dyDescent="0.3">
      <c r="A2715" s="14" t="s">
        <v>39</v>
      </c>
      <c r="B2715" s="14" t="s">
        <v>7068</v>
      </c>
      <c r="C2715" s="14">
        <v>70</v>
      </c>
      <c r="D2715" s="14">
        <v>820</v>
      </c>
      <c r="E2715" s="14" t="s">
        <v>9535</v>
      </c>
      <c r="F2715" s="276" t="s">
        <v>7077</v>
      </c>
      <c r="G2715" s="14" t="str">
        <f t="shared" si="65"/>
        <v>708209013198424</v>
      </c>
      <c r="H2715" s="14" t="s">
        <v>9532</v>
      </c>
      <c r="I2715" s="24">
        <v>9013198424</v>
      </c>
      <c r="J2715" s="14" t="s">
        <v>7078</v>
      </c>
      <c r="K2715" s="14" t="s">
        <v>230</v>
      </c>
      <c r="L2715" s="14">
        <v>3126354638</v>
      </c>
      <c r="M2715" s="211" t="s">
        <v>9533</v>
      </c>
      <c r="N2715" s="12" t="s">
        <v>127</v>
      </c>
      <c r="O2715" s="12" t="s">
        <v>2822</v>
      </c>
      <c r="P2715" s="176" t="s">
        <v>48</v>
      </c>
      <c r="Q2715" s="20">
        <v>46225</v>
      </c>
      <c r="R2715" s="14" t="s">
        <v>142</v>
      </c>
      <c r="S2715" s="14" t="s">
        <v>49</v>
      </c>
      <c r="T2715" s="14" t="s">
        <v>9534</v>
      </c>
      <c r="U2715" s="14" t="s">
        <v>2456</v>
      </c>
      <c r="V2715" s="20">
        <v>45540</v>
      </c>
      <c r="W2715" s="21">
        <v>0.72</v>
      </c>
      <c r="X2715" s="14" t="s">
        <v>49</v>
      </c>
      <c r="Z2715" s="14" t="s">
        <v>60</v>
      </c>
      <c r="AU2715" s="330" t="s">
        <v>53</v>
      </c>
      <c r="AX2715" s="14" t="s">
        <v>1920</v>
      </c>
      <c r="AZ2715" s="14" t="s">
        <v>1921</v>
      </c>
    </row>
    <row r="2716" spans="1:52" s="14" customFormat="1" ht="27.75" hidden="1" customHeight="1" x14ac:dyDescent="0.3">
      <c r="A2716" s="14" t="s">
        <v>39</v>
      </c>
      <c r="B2716" s="14" t="s">
        <v>7068</v>
      </c>
      <c r="C2716" s="14">
        <v>70</v>
      </c>
      <c r="D2716" s="14">
        <v>820</v>
      </c>
      <c r="E2716" s="14" t="s">
        <v>9535</v>
      </c>
      <c r="F2716" s="276" t="s">
        <v>9536</v>
      </c>
      <c r="G2716" s="14" t="str">
        <f t="shared" si="65"/>
        <v>708209013198424</v>
      </c>
      <c r="H2716" s="14" t="s">
        <v>9532</v>
      </c>
      <c r="I2716" s="24">
        <v>9013198424</v>
      </c>
      <c r="J2716" s="14" t="s">
        <v>9537</v>
      </c>
      <c r="K2716" s="14" t="s">
        <v>230</v>
      </c>
      <c r="L2716" s="14">
        <v>3126354638</v>
      </c>
      <c r="M2716" s="211" t="s">
        <v>9533</v>
      </c>
      <c r="N2716" s="12" t="s">
        <v>127</v>
      </c>
      <c r="O2716" s="12" t="s">
        <v>2822</v>
      </c>
      <c r="P2716" s="176" t="s">
        <v>48</v>
      </c>
      <c r="Q2716" s="20">
        <v>46225</v>
      </c>
      <c r="R2716" s="14" t="s">
        <v>138</v>
      </c>
      <c r="S2716" s="14" t="s">
        <v>49</v>
      </c>
      <c r="T2716" s="14" t="s">
        <v>9534</v>
      </c>
      <c r="U2716" s="14" t="s">
        <v>2456</v>
      </c>
      <c r="V2716" s="20"/>
      <c r="W2716" s="21"/>
      <c r="AU2716" s="330" t="s">
        <v>53</v>
      </c>
      <c r="AX2716" s="14" t="s">
        <v>1920</v>
      </c>
      <c r="AZ2716" s="14" t="s">
        <v>1921</v>
      </c>
    </row>
    <row r="2717" spans="1:52" s="14" customFormat="1" ht="27.75" hidden="1" customHeight="1" x14ac:dyDescent="0.3">
      <c r="A2717" s="14" t="s">
        <v>39</v>
      </c>
      <c r="B2717" s="14" t="s">
        <v>7068</v>
      </c>
      <c r="C2717" s="14">
        <v>70</v>
      </c>
      <c r="D2717" s="14">
        <v>820</v>
      </c>
      <c r="F2717" s="14" t="s">
        <v>7079</v>
      </c>
      <c r="G2717" s="14" t="str">
        <f t="shared" si="65"/>
        <v>70820800144364-6</v>
      </c>
      <c r="H2717" s="14" t="s">
        <v>7043</v>
      </c>
      <c r="I2717" s="19" t="s">
        <v>1910</v>
      </c>
      <c r="J2717" s="14" t="s">
        <v>7080</v>
      </c>
      <c r="K2717" s="14" t="s">
        <v>230</v>
      </c>
      <c r="L2717" s="14">
        <v>3004995658</v>
      </c>
      <c r="M2717" s="14" t="s">
        <v>193</v>
      </c>
      <c r="N2717" s="12" t="s">
        <v>127</v>
      </c>
      <c r="O2717" s="12" t="s">
        <v>2822</v>
      </c>
      <c r="P2717" s="176" t="s">
        <v>48</v>
      </c>
      <c r="Q2717" s="20">
        <v>45867</v>
      </c>
      <c r="R2717" s="21">
        <v>0.82</v>
      </c>
      <c r="S2717" s="14" t="s">
        <v>49</v>
      </c>
      <c r="T2717" s="14" t="s">
        <v>7041</v>
      </c>
      <c r="U2717" s="14" t="s">
        <v>60</v>
      </c>
      <c r="V2717" s="20">
        <v>45551</v>
      </c>
      <c r="W2717" s="23">
        <v>0.83499999999999996</v>
      </c>
      <c r="X2717" s="14" t="s">
        <v>139</v>
      </c>
      <c r="AC2717" s="20">
        <v>45149</v>
      </c>
      <c r="AD2717" s="22">
        <v>0.80500000000000005</v>
      </c>
      <c r="AE2717" s="14" t="s">
        <v>49</v>
      </c>
      <c r="AU2717" s="330" t="s">
        <v>53</v>
      </c>
    </row>
    <row r="2718" spans="1:52" s="14" customFormat="1" ht="27.75" hidden="1" customHeight="1" x14ac:dyDescent="0.3">
      <c r="A2718" s="14" t="s">
        <v>39</v>
      </c>
      <c r="B2718" s="14" t="s">
        <v>7068</v>
      </c>
      <c r="C2718" s="14">
        <v>70</v>
      </c>
      <c r="D2718" s="14">
        <v>820</v>
      </c>
      <c r="F2718" s="14" t="s">
        <v>7081</v>
      </c>
      <c r="G2718" s="14" t="str">
        <f t="shared" si="65"/>
        <v>70820800144364-6</v>
      </c>
      <c r="H2718" s="14" t="s">
        <v>7043</v>
      </c>
      <c r="I2718" s="19" t="s">
        <v>1910</v>
      </c>
      <c r="J2718" s="14" t="s">
        <v>7082</v>
      </c>
      <c r="K2718" s="14" t="s">
        <v>230</v>
      </c>
      <c r="L2718" s="14">
        <v>3024428013</v>
      </c>
      <c r="M2718" s="14" t="s">
        <v>7083</v>
      </c>
      <c r="N2718" s="12" t="s">
        <v>127</v>
      </c>
      <c r="O2718" s="12" t="s">
        <v>2822</v>
      </c>
      <c r="P2718" s="176" t="s">
        <v>48</v>
      </c>
      <c r="Q2718" s="20">
        <v>45777</v>
      </c>
      <c r="R2718" s="22">
        <v>0.91500000000000004</v>
      </c>
      <c r="S2718" s="14" t="s">
        <v>210</v>
      </c>
      <c r="T2718" s="14" t="s">
        <v>7041</v>
      </c>
      <c r="U2718" s="14" t="s">
        <v>60</v>
      </c>
      <c r="V2718" s="20">
        <v>45435</v>
      </c>
      <c r="W2718" s="23">
        <v>0.755</v>
      </c>
      <c r="X2718" s="14" t="s">
        <v>69</v>
      </c>
      <c r="AC2718" s="20" t="s">
        <v>2237</v>
      </c>
      <c r="AD2718" s="21">
        <v>0.76</v>
      </c>
      <c r="AE2718" s="14" t="s">
        <v>49</v>
      </c>
      <c r="AU2718" s="330" t="s">
        <v>53</v>
      </c>
    </row>
    <row r="2719" spans="1:52" s="14" customFormat="1" ht="27.75" hidden="1" customHeight="1" x14ac:dyDescent="0.3">
      <c r="A2719" s="14" t="s">
        <v>39</v>
      </c>
      <c r="B2719" s="14" t="s">
        <v>7068</v>
      </c>
      <c r="C2719" s="14">
        <v>70</v>
      </c>
      <c r="D2719" s="14">
        <v>820</v>
      </c>
      <c r="F2719" s="14" t="s">
        <v>7084</v>
      </c>
      <c r="G2719" s="14" t="str">
        <f t="shared" si="65"/>
        <v>70820800144364-6</v>
      </c>
      <c r="H2719" s="14" t="s">
        <v>7043</v>
      </c>
      <c r="I2719" s="19" t="s">
        <v>1910</v>
      </c>
      <c r="J2719" s="14" t="s">
        <v>7085</v>
      </c>
      <c r="K2719" s="14" t="s">
        <v>230</v>
      </c>
      <c r="L2719" s="14">
        <v>3216545663</v>
      </c>
      <c r="M2719" s="14" t="s">
        <v>7083</v>
      </c>
      <c r="N2719" s="12" t="s">
        <v>127</v>
      </c>
      <c r="O2719" s="12" t="s">
        <v>2822</v>
      </c>
      <c r="P2719" s="176" t="s">
        <v>48</v>
      </c>
      <c r="Q2719" s="20">
        <v>45777</v>
      </c>
      <c r="R2719" s="22">
        <v>0.86499999999999999</v>
      </c>
      <c r="S2719" s="14" t="s">
        <v>49</v>
      </c>
      <c r="T2719" s="14" t="s">
        <v>7041</v>
      </c>
      <c r="U2719" s="14" t="s">
        <v>60</v>
      </c>
      <c r="V2719" s="20">
        <v>45434</v>
      </c>
      <c r="W2719" s="23">
        <v>0.76500000000000001</v>
      </c>
      <c r="X2719" s="14" t="s">
        <v>49</v>
      </c>
      <c r="AC2719" s="20">
        <v>45180</v>
      </c>
      <c r="AD2719" s="21">
        <v>0.61</v>
      </c>
      <c r="AE2719" s="14" t="s">
        <v>49</v>
      </c>
      <c r="AF2719" s="14" t="s">
        <v>60</v>
      </c>
      <c r="AU2719" s="330" t="s">
        <v>53</v>
      </c>
    </row>
    <row r="2720" spans="1:52" s="14" customFormat="1" ht="27.75" hidden="1" customHeight="1" x14ac:dyDescent="0.3">
      <c r="A2720" s="14" t="s">
        <v>39</v>
      </c>
      <c r="B2720" s="14" t="s">
        <v>7068</v>
      </c>
      <c r="C2720" s="14">
        <v>70</v>
      </c>
      <c r="D2720" s="14">
        <v>820</v>
      </c>
      <c r="F2720" s="14" t="s">
        <v>7086</v>
      </c>
      <c r="G2720" s="14" t="str">
        <f t="shared" si="65"/>
        <v>70820800146193-2</v>
      </c>
      <c r="H2720" s="14" t="s">
        <v>7087</v>
      </c>
      <c r="I2720" s="19" t="s">
        <v>7088</v>
      </c>
      <c r="J2720" s="14" t="s">
        <v>7089</v>
      </c>
      <c r="K2720" s="14" t="s">
        <v>133</v>
      </c>
      <c r="L2720" s="14">
        <v>3239198998</v>
      </c>
      <c r="N2720" s="12" t="s">
        <v>127</v>
      </c>
      <c r="O2720" s="12" t="s">
        <v>2822</v>
      </c>
      <c r="P2720" s="176" t="s">
        <v>48</v>
      </c>
      <c r="Q2720" s="20">
        <v>45247</v>
      </c>
      <c r="R2720" s="21">
        <v>0.77</v>
      </c>
      <c r="S2720" s="14" t="s">
        <v>49</v>
      </c>
      <c r="U2720" s="14" t="s">
        <v>60</v>
      </c>
      <c r="W2720" s="23"/>
      <c r="AU2720" s="330" t="s">
        <v>53</v>
      </c>
    </row>
    <row r="2721" spans="1:47" s="14" customFormat="1" ht="27.75" hidden="1" customHeight="1" x14ac:dyDescent="0.3">
      <c r="A2721" s="14" t="s">
        <v>39</v>
      </c>
      <c r="B2721" s="14" t="s">
        <v>7068</v>
      </c>
      <c r="C2721" s="14">
        <v>70</v>
      </c>
      <c r="D2721" s="14">
        <v>820</v>
      </c>
      <c r="F2721" s="14" t="s">
        <v>7090</v>
      </c>
      <c r="G2721" s="14" t="str">
        <f t="shared" si="65"/>
        <v>70820800146193-2</v>
      </c>
      <c r="H2721" s="14" t="s">
        <v>7091</v>
      </c>
      <c r="I2721" s="19" t="s">
        <v>7088</v>
      </c>
      <c r="J2721" s="14" t="s">
        <v>7092</v>
      </c>
      <c r="K2721" s="14" t="s">
        <v>230</v>
      </c>
      <c r="L2721" s="14">
        <v>3234241335</v>
      </c>
      <c r="M2721" s="14" t="s">
        <v>7093</v>
      </c>
      <c r="N2721" s="12" t="s">
        <v>127</v>
      </c>
      <c r="O2721" s="12" t="s">
        <v>2822</v>
      </c>
      <c r="P2721" s="176" t="s">
        <v>48</v>
      </c>
      <c r="Q2721" s="20" t="s">
        <v>2237</v>
      </c>
      <c r="R2721" s="21">
        <v>0.77</v>
      </c>
      <c r="S2721" s="14" t="s">
        <v>49</v>
      </c>
      <c r="U2721" s="14" t="s">
        <v>60</v>
      </c>
      <c r="W2721" s="23"/>
      <c r="AU2721" s="330" t="s">
        <v>53</v>
      </c>
    </row>
    <row r="2722" spans="1:47" s="14" customFormat="1" ht="27.75" hidden="1" customHeight="1" x14ac:dyDescent="0.3">
      <c r="A2722" s="14" t="s">
        <v>39</v>
      </c>
      <c r="B2722" s="14" t="s">
        <v>7068</v>
      </c>
      <c r="C2722" s="14">
        <v>70</v>
      </c>
      <c r="D2722" s="14">
        <v>820</v>
      </c>
      <c r="F2722" s="14" t="s">
        <v>7094</v>
      </c>
      <c r="G2722" s="14" t="str">
        <f t="shared" si="65"/>
        <v>70820800144364-6</v>
      </c>
      <c r="H2722" s="14" t="s">
        <v>7043</v>
      </c>
      <c r="I2722" s="19" t="s">
        <v>1910</v>
      </c>
      <c r="J2722" s="14" t="s">
        <v>7095</v>
      </c>
      <c r="K2722" s="14" t="s">
        <v>230</v>
      </c>
      <c r="L2722" s="14">
        <v>3044276199</v>
      </c>
      <c r="M2722" s="14" t="s">
        <v>193</v>
      </c>
      <c r="N2722" s="12" t="s">
        <v>127</v>
      </c>
      <c r="O2722" s="12" t="s">
        <v>2822</v>
      </c>
      <c r="P2722" s="176" t="s">
        <v>48</v>
      </c>
      <c r="Q2722" s="20">
        <v>45777</v>
      </c>
      <c r="R2722" s="22">
        <v>0.94499999999999995</v>
      </c>
      <c r="S2722" s="14" t="s">
        <v>210</v>
      </c>
      <c r="T2722" s="14" t="s">
        <v>7041</v>
      </c>
      <c r="U2722" s="14" t="s">
        <v>60</v>
      </c>
      <c r="V2722" s="20">
        <v>45488</v>
      </c>
      <c r="W2722" s="23">
        <v>0.79</v>
      </c>
      <c r="X2722" s="14" t="s">
        <v>139</v>
      </c>
      <c r="AC2722" s="20">
        <v>45128</v>
      </c>
      <c r="AD2722" s="22">
        <v>0.80500000000000005</v>
      </c>
      <c r="AE2722" s="14" t="s">
        <v>49</v>
      </c>
      <c r="AU2722" s="330" t="s">
        <v>53</v>
      </c>
    </row>
    <row r="2723" spans="1:47" s="14" customFormat="1" ht="27.75" hidden="1" customHeight="1" x14ac:dyDescent="0.3">
      <c r="A2723" s="14" t="s">
        <v>39</v>
      </c>
      <c r="B2723" s="14" t="s">
        <v>7068</v>
      </c>
      <c r="C2723" s="14">
        <v>70</v>
      </c>
      <c r="D2723" s="14">
        <v>820</v>
      </c>
      <c r="F2723" s="14" t="s">
        <v>7096</v>
      </c>
      <c r="G2723" s="14" t="str">
        <f t="shared" si="65"/>
        <v>70820800144364-6</v>
      </c>
      <c r="H2723" s="14" t="s">
        <v>7043</v>
      </c>
      <c r="I2723" s="19" t="s">
        <v>1910</v>
      </c>
      <c r="J2723" s="14" t="s">
        <v>7097</v>
      </c>
      <c r="K2723" s="14" t="s">
        <v>133</v>
      </c>
      <c r="L2723" s="14">
        <v>3239924883</v>
      </c>
      <c r="M2723" s="14" t="s">
        <v>7098</v>
      </c>
      <c r="N2723" s="12" t="s">
        <v>127</v>
      </c>
      <c r="O2723" s="12" t="s">
        <v>2822</v>
      </c>
      <c r="P2723" s="176" t="s">
        <v>48</v>
      </c>
      <c r="Q2723" s="20">
        <v>45790</v>
      </c>
      <c r="R2723" s="14" t="s">
        <v>7099</v>
      </c>
      <c r="S2723" s="14" t="s">
        <v>49</v>
      </c>
      <c r="T2723" s="14" t="s">
        <v>7041</v>
      </c>
      <c r="U2723" s="14" t="s">
        <v>60</v>
      </c>
      <c r="V2723" s="20">
        <v>45544</v>
      </c>
      <c r="W2723" s="23">
        <v>0.77500000000000002</v>
      </c>
      <c r="X2723" s="14" t="s">
        <v>49</v>
      </c>
      <c r="AC2723" s="20">
        <v>45160</v>
      </c>
      <c r="AD2723" s="22">
        <v>0.77500000000000002</v>
      </c>
      <c r="AE2723" s="14" t="s">
        <v>49</v>
      </c>
      <c r="AU2723" s="330" t="s">
        <v>53</v>
      </c>
    </row>
    <row r="2724" spans="1:47" s="14" customFormat="1" ht="27.75" hidden="1" customHeight="1" x14ac:dyDescent="0.3">
      <c r="A2724" s="14" t="s">
        <v>39</v>
      </c>
      <c r="B2724" s="14" t="s">
        <v>7068</v>
      </c>
      <c r="C2724" s="14">
        <v>70</v>
      </c>
      <c r="D2724" s="14">
        <v>820</v>
      </c>
      <c r="F2724" s="14" t="s">
        <v>7100</v>
      </c>
      <c r="G2724" s="14" t="str">
        <f t="shared" si="65"/>
        <v>70820800144364-6</v>
      </c>
      <c r="H2724" s="14" t="s">
        <v>7043</v>
      </c>
      <c r="I2724" s="19" t="s">
        <v>1910</v>
      </c>
      <c r="J2724" s="14" t="s">
        <v>7101</v>
      </c>
      <c r="K2724" s="14" t="s">
        <v>230</v>
      </c>
      <c r="L2724" s="14">
        <v>3122864197</v>
      </c>
      <c r="M2724" s="14" t="s">
        <v>7102</v>
      </c>
      <c r="N2724" s="12" t="s">
        <v>127</v>
      </c>
      <c r="O2724" s="12" t="s">
        <v>2822</v>
      </c>
      <c r="P2724" s="176" t="s">
        <v>48</v>
      </c>
      <c r="Q2724" s="20">
        <v>45792</v>
      </c>
      <c r="R2724" s="22">
        <v>0.78500000000000003</v>
      </c>
      <c r="S2724" s="14" t="s">
        <v>49</v>
      </c>
      <c r="T2724" s="14" t="s">
        <v>7041</v>
      </c>
      <c r="U2724" s="14" t="s">
        <v>60</v>
      </c>
      <c r="V2724" s="14" t="s">
        <v>7103</v>
      </c>
      <c r="W2724" s="23">
        <v>0.77</v>
      </c>
      <c r="X2724" s="14" t="s">
        <v>139</v>
      </c>
      <c r="AC2724" s="20">
        <v>45163</v>
      </c>
      <c r="AD2724" s="22">
        <v>0.89500000000000002</v>
      </c>
      <c r="AE2724" s="14" t="s">
        <v>49</v>
      </c>
      <c r="AU2724" s="330" t="s">
        <v>53</v>
      </c>
    </row>
    <row r="2725" spans="1:47" s="14" customFormat="1" ht="27.75" hidden="1" customHeight="1" x14ac:dyDescent="0.3">
      <c r="A2725" s="14" t="s">
        <v>39</v>
      </c>
      <c r="B2725" s="14" t="s">
        <v>7068</v>
      </c>
      <c r="C2725" s="14">
        <v>70</v>
      </c>
      <c r="D2725" s="14">
        <v>820</v>
      </c>
      <c r="F2725" s="14" t="s">
        <v>7104</v>
      </c>
      <c r="G2725" s="14" t="str">
        <f t="shared" si="65"/>
        <v>70820800144364-6</v>
      </c>
      <c r="H2725" s="14" t="s">
        <v>7043</v>
      </c>
      <c r="I2725" s="19" t="s">
        <v>1910</v>
      </c>
      <c r="J2725" s="14" t="s">
        <v>7105</v>
      </c>
      <c r="K2725" s="14" t="s">
        <v>230</v>
      </c>
      <c r="L2725" s="14">
        <v>3005336819</v>
      </c>
      <c r="M2725" s="14" t="s">
        <v>7106</v>
      </c>
      <c r="N2725" s="12" t="s">
        <v>127</v>
      </c>
      <c r="O2725" s="12" t="s">
        <v>2822</v>
      </c>
      <c r="P2725" s="176" t="s">
        <v>48</v>
      </c>
      <c r="Q2725" s="14" t="s">
        <v>7107</v>
      </c>
      <c r="R2725" s="22">
        <v>0.86499999999999999</v>
      </c>
      <c r="S2725" s="14" t="s">
        <v>49</v>
      </c>
      <c r="T2725" s="14" t="s">
        <v>7041</v>
      </c>
      <c r="U2725" s="14" t="s">
        <v>60</v>
      </c>
      <c r="V2725" s="20">
        <v>45440</v>
      </c>
      <c r="W2725" s="23">
        <v>0.70499999999999996</v>
      </c>
      <c r="X2725" s="14" t="s">
        <v>49</v>
      </c>
      <c r="AC2725" s="20">
        <v>45118</v>
      </c>
      <c r="AD2725" s="22">
        <v>0.78500000000000003</v>
      </c>
      <c r="AE2725" s="14" t="s">
        <v>49</v>
      </c>
      <c r="AU2725" s="330" t="s">
        <v>53</v>
      </c>
    </row>
    <row r="2726" spans="1:47" s="14" customFormat="1" ht="27.75" hidden="1" customHeight="1" x14ac:dyDescent="0.3">
      <c r="A2726" s="14" t="s">
        <v>39</v>
      </c>
      <c r="B2726" s="14" t="s">
        <v>7068</v>
      </c>
      <c r="C2726" s="14">
        <v>70</v>
      </c>
      <c r="D2726" s="14">
        <v>820</v>
      </c>
      <c r="F2726" s="14" t="s">
        <v>7108</v>
      </c>
      <c r="G2726" s="14" t="str">
        <f t="shared" si="65"/>
        <v>70820800146193-2</v>
      </c>
      <c r="H2726" s="14" t="s">
        <v>7091</v>
      </c>
      <c r="I2726" s="19" t="s">
        <v>7088</v>
      </c>
      <c r="J2726" s="14" t="s">
        <v>7109</v>
      </c>
      <c r="K2726" s="14" t="s">
        <v>230</v>
      </c>
      <c r="L2726" s="14">
        <v>3135086052</v>
      </c>
      <c r="N2726" s="12" t="s">
        <v>127</v>
      </c>
      <c r="O2726" s="12" t="s">
        <v>2822</v>
      </c>
      <c r="P2726" s="176" t="s">
        <v>48</v>
      </c>
      <c r="Q2726" s="20">
        <v>45133</v>
      </c>
      <c r="R2726" s="22">
        <v>0.84499999999999997</v>
      </c>
      <c r="S2726" s="14" t="s">
        <v>49</v>
      </c>
      <c r="U2726" s="14" t="s">
        <v>60</v>
      </c>
      <c r="W2726" s="23"/>
      <c r="AU2726" s="330" t="s">
        <v>53</v>
      </c>
    </row>
    <row r="2727" spans="1:47" s="14" customFormat="1" ht="27.75" hidden="1" customHeight="1" x14ac:dyDescent="0.3">
      <c r="A2727" s="14" t="s">
        <v>39</v>
      </c>
      <c r="B2727" s="14" t="s">
        <v>7068</v>
      </c>
      <c r="C2727" s="14">
        <v>70</v>
      </c>
      <c r="D2727" s="14">
        <v>820</v>
      </c>
      <c r="F2727" s="14" t="s">
        <v>7110</v>
      </c>
      <c r="G2727" s="14" t="str">
        <f t="shared" si="65"/>
        <v>70820800144364-6</v>
      </c>
      <c r="H2727" s="14" t="s">
        <v>7038</v>
      </c>
      <c r="I2727" s="14" t="s">
        <v>1910</v>
      </c>
      <c r="J2727" s="14" t="s">
        <v>7111</v>
      </c>
      <c r="K2727" s="14" t="s">
        <v>230</v>
      </c>
      <c r="L2727" s="14">
        <v>3207678808</v>
      </c>
      <c r="N2727" s="12" t="s">
        <v>127</v>
      </c>
      <c r="O2727" s="12" t="s">
        <v>2822</v>
      </c>
      <c r="P2727" s="176" t="s">
        <v>48</v>
      </c>
      <c r="Q2727" s="20">
        <v>45411</v>
      </c>
      <c r="R2727" s="21">
        <v>0.84</v>
      </c>
      <c r="S2727" s="14" t="s">
        <v>49</v>
      </c>
      <c r="U2727" s="14" t="s">
        <v>60</v>
      </c>
      <c r="W2727" s="23"/>
      <c r="AU2727" s="330" t="s">
        <v>53</v>
      </c>
    </row>
    <row r="2728" spans="1:47" s="14" customFormat="1" ht="27.75" hidden="1" customHeight="1" x14ac:dyDescent="0.3">
      <c r="A2728" s="14" t="s">
        <v>39</v>
      </c>
      <c r="B2728" s="14" t="s">
        <v>7068</v>
      </c>
      <c r="C2728" s="14">
        <v>70</v>
      </c>
      <c r="D2728" s="14">
        <v>820</v>
      </c>
      <c r="F2728" s="14" t="s">
        <v>7112</v>
      </c>
      <c r="G2728" s="14" t="str">
        <f t="shared" si="65"/>
        <v>70820800144364-1</v>
      </c>
      <c r="H2728" s="14" t="s">
        <v>7038</v>
      </c>
      <c r="I2728" s="14" t="s">
        <v>7113</v>
      </c>
      <c r="J2728" s="14" t="s">
        <v>7114</v>
      </c>
      <c r="K2728" s="14" t="s">
        <v>230</v>
      </c>
      <c r="L2728" s="14">
        <v>3008731650</v>
      </c>
      <c r="N2728" s="12" t="s">
        <v>127</v>
      </c>
      <c r="O2728" s="12" t="s">
        <v>2822</v>
      </c>
      <c r="P2728" s="176" t="s">
        <v>48</v>
      </c>
      <c r="Q2728" s="20">
        <v>45526</v>
      </c>
      <c r="R2728" s="21">
        <v>0.89</v>
      </c>
      <c r="S2728" s="14" t="s">
        <v>49</v>
      </c>
      <c r="U2728" s="14" t="s">
        <v>60</v>
      </c>
      <c r="W2728" s="23"/>
      <c r="AU2728" s="330" t="s">
        <v>53</v>
      </c>
    </row>
    <row r="2729" spans="1:47" s="14" customFormat="1" ht="27.75" hidden="1" customHeight="1" x14ac:dyDescent="0.3">
      <c r="A2729" s="14" t="s">
        <v>39</v>
      </c>
      <c r="B2729" s="14" t="s">
        <v>7068</v>
      </c>
      <c r="C2729" s="14">
        <v>70</v>
      </c>
      <c r="D2729" s="14">
        <v>820</v>
      </c>
      <c r="E2729" s="14" t="s">
        <v>7115</v>
      </c>
      <c r="F2729" s="14" t="s">
        <v>7116</v>
      </c>
      <c r="G2729" s="14" t="str">
        <f t="shared" si="65"/>
        <v>70820900646668-7</v>
      </c>
      <c r="H2729" s="14" t="s">
        <v>7117</v>
      </c>
      <c r="I2729" s="14" t="s">
        <v>7118</v>
      </c>
      <c r="J2729" s="14" t="s">
        <v>7119</v>
      </c>
      <c r="K2729" s="14" t="s">
        <v>230</v>
      </c>
      <c r="L2729" s="14">
        <v>3103711852</v>
      </c>
      <c r="M2729" s="14" t="s">
        <v>193</v>
      </c>
      <c r="N2729" s="12" t="s">
        <v>127</v>
      </c>
      <c r="O2729" s="12" t="s">
        <v>2822</v>
      </c>
      <c r="P2729" s="176" t="s">
        <v>48</v>
      </c>
      <c r="Q2729" s="20">
        <v>45939</v>
      </c>
      <c r="R2729" s="21">
        <v>0.67</v>
      </c>
      <c r="S2729" s="14" t="s">
        <v>49</v>
      </c>
      <c r="T2729" s="14" t="s">
        <v>7120</v>
      </c>
      <c r="U2729" s="14" t="s">
        <v>60</v>
      </c>
      <c r="W2729" s="23"/>
      <c r="AU2729" s="330" t="s">
        <v>164</v>
      </c>
    </row>
    <row r="2730" spans="1:47" s="14" customFormat="1" ht="27.75" hidden="1" customHeight="1" x14ac:dyDescent="0.3">
      <c r="A2730" s="14" t="s">
        <v>505</v>
      </c>
      <c r="B2730" s="14" t="s">
        <v>7068</v>
      </c>
      <c r="C2730" s="14">
        <v>70</v>
      </c>
      <c r="D2730" s="14">
        <v>820</v>
      </c>
      <c r="F2730" s="14" t="s">
        <v>7121</v>
      </c>
      <c r="G2730" s="14" t="str">
        <f t="shared" si="65"/>
        <v>708201104871015</v>
      </c>
      <c r="H2730" s="14" t="s">
        <v>7122</v>
      </c>
      <c r="I2730" s="19">
        <v>1104871015</v>
      </c>
      <c r="J2730" s="14" t="s">
        <v>7123</v>
      </c>
      <c r="K2730" s="14" t="s">
        <v>230</v>
      </c>
      <c r="L2730" s="14" t="s">
        <v>45</v>
      </c>
      <c r="N2730" s="14" t="s">
        <v>780</v>
      </c>
      <c r="O2730" s="12" t="s">
        <v>260</v>
      </c>
      <c r="P2730" s="176" t="s">
        <v>80</v>
      </c>
      <c r="Q2730" s="20">
        <v>44643</v>
      </c>
      <c r="R2730" s="22">
        <v>0.6875</v>
      </c>
      <c r="S2730" s="14" t="s">
        <v>49</v>
      </c>
      <c r="U2730" s="14" t="s">
        <v>60</v>
      </c>
      <c r="W2730" s="23"/>
      <c r="AU2730" s="330" t="s">
        <v>53</v>
      </c>
    </row>
    <row r="2731" spans="1:47" s="14" customFormat="1" ht="27.75" hidden="1" customHeight="1" x14ac:dyDescent="0.3">
      <c r="A2731" s="14" t="s">
        <v>505</v>
      </c>
      <c r="B2731" s="14" t="s">
        <v>7068</v>
      </c>
      <c r="C2731" s="14">
        <v>70</v>
      </c>
      <c r="D2731" s="14">
        <v>820</v>
      </c>
      <c r="F2731" s="276" t="s">
        <v>9538</v>
      </c>
      <c r="G2731" s="14" t="str">
        <f t="shared" si="65"/>
        <v>708201102866205</v>
      </c>
      <c r="H2731" s="14" t="s">
        <v>9539</v>
      </c>
      <c r="I2731" s="19">
        <v>1102866205</v>
      </c>
      <c r="J2731" s="14" t="s">
        <v>9540</v>
      </c>
      <c r="K2731" s="14" t="s">
        <v>230</v>
      </c>
      <c r="L2731" s="14">
        <v>3218085922</v>
      </c>
      <c r="M2731" s="211" t="s">
        <v>9541</v>
      </c>
      <c r="N2731" s="14" t="s">
        <v>780</v>
      </c>
      <c r="O2731" s="12" t="s">
        <v>260</v>
      </c>
      <c r="P2731" s="176" t="s">
        <v>80</v>
      </c>
      <c r="Q2731" s="20">
        <v>46225</v>
      </c>
      <c r="R2731" s="22">
        <v>0.94</v>
      </c>
      <c r="S2731" s="14" t="s">
        <v>210</v>
      </c>
      <c r="T2731" s="14" t="s">
        <v>1198</v>
      </c>
      <c r="U2731" s="14" t="s">
        <v>2456</v>
      </c>
      <c r="W2731" s="23"/>
      <c r="AU2731" s="330" t="s">
        <v>53</v>
      </c>
    </row>
    <row r="2732" spans="1:47" s="14" customFormat="1" ht="27.75" hidden="1" customHeight="1" x14ac:dyDescent="0.3">
      <c r="A2732" s="14" t="s">
        <v>505</v>
      </c>
      <c r="B2732" s="14" t="s">
        <v>7068</v>
      </c>
      <c r="C2732" s="14">
        <v>70</v>
      </c>
      <c r="D2732" s="14">
        <v>820</v>
      </c>
      <c r="F2732" s="14" t="s">
        <v>7124</v>
      </c>
      <c r="G2732" s="14" t="str">
        <f t="shared" si="65"/>
        <v>708201101783671</v>
      </c>
      <c r="H2732" s="14" t="s">
        <v>7125</v>
      </c>
      <c r="I2732" s="19">
        <v>1101783671</v>
      </c>
      <c r="J2732" s="14" t="s">
        <v>7126</v>
      </c>
      <c r="K2732" s="14" t="s">
        <v>230</v>
      </c>
      <c r="L2732" s="14">
        <v>3116657378</v>
      </c>
      <c r="M2732" s="14" t="s">
        <v>7127</v>
      </c>
      <c r="N2732" s="14" t="s">
        <v>780</v>
      </c>
      <c r="O2732" s="12" t="s">
        <v>260</v>
      </c>
      <c r="P2732" s="176" t="s">
        <v>261</v>
      </c>
      <c r="Q2732" s="20">
        <v>44874</v>
      </c>
      <c r="R2732" s="21">
        <v>0.8</v>
      </c>
      <c r="S2732" s="14" t="s">
        <v>49</v>
      </c>
      <c r="U2732" s="14" t="s">
        <v>60</v>
      </c>
      <c r="W2732" s="23"/>
      <c r="AU2732" s="330" t="s">
        <v>53</v>
      </c>
    </row>
    <row r="2733" spans="1:47" s="14" customFormat="1" ht="27.75" hidden="1" customHeight="1" x14ac:dyDescent="0.3">
      <c r="A2733" s="14" t="s">
        <v>505</v>
      </c>
      <c r="B2733" s="14" t="s">
        <v>7068</v>
      </c>
      <c r="C2733" s="14">
        <v>70</v>
      </c>
      <c r="D2733" s="14">
        <v>820</v>
      </c>
      <c r="F2733" s="14" t="s">
        <v>7128</v>
      </c>
      <c r="G2733" s="14" t="str">
        <f t="shared" si="65"/>
        <v>708201102866205</v>
      </c>
      <c r="H2733" s="14" t="s">
        <v>7129</v>
      </c>
      <c r="I2733" s="19">
        <v>1102866205</v>
      </c>
      <c r="J2733" s="14" t="s">
        <v>7130</v>
      </c>
      <c r="K2733" s="14" t="s">
        <v>230</v>
      </c>
      <c r="L2733" s="14">
        <v>3233442836</v>
      </c>
      <c r="N2733" s="14" t="s">
        <v>780</v>
      </c>
      <c r="O2733" s="12" t="s">
        <v>260</v>
      </c>
      <c r="P2733" s="176" t="s">
        <v>261</v>
      </c>
      <c r="Q2733" s="20">
        <v>44568</v>
      </c>
      <c r="R2733" s="21">
        <v>0.76</v>
      </c>
      <c r="S2733" s="14" t="s">
        <v>49</v>
      </c>
      <c r="U2733" s="14" t="s">
        <v>60</v>
      </c>
      <c r="W2733" s="23"/>
      <c r="AU2733" s="330" t="s">
        <v>53</v>
      </c>
    </row>
    <row r="2734" spans="1:47" s="14" customFormat="1" ht="27.75" hidden="1" customHeight="1" x14ac:dyDescent="0.3">
      <c r="A2734" s="14" t="s">
        <v>505</v>
      </c>
      <c r="B2734" s="14" t="s">
        <v>7068</v>
      </c>
      <c r="C2734" s="14">
        <v>70</v>
      </c>
      <c r="D2734" s="14">
        <v>820</v>
      </c>
      <c r="E2734" s="14" t="s">
        <v>2363</v>
      </c>
      <c r="F2734" s="14" t="s">
        <v>363</v>
      </c>
      <c r="G2734" s="14" t="str">
        <f t="shared" si="65"/>
        <v>708209002769621</v>
      </c>
      <c r="H2734" s="14" t="s">
        <v>1309</v>
      </c>
      <c r="I2734" s="24">
        <v>9002769621</v>
      </c>
      <c r="J2734" s="14" t="s">
        <v>7131</v>
      </c>
      <c r="K2734" s="14" t="s">
        <v>230</v>
      </c>
      <c r="L2734" s="14">
        <v>3212550563</v>
      </c>
      <c r="M2734" s="14" t="s">
        <v>7132</v>
      </c>
      <c r="N2734" s="14" t="s">
        <v>780</v>
      </c>
      <c r="O2734" s="12" t="s">
        <v>260</v>
      </c>
      <c r="P2734" s="176" t="s">
        <v>261</v>
      </c>
      <c r="Q2734" s="20">
        <v>45931</v>
      </c>
      <c r="R2734" s="22">
        <v>0.94750000000000001</v>
      </c>
      <c r="S2734" s="14" t="s">
        <v>319</v>
      </c>
      <c r="T2734" s="14" t="s">
        <v>7133</v>
      </c>
      <c r="U2734" s="14" t="s">
        <v>60</v>
      </c>
      <c r="V2734" s="20">
        <v>45497</v>
      </c>
      <c r="W2734" s="22">
        <v>0.92</v>
      </c>
      <c r="X2734" s="14" t="s">
        <v>319</v>
      </c>
      <c r="AA2734" s="14" t="s">
        <v>51</v>
      </c>
      <c r="AB2734" s="14" t="s">
        <v>51</v>
      </c>
      <c r="AU2734" s="330" t="s">
        <v>53</v>
      </c>
    </row>
    <row r="2735" spans="1:47" s="14" customFormat="1" ht="27.75" hidden="1" customHeight="1" x14ac:dyDescent="0.3">
      <c r="A2735" s="14" t="s">
        <v>505</v>
      </c>
      <c r="B2735" s="14" t="s">
        <v>7068</v>
      </c>
      <c r="C2735" s="14">
        <v>70</v>
      </c>
      <c r="D2735" s="14">
        <v>820</v>
      </c>
      <c r="F2735" s="14" t="s">
        <v>7134</v>
      </c>
      <c r="G2735" s="14" t="str">
        <f t="shared" si="65"/>
        <v>7082073114636</v>
      </c>
      <c r="H2735" s="14" t="s">
        <v>7135</v>
      </c>
      <c r="I2735" s="19">
        <v>73114636</v>
      </c>
      <c r="J2735" s="14" t="s">
        <v>7136</v>
      </c>
      <c r="K2735" s="14" t="s">
        <v>133</v>
      </c>
      <c r="L2735" s="14">
        <v>3117184562</v>
      </c>
      <c r="N2735" s="14" t="s">
        <v>780</v>
      </c>
      <c r="O2735" s="12" t="s">
        <v>260</v>
      </c>
      <c r="P2735" s="176" t="s">
        <v>261</v>
      </c>
      <c r="Q2735" s="20">
        <v>44901</v>
      </c>
      <c r="R2735" s="21">
        <v>0.93</v>
      </c>
      <c r="S2735" s="14" t="s">
        <v>319</v>
      </c>
      <c r="U2735" s="14" t="s">
        <v>60</v>
      </c>
      <c r="W2735" s="23"/>
      <c r="AU2735" s="330" t="s">
        <v>53</v>
      </c>
    </row>
    <row r="2736" spans="1:47" s="14" customFormat="1" ht="27.75" hidden="1" customHeight="1" x14ac:dyDescent="0.3">
      <c r="A2736" s="14" t="s">
        <v>505</v>
      </c>
      <c r="B2736" s="14" t="s">
        <v>7068</v>
      </c>
      <c r="C2736" s="14">
        <v>70</v>
      </c>
      <c r="D2736" s="14">
        <v>820</v>
      </c>
      <c r="F2736" s="14" t="s">
        <v>7137</v>
      </c>
      <c r="G2736" s="14" t="str">
        <f t="shared" si="65"/>
        <v>7082010185181230</v>
      </c>
      <c r="H2736" s="14" t="s">
        <v>7138</v>
      </c>
      <c r="I2736" s="19">
        <v>10185181230</v>
      </c>
      <c r="J2736" s="14" t="s">
        <v>7139</v>
      </c>
      <c r="K2736" s="14" t="s">
        <v>230</v>
      </c>
      <c r="L2736" s="14" t="s">
        <v>4676</v>
      </c>
      <c r="M2736" s="14" t="s">
        <v>193</v>
      </c>
      <c r="N2736" s="12" t="s">
        <v>432</v>
      </c>
      <c r="O2736" s="12" t="s">
        <v>432</v>
      </c>
      <c r="P2736" s="176" t="s">
        <v>261</v>
      </c>
      <c r="Q2736" s="20">
        <v>44678</v>
      </c>
      <c r="R2736" s="21">
        <v>0.89</v>
      </c>
      <c r="S2736" s="14" t="s">
        <v>49</v>
      </c>
      <c r="U2736" s="14" t="s">
        <v>60</v>
      </c>
      <c r="W2736" s="23"/>
      <c r="AU2736" s="330" t="s">
        <v>53</v>
      </c>
    </row>
    <row r="2737" spans="1:59" s="14" customFormat="1" ht="27.75" hidden="1" customHeight="1" x14ac:dyDescent="0.3">
      <c r="A2737" s="14" t="s">
        <v>505</v>
      </c>
      <c r="B2737" s="14" t="s">
        <v>7068</v>
      </c>
      <c r="C2737" s="14">
        <v>70</v>
      </c>
      <c r="D2737" s="14">
        <v>820</v>
      </c>
      <c r="F2737" s="14" t="s">
        <v>7140</v>
      </c>
      <c r="G2737" s="14" t="str">
        <f t="shared" si="65"/>
        <v>70820232131671</v>
      </c>
      <c r="H2737" s="14" t="s">
        <v>7141</v>
      </c>
      <c r="I2737" s="19">
        <v>232131671</v>
      </c>
      <c r="J2737" s="14" t="s">
        <v>7142</v>
      </c>
      <c r="K2737" s="14" t="s">
        <v>230</v>
      </c>
      <c r="L2737" s="14">
        <v>3242530921</v>
      </c>
      <c r="M2737" s="14" t="s">
        <v>193</v>
      </c>
      <c r="N2737" s="12" t="s">
        <v>432</v>
      </c>
      <c r="O2737" s="12" t="s">
        <v>432</v>
      </c>
      <c r="P2737" s="176" t="s">
        <v>261</v>
      </c>
      <c r="Q2737" s="20">
        <v>45210</v>
      </c>
      <c r="R2737" s="22">
        <v>0.755</v>
      </c>
      <c r="S2737" s="14" t="s">
        <v>49</v>
      </c>
      <c r="U2737" s="14" t="s">
        <v>60</v>
      </c>
      <c r="W2737" s="23"/>
      <c r="AU2737" s="330" t="s">
        <v>53</v>
      </c>
    </row>
    <row r="2738" spans="1:59" s="14" customFormat="1" ht="27.75" hidden="1" customHeight="1" x14ac:dyDescent="0.3">
      <c r="A2738" s="14" t="s">
        <v>505</v>
      </c>
      <c r="B2738" s="14" t="s">
        <v>7068</v>
      </c>
      <c r="C2738" s="14">
        <v>70</v>
      </c>
      <c r="D2738" s="14">
        <v>820</v>
      </c>
      <c r="E2738" s="14" t="s">
        <v>7143</v>
      </c>
      <c r="F2738" s="14" t="s">
        <v>7902</v>
      </c>
      <c r="G2738" s="14" t="str">
        <f t="shared" si="65"/>
        <v>70820901724848-4</v>
      </c>
      <c r="H2738" s="14" t="s">
        <v>7144</v>
      </c>
      <c r="I2738" s="19" t="s">
        <v>7145</v>
      </c>
      <c r="J2738" s="14" t="s">
        <v>7146</v>
      </c>
      <c r="K2738" s="14" t="s">
        <v>230</v>
      </c>
      <c r="L2738" s="14" t="s">
        <v>7147</v>
      </c>
      <c r="M2738" s="14" t="s">
        <v>7148</v>
      </c>
      <c r="N2738" s="12" t="s">
        <v>7684</v>
      </c>
      <c r="O2738" s="12" t="s">
        <v>7683</v>
      </c>
      <c r="P2738" s="176" t="s">
        <v>261</v>
      </c>
      <c r="Q2738" s="20">
        <v>45846</v>
      </c>
      <c r="R2738" s="21">
        <v>0.82</v>
      </c>
      <c r="S2738" s="14" t="s">
        <v>49</v>
      </c>
      <c r="U2738" s="14" t="s">
        <v>2456</v>
      </c>
      <c r="V2738" s="20">
        <v>45365</v>
      </c>
      <c r="W2738" s="22">
        <v>0.83499999999999996</v>
      </c>
      <c r="X2738" s="14" t="s">
        <v>49</v>
      </c>
      <c r="AU2738" s="330" t="s">
        <v>53</v>
      </c>
    </row>
    <row r="2739" spans="1:59" s="14" customFormat="1" ht="27.75" hidden="1" customHeight="1" x14ac:dyDescent="0.3">
      <c r="A2739" s="14" t="s">
        <v>505</v>
      </c>
      <c r="B2739" s="14" t="s">
        <v>7068</v>
      </c>
      <c r="C2739" s="14">
        <v>70</v>
      </c>
      <c r="D2739" s="14">
        <v>820</v>
      </c>
      <c r="F2739" s="14" t="s">
        <v>7149</v>
      </c>
      <c r="G2739" s="14" t="str">
        <f t="shared" si="65"/>
        <v>7082064869806</v>
      </c>
      <c r="H2739" s="14" t="s">
        <v>7150</v>
      </c>
      <c r="I2739" s="19">
        <v>64869806</v>
      </c>
      <c r="J2739" s="14" t="s">
        <v>7151</v>
      </c>
      <c r="K2739" s="14" t="s">
        <v>230</v>
      </c>
      <c r="L2739" s="14">
        <v>3122403594</v>
      </c>
      <c r="M2739" s="25" t="s">
        <v>7152</v>
      </c>
      <c r="N2739" s="12" t="s">
        <v>432</v>
      </c>
      <c r="O2739" s="12" t="s">
        <v>432</v>
      </c>
      <c r="P2739" s="176" t="s">
        <v>261</v>
      </c>
      <c r="Q2739" s="20">
        <v>45786</v>
      </c>
      <c r="R2739" s="22">
        <v>0.86499999999999999</v>
      </c>
      <c r="S2739" s="14" t="s">
        <v>49</v>
      </c>
      <c r="U2739" s="14" t="s">
        <v>60</v>
      </c>
      <c r="V2739" s="14" t="s">
        <v>2599</v>
      </c>
      <c r="W2739" s="26">
        <v>0.70499999999999996</v>
      </c>
      <c r="X2739" s="14" t="s">
        <v>139</v>
      </c>
      <c r="Z2739" s="14" t="s">
        <v>60</v>
      </c>
      <c r="AU2739" s="330"/>
    </row>
    <row r="2740" spans="1:59" s="14" customFormat="1" ht="27.75" hidden="1" customHeight="1" x14ac:dyDescent="0.3">
      <c r="A2740" s="14" t="s">
        <v>505</v>
      </c>
      <c r="B2740" s="14" t="s">
        <v>7068</v>
      </c>
      <c r="C2740" s="14">
        <v>70</v>
      </c>
      <c r="D2740" s="14">
        <v>820</v>
      </c>
      <c r="E2740" s="14" t="s">
        <v>7875</v>
      </c>
      <c r="F2740" s="276" t="s">
        <v>9542</v>
      </c>
      <c r="G2740" s="14" t="str">
        <f t="shared" si="65"/>
        <v>70820890107487</v>
      </c>
      <c r="H2740" s="14" t="s">
        <v>1762</v>
      </c>
      <c r="I2740" s="24">
        <v>890107487</v>
      </c>
      <c r="J2740" s="14" t="s">
        <v>7153</v>
      </c>
      <c r="K2740" s="14" t="s">
        <v>230</v>
      </c>
      <c r="L2740" s="14">
        <v>3183727540</v>
      </c>
      <c r="M2740" s="211" t="s">
        <v>7036</v>
      </c>
      <c r="N2740" s="14" t="s">
        <v>1757</v>
      </c>
      <c r="O2740" s="14" t="s">
        <v>1758</v>
      </c>
      <c r="P2740" s="176" t="s">
        <v>48</v>
      </c>
      <c r="Q2740" s="20">
        <v>46227</v>
      </c>
      <c r="R2740" s="14" t="s">
        <v>138</v>
      </c>
      <c r="S2740" s="14" t="s">
        <v>49</v>
      </c>
      <c r="T2740" s="14" t="s">
        <v>9534</v>
      </c>
      <c r="U2740" s="14" t="s">
        <v>9543</v>
      </c>
      <c r="V2740" s="20">
        <v>45587</v>
      </c>
      <c r="W2740" s="14" t="s">
        <v>1071</v>
      </c>
      <c r="X2740" s="14" t="s">
        <v>49</v>
      </c>
      <c r="Z2740" s="14" t="s">
        <v>60</v>
      </c>
      <c r="AC2740" s="20">
        <v>44894</v>
      </c>
      <c r="AD2740" s="23">
        <v>0.91</v>
      </c>
      <c r="AE2740" s="14" t="s">
        <v>210</v>
      </c>
      <c r="AF2740" s="14" t="s">
        <v>50</v>
      </c>
      <c r="AI2740" s="20">
        <v>44840</v>
      </c>
      <c r="AJ2740" s="21">
        <v>0.65</v>
      </c>
      <c r="AK2740" s="14" t="s">
        <v>49</v>
      </c>
      <c r="AL2740" s="14" t="s">
        <v>60</v>
      </c>
      <c r="AO2740" s="20">
        <v>44833</v>
      </c>
      <c r="AP2740" s="14" t="s">
        <v>247</v>
      </c>
      <c r="AQ2740" s="14" t="s">
        <v>4426</v>
      </c>
      <c r="AR2740" s="14" t="s">
        <v>60</v>
      </c>
      <c r="AU2740" s="330" t="s">
        <v>53</v>
      </c>
      <c r="AX2740" s="14" t="s">
        <v>1920</v>
      </c>
      <c r="AY2740" s="14" t="s">
        <v>7876</v>
      </c>
      <c r="AZ2740" s="14" t="s">
        <v>9544</v>
      </c>
      <c r="BB2740" s="20">
        <v>44407</v>
      </c>
      <c r="BC2740" s="21">
        <v>0.93</v>
      </c>
      <c r="BD2740" s="14" t="s">
        <v>210</v>
      </c>
      <c r="BE2740" s="14" t="s">
        <v>50</v>
      </c>
      <c r="BF2740" s="14" t="s">
        <v>51</v>
      </c>
      <c r="BG2740" s="14" t="s">
        <v>51</v>
      </c>
    </row>
    <row r="2741" spans="1:59" s="14" customFormat="1" ht="27.75" hidden="1" customHeight="1" x14ac:dyDescent="0.3">
      <c r="A2741" s="14" t="s">
        <v>505</v>
      </c>
      <c r="B2741" s="14" t="s">
        <v>7068</v>
      </c>
      <c r="C2741" s="14">
        <v>70</v>
      </c>
      <c r="D2741" s="14">
        <v>820</v>
      </c>
      <c r="E2741" s="14" t="s">
        <v>2434</v>
      </c>
      <c r="F2741" s="276" t="s">
        <v>9510</v>
      </c>
      <c r="G2741" s="14" t="str">
        <f t="shared" si="65"/>
        <v>708209004805691</v>
      </c>
      <c r="H2741" s="14" t="s">
        <v>2038</v>
      </c>
      <c r="I2741" s="24">
        <v>9004805691</v>
      </c>
      <c r="J2741" s="14" t="s">
        <v>7154</v>
      </c>
      <c r="K2741" s="14" t="s">
        <v>230</v>
      </c>
      <c r="L2741" s="14">
        <v>3014473984</v>
      </c>
      <c r="M2741" s="14" t="s">
        <v>7155</v>
      </c>
      <c r="N2741" s="14" t="s">
        <v>1757</v>
      </c>
      <c r="O2741" s="14" t="s">
        <v>1758</v>
      </c>
      <c r="P2741" s="176" t="s">
        <v>48</v>
      </c>
      <c r="Q2741" s="20">
        <v>46091</v>
      </c>
      <c r="R2741" s="21">
        <v>0.91</v>
      </c>
      <c r="S2741" s="14" t="s">
        <v>210</v>
      </c>
      <c r="T2741" s="14" t="s">
        <v>1198</v>
      </c>
      <c r="U2741" s="14" t="s">
        <v>7620</v>
      </c>
      <c r="V2741" s="20">
        <v>45812</v>
      </c>
      <c r="W2741" s="14" t="s">
        <v>5075</v>
      </c>
      <c r="X2741" s="14" t="s">
        <v>210</v>
      </c>
      <c r="Z2741" s="14" t="s">
        <v>60</v>
      </c>
      <c r="AC2741" s="20">
        <v>45079</v>
      </c>
      <c r="AD2741" s="22">
        <v>0.85499999999999998</v>
      </c>
      <c r="AE2741" s="14" t="s">
        <v>49</v>
      </c>
      <c r="AF2741" s="14" t="s">
        <v>50</v>
      </c>
      <c r="AU2741" s="330" t="s">
        <v>53</v>
      </c>
    </row>
    <row r="2742" spans="1:59" s="14" customFormat="1" ht="27.75" hidden="1" customHeight="1" x14ac:dyDescent="0.3">
      <c r="A2742" s="14" t="s">
        <v>505</v>
      </c>
      <c r="B2742" s="14" t="s">
        <v>7068</v>
      </c>
      <c r="C2742" s="14">
        <v>70</v>
      </c>
      <c r="D2742" s="14">
        <v>820</v>
      </c>
      <c r="E2742" s="14" t="s">
        <v>2434</v>
      </c>
      <c r="F2742" s="276" t="s">
        <v>7156</v>
      </c>
      <c r="G2742" s="14" t="str">
        <f t="shared" si="65"/>
        <v>708209004805691</v>
      </c>
      <c r="H2742" s="14" t="s">
        <v>7157</v>
      </c>
      <c r="I2742" s="24">
        <v>9004805691</v>
      </c>
      <c r="J2742" s="14" t="s">
        <v>7158</v>
      </c>
      <c r="K2742" s="14" t="s">
        <v>230</v>
      </c>
      <c r="L2742" s="14">
        <v>3222486496</v>
      </c>
      <c r="M2742" s="14" t="s">
        <v>7155</v>
      </c>
      <c r="N2742" s="14" t="s">
        <v>1757</v>
      </c>
      <c r="O2742" s="14" t="s">
        <v>1758</v>
      </c>
      <c r="P2742" s="176" t="s">
        <v>48</v>
      </c>
      <c r="Q2742" s="20">
        <v>46091</v>
      </c>
      <c r="R2742" s="21">
        <v>0.69</v>
      </c>
      <c r="S2742" s="14" t="s">
        <v>49</v>
      </c>
      <c r="T2742" s="14" t="s">
        <v>9554</v>
      </c>
      <c r="U2742" s="14" t="s">
        <v>7620</v>
      </c>
      <c r="V2742" s="20">
        <v>45812</v>
      </c>
      <c r="W2742" s="14" t="s">
        <v>146</v>
      </c>
      <c r="X2742" s="14" t="s">
        <v>49</v>
      </c>
      <c r="Z2742" s="14" t="s">
        <v>60</v>
      </c>
      <c r="AC2742" s="20">
        <v>45491</v>
      </c>
      <c r="AD2742" s="23" t="s">
        <v>7868</v>
      </c>
      <c r="AE2742" s="14" t="s">
        <v>210</v>
      </c>
      <c r="AF2742" s="14" t="s">
        <v>50</v>
      </c>
      <c r="AI2742" s="20">
        <v>44407</v>
      </c>
      <c r="AJ2742" s="21">
        <v>0.93</v>
      </c>
      <c r="AK2742" s="14" t="s">
        <v>319</v>
      </c>
      <c r="AL2742" s="14" t="s">
        <v>60</v>
      </c>
      <c r="AU2742" s="330" t="s">
        <v>53</v>
      </c>
      <c r="AX2742" s="14" t="s">
        <v>1920</v>
      </c>
      <c r="AZ2742" s="14" t="s">
        <v>1921</v>
      </c>
    </row>
    <row r="2743" spans="1:59" s="14" customFormat="1" ht="27.75" hidden="1" customHeight="1" x14ac:dyDescent="0.3">
      <c r="A2743" s="14" t="s">
        <v>505</v>
      </c>
      <c r="B2743" s="14" t="s">
        <v>7068</v>
      </c>
      <c r="C2743" s="14">
        <v>70</v>
      </c>
      <c r="D2743" s="14">
        <v>820</v>
      </c>
      <c r="E2743" s="14" t="s">
        <v>7875</v>
      </c>
      <c r="F2743" s="276" t="s">
        <v>7034</v>
      </c>
      <c r="G2743" s="14" t="str">
        <f t="shared" si="65"/>
        <v>708208901074873</v>
      </c>
      <c r="H2743" s="14" t="s">
        <v>7035</v>
      </c>
      <c r="I2743" s="24">
        <v>8901074873</v>
      </c>
      <c r="J2743" s="14" t="s">
        <v>7153</v>
      </c>
      <c r="K2743" s="14" t="s">
        <v>230</v>
      </c>
      <c r="L2743" s="14">
        <v>3183727540</v>
      </c>
      <c r="M2743" s="211" t="s">
        <v>7036</v>
      </c>
      <c r="N2743" s="14" t="s">
        <v>7648</v>
      </c>
      <c r="O2743" s="14" t="s">
        <v>7653</v>
      </c>
      <c r="P2743" s="176" t="s">
        <v>48</v>
      </c>
      <c r="Q2743" s="20">
        <v>46197</v>
      </c>
      <c r="R2743" s="14" t="s">
        <v>81</v>
      </c>
      <c r="S2743" s="14" t="s">
        <v>49</v>
      </c>
      <c r="T2743" s="14" t="s">
        <v>9534</v>
      </c>
      <c r="U2743" s="14" t="s">
        <v>60</v>
      </c>
      <c r="V2743" s="20">
        <v>45587</v>
      </c>
      <c r="W2743" s="14" t="s">
        <v>6620</v>
      </c>
      <c r="X2743" s="14" t="s">
        <v>210</v>
      </c>
      <c r="Z2743" s="14" t="s">
        <v>60</v>
      </c>
      <c r="AC2743" s="20"/>
      <c r="AD2743" s="21"/>
      <c r="AU2743" s="330" t="s">
        <v>53</v>
      </c>
    </row>
    <row r="2744" spans="1:59" s="14" customFormat="1" ht="27.75" hidden="1" customHeight="1" x14ac:dyDescent="0.3">
      <c r="A2744" s="14" t="s">
        <v>505</v>
      </c>
      <c r="B2744" s="14" t="s">
        <v>7068</v>
      </c>
      <c r="C2744" s="14">
        <v>70</v>
      </c>
      <c r="D2744" s="14">
        <v>820</v>
      </c>
      <c r="E2744" s="14" t="s">
        <v>9555</v>
      </c>
      <c r="F2744" s="276" t="s">
        <v>7877</v>
      </c>
      <c r="G2744" s="14" t="str">
        <f t="shared" si="65"/>
        <v>708208909006089</v>
      </c>
      <c r="H2744" s="14" t="s">
        <v>7878</v>
      </c>
      <c r="I2744" s="24">
        <v>8909006089</v>
      </c>
      <c r="J2744" s="14" t="s">
        <v>7879</v>
      </c>
      <c r="K2744" s="14" t="s">
        <v>230</v>
      </c>
      <c r="L2744" s="14">
        <v>2860059</v>
      </c>
      <c r="M2744" s="211" t="s">
        <v>7880</v>
      </c>
      <c r="N2744" s="14" t="s">
        <v>1757</v>
      </c>
      <c r="O2744" s="14" t="s">
        <v>1758</v>
      </c>
      <c r="P2744" s="176" t="s">
        <v>48</v>
      </c>
      <c r="Q2744" s="20">
        <v>46197</v>
      </c>
      <c r="R2744" s="14" t="s">
        <v>1090</v>
      </c>
      <c r="S2744" s="14" t="s">
        <v>49</v>
      </c>
      <c r="T2744" s="14" t="s">
        <v>9556</v>
      </c>
      <c r="U2744" s="14" t="s">
        <v>60</v>
      </c>
      <c r="V2744" s="20">
        <v>44900</v>
      </c>
      <c r="W2744" s="14" t="s">
        <v>6620</v>
      </c>
      <c r="X2744" s="14" t="s">
        <v>210</v>
      </c>
      <c r="Z2744" s="14" t="s">
        <v>2456</v>
      </c>
      <c r="AC2744" s="20">
        <v>44890</v>
      </c>
      <c r="AD2744" s="23" t="s">
        <v>167</v>
      </c>
      <c r="AE2744" s="14" t="s">
        <v>49</v>
      </c>
      <c r="AF2744" s="14" t="s">
        <v>60</v>
      </c>
      <c r="AI2744" s="20">
        <v>44552</v>
      </c>
      <c r="AJ2744" s="21" t="s">
        <v>7868</v>
      </c>
      <c r="AK2744" s="14" t="s">
        <v>210</v>
      </c>
      <c r="AL2744" s="14" t="s">
        <v>60</v>
      </c>
      <c r="AU2744" s="330" t="s">
        <v>53</v>
      </c>
      <c r="AX2744" s="14" t="s">
        <v>1920</v>
      </c>
      <c r="AY2744" s="14" t="s">
        <v>5539</v>
      </c>
      <c r="AZ2744" s="14" t="s">
        <v>7634</v>
      </c>
    </row>
    <row r="2745" spans="1:59" s="14" customFormat="1" ht="27.75" hidden="1" customHeight="1" x14ac:dyDescent="0.3">
      <c r="A2745" s="14" t="s">
        <v>505</v>
      </c>
      <c r="B2745" s="14" t="s">
        <v>7068</v>
      </c>
      <c r="C2745" s="14">
        <v>70</v>
      </c>
      <c r="D2745" s="14">
        <v>820</v>
      </c>
      <c r="E2745" s="14" t="s">
        <v>9555</v>
      </c>
      <c r="F2745" s="276" t="s">
        <v>7881</v>
      </c>
      <c r="G2745" s="14" t="str">
        <f t="shared" si="65"/>
        <v>708208909006089</v>
      </c>
      <c r="H2745" s="14" t="s">
        <v>7878</v>
      </c>
      <c r="I2745" s="24">
        <v>8909006089</v>
      </c>
      <c r="J2745" s="14" t="s">
        <v>7879</v>
      </c>
      <c r="K2745" s="14" t="s">
        <v>230</v>
      </c>
      <c r="L2745" s="14">
        <v>2860059</v>
      </c>
      <c r="M2745" s="211" t="s">
        <v>7880</v>
      </c>
      <c r="N2745" s="14" t="s">
        <v>7648</v>
      </c>
      <c r="O2745" s="14" t="s">
        <v>7653</v>
      </c>
      <c r="P2745" s="176" t="s">
        <v>48</v>
      </c>
      <c r="Q2745" s="20">
        <v>46197</v>
      </c>
      <c r="R2745" s="14" t="s">
        <v>247</v>
      </c>
      <c r="S2745" s="14" t="s">
        <v>49</v>
      </c>
      <c r="T2745" s="14" t="s">
        <v>9556</v>
      </c>
      <c r="U2745" s="14" t="s">
        <v>60</v>
      </c>
      <c r="V2745" s="20">
        <v>45239</v>
      </c>
      <c r="W2745" s="23" t="s">
        <v>2106</v>
      </c>
      <c r="X2745" s="14" t="s">
        <v>210</v>
      </c>
      <c r="Y2745" s="14" t="s">
        <v>7941</v>
      </c>
      <c r="Z2745" s="14" t="s">
        <v>60</v>
      </c>
      <c r="AC2745" s="20"/>
      <c r="AD2745" s="21"/>
      <c r="AU2745" s="330" t="s">
        <v>53</v>
      </c>
    </row>
    <row r="2746" spans="1:59" s="14" customFormat="1" ht="27.75" hidden="1" customHeight="1" x14ac:dyDescent="0.3">
      <c r="A2746" s="14" t="s">
        <v>505</v>
      </c>
      <c r="B2746" s="14" t="s">
        <v>7068</v>
      </c>
      <c r="C2746" s="14">
        <v>70</v>
      </c>
      <c r="D2746" s="14">
        <v>820</v>
      </c>
      <c r="F2746" s="14" t="s">
        <v>7159</v>
      </c>
      <c r="G2746" s="14" t="str">
        <f t="shared" si="65"/>
        <v>708209006485061</v>
      </c>
      <c r="H2746" s="14" t="s">
        <v>7160</v>
      </c>
      <c r="I2746" s="19">
        <v>9006485061</v>
      </c>
      <c r="J2746" s="14" t="s">
        <v>7161</v>
      </c>
      <c r="K2746" s="14" t="s">
        <v>230</v>
      </c>
      <c r="L2746" s="14">
        <v>3117379630</v>
      </c>
      <c r="M2746" s="14" t="s">
        <v>7162</v>
      </c>
      <c r="N2746" s="12" t="s">
        <v>46</v>
      </c>
      <c r="O2746" s="14" t="s">
        <v>1773</v>
      </c>
      <c r="P2746" s="176" t="s">
        <v>48</v>
      </c>
      <c r="Q2746" s="20" t="s">
        <v>736</v>
      </c>
      <c r="R2746" s="21">
        <v>0.88</v>
      </c>
      <c r="S2746" s="14" t="s">
        <v>49</v>
      </c>
      <c r="U2746" s="14" t="s">
        <v>60</v>
      </c>
      <c r="W2746" s="23"/>
      <c r="AU2746" s="330" t="s">
        <v>53</v>
      </c>
    </row>
    <row r="2747" spans="1:59" s="14" customFormat="1" ht="27.75" customHeight="1" x14ac:dyDescent="0.3">
      <c r="A2747" s="14" t="s">
        <v>505</v>
      </c>
      <c r="B2747" s="14" t="s">
        <v>7068</v>
      </c>
      <c r="C2747" s="14">
        <v>70</v>
      </c>
      <c r="D2747" s="14">
        <v>820</v>
      </c>
      <c r="F2747" s="276" t="s">
        <v>7163</v>
      </c>
      <c r="G2747" s="14" t="str">
        <f t="shared" si="65"/>
        <v>708206887276</v>
      </c>
      <c r="H2747" s="14" t="s">
        <v>7164</v>
      </c>
      <c r="I2747" s="14">
        <v>6887276</v>
      </c>
      <c r="J2747" s="14" t="s">
        <v>9518</v>
      </c>
      <c r="K2747" s="14" t="s">
        <v>44</v>
      </c>
      <c r="L2747" s="14">
        <v>3052481420</v>
      </c>
      <c r="M2747" s="14" t="s">
        <v>193</v>
      </c>
      <c r="N2747" s="12" t="s">
        <v>46</v>
      </c>
      <c r="O2747" s="12" t="s">
        <v>47</v>
      </c>
      <c r="P2747" s="176" t="s">
        <v>48</v>
      </c>
      <c r="Q2747" s="20">
        <v>46183</v>
      </c>
      <c r="R2747" s="14" t="s">
        <v>8538</v>
      </c>
      <c r="S2747" s="14" t="s">
        <v>49</v>
      </c>
      <c r="T2747" s="14" t="s">
        <v>7041</v>
      </c>
      <c r="U2747" s="14" t="s">
        <v>60</v>
      </c>
      <c r="V2747" s="20">
        <v>45827</v>
      </c>
      <c r="W2747" s="22">
        <v>0.875</v>
      </c>
      <c r="X2747" s="14" t="s">
        <v>49</v>
      </c>
      <c r="Y2747" s="14" t="s">
        <v>7041</v>
      </c>
      <c r="Z2747" s="14" t="s">
        <v>60</v>
      </c>
      <c r="AC2747" s="20">
        <v>45496</v>
      </c>
      <c r="AD2747" s="23">
        <v>0.85</v>
      </c>
      <c r="AE2747" s="14" t="s">
        <v>49</v>
      </c>
      <c r="AF2747" s="14" t="s">
        <v>60</v>
      </c>
      <c r="AI2747" s="20">
        <v>44915</v>
      </c>
      <c r="AJ2747" s="22">
        <v>0.79500000000000004</v>
      </c>
      <c r="AK2747" s="14" t="s">
        <v>49</v>
      </c>
      <c r="AL2747" s="14" t="s">
        <v>60</v>
      </c>
      <c r="AU2747" s="330" t="s">
        <v>53</v>
      </c>
    </row>
    <row r="2748" spans="1:59" s="14" customFormat="1" ht="27.75" customHeight="1" x14ac:dyDescent="0.3">
      <c r="A2748" s="14" t="s">
        <v>505</v>
      </c>
      <c r="B2748" s="14" t="s">
        <v>7068</v>
      </c>
      <c r="C2748" s="14">
        <v>70</v>
      </c>
      <c r="D2748" s="14">
        <v>820</v>
      </c>
      <c r="F2748" s="14" t="s">
        <v>7165</v>
      </c>
      <c r="G2748" s="14" t="str">
        <f t="shared" si="65"/>
        <v>7082022763581-1</v>
      </c>
      <c r="H2748" s="14" t="s">
        <v>7166</v>
      </c>
      <c r="I2748" s="19" t="s">
        <v>7167</v>
      </c>
      <c r="J2748" s="14" t="s">
        <v>7168</v>
      </c>
      <c r="K2748" s="14" t="s">
        <v>230</v>
      </c>
      <c r="L2748" s="14">
        <v>3116657463</v>
      </c>
      <c r="M2748" s="14" t="s">
        <v>7169</v>
      </c>
      <c r="N2748" s="12" t="s">
        <v>46</v>
      </c>
      <c r="O2748" s="12" t="s">
        <v>47</v>
      </c>
      <c r="P2748" s="176" t="s">
        <v>48</v>
      </c>
      <c r="Q2748" s="20">
        <v>45867</v>
      </c>
      <c r="R2748" s="22">
        <v>0.93500000000000005</v>
      </c>
      <c r="S2748" s="14" t="s">
        <v>210</v>
      </c>
      <c r="T2748" s="14" t="s">
        <v>7041</v>
      </c>
      <c r="U2748" s="14" t="s">
        <v>60</v>
      </c>
      <c r="V2748" s="20">
        <v>45455</v>
      </c>
      <c r="W2748" s="23">
        <v>0.88500000000000001</v>
      </c>
      <c r="X2748" s="14" t="s">
        <v>7170</v>
      </c>
      <c r="AC2748" s="20">
        <v>45099</v>
      </c>
      <c r="AD2748" s="22">
        <v>0.82499999999999996</v>
      </c>
      <c r="AE2748" s="14" t="s">
        <v>49</v>
      </c>
      <c r="AF2748" s="14" t="s">
        <v>60</v>
      </c>
      <c r="AU2748" s="330" t="s">
        <v>53</v>
      </c>
    </row>
    <row r="2749" spans="1:59" s="14" customFormat="1" ht="27.75" customHeight="1" x14ac:dyDescent="0.3">
      <c r="A2749" s="14" t="s">
        <v>505</v>
      </c>
      <c r="B2749" s="14" t="s">
        <v>7068</v>
      </c>
      <c r="C2749" s="14">
        <v>70</v>
      </c>
      <c r="D2749" s="14">
        <v>820</v>
      </c>
      <c r="F2749" s="14" t="s">
        <v>7171</v>
      </c>
      <c r="G2749" s="14" t="str">
        <f t="shared" si="65"/>
        <v>708201038212961</v>
      </c>
      <c r="H2749" s="14" t="s">
        <v>7172</v>
      </c>
      <c r="I2749" s="19">
        <v>1038212961</v>
      </c>
      <c r="J2749" s="14" t="s">
        <v>7173</v>
      </c>
      <c r="K2749" s="14" t="s">
        <v>230</v>
      </c>
      <c r="L2749" s="14">
        <v>3147553485</v>
      </c>
      <c r="M2749" s="14" t="s">
        <v>7174</v>
      </c>
      <c r="N2749" s="12" t="s">
        <v>46</v>
      </c>
      <c r="O2749" s="12" t="s">
        <v>47</v>
      </c>
      <c r="P2749" s="176" t="s">
        <v>48</v>
      </c>
      <c r="Q2749" s="20">
        <v>44910</v>
      </c>
      <c r="R2749" s="21">
        <v>0.83</v>
      </c>
      <c r="S2749" s="14" t="s">
        <v>49</v>
      </c>
      <c r="U2749" s="14" t="s">
        <v>60</v>
      </c>
      <c r="W2749" s="23"/>
      <c r="AU2749" s="330" t="s">
        <v>53</v>
      </c>
    </row>
    <row r="2750" spans="1:59" s="14" customFormat="1" ht="27.75" customHeight="1" x14ac:dyDescent="0.3">
      <c r="A2750" s="14" t="s">
        <v>505</v>
      </c>
      <c r="B2750" s="14" t="s">
        <v>7068</v>
      </c>
      <c r="C2750" s="14">
        <v>70</v>
      </c>
      <c r="D2750" s="14">
        <v>820</v>
      </c>
      <c r="F2750" s="14" t="s">
        <v>7175</v>
      </c>
      <c r="G2750" s="14" t="str">
        <f t="shared" si="65"/>
        <v>708201065624467</v>
      </c>
      <c r="H2750" s="14" t="s">
        <v>7176</v>
      </c>
      <c r="I2750" s="19">
        <v>1065624467</v>
      </c>
      <c r="J2750" s="14" t="s">
        <v>7177</v>
      </c>
      <c r="K2750" s="14" t="s">
        <v>230</v>
      </c>
      <c r="L2750" s="14">
        <v>3103112239</v>
      </c>
      <c r="N2750" s="12" t="s">
        <v>46</v>
      </c>
      <c r="O2750" s="12" t="s">
        <v>47</v>
      </c>
      <c r="P2750" s="176" t="s">
        <v>102</v>
      </c>
      <c r="Q2750" s="20">
        <v>45260</v>
      </c>
      <c r="R2750" s="22">
        <v>0.88500000000000001</v>
      </c>
      <c r="S2750" s="14" t="s">
        <v>49</v>
      </c>
      <c r="U2750" s="14" t="s">
        <v>60</v>
      </c>
      <c r="W2750" s="23"/>
      <c r="AU2750" s="330" t="s">
        <v>53</v>
      </c>
    </row>
    <row r="2751" spans="1:59" s="14" customFormat="1" ht="27.75" customHeight="1" x14ac:dyDescent="0.3">
      <c r="A2751" s="14" t="s">
        <v>505</v>
      </c>
      <c r="B2751" s="14" t="s">
        <v>7068</v>
      </c>
      <c r="C2751" s="14">
        <v>70</v>
      </c>
      <c r="D2751" s="14">
        <v>820</v>
      </c>
      <c r="F2751" s="276" t="s">
        <v>9523</v>
      </c>
      <c r="G2751" s="14" t="str">
        <f t="shared" si="65"/>
        <v>7082071290142</v>
      </c>
      <c r="H2751" s="14" t="s">
        <v>9524</v>
      </c>
      <c r="I2751" s="14">
        <v>71290142</v>
      </c>
      <c r="J2751" s="14" t="s">
        <v>9525</v>
      </c>
      <c r="K2751" s="14" t="s">
        <v>44</v>
      </c>
      <c r="L2751" s="14">
        <v>3216484753</v>
      </c>
      <c r="M2751" s="14" t="s">
        <v>9526</v>
      </c>
      <c r="N2751" s="12" t="s">
        <v>46</v>
      </c>
      <c r="O2751" s="12" t="s">
        <v>47</v>
      </c>
      <c r="P2751" s="176" t="s">
        <v>48</v>
      </c>
      <c r="Q2751" s="20">
        <v>46219</v>
      </c>
      <c r="R2751" s="14" t="s">
        <v>8709</v>
      </c>
      <c r="S2751" s="14" t="s">
        <v>210</v>
      </c>
      <c r="T2751" s="14" t="s">
        <v>7041</v>
      </c>
      <c r="U2751" s="14" t="s">
        <v>50</v>
      </c>
      <c r="V2751" s="20">
        <v>45051</v>
      </c>
      <c r="W2751" s="22">
        <v>0.94499999999999995</v>
      </c>
      <c r="X2751" s="14" t="s">
        <v>319</v>
      </c>
      <c r="Z2751" s="14" t="s">
        <v>60</v>
      </c>
      <c r="AU2751" s="330" t="s">
        <v>53</v>
      </c>
    </row>
    <row r="2752" spans="1:59" s="14" customFormat="1" ht="27.75" customHeight="1" x14ac:dyDescent="0.3">
      <c r="A2752" s="14" t="s">
        <v>505</v>
      </c>
      <c r="B2752" s="14" t="s">
        <v>7068</v>
      </c>
      <c r="C2752" s="14">
        <v>70</v>
      </c>
      <c r="D2752" s="14">
        <v>820</v>
      </c>
      <c r="F2752" s="276" t="s">
        <v>9513</v>
      </c>
      <c r="G2752" s="14" t="str">
        <f t="shared" si="65"/>
        <v>7082023216665-1</v>
      </c>
      <c r="H2752" s="14" t="s">
        <v>7178</v>
      </c>
      <c r="I2752" s="19" t="s">
        <v>7179</v>
      </c>
      <c r="J2752" s="14" t="s">
        <v>7180</v>
      </c>
      <c r="K2752" s="14" t="s">
        <v>230</v>
      </c>
      <c r="L2752" s="14">
        <v>3107478786</v>
      </c>
      <c r="M2752" s="14" t="s">
        <v>9514</v>
      </c>
      <c r="N2752" s="12" t="s">
        <v>46</v>
      </c>
      <c r="O2752" s="12" t="s">
        <v>47</v>
      </c>
      <c r="P2752" s="176" t="s">
        <v>48</v>
      </c>
      <c r="Q2752" s="20">
        <v>46167</v>
      </c>
      <c r="R2752" s="14" t="s">
        <v>8421</v>
      </c>
      <c r="S2752" s="14" t="s">
        <v>49</v>
      </c>
      <c r="T2752" s="14" t="s">
        <v>7041</v>
      </c>
      <c r="U2752" s="14" t="s">
        <v>60</v>
      </c>
      <c r="V2752" s="20">
        <v>45790</v>
      </c>
      <c r="W2752" s="22">
        <v>0.875</v>
      </c>
      <c r="X2752" s="14" t="s">
        <v>49</v>
      </c>
      <c r="Y2752" s="14" t="s">
        <v>7041</v>
      </c>
      <c r="Z2752" s="14" t="s">
        <v>60</v>
      </c>
      <c r="AC2752" s="20">
        <v>45455</v>
      </c>
      <c r="AD2752" s="23">
        <v>0.77</v>
      </c>
      <c r="AE2752" s="14" t="s">
        <v>49</v>
      </c>
      <c r="AF2752" s="14" t="s">
        <v>60</v>
      </c>
      <c r="AI2752" s="20">
        <v>43657</v>
      </c>
      <c r="AJ2752" s="21">
        <v>0.79</v>
      </c>
      <c r="AK2752" s="14" t="s">
        <v>49</v>
      </c>
      <c r="AL2752" s="14" t="s">
        <v>60</v>
      </c>
      <c r="AU2752" s="330" t="s">
        <v>53</v>
      </c>
    </row>
    <row r="2753" spans="1:52" s="14" customFormat="1" ht="27.75" customHeight="1" x14ac:dyDescent="0.3">
      <c r="A2753" s="14" t="s">
        <v>505</v>
      </c>
      <c r="B2753" s="14" t="s">
        <v>7068</v>
      </c>
      <c r="C2753" s="14">
        <v>70</v>
      </c>
      <c r="D2753" s="14">
        <v>820</v>
      </c>
      <c r="F2753" s="14" t="s">
        <v>7181</v>
      </c>
      <c r="G2753" s="14" t="str">
        <f t="shared" si="65"/>
        <v>708209313131</v>
      </c>
      <c r="H2753" s="14" t="s">
        <v>7182</v>
      </c>
      <c r="I2753" s="19">
        <v>9313131</v>
      </c>
      <c r="J2753" s="14" t="s">
        <v>7183</v>
      </c>
      <c r="K2753" s="14" t="s">
        <v>230</v>
      </c>
      <c r="L2753" s="14" t="s">
        <v>45</v>
      </c>
      <c r="N2753" s="12" t="s">
        <v>46</v>
      </c>
      <c r="O2753" s="12" t="s">
        <v>47</v>
      </c>
      <c r="P2753" s="176" t="s">
        <v>48</v>
      </c>
      <c r="Q2753" s="20">
        <v>44328</v>
      </c>
      <c r="R2753" s="22">
        <v>0.745</v>
      </c>
      <c r="S2753" s="14" t="s">
        <v>49</v>
      </c>
      <c r="U2753" s="14" t="s">
        <v>60</v>
      </c>
      <c r="W2753" s="23"/>
      <c r="AU2753" s="330" t="s">
        <v>53</v>
      </c>
    </row>
    <row r="2754" spans="1:52" s="14" customFormat="1" ht="27.75" customHeight="1" x14ac:dyDescent="0.3">
      <c r="A2754" s="14" t="s">
        <v>505</v>
      </c>
      <c r="B2754" s="14" t="s">
        <v>7068</v>
      </c>
      <c r="C2754" s="14">
        <v>70</v>
      </c>
      <c r="D2754" s="14">
        <v>820</v>
      </c>
      <c r="F2754" s="14" t="s">
        <v>7184</v>
      </c>
      <c r="G2754" s="14" t="str">
        <f t="shared" si="65"/>
        <v>7082092230439-0</v>
      </c>
      <c r="H2754" s="14" t="s">
        <v>7185</v>
      </c>
      <c r="I2754" s="19" t="s">
        <v>7186</v>
      </c>
      <c r="J2754" s="14" t="s">
        <v>7187</v>
      </c>
      <c r="K2754" s="14" t="s">
        <v>230</v>
      </c>
      <c r="L2754" s="14">
        <v>3004704925</v>
      </c>
      <c r="M2754" s="14" t="s">
        <v>7188</v>
      </c>
      <c r="N2754" s="12" t="s">
        <v>46</v>
      </c>
      <c r="O2754" s="12" t="s">
        <v>47</v>
      </c>
      <c r="P2754" s="176" t="s">
        <v>48</v>
      </c>
      <c r="Q2754" s="20">
        <v>45867</v>
      </c>
      <c r="R2754" s="22">
        <v>0.93500000000000005</v>
      </c>
      <c r="S2754" s="14" t="s">
        <v>210</v>
      </c>
      <c r="T2754" s="14" t="s">
        <v>7041</v>
      </c>
      <c r="U2754" s="14" t="s">
        <v>60</v>
      </c>
      <c r="V2754" s="20">
        <v>45520</v>
      </c>
      <c r="W2754" s="23">
        <v>0.85</v>
      </c>
      <c r="X2754" s="14" t="s">
        <v>49</v>
      </c>
      <c r="AC2754" s="20" t="s">
        <v>736</v>
      </c>
      <c r="AD2754" s="21">
        <v>0.76</v>
      </c>
      <c r="AE2754" s="14" t="s">
        <v>49</v>
      </c>
      <c r="AU2754" s="330" t="s">
        <v>53</v>
      </c>
    </row>
    <row r="2755" spans="1:52" s="14" customFormat="1" ht="27.75" customHeight="1" x14ac:dyDescent="0.3">
      <c r="A2755" s="14" t="s">
        <v>505</v>
      </c>
      <c r="B2755" s="14" t="s">
        <v>7068</v>
      </c>
      <c r="C2755" s="14">
        <v>70</v>
      </c>
      <c r="D2755" s="14">
        <v>820</v>
      </c>
      <c r="F2755" s="14" t="s">
        <v>7189</v>
      </c>
      <c r="G2755" s="14" t="str">
        <f t="shared" si="65"/>
        <v>7082064580636</v>
      </c>
      <c r="H2755" s="14" t="s">
        <v>7190</v>
      </c>
      <c r="I2755" s="19">
        <v>64580636</v>
      </c>
      <c r="J2755" s="14" t="s">
        <v>7191</v>
      </c>
      <c r="K2755" s="14" t="s">
        <v>230</v>
      </c>
      <c r="L2755" s="14">
        <v>3023891178</v>
      </c>
      <c r="M2755" s="14" t="s">
        <v>7192</v>
      </c>
      <c r="N2755" s="12" t="s">
        <v>46</v>
      </c>
      <c r="O2755" s="12" t="s">
        <v>47</v>
      </c>
      <c r="P2755" s="176" t="s">
        <v>48</v>
      </c>
      <c r="Q2755" s="20">
        <v>45827</v>
      </c>
      <c r="R2755" s="22">
        <v>0.86499999999999999</v>
      </c>
      <c r="S2755" s="14" t="s">
        <v>49</v>
      </c>
      <c r="T2755" s="14" t="s">
        <v>7041</v>
      </c>
      <c r="U2755" s="14" t="s">
        <v>60</v>
      </c>
      <c r="V2755" s="20">
        <v>45518</v>
      </c>
      <c r="W2755" s="23">
        <v>0.85</v>
      </c>
      <c r="X2755" s="14" t="s">
        <v>49</v>
      </c>
      <c r="AC2755" s="20">
        <v>44418</v>
      </c>
      <c r="AD2755" s="21">
        <v>0.86</v>
      </c>
      <c r="AE2755" s="14" t="s">
        <v>49</v>
      </c>
      <c r="AF2755" s="14" t="s">
        <v>50</v>
      </c>
      <c r="AU2755" s="330" t="s">
        <v>53</v>
      </c>
    </row>
    <row r="2756" spans="1:52" s="14" customFormat="1" ht="27.75" customHeight="1" x14ac:dyDescent="0.3">
      <c r="A2756" s="14" t="s">
        <v>505</v>
      </c>
      <c r="B2756" s="14" t="s">
        <v>7068</v>
      </c>
      <c r="C2756" s="14">
        <v>70</v>
      </c>
      <c r="D2756" s="14">
        <v>820</v>
      </c>
      <c r="F2756" s="14" t="s">
        <v>7193</v>
      </c>
      <c r="G2756" s="14" t="str">
        <f t="shared" si="65"/>
        <v>70820322952349</v>
      </c>
      <c r="H2756" s="14" t="s">
        <v>7194</v>
      </c>
      <c r="I2756" s="19">
        <v>322952349</v>
      </c>
      <c r="J2756" s="14" t="s">
        <v>7195</v>
      </c>
      <c r="K2756" s="14" t="s">
        <v>230</v>
      </c>
      <c r="L2756" s="14">
        <v>3218213375</v>
      </c>
      <c r="M2756" s="14" t="s">
        <v>7196</v>
      </c>
      <c r="N2756" s="12" t="s">
        <v>46</v>
      </c>
      <c r="O2756" s="12" t="s">
        <v>47</v>
      </c>
      <c r="P2756" s="176" t="s">
        <v>48</v>
      </c>
      <c r="Q2756" s="20" t="s">
        <v>7197</v>
      </c>
      <c r="R2756" s="21">
        <v>0.78</v>
      </c>
      <c r="S2756" s="14" t="s">
        <v>49</v>
      </c>
      <c r="U2756" s="14" t="s">
        <v>60</v>
      </c>
      <c r="W2756" s="23"/>
      <c r="AU2756" s="330" t="s">
        <v>53</v>
      </c>
    </row>
    <row r="2757" spans="1:52" s="14" customFormat="1" ht="27.75" customHeight="1" x14ac:dyDescent="0.3">
      <c r="A2757" s="14" t="s">
        <v>505</v>
      </c>
      <c r="B2757" s="14" t="s">
        <v>7068</v>
      </c>
      <c r="C2757" s="14">
        <v>70</v>
      </c>
      <c r="D2757" s="14">
        <v>820</v>
      </c>
      <c r="F2757" s="276" t="s">
        <v>9519</v>
      </c>
      <c r="G2757" s="14" t="str">
        <f t="shared" si="65"/>
        <v>7082092230794</v>
      </c>
      <c r="H2757" s="14" t="s">
        <v>9520</v>
      </c>
      <c r="I2757" s="14">
        <v>92230794</v>
      </c>
      <c r="J2757" s="14" t="s">
        <v>9521</v>
      </c>
      <c r="K2757" s="14" t="s">
        <v>44</v>
      </c>
      <c r="L2757" s="14">
        <v>3045526838</v>
      </c>
      <c r="M2757" s="14" t="s">
        <v>9522</v>
      </c>
      <c r="N2757" s="12" t="s">
        <v>46</v>
      </c>
      <c r="O2757" s="12" t="s">
        <v>47</v>
      </c>
      <c r="P2757" s="176" t="s">
        <v>48</v>
      </c>
      <c r="Q2757" s="20">
        <v>46192</v>
      </c>
      <c r="R2757" s="14" t="s">
        <v>8709</v>
      </c>
      <c r="S2757" s="14" t="s">
        <v>49</v>
      </c>
      <c r="T2757" s="14" t="s">
        <v>7041</v>
      </c>
      <c r="U2757" s="14" t="s">
        <v>60</v>
      </c>
      <c r="V2757" s="20">
        <v>45443</v>
      </c>
      <c r="W2757" s="21">
        <v>0.83</v>
      </c>
      <c r="X2757" s="14" t="s">
        <v>49</v>
      </c>
      <c r="Z2757" s="14" t="s">
        <v>60</v>
      </c>
      <c r="AU2757" s="330" t="s">
        <v>53</v>
      </c>
    </row>
    <row r="2758" spans="1:52" s="14" customFormat="1" ht="27.75" customHeight="1" x14ac:dyDescent="0.3">
      <c r="A2758" s="14" t="s">
        <v>505</v>
      </c>
      <c r="B2758" s="14" t="s">
        <v>7068</v>
      </c>
      <c r="C2758" s="14">
        <v>70</v>
      </c>
      <c r="D2758" s="14">
        <v>820</v>
      </c>
      <c r="F2758" s="14" t="s">
        <v>7198</v>
      </c>
      <c r="G2758" s="14" t="str">
        <f t="shared" si="65"/>
        <v>7082092553965</v>
      </c>
      <c r="H2758" s="14" t="s">
        <v>7199</v>
      </c>
      <c r="I2758" s="14">
        <v>92553965</v>
      </c>
      <c r="J2758" s="14" t="s">
        <v>7200</v>
      </c>
      <c r="K2758" s="14" t="s">
        <v>230</v>
      </c>
      <c r="L2758" s="14">
        <v>3219865104</v>
      </c>
      <c r="M2758" s="14" t="s">
        <v>193</v>
      </c>
      <c r="N2758" s="12" t="s">
        <v>46</v>
      </c>
      <c r="O2758" s="12" t="s">
        <v>47</v>
      </c>
      <c r="P2758" s="176" t="s">
        <v>48</v>
      </c>
      <c r="Q2758" s="20">
        <v>45420</v>
      </c>
      <c r="R2758" s="21">
        <v>0.83</v>
      </c>
      <c r="S2758" s="14" t="s">
        <v>49</v>
      </c>
      <c r="U2758" s="14" t="s">
        <v>60</v>
      </c>
      <c r="W2758" s="23"/>
      <c r="AU2758" s="330" t="s">
        <v>53</v>
      </c>
    </row>
    <row r="2759" spans="1:52" s="14" customFormat="1" ht="27.75" hidden="1" customHeight="1" x14ac:dyDescent="0.3">
      <c r="A2759" s="14" t="s">
        <v>505</v>
      </c>
      <c r="B2759" s="14" t="s">
        <v>7068</v>
      </c>
      <c r="C2759" s="14">
        <v>70</v>
      </c>
      <c r="D2759" s="14">
        <v>820</v>
      </c>
      <c r="F2759" s="276" t="s">
        <v>7201</v>
      </c>
      <c r="G2759" s="14" t="str">
        <f t="shared" si="65"/>
        <v>708201108766263</v>
      </c>
      <c r="H2759" s="14" t="s">
        <v>9515</v>
      </c>
      <c r="I2759" s="14">
        <v>1108766263</v>
      </c>
      <c r="J2759" s="14" t="s">
        <v>9516</v>
      </c>
      <c r="K2759" s="14" t="s">
        <v>44</v>
      </c>
      <c r="L2759" s="14">
        <v>3165392054</v>
      </c>
      <c r="M2759" s="14" t="s">
        <v>9517</v>
      </c>
      <c r="N2759" s="12" t="s">
        <v>46</v>
      </c>
      <c r="O2759" s="12" t="s">
        <v>2797</v>
      </c>
      <c r="P2759" s="176" t="s">
        <v>48</v>
      </c>
      <c r="Q2759" s="20">
        <v>46183</v>
      </c>
      <c r="R2759" s="14">
        <v>89</v>
      </c>
      <c r="S2759" s="14" t="s">
        <v>49</v>
      </c>
      <c r="T2759" s="14" t="s">
        <v>7041</v>
      </c>
      <c r="U2759" s="14" t="s">
        <v>50</v>
      </c>
      <c r="V2759" s="20">
        <v>45472</v>
      </c>
      <c r="W2759" s="22">
        <v>0.86499999999999999</v>
      </c>
      <c r="X2759" s="14" t="s">
        <v>49</v>
      </c>
      <c r="Z2759" s="14" t="s">
        <v>60</v>
      </c>
      <c r="AU2759" s="330" t="s">
        <v>53</v>
      </c>
    </row>
    <row r="2760" spans="1:52" s="14" customFormat="1" ht="27.75" hidden="1" customHeight="1" x14ac:dyDescent="0.3">
      <c r="A2760" s="14" t="s">
        <v>505</v>
      </c>
      <c r="B2760" s="14" t="s">
        <v>7068</v>
      </c>
      <c r="C2760" s="14">
        <v>70</v>
      </c>
      <c r="D2760" s="14">
        <v>820</v>
      </c>
      <c r="F2760" s="14" t="s">
        <v>92</v>
      </c>
      <c r="G2760" s="14" t="str">
        <f t="shared" si="65"/>
        <v>7082028023898</v>
      </c>
      <c r="H2760" s="14" t="s">
        <v>7202</v>
      </c>
      <c r="I2760" s="19">
        <v>28023898</v>
      </c>
      <c r="J2760" s="14" t="s">
        <v>7203</v>
      </c>
      <c r="K2760" s="14" t="s">
        <v>230</v>
      </c>
      <c r="L2760" s="14">
        <v>3164958917</v>
      </c>
      <c r="M2760" s="14" t="s">
        <v>7204</v>
      </c>
      <c r="N2760" s="12" t="s">
        <v>46</v>
      </c>
      <c r="O2760" s="12" t="s">
        <v>2797</v>
      </c>
      <c r="P2760" s="176" t="s">
        <v>80</v>
      </c>
      <c r="Q2760" s="20">
        <v>44340</v>
      </c>
      <c r="R2760" s="21">
        <v>0.87</v>
      </c>
      <c r="S2760" s="14" t="s">
        <v>49</v>
      </c>
      <c r="U2760" s="14" t="s">
        <v>60</v>
      </c>
      <c r="W2760" s="23"/>
      <c r="AU2760" s="330" t="s">
        <v>53</v>
      </c>
    </row>
    <row r="2761" spans="1:52" s="14" customFormat="1" ht="27.75" customHeight="1" x14ac:dyDescent="0.3">
      <c r="A2761" s="14" t="s">
        <v>505</v>
      </c>
      <c r="B2761" s="14" t="s">
        <v>7068</v>
      </c>
      <c r="C2761" s="14">
        <v>70</v>
      </c>
      <c r="D2761" s="14">
        <v>820</v>
      </c>
      <c r="F2761" s="14" t="s">
        <v>7205</v>
      </c>
      <c r="G2761" s="14" t="str">
        <f t="shared" si="65"/>
        <v>7082072294516</v>
      </c>
      <c r="H2761" s="14" t="s">
        <v>7206</v>
      </c>
      <c r="I2761" s="14">
        <v>72294516</v>
      </c>
      <c r="J2761" s="14" t="s">
        <v>7207</v>
      </c>
      <c r="K2761" s="14" t="s">
        <v>230</v>
      </c>
      <c r="L2761" s="14">
        <v>3012991560</v>
      </c>
      <c r="M2761" s="14" t="s">
        <v>193</v>
      </c>
      <c r="N2761" s="12" t="s">
        <v>46</v>
      </c>
      <c r="O2761" s="12" t="s">
        <v>47</v>
      </c>
      <c r="P2761" s="176" t="s">
        <v>48</v>
      </c>
      <c r="Q2761" s="20">
        <v>45422</v>
      </c>
      <c r="R2761" s="21">
        <v>0.81</v>
      </c>
      <c r="S2761" s="14" t="s">
        <v>49</v>
      </c>
      <c r="U2761" s="14" t="s">
        <v>60</v>
      </c>
      <c r="W2761" s="23"/>
      <c r="AU2761" s="330" t="s">
        <v>53</v>
      </c>
    </row>
    <row r="2762" spans="1:52" s="14" customFormat="1" ht="27.75" customHeight="1" x14ac:dyDescent="0.3">
      <c r="A2762" s="14" t="s">
        <v>505</v>
      </c>
      <c r="B2762" s="14" t="s">
        <v>7068</v>
      </c>
      <c r="C2762" s="14">
        <v>70</v>
      </c>
      <c r="D2762" s="14">
        <v>820</v>
      </c>
      <c r="F2762" s="276" t="s">
        <v>7208</v>
      </c>
      <c r="G2762" s="14" t="str">
        <f t="shared" si="65"/>
        <v>708201100698479</v>
      </c>
      <c r="H2762" s="14" t="s">
        <v>9527</v>
      </c>
      <c r="I2762" s="14">
        <v>1100698479</v>
      </c>
      <c r="J2762" s="14" t="s">
        <v>9528</v>
      </c>
      <c r="K2762" s="14" t="s">
        <v>44</v>
      </c>
      <c r="L2762" s="14">
        <v>3146750993</v>
      </c>
      <c r="M2762" s="14" t="s">
        <v>9529</v>
      </c>
      <c r="N2762" s="12" t="s">
        <v>46</v>
      </c>
      <c r="O2762" s="12" t="s">
        <v>47</v>
      </c>
      <c r="P2762" s="176" t="s">
        <v>48</v>
      </c>
      <c r="Q2762" s="20">
        <v>46220</v>
      </c>
      <c r="R2762" s="14" t="s">
        <v>8503</v>
      </c>
      <c r="S2762" s="14" t="s">
        <v>49</v>
      </c>
      <c r="T2762" s="14" t="s">
        <v>7041</v>
      </c>
      <c r="U2762" s="14" t="s">
        <v>50</v>
      </c>
      <c r="V2762" s="20">
        <v>44638</v>
      </c>
      <c r="W2762" s="21">
        <v>0.75</v>
      </c>
      <c r="X2762" s="14" t="s">
        <v>49</v>
      </c>
      <c r="Z2762" s="14" t="s">
        <v>60</v>
      </c>
      <c r="AU2762" s="330" t="s">
        <v>53</v>
      </c>
    </row>
    <row r="2763" spans="1:52" s="14" customFormat="1" ht="27.75" customHeight="1" x14ac:dyDescent="0.3">
      <c r="A2763" s="14" t="s">
        <v>505</v>
      </c>
      <c r="B2763" s="14" t="s">
        <v>7068</v>
      </c>
      <c r="C2763" s="14">
        <v>70</v>
      </c>
      <c r="D2763" s="14">
        <v>820</v>
      </c>
      <c r="F2763" s="276" t="s">
        <v>9545</v>
      </c>
      <c r="G2763" s="14" t="str">
        <f t="shared" si="65"/>
        <v>70820382849571</v>
      </c>
      <c r="H2763" s="14" t="s">
        <v>9546</v>
      </c>
      <c r="I2763" s="14">
        <v>382849571</v>
      </c>
      <c r="J2763" s="14" t="s">
        <v>9547</v>
      </c>
      <c r="K2763" s="14" t="s">
        <v>44</v>
      </c>
      <c r="L2763" s="14">
        <v>3145681860</v>
      </c>
      <c r="M2763" s="211" t="s">
        <v>9548</v>
      </c>
      <c r="N2763" s="12" t="s">
        <v>46</v>
      </c>
      <c r="O2763" s="12" t="s">
        <v>47</v>
      </c>
      <c r="P2763" s="176" t="s">
        <v>48</v>
      </c>
      <c r="Q2763" s="20">
        <v>46177</v>
      </c>
      <c r="R2763" s="21">
        <v>0.93</v>
      </c>
      <c r="S2763" s="14" t="s">
        <v>210</v>
      </c>
      <c r="T2763" s="14" t="s">
        <v>9549</v>
      </c>
      <c r="U2763" s="14" t="s">
        <v>2456</v>
      </c>
      <c r="V2763" s="20">
        <v>46163</v>
      </c>
      <c r="W2763" s="21">
        <v>0.63</v>
      </c>
      <c r="X2763" s="14" t="s">
        <v>4426</v>
      </c>
      <c r="Y2763" s="14" t="s">
        <v>9550</v>
      </c>
      <c r="Z2763" s="14" t="s">
        <v>9551</v>
      </c>
      <c r="AA2763" s="14" t="s">
        <v>9552</v>
      </c>
      <c r="AU2763" s="330" t="s">
        <v>53</v>
      </c>
      <c r="AX2763" s="14" t="s">
        <v>1920</v>
      </c>
      <c r="AY2763" s="14" t="s">
        <v>9553</v>
      </c>
      <c r="AZ2763" s="14" t="s">
        <v>4668</v>
      </c>
    </row>
    <row r="2764" spans="1:52" s="14" customFormat="1" ht="27.75" hidden="1" customHeight="1" x14ac:dyDescent="0.3">
      <c r="A2764" s="14" t="s">
        <v>505</v>
      </c>
      <c r="B2764" s="14" t="s">
        <v>7068</v>
      </c>
      <c r="C2764" s="14">
        <v>70</v>
      </c>
      <c r="D2764" s="14">
        <v>820</v>
      </c>
      <c r="F2764" s="14" t="s">
        <v>7209</v>
      </c>
      <c r="G2764" s="14" t="str">
        <f t="shared" si="65"/>
        <v>70820618694</v>
      </c>
      <c r="H2764" s="14" t="s">
        <v>7210</v>
      </c>
      <c r="I2764" s="19">
        <v>618694</v>
      </c>
      <c r="J2764" s="14" t="s">
        <v>7211</v>
      </c>
      <c r="K2764" s="14" t="s">
        <v>230</v>
      </c>
      <c r="M2764" s="14" t="s">
        <v>193</v>
      </c>
      <c r="N2764" s="12" t="s">
        <v>46</v>
      </c>
      <c r="O2764" s="12" t="s">
        <v>2797</v>
      </c>
      <c r="P2764" s="176" t="s">
        <v>48</v>
      </c>
      <c r="Q2764" s="20">
        <v>44669</v>
      </c>
      <c r="R2764" s="21">
        <v>0.84</v>
      </c>
      <c r="S2764" s="14" t="s">
        <v>49</v>
      </c>
      <c r="U2764" s="14" t="s">
        <v>60</v>
      </c>
      <c r="W2764" s="23"/>
      <c r="AU2764" s="330" t="s">
        <v>53</v>
      </c>
    </row>
    <row r="2765" spans="1:52" s="14" customFormat="1" ht="27.75" customHeight="1" x14ac:dyDescent="0.3">
      <c r="A2765" s="14" t="s">
        <v>505</v>
      </c>
      <c r="B2765" s="14" t="s">
        <v>7068</v>
      </c>
      <c r="C2765" s="14">
        <v>70</v>
      </c>
      <c r="D2765" s="14">
        <v>820</v>
      </c>
      <c r="F2765" s="14" t="s">
        <v>7212</v>
      </c>
      <c r="G2765" s="14" t="str">
        <f t="shared" si="65"/>
        <v>70820922261043</v>
      </c>
      <c r="H2765" s="14" t="s">
        <v>7213</v>
      </c>
      <c r="I2765" s="19">
        <v>922261043</v>
      </c>
      <c r="J2765" s="14" t="s">
        <v>7214</v>
      </c>
      <c r="K2765" s="14" t="s">
        <v>230</v>
      </c>
      <c r="L2765" s="14">
        <v>3113089572</v>
      </c>
      <c r="M2765" s="14" t="s">
        <v>193</v>
      </c>
      <c r="N2765" s="12" t="s">
        <v>46</v>
      </c>
      <c r="O2765" s="12" t="s">
        <v>47</v>
      </c>
      <c r="P2765" s="176" t="s">
        <v>48</v>
      </c>
      <c r="Q2765" s="20">
        <v>45219</v>
      </c>
      <c r="R2765" s="22">
        <v>0.73499999999999999</v>
      </c>
      <c r="S2765" s="14" t="s">
        <v>49</v>
      </c>
      <c r="U2765" s="14" t="s">
        <v>60</v>
      </c>
      <c r="W2765" s="23"/>
      <c r="AU2765" s="330" t="s">
        <v>53</v>
      </c>
    </row>
    <row r="2766" spans="1:52" s="14" customFormat="1" ht="27.75" customHeight="1" x14ac:dyDescent="0.3">
      <c r="A2766" s="14" t="s">
        <v>505</v>
      </c>
      <c r="B2766" s="14" t="s">
        <v>7068</v>
      </c>
      <c r="C2766" s="14">
        <v>70</v>
      </c>
      <c r="D2766" s="14">
        <v>820</v>
      </c>
      <c r="F2766" s="14" t="s">
        <v>7215</v>
      </c>
      <c r="G2766" s="14" t="str">
        <f t="shared" si="65"/>
        <v>7082071588383-8</v>
      </c>
      <c r="H2766" s="14" t="s">
        <v>7216</v>
      </c>
      <c r="I2766" s="19" t="s">
        <v>7217</v>
      </c>
      <c r="J2766" s="14" t="s">
        <v>7218</v>
      </c>
      <c r="K2766" s="14" t="s">
        <v>230</v>
      </c>
      <c r="L2766" s="14">
        <v>3206927624</v>
      </c>
      <c r="M2766" s="14" t="s">
        <v>193</v>
      </c>
      <c r="N2766" s="12" t="s">
        <v>46</v>
      </c>
      <c r="O2766" s="12" t="s">
        <v>47</v>
      </c>
      <c r="P2766" s="176" t="s">
        <v>261</v>
      </c>
      <c r="Q2766" s="20">
        <v>45090</v>
      </c>
      <c r="R2766" s="21">
        <v>0.81</v>
      </c>
      <c r="S2766" s="14" t="s">
        <v>49</v>
      </c>
      <c r="U2766" s="14" t="s">
        <v>60</v>
      </c>
      <c r="W2766" s="23"/>
      <c r="AU2766" s="330" t="s">
        <v>53</v>
      </c>
    </row>
    <row r="2767" spans="1:52" s="14" customFormat="1" ht="27.75" customHeight="1" x14ac:dyDescent="0.3">
      <c r="A2767" s="14" t="s">
        <v>505</v>
      </c>
      <c r="B2767" s="14" t="s">
        <v>7068</v>
      </c>
      <c r="C2767" s="14">
        <v>70</v>
      </c>
      <c r="D2767" s="14">
        <v>820</v>
      </c>
      <c r="E2767" s="14" t="s">
        <v>7219</v>
      </c>
      <c r="F2767" s="14" t="s">
        <v>7220</v>
      </c>
      <c r="G2767" s="14" t="str">
        <f t="shared" si="65"/>
        <v>70820901371193-1</v>
      </c>
      <c r="H2767" s="14" t="s">
        <v>2146</v>
      </c>
      <c r="I2767" s="14" t="s">
        <v>7221</v>
      </c>
      <c r="J2767" s="19" t="s">
        <v>7222</v>
      </c>
      <c r="K2767" s="14" t="s">
        <v>230</v>
      </c>
      <c r="L2767" s="14">
        <v>3046317165</v>
      </c>
      <c r="M2767" s="14" t="s">
        <v>2145</v>
      </c>
      <c r="N2767" s="12" t="s">
        <v>46</v>
      </c>
      <c r="O2767" s="12" t="s">
        <v>47</v>
      </c>
      <c r="P2767" s="176" t="s">
        <v>48</v>
      </c>
      <c r="Q2767" s="20">
        <v>45798</v>
      </c>
      <c r="R2767" s="14" t="s">
        <v>1090</v>
      </c>
      <c r="S2767" s="14" t="s">
        <v>49</v>
      </c>
      <c r="U2767" s="14" t="s">
        <v>60</v>
      </c>
      <c r="V2767" s="20">
        <v>45087</v>
      </c>
      <c r="W2767" s="22">
        <v>0.745</v>
      </c>
      <c r="X2767" s="14" t="s">
        <v>49</v>
      </c>
      <c r="AU2767" s="330" t="s">
        <v>53</v>
      </c>
    </row>
    <row r="2768" spans="1:52" s="14" customFormat="1" ht="27.75" customHeight="1" x14ac:dyDescent="0.3">
      <c r="A2768" s="14" t="s">
        <v>505</v>
      </c>
      <c r="B2768" s="14" t="s">
        <v>7068</v>
      </c>
      <c r="C2768" s="14">
        <v>70</v>
      </c>
      <c r="D2768" s="14">
        <v>820</v>
      </c>
      <c r="F2768" s="14" t="s">
        <v>7223</v>
      </c>
      <c r="G2768" s="14" t="str">
        <f t="shared" si="65"/>
        <v>708201128461744</v>
      </c>
      <c r="H2768" s="14" t="s">
        <v>7224</v>
      </c>
      <c r="I2768" s="19">
        <v>1128461744</v>
      </c>
      <c r="J2768" s="14" t="s">
        <v>7225</v>
      </c>
      <c r="K2768" s="14" t="s">
        <v>230</v>
      </c>
      <c r="L2768" s="14">
        <v>3012733347</v>
      </c>
      <c r="M2768" s="14" t="s">
        <v>7226</v>
      </c>
      <c r="N2768" s="12" t="s">
        <v>46</v>
      </c>
      <c r="O2768" s="12" t="s">
        <v>47</v>
      </c>
      <c r="P2768" s="176" t="s">
        <v>48</v>
      </c>
      <c r="Q2768" s="20">
        <v>44340</v>
      </c>
      <c r="R2768" s="21">
        <v>0.85</v>
      </c>
      <c r="S2768" s="14" t="s">
        <v>49</v>
      </c>
      <c r="U2768" s="14" t="s">
        <v>60</v>
      </c>
      <c r="W2768" s="23"/>
      <c r="AU2768" s="330" t="s">
        <v>53</v>
      </c>
    </row>
    <row r="2769" spans="1:52" s="14" customFormat="1" ht="27.75" customHeight="1" x14ac:dyDescent="0.3">
      <c r="A2769" s="14" t="s">
        <v>505</v>
      </c>
      <c r="B2769" s="14" t="s">
        <v>7068</v>
      </c>
      <c r="C2769" s="14">
        <v>70</v>
      </c>
      <c r="D2769" s="14">
        <v>820</v>
      </c>
      <c r="F2769" s="14" t="s">
        <v>7227</v>
      </c>
      <c r="G2769" s="14" t="str">
        <f t="shared" si="65"/>
        <v>70820901460955-1</v>
      </c>
      <c r="H2769" s="14" t="s">
        <v>7228</v>
      </c>
      <c r="I2769" s="19" t="s">
        <v>7229</v>
      </c>
      <c r="J2769" s="14" t="s">
        <v>7230</v>
      </c>
      <c r="K2769" s="14" t="s">
        <v>230</v>
      </c>
      <c r="L2769" s="14">
        <v>3015340325</v>
      </c>
      <c r="M2769" s="14" t="s">
        <v>7231</v>
      </c>
      <c r="N2769" s="12" t="s">
        <v>46</v>
      </c>
      <c r="O2769" s="12" t="s">
        <v>47</v>
      </c>
      <c r="P2769" s="176" t="s">
        <v>48</v>
      </c>
      <c r="Q2769" s="20">
        <v>45118</v>
      </c>
      <c r="R2769" s="21">
        <v>0.36</v>
      </c>
      <c r="S2769" s="14" t="s">
        <v>49</v>
      </c>
      <c r="U2769" s="14" t="s">
        <v>60</v>
      </c>
      <c r="W2769" s="23"/>
      <c r="AU2769" s="330" t="s">
        <v>53</v>
      </c>
    </row>
    <row r="2770" spans="1:52" s="14" customFormat="1" ht="27.75" customHeight="1" x14ac:dyDescent="0.3">
      <c r="A2770" s="14" t="s">
        <v>505</v>
      </c>
      <c r="B2770" s="14" t="s">
        <v>7068</v>
      </c>
      <c r="C2770" s="14">
        <v>70</v>
      </c>
      <c r="D2770" s="14">
        <v>820</v>
      </c>
      <c r="F2770" s="14" t="s">
        <v>7232</v>
      </c>
      <c r="G2770" s="14" t="str">
        <f t="shared" si="65"/>
        <v>708201104867608</v>
      </c>
      <c r="H2770" s="14" t="s">
        <v>7233</v>
      </c>
      <c r="I2770" s="19">
        <v>1104867608</v>
      </c>
      <c r="J2770" s="14" t="s">
        <v>7234</v>
      </c>
      <c r="K2770" s="14" t="s">
        <v>230</v>
      </c>
      <c r="L2770" s="14">
        <v>3004744703</v>
      </c>
      <c r="M2770" s="14" t="s">
        <v>7235</v>
      </c>
      <c r="N2770" s="12" t="s">
        <v>46</v>
      </c>
      <c r="O2770" s="12" t="s">
        <v>47</v>
      </c>
      <c r="P2770" s="176" t="s">
        <v>48</v>
      </c>
      <c r="Q2770" s="20">
        <v>44113</v>
      </c>
      <c r="R2770" s="22">
        <v>0.76500000000000001</v>
      </c>
      <c r="S2770" s="14" t="s">
        <v>49</v>
      </c>
      <c r="U2770" s="14" t="s">
        <v>60</v>
      </c>
      <c r="W2770" s="23"/>
      <c r="AU2770" s="330" t="s">
        <v>53</v>
      </c>
    </row>
    <row r="2771" spans="1:52" s="14" customFormat="1" ht="27.75" customHeight="1" x14ac:dyDescent="0.3">
      <c r="A2771" s="14" t="s">
        <v>505</v>
      </c>
      <c r="B2771" s="14" t="s">
        <v>7068</v>
      </c>
      <c r="C2771" s="14">
        <v>70</v>
      </c>
      <c r="D2771" s="14">
        <v>820</v>
      </c>
      <c r="F2771" s="14" t="s">
        <v>9530</v>
      </c>
      <c r="G2771" s="14" t="str">
        <f t="shared" si="65"/>
        <v>7082016680192</v>
      </c>
      <c r="H2771" s="14" t="s">
        <v>7236</v>
      </c>
      <c r="I2771" s="19">
        <v>16680192</v>
      </c>
      <c r="J2771" s="14" t="s">
        <v>7237</v>
      </c>
      <c r="K2771" s="14" t="s">
        <v>230</v>
      </c>
      <c r="L2771" s="14">
        <v>3005664637</v>
      </c>
      <c r="M2771" s="14" t="s">
        <v>9531</v>
      </c>
      <c r="N2771" s="12" t="s">
        <v>46</v>
      </c>
      <c r="O2771" s="14" t="s">
        <v>47</v>
      </c>
      <c r="P2771" s="176" t="s">
        <v>48</v>
      </c>
      <c r="Q2771" s="20">
        <v>46220</v>
      </c>
      <c r="R2771" s="14">
        <v>86</v>
      </c>
      <c r="S2771" s="14" t="s">
        <v>49</v>
      </c>
      <c r="T2771" s="14" t="s">
        <v>7041</v>
      </c>
      <c r="U2771" s="14" t="s">
        <v>60</v>
      </c>
      <c r="V2771" s="20">
        <v>45211</v>
      </c>
      <c r="W2771" s="21">
        <v>0.91</v>
      </c>
      <c r="X2771" s="14" t="s">
        <v>319</v>
      </c>
      <c r="Z2771" s="14" t="s">
        <v>60</v>
      </c>
      <c r="AU2771" s="330" t="s">
        <v>53</v>
      </c>
    </row>
    <row r="2772" spans="1:52" s="14" customFormat="1" ht="27.75" customHeight="1" x14ac:dyDescent="0.3">
      <c r="A2772" s="14" t="s">
        <v>505</v>
      </c>
      <c r="B2772" s="14" t="s">
        <v>7068</v>
      </c>
      <c r="C2772" s="14">
        <v>70</v>
      </c>
      <c r="D2772" s="14">
        <v>820</v>
      </c>
      <c r="F2772" s="14" t="s">
        <v>7238</v>
      </c>
      <c r="G2772" s="14" t="str">
        <f t="shared" ref="G2772:G2791" si="66">C2772&amp;D2772&amp;I2772</f>
        <v>7082039190597</v>
      </c>
      <c r="H2772" s="14" t="s">
        <v>7239</v>
      </c>
      <c r="I2772" s="14">
        <v>39190597</v>
      </c>
      <c r="J2772" s="14" t="s">
        <v>7240</v>
      </c>
      <c r="K2772" s="14" t="s">
        <v>230</v>
      </c>
      <c r="L2772" s="14">
        <v>311559983</v>
      </c>
      <c r="M2772" s="14" t="s">
        <v>7241</v>
      </c>
      <c r="N2772" s="12" t="s">
        <v>46</v>
      </c>
      <c r="O2772" s="12" t="s">
        <v>47</v>
      </c>
      <c r="P2772" s="176" t="s">
        <v>48</v>
      </c>
      <c r="Q2772" s="20">
        <v>45420</v>
      </c>
      <c r="R2772" s="21">
        <v>0.85</v>
      </c>
      <c r="S2772" s="14" t="s">
        <v>49</v>
      </c>
      <c r="U2772" s="14" t="s">
        <v>60</v>
      </c>
      <c r="W2772" s="23"/>
      <c r="AU2772" s="330" t="s">
        <v>53</v>
      </c>
    </row>
    <row r="2773" spans="1:52" s="14" customFormat="1" ht="27.75" customHeight="1" x14ac:dyDescent="0.3">
      <c r="A2773" s="14" t="s">
        <v>505</v>
      </c>
      <c r="B2773" s="14" t="s">
        <v>7068</v>
      </c>
      <c r="C2773" s="14">
        <v>70</v>
      </c>
      <c r="D2773" s="14">
        <v>820</v>
      </c>
      <c r="F2773" s="14" t="s">
        <v>7242</v>
      </c>
      <c r="G2773" s="14" t="str">
        <f t="shared" si="66"/>
        <v>708201130626067</v>
      </c>
      <c r="H2773" s="14" t="s">
        <v>7243</v>
      </c>
      <c r="I2773" s="19">
        <v>1130626067</v>
      </c>
      <c r="J2773" s="14" t="s">
        <v>7244</v>
      </c>
      <c r="K2773" s="14" t="s">
        <v>230</v>
      </c>
      <c r="L2773" s="14">
        <v>3128628769</v>
      </c>
      <c r="M2773" s="14" t="s">
        <v>7245</v>
      </c>
      <c r="N2773" s="12" t="s">
        <v>46</v>
      </c>
      <c r="O2773" s="12" t="s">
        <v>47</v>
      </c>
      <c r="P2773" s="176" t="s">
        <v>48</v>
      </c>
      <c r="Q2773" s="20">
        <v>44120</v>
      </c>
      <c r="R2773" s="21">
        <v>0.73</v>
      </c>
      <c r="S2773" s="14" t="s">
        <v>49</v>
      </c>
      <c r="U2773" s="14" t="s">
        <v>60</v>
      </c>
      <c r="W2773" s="23"/>
      <c r="AU2773" s="330" t="s">
        <v>53</v>
      </c>
    </row>
    <row r="2774" spans="1:52" s="14" customFormat="1" ht="27.75" customHeight="1" x14ac:dyDescent="0.3">
      <c r="A2774" s="14" t="s">
        <v>505</v>
      </c>
      <c r="B2774" s="14" t="s">
        <v>7068</v>
      </c>
      <c r="C2774" s="14">
        <v>70</v>
      </c>
      <c r="D2774" s="14">
        <v>820</v>
      </c>
      <c r="F2774" s="14" t="s">
        <v>7246</v>
      </c>
      <c r="G2774" s="14" t="str">
        <f t="shared" si="66"/>
        <v>708201101018890</v>
      </c>
      <c r="H2774" s="14" t="s">
        <v>7247</v>
      </c>
      <c r="I2774" s="14">
        <v>1101018890</v>
      </c>
      <c r="J2774" s="14" t="s">
        <v>7248</v>
      </c>
      <c r="K2774" s="14" t="s">
        <v>230</v>
      </c>
      <c r="L2774" s="14">
        <v>3107965913</v>
      </c>
      <c r="N2774" s="12" t="s">
        <v>46</v>
      </c>
      <c r="O2774" s="12" t="s">
        <v>47</v>
      </c>
      <c r="P2774" s="176" t="s">
        <v>48</v>
      </c>
      <c r="Q2774" s="20">
        <v>45422</v>
      </c>
      <c r="R2774" s="22">
        <v>0.68500000000000005</v>
      </c>
      <c r="S2774" s="14" t="s">
        <v>49</v>
      </c>
      <c r="U2774" s="14" t="s">
        <v>60</v>
      </c>
      <c r="W2774" s="23"/>
      <c r="AU2774" s="330" t="s">
        <v>53</v>
      </c>
    </row>
    <row r="2775" spans="1:52" s="14" customFormat="1" ht="27.75" customHeight="1" x14ac:dyDescent="0.3">
      <c r="A2775" s="14" t="s">
        <v>505</v>
      </c>
      <c r="B2775" s="14" t="s">
        <v>7068</v>
      </c>
      <c r="C2775" s="14">
        <v>70</v>
      </c>
      <c r="D2775" s="14">
        <v>820</v>
      </c>
      <c r="F2775" s="14" t="s">
        <v>7249</v>
      </c>
      <c r="G2775" s="14" t="str">
        <f t="shared" si="66"/>
        <v>70820900648506-1</v>
      </c>
      <c r="H2775" s="14" t="s">
        <v>7250</v>
      </c>
      <c r="I2775" s="14" t="s">
        <v>7251</v>
      </c>
      <c r="J2775" s="14" t="s">
        <v>7252</v>
      </c>
      <c r="K2775" s="14" t="s">
        <v>230</v>
      </c>
      <c r="L2775" s="14">
        <v>3117379630</v>
      </c>
      <c r="M2775" s="14" t="s">
        <v>7253</v>
      </c>
      <c r="N2775" s="12" t="s">
        <v>46</v>
      </c>
      <c r="O2775" s="12" t="s">
        <v>47</v>
      </c>
      <c r="P2775" s="176" t="s">
        <v>48</v>
      </c>
      <c r="Q2775" s="20">
        <v>45563</v>
      </c>
      <c r="R2775" s="22">
        <v>0.90500000000000003</v>
      </c>
      <c r="S2775" s="14" t="s">
        <v>319</v>
      </c>
      <c r="U2775" s="14" t="s">
        <v>60</v>
      </c>
      <c r="W2775" s="23"/>
      <c r="AU2775" s="330" t="s">
        <v>53</v>
      </c>
    </row>
    <row r="2776" spans="1:52" s="14" customFormat="1" ht="27.75" hidden="1" customHeight="1" x14ac:dyDescent="0.3">
      <c r="A2776" s="14" t="s">
        <v>505</v>
      </c>
      <c r="B2776" s="14" t="s">
        <v>7068</v>
      </c>
      <c r="C2776" s="14">
        <v>70</v>
      </c>
      <c r="D2776" s="14">
        <v>820</v>
      </c>
      <c r="F2776" s="14" t="s">
        <v>7254</v>
      </c>
      <c r="G2776" s="14" t="str">
        <f t="shared" si="66"/>
        <v>7082070901477</v>
      </c>
      <c r="H2776" s="14" t="s">
        <v>7255</v>
      </c>
      <c r="I2776" s="14">
        <v>70901477</v>
      </c>
      <c r="J2776" s="14" t="s">
        <v>7256</v>
      </c>
      <c r="K2776" s="14" t="s">
        <v>230</v>
      </c>
      <c r="L2776" s="14">
        <v>3207149212</v>
      </c>
      <c r="M2776" s="14" t="s">
        <v>7257</v>
      </c>
      <c r="N2776" s="12" t="s">
        <v>46</v>
      </c>
      <c r="O2776" s="12" t="s">
        <v>2797</v>
      </c>
      <c r="P2776" s="176" t="s">
        <v>48</v>
      </c>
      <c r="Q2776" s="20">
        <v>45517</v>
      </c>
      <c r="R2776" s="21">
        <v>0.82</v>
      </c>
      <c r="S2776" s="14" t="s">
        <v>49</v>
      </c>
      <c r="U2776" s="14" t="s">
        <v>60</v>
      </c>
      <c r="W2776" s="23"/>
      <c r="AU2776" s="330" t="s">
        <v>53</v>
      </c>
    </row>
    <row r="2777" spans="1:52" s="14" customFormat="1" ht="27.75" customHeight="1" x14ac:dyDescent="0.3">
      <c r="A2777" s="14" t="s">
        <v>505</v>
      </c>
      <c r="B2777" s="14" t="s">
        <v>7068</v>
      </c>
      <c r="C2777" s="14">
        <v>70</v>
      </c>
      <c r="D2777" s="14">
        <v>820</v>
      </c>
      <c r="E2777" s="14" t="s">
        <v>7258</v>
      </c>
      <c r="F2777" s="14" t="s">
        <v>7259</v>
      </c>
      <c r="G2777" s="14" t="str">
        <f t="shared" si="66"/>
        <v>70820901377681-2</v>
      </c>
      <c r="H2777" s="14" t="s">
        <v>7260</v>
      </c>
      <c r="I2777" s="14" t="s">
        <v>7261</v>
      </c>
      <c r="J2777" s="14" t="s">
        <v>7262</v>
      </c>
      <c r="K2777" s="14" t="s">
        <v>230</v>
      </c>
      <c r="L2777" s="14">
        <v>3001308952</v>
      </c>
      <c r="M2777" s="14" t="s">
        <v>7263</v>
      </c>
      <c r="N2777" s="12" t="s">
        <v>46</v>
      </c>
      <c r="O2777" s="12" t="s">
        <v>47</v>
      </c>
      <c r="P2777" s="176" t="s">
        <v>48</v>
      </c>
      <c r="Q2777" s="20">
        <v>45798</v>
      </c>
      <c r="R2777" s="21">
        <v>0.88</v>
      </c>
      <c r="S2777" s="14" t="s">
        <v>49</v>
      </c>
      <c r="U2777" s="14" t="s">
        <v>60</v>
      </c>
      <c r="V2777" s="20">
        <v>45014</v>
      </c>
      <c r="W2777" s="21">
        <v>0.75600000000000001</v>
      </c>
      <c r="X2777" s="14" t="s">
        <v>49</v>
      </c>
      <c r="Z2777" s="14" t="s">
        <v>60</v>
      </c>
      <c r="AU2777" s="330" t="s">
        <v>53</v>
      </c>
      <c r="AX2777" s="14" t="s">
        <v>1920</v>
      </c>
      <c r="AZ2777" s="14" t="s">
        <v>7874</v>
      </c>
    </row>
    <row r="2778" spans="1:52" s="14" customFormat="1" ht="27.75" customHeight="1" x14ac:dyDescent="0.3">
      <c r="A2778" s="14" t="s">
        <v>505</v>
      </c>
      <c r="B2778" s="14" t="s">
        <v>7068</v>
      </c>
      <c r="C2778" s="14">
        <v>70</v>
      </c>
      <c r="D2778" s="14">
        <v>820</v>
      </c>
      <c r="F2778" s="276" t="s">
        <v>8645</v>
      </c>
      <c r="G2778" s="14" t="str">
        <f t="shared" si="66"/>
        <v>7082070053851</v>
      </c>
      <c r="H2778" s="14" t="s">
        <v>8646</v>
      </c>
      <c r="I2778" s="14">
        <v>70053851</v>
      </c>
      <c r="J2778" s="14" t="s">
        <v>8647</v>
      </c>
      <c r="K2778" s="14" t="s">
        <v>44</v>
      </c>
      <c r="L2778" s="14">
        <v>3006004041</v>
      </c>
      <c r="M2778" s="14" t="s">
        <v>8648</v>
      </c>
      <c r="N2778" s="12" t="s">
        <v>46</v>
      </c>
      <c r="O2778" s="12" t="s">
        <v>47</v>
      </c>
      <c r="P2778" s="176" t="s">
        <v>48</v>
      </c>
      <c r="Q2778" s="20">
        <v>46062</v>
      </c>
      <c r="R2778" s="14" t="s">
        <v>8538</v>
      </c>
      <c r="S2778" s="14" t="s">
        <v>49</v>
      </c>
      <c r="U2778" s="14" t="s">
        <v>2456</v>
      </c>
      <c r="V2778" s="20"/>
      <c r="W2778" s="21"/>
      <c r="AU2778" s="330" t="s">
        <v>53</v>
      </c>
    </row>
    <row r="2779" spans="1:52" s="14" customFormat="1" ht="27.75" customHeight="1" x14ac:dyDescent="0.3">
      <c r="A2779" s="14" t="s">
        <v>505</v>
      </c>
      <c r="B2779" s="14" t="s">
        <v>7068</v>
      </c>
      <c r="C2779" s="14">
        <v>70</v>
      </c>
      <c r="D2779" s="14">
        <v>820</v>
      </c>
      <c r="F2779" s="14" t="s">
        <v>7264</v>
      </c>
      <c r="G2779" s="14" t="str">
        <f t="shared" si="66"/>
        <v>708201005746262-5</v>
      </c>
      <c r="H2779" s="14" t="s">
        <v>7265</v>
      </c>
      <c r="I2779" s="14" t="s">
        <v>7266</v>
      </c>
      <c r="J2779" s="14" t="s">
        <v>7267</v>
      </c>
      <c r="K2779" s="14" t="s">
        <v>230</v>
      </c>
      <c r="L2779" s="14">
        <v>3004148367</v>
      </c>
      <c r="M2779" s="14" t="s">
        <v>7268</v>
      </c>
      <c r="N2779" s="12" t="s">
        <v>46</v>
      </c>
      <c r="O2779" s="12" t="s">
        <v>47</v>
      </c>
      <c r="P2779" s="176" t="s">
        <v>48</v>
      </c>
      <c r="Q2779" s="20">
        <v>45790</v>
      </c>
      <c r="R2779" s="22">
        <v>0.85499999999999998</v>
      </c>
      <c r="S2779" s="14" t="s">
        <v>49</v>
      </c>
      <c r="U2779" s="14" t="s">
        <v>60</v>
      </c>
      <c r="W2779" s="23"/>
      <c r="AU2779" s="330" t="s">
        <v>53</v>
      </c>
    </row>
    <row r="2780" spans="1:52" s="12" customFormat="1" ht="31.2" x14ac:dyDescent="0.3">
      <c r="A2780" s="42" t="s">
        <v>505</v>
      </c>
      <c r="B2780" s="14" t="s">
        <v>7306</v>
      </c>
      <c r="C2780" s="42">
        <v>70</v>
      </c>
      <c r="D2780" s="42">
        <v>823</v>
      </c>
      <c r="E2780" s="42"/>
      <c r="F2780" s="283" t="s">
        <v>7269</v>
      </c>
      <c r="G2780" s="14" t="str">
        <f t="shared" si="66"/>
        <v>70823232193231</v>
      </c>
      <c r="H2780" s="4" t="s">
        <v>9686</v>
      </c>
      <c r="I2780" s="4">
        <v>232193231</v>
      </c>
      <c r="J2780" s="4" t="s">
        <v>9687</v>
      </c>
      <c r="K2780" s="44" t="s">
        <v>44</v>
      </c>
      <c r="L2780" s="44">
        <v>3226227583</v>
      </c>
      <c r="M2780" s="7" t="s">
        <v>9688</v>
      </c>
      <c r="N2780" s="12" t="s">
        <v>46</v>
      </c>
      <c r="O2780" s="12" t="s">
        <v>47</v>
      </c>
      <c r="P2780" s="4" t="s">
        <v>48</v>
      </c>
      <c r="Q2780" s="13">
        <v>46210</v>
      </c>
      <c r="R2780" s="12">
        <v>86</v>
      </c>
      <c r="S2780" s="12" t="s">
        <v>49</v>
      </c>
      <c r="T2780" s="14"/>
      <c r="U2780" s="14" t="s">
        <v>50</v>
      </c>
      <c r="V2780" s="69">
        <v>45875</v>
      </c>
      <c r="W2780" s="79">
        <v>0.88</v>
      </c>
      <c r="X2780" s="4" t="s">
        <v>49</v>
      </c>
      <c r="Y2780" s="14"/>
      <c r="Z2780" s="14" t="s">
        <v>60</v>
      </c>
      <c r="AA2780" s="14" t="s">
        <v>51</v>
      </c>
      <c r="AB2780" s="12" t="s">
        <v>51</v>
      </c>
      <c r="AC2780" s="49">
        <v>45419</v>
      </c>
      <c r="AD2780" s="79">
        <v>0.81</v>
      </c>
      <c r="AE2780" s="4" t="s">
        <v>49</v>
      </c>
      <c r="AF2780" s="20" t="s">
        <v>50</v>
      </c>
      <c r="AH2780" s="14"/>
      <c r="AI2780" s="14"/>
      <c r="AJ2780" s="14"/>
      <c r="AK2780" s="20"/>
      <c r="AM2780" s="14"/>
      <c r="AN2780" s="14"/>
      <c r="AO2780" s="14"/>
      <c r="AU2780" s="71" t="s">
        <v>53</v>
      </c>
    </row>
    <row r="2781" spans="1:52" s="12" customFormat="1" ht="31.2" hidden="1" x14ac:dyDescent="0.3">
      <c r="A2781" s="42" t="s">
        <v>505</v>
      </c>
      <c r="B2781" s="14" t="s">
        <v>7306</v>
      </c>
      <c r="C2781" s="42">
        <v>70</v>
      </c>
      <c r="D2781" s="42">
        <v>823</v>
      </c>
      <c r="E2781" s="42"/>
      <c r="F2781" s="43" t="s">
        <v>672</v>
      </c>
      <c r="G2781" s="14" t="str">
        <f t="shared" si="66"/>
        <v>708231102812909</v>
      </c>
      <c r="H2781" s="4" t="s">
        <v>7270</v>
      </c>
      <c r="I2781" s="45">
        <v>1102812909</v>
      </c>
      <c r="J2781" s="4" t="s">
        <v>7271</v>
      </c>
      <c r="K2781" s="44" t="s">
        <v>230</v>
      </c>
      <c r="L2781" s="44" t="s">
        <v>45</v>
      </c>
      <c r="M2781" s="7" t="s">
        <v>45</v>
      </c>
      <c r="N2781" s="12" t="s">
        <v>259</v>
      </c>
      <c r="O2781" s="12" t="s">
        <v>260</v>
      </c>
      <c r="P2781" s="4" t="s">
        <v>261</v>
      </c>
      <c r="Q2781" s="69">
        <v>44616</v>
      </c>
      <c r="R2781" s="79">
        <v>0.747</v>
      </c>
      <c r="S2781" s="4" t="s">
        <v>49</v>
      </c>
      <c r="T2781" s="14"/>
      <c r="U2781" s="14"/>
      <c r="V2781" s="70"/>
      <c r="W2781" s="14"/>
      <c r="X2781" s="42"/>
      <c r="Y2781" s="14"/>
      <c r="Z2781" s="14"/>
      <c r="AA2781" s="14"/>
      <c r="AC2781" s="14"/>
      <c r="AD2781" s="14"/>
      <c r="AE2781" s="14"/>
      <c r="AF2781" s="20"/>
      <c r="AH2781" s="14"/>
      <c r="AI2781" s="14"/>
      <c r="AJ2781" s="14"/>
      <c r="AK2781" s="20"/>
      <c r="AM2781" s="14"/>
      <c r="AN2781" s="14"/>
      <c r="AO2781" s="14"/>
      <c r="AU2781" s="71" t="s">
        <v>53</v>
      </c>
    </row>
    <row r="2782" spans="1:52" s="12" customFormat="1" ht="31.2" hidden="1" x14ac:dyDescent="0.3">
      <c r="A2782" s="42" t="s">
        <v>505</v>
      </c>
      <c r="B2782" s="14" t="s">
        <v>7306</v>
      </c>
      <c r="C2782" s="42">
        <v>70</v>
      </c>
      <c r="D2782" s="42">
        <v>823</v>
      </c>
      <c r="E2782" s="42"/>
      <c r="F2782" s="43" t="s">
        <v>302</v>
      </c>
      <c r="G2782" s="14" t="str">
        <f t="shared" si="66"/>
        <v>7082322848597</v>
      </c>
      <c r="H2782" s="4" t="s">
        <v>7272</v>
      </c>
      <c r="I2782" s="45">
        <v>22848597</v>
      </c>
      <c r="J2782" s="4" t="s">
        <v>7273</v>
      </c>
      <c r="K2782" s="44" t="s">
        <v>230</v>
      </c>
      <c r="L2782" s="44">
        <v>3116768199</v>
      </c>
      <c r="M2782" s="7" t="s">
        <v>45</v>
      </c>
      <c r="N2782" s="12" t="s">
        <v>259</v>
      </c>
      <c r="O2782" s="12" t="s">
        <v>260</v>
      </c>
      <c r="P2782" s="4" t="s">
        <v>261</v>
      </c>
      <c r="Q2782" s="69">
        <v>45467</v>
      </c>
      <c r="R2782" s="79">
        <v>0.77249999999999996</v>
      </c>
      <c r="S2782" s="4" t="s">
        <v>49</v>
      </c>
      <c r="T2782" s="14"/>
      <c r="U2782" s="14"/>
      <c r="V2782" s="70"/>
      <c r="W2782" s="14"/>
      <c r="X2782" s="42"/>
      <c r="Y2782" s="14"/>
      <c r="Z2782" s="14"/>
      <c r="AA2782" s="14"/>
      <c r="AC2782" s="14"/>
      <c r="AD2782" s="14"/>
      <c r="AE2782" s="14"/>
      <c r="AF2782" s="20"/>
      <c r="AH2782" s="14"/>
      <c r="AI2782" s="14"/>
      <c r="AJ2782" s="14"/>
      <c r="AK2782" s="20"/>
      <c r="AM2782" s="14"/>
      <c r="AN2782" s="14"/>
      <c r="AO2782" s="14"/>
      <c r="AU2782" s="71" t="s">
        <v>53</v>
      </c>
    </row>
    <row r="2783" spans="1:52" s="12" customFormat="1" ht="31.2" hidden="1" x14ac:dyDescent="0.3">
      <c r="A2783" s="42" t="s">
        <v>505</v>
      </c>
      <c r="B2783" s="14" t="s">
        <v>7306</v>
      </c>
      <c r="C2783" s="42">
        <v>70</v>
      </c>
      <c r="D2783" s="42">
        <v>823</v>
      </c>
      <c r="E2783" s="42"/>
      <c r="F2783" s="43" t="s">
        <v>7274</v>
      </c>
      <c r="G2783" s="14" t="str">
        <f t="shared" si="66"/>
        <v>708231108762719</v>
      </c>
      <c r="H2783" s="4" t="s">
        <v>7275</v>
      </c>
      <c r="I2783" s="45">
        <v>1108762719</v>
      </c>
      <c r="J2783" s="4" t="s">
        <v>7276</v>
      </c>
      <c r="K2783" s="44" t="s">
        <v>230</v>
      </c>
      <c r="L2783" s="44">
        <v>3043945797</v>
      </c>
      <c r="M2783" s="7" t="s">
        <v>7277</v>
      </c>
      <c r="N2783" s="12" t="s">
        <v>432</v>
      </c>
      <c r="O2783" s="12" t="s">
        <v>432</v>
      </c>
      <c r="P2783" s="4" t="s">
        <v>261</v>
      </c>
      <c r="Q2783" s="69">
        <v>45588</v>
      </c>
      <c r="R2783" s="79">
        <v>0.83</v>
      </c>
      <c r="S2783" s="4" t="s">
        <v>49</v>
      </c>
      <c r="T2783" s="14"/>
      <c r="U2783" s="14"/>
      <c r="V2783" s="70"/>
      <c r="W2783" s="14"/>
      <c r="X2783" s="42"/>
      <c r="Y2783" s="14"/>
      <c r="Z2783" s="14"/>
      <c r="AA2783" s="14"/>
      <c r="AC2783" s="14"/>
      <c r="AD2783" s="14"/>
      <c r="AE2783" s="14"/>
      <c r="AF2783" s="20"/>
      <c r="AH2783" s="14"/>
      <c r="AI2783" s="14"/>
      <c r="AJ2783" s="14"/>
      <c r="AK2783" s="20"/>
      <c r="AM2783" s="14"/>
      <c r="AN2783" s="14"/>
      <c r="AO2783" s="14"/>
      <c r="AU2783" s="71" t="s">
        <v>53</v>
      </c>
    </row>
    <row r="2784" spans="1:52" s="12" customFormat="1" ht="31.2" hidden="1" x14ac:dyDescent="0.3">
      <c r="A2784" s="42" t="s">
        <v>505</v>
      </c>
      <c r="B2784" s="14" t="s">
        <v>7306</v>
      </c>
      <c r="C2784" s="42">
        <v>70</v>
      </c>
      <c r="D2784" s="42">
        <v>823</v>
      </c>
      <c r="E2784" s="42"/>
      <c r="F2784" s="283" t="s">
        <v>7278</v>
      </c>
      <c r="G2784" s="14" t="str">
        <f t="shared" si="66"/>
        <v>708233836916</v>
      </c>
      <c r="H2784" s="4" t="s">
        <v>7279</v>
      </c>
      <c r="I2784" s="45">
        <v>3836916</v>
      </c>
      <c r="J2784" s="4" t="s">
        <v>7280</v>
      </c>
      <c r="K2784" s="44" t="s">
        <v>230</v>
      </c>
      <c r="L2784" s="44">
        <v>3122143234</v>
      </c>
      <c r="M2784" s="7" t="s">
        <v>9684</v>
      </c>
      <c r="N2784" s="12" t="s">
        <v>259</v>
      </c>
      <c r="O2784" s="12" t="s">
        <v>260</v>
      </c>
      <c r="P2784" s="4" t="s">
        <v>261</v>
      </c>
      <c r="Q2784" s="13">
        <v>46217</v>
      </c>
      <c r="R2784" s="12" t="s">
        <v>9685</v>
      </c>
      <c r="S2784" s="4" t="s">
        <v>49</v>
      </c>
      <c r="U2784" s="12" t="s">
        <v>2456</v>
      </c>
      <c r="V2784" s="69">
        <v>44329</v>
      </c>
      <c r="W2784" s="79">
        <v>0.8</v>
      </c>
      <c r="X2784" s="4" t="s">
        <v>49</v>
      </c>
      <c r="Y2784" s="14"/>
      <c r="Z2784" s="14" t="s">
        <v>60</v>
      </c>
      <c r="AA2784" s="14"/>
      <c r="AC2784" s="14"/>
      <c r="AD2784" s="14"/>
      <c r="AE2784" s="14"/>
      <c r="AF2784" s="20"/>
      <c r="AH2784" s="14"/>
      <c r="AI2784" s="14"/>
      <c r="AJ2784" s="14"/>
      <c r="AK2784" s="20"/>
      <c r="AM2784" s="14"/>
      <c r="AN2784" s="14"/>
      <c r="AO2784" s="14"/>
      <c r="AU2784" s="71" t="s">
        <v>53</v>
      </c>
    </row>
    <row r="2785" spans="1:47" s="12" customFormat="1" ht="31.2" hidden="1" x14ac:dyDescent="0.3">
      <c r="A2785" s="42" t="s">
        <v>505</v>
      </c>
      <c r="B2785" s="14" t="s">
        <v>7306</v>
      </c>
      <c r="C2785" s="42">
        <v>70</v>
      </c>
      <c r="D2785" s="42">
        <v>823</v>
      </c>
      <c r="E2785" s="42"/>
      <c r="F2785" s="43" t="s">
        <v>7281</v>
      </c>
      <c r="G2785" s="14" t="str">
        <f t="shared" si="66"/>
        <v>708236812110</v>
      </c>
      <c r="H2785" s="4" t="s">
        <v>7282</v>
      </c>
      <c r="I2785" s="45">
        <v>6812110</v>
      </c>
      <c r="J2785" s="4" t="s">
        <v>7283</v>
      </c>
      <c r="K2785" s="44" t="s">
        <v>230</v>
      </c>
      <c r="L2785" s="44">
        <v>3007836993</v>
      </c>
      <c r="M2785" s="7" t="s">
        <v>7284</v>
      </c>
      <c r="N2785" s="12" t="s">
        <v>432</v>
      </c>
      <c r="O2785" s="12" t="s">
        <v>432</v>
      </c>
      <c r="P2785" s="4" t="s">
        <v>261</v>
      </c>
      <c r="Q2785" s="69">
        <v>45593</v>
      </c>
      <c r="R2785" s="79">
        <v>0.85</v>
      </c>
      <c r="S2785" s="4" t="s">
        <v>49</v>
      </c>
      <c r="T2785" s="14"/>
      <c r="U2785" s="14"/>
      <c r="V2785" s="70"/>
      <c r="W2785" s="14"/>
      <c r="X2785" s="42"/>
      <c r="Y2785" s="14"/>
      <c r="Z2785" s="14"/>
      <c r="AA2785" s="14"/>
      <c r="AC2785" s="14"/>
      <c r="AD2785" s="14"/>
      <c r="AE2785" s="14"/>
      <c r="AF2785" s="20"/>
      <c r="AH2785" s="14"/>
      <c r="AI2785" s="14"/>
      <c r="AJ2785" s="14"/>
      <c r="AK2785" s="20"/>
      <c r="AM2785" s="14"/>
      <c r="AN2785" s="14"/>
      <c r="AO2785" s="14"/>
      <c r="AU2785" s="71" t="s">
        <v>53</v>
      </c>
    </row>
    <row r="2786" spans="1:47" s="12" customFormat="1" ht="31.2" hidden="1" x14ac:dyDescent="0.3">
      <c r="A2786" s="42" t="s">
        <v>505</v>
      </c>
      <c r="B2786" s="14" t="s">
        <v>7306</v>
      </c>
      <c r="C2786" s="42">
        <v>70</v>
      </c>
      <c r="D2786" s="42">
        <v>823</v>
      </c>
      <c r="E2786" s="42"/>
      <c r="F2786" s="43" t="s">
        <v>7285</v>
      </c>
      <c r="G2786" s="14" t="str">
        <f t="shared" si="66"/>
        <v>70823123220918</v>
      </c>
      <c r="H2786" s="4" t="s">
        <v>7286</v>
      </c>
      <c r="I2786" s="45">
        <v>123220918</v>
      </c>
      <c r="J2786" s="4" t="s">
        <v>181</v>
      </c>
      <c r="K2786" s="44" t="s">
        <v>230</v>
      </c>
      <c r="L2786" s="44" t="s">
        <v>45</v>
      </c>
      <c r="M2786" s="7" t="s">
        <v>45</v>
      </c>
      <c r="N2786" s="12" t="s">
        <v>259</v>
      </c>
      <c r="O2786" s="12" t="s">
        <v>260</v>
      </c>
      <c r="P2786" s="4" t="s">
        <v>261</v>
      </c>
      <c r="Q2786" s="69">
        <v>44111</v>
      </c>
      <c r="R2786" s="79">
        <v>0.72499999999999998</v>
      </c>
      <c r="S2786" s="4" t="s">
        <v>49</v>
      </c>
      <c r="T2786" s="14"/>
      <c r="U2786" s="14"/>
      <c r="V2786" s="70"/>
      <c r="W2786" s="14"/>
      <c r="X2786" s="42"/>
      <c r="Y2786" s="14"/>
      <c r="Z2786" s="14"/>
      <c r="AA2786" s="14"/>
      <c r="AC2786" s="14"/>
      <c r="AD2786" s="14"/>
      <c r="AE2786" s="14"/>
      <c r="AF2786" s="20"/>
      <c r="AH2786" s="14"/>
      <c r="AI2786" s="14"/>
      <c r="AJ2786" s="14"/>
      <c r="AK2786" s="20"/>
      <c r="AM2786" s="14"/>
      <c r="AN2786" s="14"/>
      <c r="AO2786" s="14"/>
      <c r="AU2786" s="71" t="s">
        <v>53</v>
      </c>
    </row>
    <row r="2787" spans="1:47" s="12" customFormat="1" ht="31.2" hidden="1" x14ac:dyDescent="0.3">
      <c r="A2787" s="42" t="s">
        <v>505</v>
      </c>
      <c r="B2787" s="14" t="s">
        <v>7306</v>
      </c>
      <c r="C2787" s="42">
        <v>70</v>
      </c>
      <c r="D2787" s="42">
        <v>823</v>
      </c>
      <c r="E2787" s="42"/>
      <c r="F2787" s="43" t="s">
        <v>2592</v>
      </c>
      <c r="G2787" s="14" t="str">
        <f t="shared" si="66"/>
        <v>7082364582408</v>
      </c>
      <c r="H2787" s="4" t="s">
        <v>7287</v>
      </c>
      <c r="I2787" s="45">
        <v>64582408</v>
      </c>
      <c r="J2787" s="4" t="s">
        <v>7288</v>
      </c>
      <c r="K2787" s="44" t="s">
        <v>230</v>
      </c>
      <c r="L2787" s="44" t="s">
        <v>45</v>
      </c>
      <c r="M2787" s="7" t="s">
        <v>45</v>
      </c>
      <c r="N2787" s="12" t="s">
        <v>259</v>
      </c>
      <c r="O2787" s="12" t="s">
        <v>260</v>
      </c>
      <c r="P2787" s="4" t="s">
        <v>261</v>
      </c>
      <c r="Q2787" s="69">
        <v>44516</v>
      </c>
      <c r="R2787" s="79">
        <v>0.8</v>
      </c>
      <c r="S2787" s="4" t="s">
        <v>49</v>
      </c>
      <c r="T2787" s="14"/>
      <c r="U2787" s="14"/>
      <c r="V2787" s="70"/>
      <c r="W2787" s="14"/>
      <c r="X2787" s="42"/>
      <c r="Y2787" s="14"/>
      <c r="Z2787" s="14"/>
      <c r="AA2787" s="14"/>
      <c r="AC2787" s="14"/>
      <c r="AD2787" s="14"/>
      <c r="AE2787" s="14"/>
      <c r="AF2787" s="20"/>
      <c r="AH2787" s="14"/>
      <c r="AI2787" s="14"/>
      <c r="AJ2787" s="14"/>
      <c r="AK2787" s="20"/>
      <c r="AM2787" s="14"/>
      <c r="AN2787" s="14"/>
      <c r="AO2787" s="14"/>
      <c r="AU2787" s="71" t="s">
        <v>53</v>
      </c>
    </row>
    <row r="2788" spans="1:47" s="12" customFormat="1" ht="31.2" hidden="1" x14ac:dyDescent="0.3">
      <c r="A2788" s="42" t="s">
        <v>505</v>
      </c>
      <c r="B2788" s="14" t="s">
        <v>7306</v>
      </c>
      <c r="C2788" s="42">
        <v>70</v>
      </c>
      <c r="D2788" s="42">
        <v>823</v>
      </c>
      <c r="E2788" s="42"/>
      <c r="F2788" s="43" t="s">
        <v>7289</v>
      </c>
      <c r="G2788" s="14" t="str">
        <f t="shared" si="66"/>
        <v>708235884964-6</v>
      </c>
      <c r="H2788" s="4" t="s">
        <v>7290</v>
      </c>
      <c r="I2788" s="45" t="s">
        <v>7291</v>
      </c>
      <c r="J2788" s="4" t="s">
        <v>7292</v>
      </c>
      <c r="K2788" s="44" t="s">
        <v>230</v>
      </c>
      <c r="L2788" s="44">
        <v>3132972426</v>
      </c>
      <c r="M2788" s="109" t="s">
        <v>7293</v>
      </c>
      <c r="N2788" s="12" t="s">
        <v>259</v>
      </c>
      <c r="O2788" s="12" t="s">
        <v>260</v>
      </c>
      <c r="P2788" s="4" t="s">
        <v>261</v>
      </c>
      <c r="Q2788" s="69">
        <v>45942</v>
      </c>
      <c r="R2788" s="169">
        <v>0.91500000000000004</v>
      </c>
      <c r="S2788" s="4" t="s">
        <v>49</v>
      </c>
      <c r="T2788" s="14" t="s">
        <v>7294</v>
      </c>
      <c r="U2788" s="14" t="s">
        <v>50</v>
      </c>
      <c r="V2788" s="70"/>
      <c r="W2788" s="14"/>
      <c r="X2788" s="42"/>
      <c r="Y2788" s="14"/>
      <c r="Z2788" s="14"/>
      <c r="AA2788" s="14"/>
      <c r="AC2788" s="14"/>
      <c r="AD2788" s="14"/>
      <c r="AE2788" s="14"/>
      <c r="AF2788" s="20"/>
      <c r="AH2788" s="14"/>
      <c r="AI2788" s="14"/>
      <c r="AJ2788" s="14"/>
      <c r="AK2788" s="20"/>
      <c r="AM2788" s="14"/>
      <c r="AN2788" s="14"/>
      <c r="AO2788" s="14"/>
      <c r="AU2788" s="71"/>
    </row>
    <row r="2789" spans="1:47" s="12" customFormat="1" ht="28.5" hidden="1" customHeight="1" x14ac:dyDescent="0.3">
      <c r="A2789" s="42" t="s">
        <v>505</v>
      </c>
      <c r="B2789" s="14" t="s">
        <v>7306</v>
      </c>
      <c r="C2789" s="42">
        <v>70</v>
      </c>
      <c r="D2789" s="42">
        <v>823</v>
      </c>
      <c r="E2789" s="42"/>
      <c r="F2789" s="43" t="s">
        <v>7295</v>
      </c>
      <c r="G2789" s="14" t="str">
        <f t="shared" si="66"/>
        <v>7082382300353-0</v>
      </c>
      <c r="H2789" s="4" t="s">
        <v>7296</v>
      </c>
      <c r="I2789" s="45" t="s">
        <v>7297</v>
      </c>
      <c r="J2789" s="4" t="s">
        <v>7298</v>
      </c>
      <c r="K2789" s="44" t="s">
        <v>230</v>
      </c>
      <c r="L2789" s="44">
        <v>3022382323</v>
      </c>
      <c r="M2789" s="7" t="s">
        <v>1110</v>
      </c>
      <c r="N2789" s="12" t="s">
        <v>127</v>
      </c>
      <c r="O2789" s="12" t="s">
        <v>2822</v>
      </c>
      <c r="P2789" s="4" t="s">
        <v>48</v>
      </c>
      <c r="Q2789" s="69">
        <v>45429</v>
      </c>
      <c r="R2789" s="79">
        <v>0.81</v>
      </c>
      <c r="S2789" s="4" t="s">
        <v>49</v>
      </c>
      <c r="T2789" s="14"/>
      <c r="U2789" s="14"/>
      <c r="V2789" s="70"/>
      <c r="W2789" s="14"/>
      <c r="X2789" s="42"/>
      <c r="Y2789" s="14"/>
      <c r="Z2789" s="14"/>
      <c r="AA2789" s="14"/>
      <c r="AC2789" s="14"/>
      <c r="AD2789" s="14"/>
      <c r="AE2789" s="14"/>
      <c r="AF2789" s="20"/>
      <c r="AH2789" s="14"/>
      <c r="AI2789" s="14"/>
      <c r="AJ2789" s="14"/>
      <c r="AK2789" s="20"/>
      <c r="AM2789" s="14"/>
      <c r="AN2789" s="14"/>
      <c r="AO2789" s="14"/>
      <c r="AU2789" s="71" t="s">
        <v>53</v>
      </c>
    </row>
    <row r="2790" spans="1:47" s="12" customFormat="1" ht="31.2" x14ac:dyDescent="0.3">
      <c r="A2790" s="42" t="s">
        <v>505</v>
      </c>
      <c r="B2790" s="14" t="s">
        <v>7306</v>
      </c>
      <c r="C2790" s="42">
        <v>70</v>
      </c>
      <c r="D2790" s="42">
        <v>823</v>
      </c>
      <c r="E2790" s="42"/>
      <c r="F2790" s="43" t="s">
        <v>7299</v>
      </c>
      <c r="G2790" s="14" t="str">
        <f t="shared" si="66"/>
        <v>708231047380510-6</v>
      </c>
      <c r="H2790" s="4" t="s">
        <v>7300</v>
      </c>
      <c r="I2790" s="45" t="s">
        <v>7301</v>
      </c>
      <c r="J2790" s="4" t="s">
        <v>7302</v>
      </c>
      <c r="K2790" s="44" t="s">
        <v>230</v>
      </c>
      <c r="L2790" s="44" t="s">
        <v>45</v>
      </c>
      <c r="M2790" s="7" t="s">
        <v>45</v>
      </c>
      <c r="N2790" s="12" t="s">
        <v>46</v>
      </c>
      <c r="O2790" s="12" t="s">
        <v>47</v>
      </c>
      <c r="P2790" s="4" t="s">
        <v>102</v>
      </c>
      <c r="Q2790" s="69" t="s">
        <v>600</v>
      </c>
      <c r="R2790" s="79">
        <v>0.625</v>
      </c>
      <c r="S2790" s="4" t="s">
        <v>49</v>
      </c>
      <c r="T2790" s="14"/>
      <c r="U2790" s="14"/>
      <c r="V2790" s="70"/>
      <c r="W2790" s="14"/>
      <c r="X2790" s="42"/>
      <c r="Y2790" s="14"/>
      <c r="Z2790" s="14"/>
      <c r="AA2790" s="14"/>
      <c r="AC2790" s="14"/>
      <c r="AD2790" s="14"/>
      <c r="AE2790" s="14"/>
      <c r="AF2790" s="20"/>
      <c r="AH2790" s="14"/>
      <c r="AI2790" s="14"/>
      <c r="AJ2790" s="14"/>
      <c r="AK2790" s="20"/>
      <c r="AM2790" s="14"/>
      <c r="AN2790" s="14"/>
      <c r="AO2790" s="14"/>
      <c r="AU2790" s="71" t="s">
        <v>53</v>
      </c>
    </row>
    <row r="2791" spans="1:47" s="12" customFormat="1" ht="28.5" hidden="1" customHeight="1" x14ac:dyDescent="0.3">
      <c r="A2791" s="42" t="s">
        <v>505</v>
      </c>
      <c r="B2791" s="14" t="s">
        <v>7306</v>
      </c>
      <c r="C2791" s="42">
        <v>70</v>
      </c>
      <c r="D2791" s="42">
        <v>823</v>
      </c>
      <c r="E2791" s="42"/>
      <c r="F2791" s="43" t="s">
        <v>7303</v>
      </c>
      <c r="G2791" s="14" t="str">
        <f t="shared" si="66"/>
        <v>7082382300353-0</v>
      </c>
      <c r="H2791" s="4" t="s">
        <v>1104</v>
      </c>
      <c r="I2791" s="45" t="s">
        <v>7297</v>
      </c>
      <c r="J2791" s="4" t="s">
        <v>7304</v>
      </c>
      <c r="K2791" s="44" t="s">
        <v>230</v>
      </c>
      <c r="L2791" s="44">
        <v>3003470971</v>
      </c>
      <c r="M2791" s="8" t="s">
        <v>7305</v>
      </c>
      <c r="N2791" s="12" t="s">
        <v>127</v>
      </c>
      <c r="O2791" s="12" t="s">
        <v>2822</v>
      </c>
      <c r="P2791" s="4" t="s">
        <v>48</v>
      </c>
      <c r="Q2791" s="69">
        <v>45233</v>
      </c>
      <c r="R2791" s="79">
        <v>0.82499999999999996</v>
      </c>
      <c r="S2791" s="4" t="s">
        <v>49</v>
      </c>
      <c r="T2791" s="14"/>
      <c r="U2791" s="14"/>
      <c r="V2791" s="70"/>
      <c r="W2791" s="14"/>
      <c r="X2791" s="42"/>
      <c r="Y2791" s="14"/>
      <c r="Z2791" s="14"/>
      <c r="AA2791" s="14"/>
      <c r="AC2791" s="14"/>
      <c r="AD2791" s="14"/>
      <c r="AE2791" s="14"/>
      <c r="AF2791" s="20"/>
      <c r="AH2791" s="14"/>
      <c r="AI2791" s="14"/>
      <c r="AJ2791" s="14"/>
      <c r="AK2791" s="20"/>
      <c r="AM2791" s="14"/>
      <c r="AN2791" s="14"/>
      <c r="AO2791" s="14"/>
      <c r="AU2791" s="71" t="s">
        <v>53</v>
      </c>
    </row>
    <row r="2792" spans="1:47" s="12" customFormat="1" ht="31.2" hidden="1" x14ac:dyDescent="0.3">
      <c r="A2792" s="42" t="s">
        <v>505</v>
      </c>
      <c r="B2792" s="42" t="s">
        <v>7306</v>
      </c>
      <c r="C2792" s="42">
        <v>70</v>
      </c>
      <c r="D2792" s="42">
        <v>823</v>
      </c>
      <c r="E2792" s="42"/>
      <c r="F2792" s="43" t="s">
        <v>7307</v>
      </c>
      <c r="G2792" s="42" t="str">
        <f t="shared" ref="G2792:G2844" si="67">C2792 &amp; D2792 &amp; SUBSTITUTE(I2792, "-", "")</f>
        <v>7082392374297</v>
      </c>
      <c r="H2792" s="4" t="s">
        <v>7308</v>
      </c>
      <c r="I2792" s="45" t="s">
        <v>7309</v>
      </c>
      <c r="J2792" s="4" t="s">
        <v>7310</v>
      </c>
      <c r="K2792" s="44" t="s">
        <v>230</v>
      </c>
      <c r="L2792" s="44">
        <v>3006728176</v>
      </c>
      <c r="M2792" s="8" t="s">
        <v>7311</v>
      </c>
      <c r="N2792" s="12" t="s">
        <v>432</v>
      </c>
      <c r="O2792" s="12" t="s">
        <v>432</v>
      </c>
      <c r="P2792" s="4" t="s">
        <v>261</v>
      </c>
      <c r="Q2792" s="69">
        <v>45247</v>
      </c>
      <c r="R2792" s="79">
        <v>0.77</v>
      </c>
      <c r="S2792" s="4" t="s">
        <v>49</v>
      </c>
      <c r="T2792" s="14"/>
      <c r="U2792" s="14"/>
      <c r="V2792" s="70"/>
      <c r="W2792" s="14"/>
      <c r="X2792" s="42"/>
      <c r="Y2792" s="14"/>
      <c r="Z2792" s="14"/>
      <c r="AA2792" s="14"/>
      <c r="AC2792" s="14"/>
      <c r="AD2792" s="14"/>
      <c r="AE2792" s="14"/>
      <c r="AF2792" s="20"/>
      <c r="AH2792" s="14"/>
      <c r="AI2792" s="14"/>
      <c r="AJ2792" s="14"/>
      <c r="AK2792" s="20"/>
      <c r="AM2792" s="14"/>
      <c r="AN2792" s="14"/>
      <c r="AO2792" s="14"/>
      <c r="AU2792" s="71" t="s">
        <v>53</v>
      </c>
    </row>
    <row r="2793" spans="1:47" s="12" customFormat="1" ht="31.2" hidden="1" x14ac:dyDescent="0.3">
      <c r="A2793" s="42" t="s">
        <v>505</v>
      </c>
      <c r="B2793" s="42" t="s">
        <v>7306</v>
      </c>
      <c r="C2793" s="42">
        <v>70</v>
      </c>
      <c r="D2793" s="42">
        <v>823</v>
      </c>
      <c r="E2793" s="42"/>
      <c r="F2793" s="43" t="s">
        <v>7312</v>
      </c>
      <c r="G2793" s="42" t="str">
        <f t="shared" si="67"/>
        <v>7082392521130</v>
      </c>
      <c r="H2793" s="4" t="s">
        <v>7313</v>
      </c>
      <c r="I2793" s="45">
        <v>92521130</v>
      </c>
      <c r="J2793" s="4" t="s">
        <v>7314</v>
      </c>
      <c r="K2793" s="44" t="s">
        <v>230</v>
      </c>
      <c r="L2793" s="44">
        <v>3012223234</v>
      </c>
      <c r="M2793" s="7" t="s">
        <v>45</v>
      </c>
      <c r="N2793" s="12" t="s">
        <v>259</v>
      </c>
      <c r="O2793" s="12" t="s">
        <v>260</v>
      </c>
      <c r="P2793" s="4" t="s">
        <v>261</v>
      </c>
      <c r="Q2793" s="69">
        <v>45589</v>
      </c>
      <c r="R2793" s="79">
        <v>0.79500000000000004</v>
      </c>
      <c r="S2793" s="4" t="s">
        <v>49</v>
      </c>
      <c r="T2793" s="14"/>
      <c r="U2793" s="14"/>
      <c r="V2793" s="70"/>
      <c r="W2793" s="14"/>
      <c r="X2793" s="42"/>
      <c r="Y2793" s="14"/>
      <c r="Z2793" s="14"/>
      <c r="AA2793" s="14"/>
      <c r="AC2793" s="14"/>
      <c r="AD2793" s="14"/>
      <c r="AE2793" s="14"/>
      <c r="AF2793" s="20"/>
      <c r="AH2793" s="14"/>
      <c r="AI2793" s="14"/>
      <c r="AJ2793" s="14"/>
      <c r="AK2793" s="20"/>
      <c r="AM2793" s="14"/>
      <c r="AN2793" s="14"/>
      <c r="AO2793" s="14"/>
      <c r="AU2793" s="71" t="s">
        <v>53</v>
      </c>
    </row>
    <row r="2794" spans="1:47" s="12" customFormat="1" ht="31.2" hidden="1" x14ac:dyDescent="0.3">
      <c r="A2794" s="42" t="s">
        <v>505</v>
      </c>
      <c r="B2794" s="42" t="s">
        <v>7306</v>
      </c>
      <c r="C2794" s="42">
        <v>70</v>
      </c>
      <c r="D2794" s="42">
        <v>823</v>
      </c>
      <c r="E2794" s="42"/>
      <c r="F2794" s="43" t="s">
        <v>7315</v>
      </c>
      <c r="G2794" s="42" t="str">
        <f t="shared" si="67"/>
        <v>708231194713548</v>
      </c>
      <c r="H2794" s="4" t="s">
        <v>7316</v>
      </c>
      <c r="I2794" s="45">
        <v>1194713548</v>
      </c>
      <c r="J2794" s="4" t="s">
        <v>7317</v>
      </c>
      <c r="K2794" s="44" t="s">
        <v>230</v>
      </c>
      <c r="L2794" s="44" t="s">
        <v>45</v>
      </c>
      <c r="M2794" s="7" t="s">
        <v>45</v>
      </c>
      <c r="N2794" s="12" t="s">
        <v>259</v>
      </c>
      <c r="O2794" s="12" t="s">
        <v>260</v>
      </c>
      <c r="P2794" s="4" t="s">
        <v>261</v>
      </c>
      <c r="Q2794" s="69">
        <v>44111</v>
      </c>
      <c r="R2794" s="79">
        <v>0.70750000000000002</v>
      </c>
      <c r="S2794" s="4" t="s">
        <v>49</v>
      </c>
      <c r="T2794" s="14"/>
      <c r="U2794" s="14"/>
      <c r="V2794" s="70"/>
      <c r="W2794" s="14"/>
      <c r="X2794" s="42"/>
      <c r="Y2794" s="14"/>
      <c r="Z2794" s="14"/>
      <c r="AA2794" s="14"/>
      <c r="AC2794" s="14"/>
      <c r="AD2794" s="14"/>
      <c r="AE2794" s="14"/>
      <c r="AF2794" s="20"/>
      <c r="AH2794" s="14"/>
      <c r="AI2794" s="14"/>
      <c r="AJ2794" s="14"/>
      <c r="AK2794" s="20"/>
      <c r="AM2794" s="14"/>
      <c r="AN2794" s="14"/>
      <c r="AO2794" s="14"/>
      <c r="AU2794" s="71" t="s">
        <v>53</v>
      </c>
    </row>
    <row r="2795" spans="1:47" s="12" customFormat="1" ht="28.5" hidden="1" customHeight="1" x14ac:dyDescent="0.3">
      <c r="A2795" s="42" t="s">
        <v>505</v>
      </c>
      <c r="B2795" s="42" t="s">
        <v>7306</v>
      </c>
      <c r="C2795" s="42">
        <v>70</v>
      </c>
      <c r="D2795" s="42">
        <v>823</v>
      </c>
      <c r="E2795" s="42"/>
      <c r="F2795" s="43" t="s">
        <v>7318</v>
      </c>
      <c r="G2795" s="42" t="str">
        <f t="shared" si="67"/>
        <v>70823823003530</v>
      </c>
      <c r="H2795" s="4" t="s">
        <v>1104</v>
      </c>
      <c r="I2795" s="45" t="s">
        <v>7297</v>
      </c>
      <c r="J2795" s="4" t="s">
        <v>7319</v>
      </c>
      <c r="K2795" s="44" t="s">
        <v>230</v>
      </c>
      <c r="L2795" s="44">
        <v>3003280188</v>
      </c>
      <c r="M2795" s="7" t="s">
        <v>1110</v>
      </c>
      <c r="N2795" s="12" t="s">
        <v>127</v>
      </c>
      <c r="O2795" s="12" t="s">
        <v>2822</v>
      </c>
      <c r="P2795" s="4" t="s">
        <v>48</v>
      </c>
      <c r="Q2795" s="69">
        <v>45134</v>
      </c>
      <c r="R2795" s="79">
        <v>0.755</v>
      </c>
      <c r="S2795" s="4" t="s">
        <v>49</v>
      </c>
      <c r="T2795" s="14"/>
      <c r="U2795" s="14"/>
      <c r="V2795" s="70"/>
      <c r="W2795" s="14"/>
      <c r="X2795" s="42"/>
      <c r="Y2795" s="14"/>
      <c r="Z2795" s="14"/>
      <c r="AA2795" s="14"/>
      <c r="AC2795" s="14"/>
      <c r="AD2795" s="14"/>
      <c r="AE2795" s="14"/>
      <c r="AF2795" s="20"/>
      <c r="AH2795" s="14"/>
      <c r="AI2795" s="14"/>
      <c r="AJ2795" s="14"/>
      <c r="AK2795" s="20"/>
      <c r="AM2795" s="14"/>
      <c r="AN2795" s="14"/>
      <c r="AO2795" s="14"/>
      <c r="AU2795" s="71" t="s">
        <v>53</v>
      </c>
    </row>
    <row r="2796" spans="1:47" s="12" customFormat="1" ht="28.5" hidden="1" customHeight="1" x14ac:dyDescent="0.3">
      <c r="A2796" s="42" t="s">
        <v>505</v>
      </c>
      <c r="B2796" s="42" t="s">
        <v>7306</v>
      </c>
      <c r="C2796" s="42">
        <v>70</v>
      </c>
      <c r="D2796" s="42">
        <v>823</v>
      </c>
      <c r="E2796" s="42"/>
      <c r="F2796" s="43" t="s">
        <v>7320</v>
      </c>
      <c r="G2796" s="42" t="str">
        <f t="shared" si="67"/>
        <v>70823823003530</v>
      </c>
      <c r="H2796" s="4" t="s">
        <v>1104</v>
      </c>
      <c r="I2796" s="45" t="s">
        <v>7297</v>
      </c>
      <c r="J2796" s="4" t="s">
        <v>7321</v>
      </c>
      <c r="K2796" s="44" t="s">
        <v>230</v>
      </c>
      <c r="L2796" s="44">
        <v>3045319437</v>
      </c>
      <c r="M2796" s="7" t="s">
        <v>1110</v>
      </c>
      <c r="N2796" s="12" t="s">
        <v>127</v>
      </c>
      <c r="O2796" s="12" t="s">
        <v>2822</v>
      </c>
      <c r="P2796" s="4" t="s">
        <v>48</v>
      </c>
      <c r="Q2796" s="69">
        <v>45418</v>
      </c>
      <c r="R2796" s="79">
        <v>0.84499999999999997</v>
      </c>
      <c r="S2796" s="4" t="s">
        <v>49</v>
      </c>
      <c r="T2796" s="14"/>
      <c r="U2796" s="14"/>
      <c r="V2796" s="70"/>
      <c r="W2796" s="14"/>
      <c r="X2796" s="42"/>
      <c r="Y2796" s="14"/>
      <c r="Z2796" s="14"/>
      <c r="AA2796" s="14"/>
      <c r="AC2796" s="14"/>
      <c r="AD2796" s="14"/>
      <c r="AE2796" s="14"/>
      <c r="AF2796" s="20"/>
      <c r="AH2796" s="14"/>
      <c r="AI2796" s="14"/>
      <c r="AJ2796" s="14"/>
      <c r="AK2796" s="20"/>
      <c r="AM2796" s="14"/>
      <c r="AN2796" s="14"/>
      <c r="AO2796" s="14"/>
      <c r="AU2796" s="71" t="s">
        <v>53</v>
      </c>
    </row>
    <row r="2797" spans="1:47" s="12" customFormat="1" ht="28.5" hidden="1" customHeight="1" x14ac:dyDescent="0.3">
      <c r="A2797" s="42" t="s">
        <v>505</v>
      </c>
      <c r="B2797" s="42" t="s">
        <v>7306</v>
      </c>
      <c r="C2797" s="42">
        <v>70</v>
      </c>
      <c r="D2797" s="42">
        <v>823</v>
      </c>
      <c r="E2797" s="42"/>
      <c r="F2797" s="43" t="s">
        <v>7322</v>
      </c>
      <c r="G2797" s="42" t="str">
        <f t="shared" si="67"/>
        <v>70823823003530</v>
      </c>
      <c r="H2797" s="4" t="s">
        <v>1104</v>
      </c>
      <c r="I2797" s="45" t="s">
        <v>7297</v>
      </c>
      <c r="J2797" s="4" t="s">
        <v>7323</v>
      </c>
      <c r="K2797" s="44" t="s">
        <v>230</v>
      </c>
      <c r="L2797" s="44">
        <v>3013463721</v>
      </c>
      <c r="M2797" s="7" t="s">
        <v>1110</v>
      </c>
      <c r="N2797" s="12" t="s">
        <v>127</v>
      </c>
      <c r="O2797" s="12" t="s">
        <v>2822</v>
      </c>
      <c r="P2797" s="4" t="s">
        <v>48</v>
      </c>
      <c r="Q2797" s="69">
        <v>45133</v>
      </c>
      <c r="R2797" s="79">
        <v>0.78500000000000003</v>
      </c>
      <c r="S2797" s="4" t="s">
        <v>49</v>
      </c>
      <c r="T2797" s="14"/>
      <c r="U2797" s="14"/>
      <c r="V2797" s="70"/>
      <c r="W2797" s="14"/>
      <c r="X2797" s="42"/>
      <c r="Y2797" s="14"/>
      <c r="Z2797" s="14"/>
      <c r="AA2797" s="14"/>
      <c r="AC2797" s="14"/>
      <c r="AD2797" s="14"/>
      <c r="AE2797" s="14"/>
      <c r="AF2797" s="20"/>
      <c r="AH2797" s="14"/>
      <c r="AI2797" s="14"/>
      <c r="AJ2797" s="14"/>
      <c r="AK2797" s="20"/>
      <c r="AM2797" s="14"/>
      <c r="AN2797" s="14"/>
      <c r="AO2797" s="14"/>
      <c r="AU2797" s="71" t="s">
        <v>53</v>
      </c>
    </row>
    <row r="2798" spans="1:47" s="12" customFormat="1" ht="28.5" hidden="1" customHeight="1" x14ac:dyDescent="0.3">
      <c r="A2798" s="42" t="s">
        <v>505</v>
      </c>
      <c r="B2798" s="42" t="s">
        <v>7306</v>
      </c>
      <c r="C2798" s="42">
        <v>70</v>
      </c>
      <c r="D2798" s="42">
        <v>823</v>
      </c>
      <c r="E2798" s="42"/>
      <c r="F2798" s="43" t="s">
        <v>7324</v>
      </c>
      <c r="G2798" s="42" t="str">
        <f t="shared" si="67"/>
        <v>70823823003530</v>
      </c>
      <c r="H2798" s="4" t="s">
        <v>1104</v>
      </c>
      <c r="I2798" s="45" t="s">
        <v>7297</v>
      </c>
      <c r="J2798" s="4" t="s">
        <v>7325</v>
      </c>
      <c r="K2798" s="44" t="s">
        <v>230</v>
      </c>
      <c r="L2798" s="44">
        <v>3013936538</v>
      </c>
      <c r="M2798" s="7" t="s">
        <v>1110</v>
      </c>
      <c r="N2798" s="12" t="s">
        <v>127</v>
      </c>
      <c r="O2798" s="12" t="s">
        <v>2822</v>
      </c>
      <c r="P2798" s="4" t="s">
        <v>48</v>
      </c>
      <c r="Q2798" s="69">
        <v>45155</v>
      </c>
      <c r="R2798" s="79">
        <v>0.85499999999999998</v>
      </c>
      <c r="S2798" s="4" t="s">
        <v>49</v>
      </c>
      <c r="T2798" s="14"/>
      <c r="U2798" s="14"/>
      <c r="V2798" s="70"/>
      <c r="W2798" s="14"/>
      <c r="X2798" s="42"/>
      <c r="Y2798" s="14"/>
      <c r="Z2798" s="14"/>
      <c r="AA2798" s="14"/>
      <c r="AC2798" s="14"/>
      <c r="AD2798" s="14"/>
      <c r="AE2798" s="14"/>
      <c r="AF2798" s="20"/>
      <c r="AH2798" s="14"/>
      <c r="AI2798" s="14"/>
      <c r="AJ2798" s="14"/>
      <c r="AK2798" s="20"/>
      <c r="AM2798" s="14"/>
      <c r="AN2798" s="14"/>
      <c r="AO2798" s="14"/>
      <c r="AU2798" s="71" t="s">
        <v>53</v>
      </c>
    </row>
    <row r="2799" spans="1:47" s="12" customFormat="1" ht="28.5" hidden="1" customHeight="1" x14ac:dyDescent="0.3">
      <c r="A2799" s="42" t="s">
        <v>505</v>
      </c>
      <c r="B2799" s="42" t="s">
        <v>7306</v>
      </c>
      <c r="C2799" s="42">
        <v>70</v>
      </c>
      <c r="D2799" s="42">
        <v>823</v>
      </c>
      <c r="E2799" s="42"/>
      <c r="F2799" s="43" t="s">
        <v>7326</v>
      </c>
      <c r="G2799" s="42" t="str">
        <f t="shared" si="67"/>
        <v>70823823003530</v>
      </c>
      <c r="H2799" s="4" t="s">
        <v>1104</v>
      </c>
      <c r="I2799" s="45" t="s">
        <v>7297</v>
      </c>
      <c r="J2799" s="4" t="s">
        <v>7327</v>
      </c>
      <c r="K2799" s="44" t="s">
        <v>230</v>
      </c>
      <c r="L2799" s="44">
        <v>3106334478</v>
      </c>
      <c r="M2799" s="7" t="s">
        <v>7328</v>
      </c>
      <c r="N2799" s="12" t="s">
        <v>127</v>
      </c>
      <c r="O2799" s="12" t="s">
        <v>2822</v>
      </c>
      <c r="P2799" s="4" t="s">
        <v>48</v>
      </c>
      <c r="Q2799" s="69">
        <v>45433</v>
      </c>
      <c r="R2799" s="79">
        <v>0.87</v>
      </c>
      <c r="S2799" s="4" t="s">
        <v>49</v>
      </c>
      <c r="T2799" s="14"/>
      <c r="U2799" s="14"/>
      <c r="V2799" s="70"/>
      <c r="W2799" s="14"/>
      <c r="X2799" s="42"/>
      <c r="Y2799" s="14"/>
      <c r="Z2799" s="14"/>
      <c r="AA2799" s="14"/>
      <c r="AC2799" s="14"/>
      <c r="AD2799" s="14"/>
      <c r="AE2799" s="14"/>
      <c r="AF2799" s="20"/>
      <c r="AH2799" s="14"/>
      <c r="AI2799" s="14"/>
      <c r="AJ2799" s="14"/>
      <c r="AK2799" s="20"/>
      <c r="AM2799" s="14"/>
      <c r="AN2799" s="14"/>
      <c r="AO2799" s="14"/>
      <c r="AU2799" s="71" t="s">
        <v>53</v>
      </c>
    </row>
    <row r="2800" spans="1:47" s="12" customFormat="1" ht="28.5" hidden="1" customHeight="1" x14ac:dyDescent="0.3">
      <c r="A2800" s="42" t="s">
        <v>505</v>
      </c>
      <c r="B2800" s="42" t="s">
        <v>7306</v>
      </c>
      <c r="C2800" s="42">
        <v>70</v>
      </c>
      <c r="D2800" s="42">
        <v>823</v>
      </c>
      <c r="E2800" s="42"/>
      <c r="F2800" s="43" t="s">
        <v>7329</v>
      </c>
      <c r="G2800" s="42" t="str">
        <f t="shared" si="67"/>
        <v>70823823003530</v>
      </c>
      <c r="H2800" s="4" t="s">
        <v>7296</v>
      </c>
      <c r="I2800" s="45" t="s">
        <v>7297</v>
      </c>
      <c r="J2800" s="4" t="s">
        <v>7330</v>
      </c>
      <c r="K2800" s="44" t="s">
        <v>230</v>
      </c>
      <c r="L2800" s="44">
        <v>3126542725</v>
      </c>
      <c r="M2800" s="7" t="s">
        <v>1110</v>
      </c>
      <c r="N2800" s="12" t="s">
        <v>127</v>
      </c>
      <c r="O2800" s="12" t="s">
        <v>2822</v>
      </c>
      <c r="P2800" s="4" t="s">
        <v>48</v>
      </c>
      <c r="Q2800" s="69">
        <v>45152</v>
      </c>
      <c r="R2800" s="79">
        <v>0.86499999999999999</v>
      </c>
      <c r="S2800" s="4" t="s">
        <v>49</v>
      </c>
      <c r="T2800" s="14"/>
      <c r="U2800" s="14"/>
      <c r="V2800" s="70"/>
      <c r="W2800" s="14"/>
      <c r="X2800" s="42"/>
      <c r="Y2800" s="14"/>
      <c r="Z2800" s="14"/>
      <c r="AA2800" s="14"/>
      <c r="AC2800" s="14"/>
      <c r="AD2800" s="14"/>
      <c r="AE2800" s="14"/>
      <c r="AF2800" s="20"/>
      <c r="AH2800" s="14"/>
      <c r="AI2800" s="14"/>
      <c r="AJ2800" s="14"/>
      <c r="AK2800" s="20"/>
      <c r="AM2800" s="14"/>
      <c r="AN2800" s="14"/>
      <c r="AO2800" s="14"/>
      <c r="AU2800" s="71" t="s">
        <v>53</v>
      </c>
    </row>
    <row r="2801" spans="1:47" s="12" customFormat="1" ht="28.5" hidden="1" customHeight="1" x14ac:dyDescent="0.3">
      <c r="A2801" s="42" t="s">
        <v>505</v>
      </c>
      <c r="B2801" s="42" t="s">
        <v>7306</v>
      </c>
      <c r="C2801" s="42">
        <v>70</v>
      </c>
      <c r="D2801" s="42">
        <v>823</v>
      </c>
      <c r="E2801" s="42" t="s">
        <v>7331</v>
      </c>
      <c r="F2801" s="43" t="s">
        <v>7332</v>
      </c>
      <c r="G2801" s="42" t="str">
        <f t="shared" si="67"/>
        <v>708238001384521</v>
      </c>
      <c r="H2801" s="4" t="s">
        <v>7333</v>
      </c>
      <c r="I2801" s="45" t="s">
        <v>7334</v>
      </c>
      <c r="J2801" s="4" t="s">
        <v>7335</v>
      </c>
      <c r="K2801" s="44" t="s">
        <v>230</v>
      </c>
      <c r="L2801" s="44">
        <v>3234320533</v>
      </c>
      <c r="M2801" s="3" t="s">
        <v>7336</v>
      </c>
      <c r="N2801" s="12" t="s">
        <v>127</v>
      </c>
      <c r="O2801" s="12" t="s">
        <v>2822</v>
      </c>
      <c r="P2801" s="4" t="s">
        <v>48</v>
      </c>
      <c r="Q2801" s="69">
        <v>45842</v>
      </c>
      <c r="R2801" s="79">
        <v>0.93</v>
      </c>
      <c r="S2801" s="4" t="s">
        <v>210</v>
      </c>
      <c r="T2801" s="14"/>
      <c r="U2801" s="14"/>
      <c r="V2801" s="49">
        <v>45149</v>
      </c>
      <c r="W2801" s="79">
        <v>0.90500000000000003</v>
      </c>
      <c r="X2801" s="4" t="s">
        <v>210</v>
      </c>
      <c r="Y2801" s="14"/>
      <c r="Z2801" s="14"/>
      <c r="AA2801" s="14"/>
      <c r="AC2801" s="14"/>
      <c r="AD2801" s="14"/>
      <c r="AE2801" s="14"/>
      <c r="AF2801" s="20"/>
      <c r="AH2801" s="14"/>
      <c r="AI2801" s="14"/>
      <c r="AJ2801" s="14"/>
      <c r="AK2801" s="20"/>
      <c r="AM2801" s="14"/>
      <c r="AN2801" s="14"/>
      <c r="AO2801" s="14"/>
      <c r="AU2801" s="71" t="s">
        <v>53</v>
      </c>
    </row>
    <row r="2802" spans="1:47" s="12" customFormat="1" ht="28.5" hidden="1" customHeight="1" x14ac:dyDescent="0.3">
      <c r="A2802" s="42" t="s">
        <v>505</v>
      </c>
      <c r="B2802" s="42" t="s">
        <v>7306</v>
      </c>
      <c r="C2802" s="42">
        <v>70</v>
      </c>
      <c r="D2802" s="42">
        <v>823</v>
      </c>
      <c r="E2802" s="42"/>
      <c r="F2802" s="43" t="s">
        <v>7337</v>
      </c>
      <c r="G2802" s="42" t="str">
        <f t="shared" si="67"/>
        <v>70823823003530</v>
      </c>
      <c r="H2802" s="4" t="s">
        <v>7296</v>
      </c>
      <c r="I2802" s="45" t="s">
        <v>7297</v>
      </c>
      <c r="J2802" s="4" t="s">
        <v>7338</v>
      </c>
      <c r="K2802" s="44" t="s">
        <v>230</v>
      </c>
      <c r="L2802" s="44">
        <v>3008017089</v>
      </c>
      <c r="M2802" s="7" t="s">
        <v>1110</v>
      </c>
      <c r="N2802" s="12" t="s">
        <v>127</v>
      </c>
      <c r="O2802" s="12" t="s">
        <v>2822</v>
      </c>
      <c r="P2802" s="4" t="s">
        <v>48</v>
      </c>
      <c r="Q2802" s="69">
        <v>45148</v>
      </c>
      <c r="R2802" s="79">
        <v>0.85</v>
      </c>
      <c r="S2802" s="4" t="s">
        <v>49</v>
      </c>
      <c r="T2802" s="14"/>
      <c r="U2802" s="14"/>
      <c r="V2802" s="70"/>
      <c r="W2802" s="14"/>
      <c r="X2802" s="42"/>
      <c r="Y2802" s="14"/>
      <c r="Z2802" s="14"/>
      <c r="AA2802" s="14"/>
      <c r="AC2802" s="14"/>
      <c r="AD2802" s="14"/>
      <c r="AE2802" s="14"/>
      <c r="AF2802" s="20"/>
      <c r="AH2802" s="14"/>
      <c r="AI2802" s="14"/>
      <c r="AJ2802" s="14"/>
      <c r="AK2802" s="20"/>
      <c r="AM2802" s="14"/>
      <c r="AN2802" s="14"/>
      <c r="AO2802" s="14"/>
      <c r="AU2802" s="71" t="s">
        <v>53</v>
      </c>
    </row>
    <row r="2803" spans="1:47" s="12" customFormat="1" ht="28.5" hidden="1" customHeight="1" x14ac:dyDescent="0.3">
      <c r="A2803" s="42" t="s">
        <v>505</v>
      </c>
      <c r="B2803" s="42" t="s">
        <v>7306</v>
      </c>
      <c r="C2803" s="42">
        <v>70</v>
      </c>
      <c r="D2803" s="42">
        <v>823</v>
      </c>
      <c r="E2803" s="42" t="s">
        <v>7331</v>
      </c>
      <c r="F2803" s="43" t="s">
        <v>7339</v>
      </c>
      <c r="G2803" s="42" t="str">
        <f t="shared" si="67"/>
        <v>708238001384521</v>
      </c>
      <c r="H2803" s="4" t="s">
        <v>7333</v>
      </c>
      <c r="I2803" s="45" t="s">
        <v>7334</v>
      </c>
      <c r="J2803" s="4" t="s">
        <v>7340</v>
      </c>
      <c r="K2803" s="44" t="s">
        <v>230</v>
      </c>
      <c r="L2803" s="44">
        <v>3015248364</v>
      </c>
      <c r="M2803" s="3" t="s">
        <v>7341</v>
      </c>
      <c r="N2803" s="12" t="s">
        <v>127</v>
      </c>
      <c r="O2803" s="12" t="s">
        <v>2822</v>
      </c>
      <c r="P2803" s="4" t="s">
        <v>48</v>
      </c>
      <c r="Q2803" s="69">
        <v>45841</v>
      </c>
      <c r="R2803" s="79">
        <v>0.90500000000000003</v>
      </c>
      <c r="S2803" s="4" t="s">
        <v>210</v>
      </c>
      <c r="T2803" s="14"/>
      <c r="U2803" s="14"/>
      <c r="V2803" s="49">
        <v>45148</v>
      </c>
      <c r="W2803" s="79">
        <v>0.90500000000000003</v>
      </c>
      <c r="X2803" s="4" t="s">
        <v>210</v>
      </c>
      <c r="Y2803" s="14"/>
      <c r="Z2803" s="14"/>
      <c r="AA2803" s="14"/>
      <c r="AC2803" s="14"/>
      <c r="AD2803" s="14"/>
      <c r="AE2803" s="14"/>
      <c r="AF2803" s="20"/>
      <c r="AH2803" s="14"/>
      <c r="AI2803" s="14"/>
      <c r="AJ2803" s="14"/>
      <c r="AK2803" s="20"/>
      <c r="AM2803" s="14"/>
      <c r="AN2803" s="14"/>
      <c r="AO2803" s="14"/>
      <c r="AU2803" s="71" t="s">
        <v>53</v>
      </c>
    </row>
    <row r="2804" spans="1:47" s="12" customFormat="1" ht="28.5" hidden="1" customHeight="1" x14ac:dyDescent="0.3">
      <c r="A2804" s="42" t="s">
        <v>505</v>
      </c>
      <c r="B2804" s="42" t="s">
        <v>7306</v>
      </c>
      <c r="C2804" s="42">
        <v>70</v>
      </c>
      <c r="D2804" s="42">
        <v>823</v>
      </c>
      <c r="E2804" s="42"/>
      <c r="F2804" s="43" t="s">
        <v>7342</v>
      </c>
      <c r="G2804" s="42" t="str">
        <f t="shared" si="67"/>
        <v>70823823003530</v>
      </c>
      <c r="H2804" s="4" t="s">
        <v>7296</v>
      </c>
      <c r="I2804" s="45" t="s">
        <v>7297</v>
      </c>
      <c r="J2804" s="4" t="s">
        <v>7343</v>
      </c>
      <c r="K2804" s="44" t="s">
        <v>230</v>
      </c>
      <c r="L2804" s="44">
        <v>3114223813</v>
      </c>
      <c r="M2804" s="7" t="s">
        <v>1110</v>
      </c>
      <c r="N2804" s="12" t="s">
        <v>127</v>
      </c>
      <c r="O2804" s="12" t="s">
        <v>2822</v>
      </c>
      <c r="P2804" s="4" t="s">
        <v>48</v>
      </c>
      <c r="Q2804" s="69">
        <v>45147</v>
      </c>
      <c r="R2804" s="79">
        <v>0.85</v>
      </c>
      <c r="S2804" s="4" t="s">
        <v>49</v>
      </c>
      <c r="T2804" s="14"/>
      <c r="U2804" s="14"/>
      <c r="V2804" s="70"/>
      <c r="W2804" s="14"/>
      <c r="X2804" s="42"/>
      <c r="Y2804" s="14"/>
      <c r="Z2804" s="14"/>
      <c r="AA2804" s="14"/>
      <c r="AC2804" s="14"/>
      <c r="AD2804" s="14"/>
      <c r="AE2804" s="14"/>
      <c r="AF2804" s="20"/>
      <c r="AH2804" s="14"/>
      <c r="AI2804" s="14"/>
      <c r="AJ2804" s="14"/>
      <c r="AK2804" s="20"/>
      <c r="AM2804" s="14"/>
      <c r="AN2804" s="14"/>
      <c r="AO2804" s="14"/>
      <c r="AU2804" s="71" t="s">
        <v>53</v>
      </c>
    </row>
    <row r="2805" spans="1:47" s="12" customFormat="1" ht="31.2" hidden="1" x14ac:dyDescent="0.3">
      <c r="A2805" s="42" t="s">
        <v>505</v>
      </c>
      <c r="B2805" s="42" t="s">
        <v>7306</v>
      </c>
      <c r="C2805" s="42">
        <v>70</v>
      </c>
      <c r="D2805" s="42">
        <v>823</v>
      </c>
      <c r="E2805" s="42"/>
      <c r="F2805" s="43" t="s">
        <v>932</v>
      </c>
      <c r="G2805" s="42" t="str">
        <f t="shared" si="67"/>
        <v>7082392530022</v>
      </c>
      <c r="H2805" s="4" t="s">
        <v>7344</v>
      </c>
      <c r="I2805" s="45">
        <v>92530022</v>
      </c>
      <c r="J2805" s="4" t="s">
        <v>7345</v>
      </c>
      <c r="K2805" s="44" t="s">
        <v>230</v>
      </c>
      <c r="L2805" s="44" t="s">
        <v>45</v>
      </c>
      <c r="M2805" s="7" t="s">
        <v>45</v>
      </c>
      <c r="N2805" s="12" t="s">
        <v>259</v>
      </c>
      <c r="O2805" s="12" t="s">
        <v>260</v>
      </c>
      <c r="P2805" s="4" t="s">
        <v>261</v>
      </c>
      <c r="Q2805" s="69">
        <v>44546</v>
      </c>
      <c r="R2805" s="79">
        <v>0.74750000000000005</v>
      </c>
      <c r="S2805" s="4" t="s">
        <v>49</v>
      </c>
      <c r="T2805" s="14"/>
      <c r="U2805" s="14"/>
      <c r="V2805" s="70"/>
      <c r="W2805" s="14"/>
      <c r="X2805" s="42"/>
      <c r="Y2805" s="14"/>
      <c r="Z2805" s="14"/>
      <c r="AA2805" s="14"/>
      <c r="AC2805" s="14"/>
      <c r="AD2805" s="14"/>
      <c r="AE2805" s="14"/>
      <c r="AF2805" s="20"/>
      <c r="AH2805" s="14"/>
      <c r="AI2805" s="14"/>
      <c r="AJ2805" s="14"/>
      <c r="AK2805" s="20"/>
      <c r="AM2805" s="14"/>
      <c r="AN2805" s="14"/>
      <c r="AO2805" s="14"/>
      <c r="AU2805" s="71" t="s">
        <v>53</v>
      </c>
    </row>
    <row r="2806" spans="1:47" s="12" customFormat="1" ht="31.2" hidden="1" x14ac:dyDescent="0.3">
      <c r="A2806" s="42" t="s">
        <v>505</v>
      </c>
      <c r="B2806" s="42" t="s">
        <v>7306</v>
      </c>
      <c r="C2806" s="42">
        <v>70</v>
      </c>
      <c r="D2806" s="42">
        <v>823</v>
      </c>
      <c r="E2806" s="42"/>
      <c r="F2806" s="43" t="s">
        <v>7346</v>
      </c>
      <c r="G2806" s="42" t="str">
        <f t="shared" si="67"/>
        <v>70823922313025</v>
      </c>
      <c r="H2806" s="4" t="s">
        <v>7347</v>
      </c>
      <c r="I2806" s="45" t="s">
        <v>7348</v>
      </c>
      <c r="J2806" s="4" t="s">
        <v>7349</v>
      </c>
      <c r="K2806" s="44" t="s">
        <v>230</v>
      </c>
      <c r="L2806" s="44">
        <v>3185249434</v>
      </c>
      <c r="M2806" s="7" t="s">
        <v>7350</v>
      </c>
      <c r="N2806" s="12" t="s">
        <v>432</v>
      </c>
      <c r="O2806" s="12" t="s">
        <v>432</v>
      </c>
      <c r="P2806" s="4" t="s">
        <v>261</v>
      </c>
      <c r="Q2806" s="69">
        <v>45162</v>
      </c>
      <c r="R2806" s="79">
        <v>0.79</v>
      </c>
      <c r="S2806" s="4" t="s">
        <v>49</v>
      </c>
      <c r="T2806" s="14"/>
      <c r="U2806" s="14"/>
      <c r="V2806" s="70"/>
      <c r="W2806" s="14"/>
      <c r="X2806" s="42"/>
      <c r="Y2806" s="14"/>
      <c r="Z2806" s="14"/>
      <c r="AA2806" s="14"/>
      <c r="AC2806" s="14"/>
      <c r="AD2806" s="14"/>
      <c r="AE2806" s="14"/>
      <c r="AF2806" s="20"/>
      <c r="AH2806" s="14"/>
      <c r="AI2806" s="14"/>
      <c r="AJ2806" s="14"/>
      <c r="AK2806" s="20"/>
      <c r="AM2806" s="14"/>
      <c r="AN2806" s="14"/>
      <c r="AO2806" s="14"/>
      <c r="AU2806" s="71" t="s">
        <v>53</v>
      </c>
    </row>
    <row r="2807" spans="1:47" s="12" customFormat="1" ht="31.2" hidden="1" x14ac:dyDescent="0.3">
      <c r="A2807" s="42" t="s">
        <v>505</v>
      </c>
      <c r="B2807" s="42" t="s">
        <v>7306</v>
      </c>
      <c r="C2807" s="42">
        <v>70</v>
      </c>
      <c r="D2807" s="42">
        <v>823</v>
      </c>
      <c r="E2807" s="42"/>
      <c r="F2807" s="43" t="s">
        <v>7351</v>
      </c>
      <c r="G2807" s="42" t="str">
        <f t="shared" si="67"/>
        <v>7082392275652</v>
      </c>
      <c r="H2807" s="4" t="s">
        <v>7352</v>
      </c>
      <c r="I2807" s="45">
        <v>92275652</v>
      </c>
      <c r="J2807" s="4" t="s">
        <v>7353</v>
      </c>
      <c r="K2807" s="44" t="s">
        <v>230</v>
      </c>
      <c r="L2807" s="44">
        <v>3114052095</v>
      </c>
      <c r="M2807" s="7" t="s">
        <v>1110</v>
      </c>
      <c r="N2807" s="12" t="s">
        <v>432</v>
      </c>
      <c r="O2807" s="12" t="s">
        <v>432</v>
      </c>
      <c r="P2807" s="4" t="s">
        <v>261</v>
      </c>
      <c r="Q2807" s="69">
        <v>45034</v>
      </c>
      <c r="R2807" s="79">
        <v>0.77500000000000002</v>
      </c>
      <c r="S2807" s="4" t="s">
        <v>49</v>
      </c>
      <c r="T2807" s="14"/>
      <c r="U2807" s="14"/>
      <c r="V2807" s="70"/>
      <c r="W2807" s="14"/>
      <c r="X2807" s="42"/>
      <c r="Y2807" s="14"/>
      <c r="Z2807" s="14"/>
      <c r="AA2807" s="14"/>
      <c r="AC2807" s="14"/>
      <c r="AD2807" s="14"/>
      <c r="AE2807" s="14"/>
      <c r="AF2807" s="20"/>
      <c r="AH2807" s="14"/>
      <c r="AI2807" s="14"/>
      <c r="AJ2807" s="14"/>
      <c r="AK2807" s="20"/>
      <c r="AM2807" s="14"/>
      <c r="AN2807" s="14"/>
      <c r="AO2807" s="14"/>
      <c r="AU2807" s="71" t="s">
        <v>53</v>
      </c>
    </row>
    <row r="2808" spans="1:47" s="12" customFormat="1" ht="31.2" hidden="1" x14ac:dyDescent="0.3">
      <c r="A2808" s="42" t="s">
        <v>505</v>
      </c>
      <c r="B2808" s="42" t="s">
        <v>7306</v>
      </c>
      <c r="C2808" s="42">
        <v>70</v>
      </c>
      <c r="D2808" s="42">
        <v>823</v>
      </c>
      <c r="E2808" s="42"/>
      <c r="F2808" s="43" t="s">
        <v>7354</v>
      </c>
      <c r="G2808" s="42" t="str">
        <f t="shared" si="67"/>
        <v>7082311028809142</v>
      </c>
      <c r="H2808" s="4" t="s">
        <v>7355</v>
      </c>
      <c r="I2808" s="45" t="s">
        <v>7356</v>
      </c>
      <c r="J2808" s="4" t="s">
        <v>7357</v>
      </c>
      <c r="K2808" s="44" t="s">
        <v>230</v>
      </c>
      <c r="L2808" s="44">
        <v>3046623278</v>
      </c>
      <c r="M2808" s="7" t="s">
        <v>7358</v>
      </c>
      <c r="N2808" s="12" t="s">
        <v>432</v>
      </c>
      <c r="O2808" s="12" t="s">
        <v>432</v>
      </c>
      <c r="P2808" s="4" t="s">
        <v>261</v>
      </c>
      <c r="Q2808" s="69">
        <v>45030</v>
      </c>
      <c r="R2808" s="79">
        <v>0.755</v>
      </c>
      <c r="S2808" s="4" t="s">
        <v>49</v>
      </c>
      <c r="T2808" s="14"/>
      <c r="U2808" s="14"/>
      <c r="V2808" s="70"/>
      <c r="W2808" s="14"/>
      <c r="X2808" s="42"/>
      <c r="Y2808" s="14"/>
      <c r="Z2808" s="14"/>
      <c r="AA2808" s="14"/>
      <c r="AC2808" s="14"/>
      <c r="AD2808" s="14"/>
      <c r="AE2808" s="14"/>
      <c r="AF2808" s="20"/>
      <c r="AH2808" s="14"/>
      <c r="AI2808" s="14"/>
      <c r="AJ2808" s="14"/>
      <c r="AK2808" s="20"/>
      <c r="AM2808" s="14"/>
      <c r="AN2808" s="14"/>
      <c r="AO2808" s="14"/>
      <c r="AU2808" s="71" t="s">
        <v>53</v>
      </c>
    </row>
    <row r="2809" spans="1:47" s="12" customFormat="1" ht="31.2" x14ac:dyDescent="0.3">
      <c r="A2809" s="42" t="s">
        <v>505</v>
      </c>
      <c r="B2809" s="42" t="s">
        <v>7306</v>
      </c>
      <c r="C2809" s="42">
        <v>70</v>
      </c>
      <c r="D2809" s="42">
        <v>823</v>
      </c>
      <c r="E2809" s="42"/>
      <c r="F2809" s="43" t="s">
        <v>7359</v>
      </c>
      <c r="G2809" s="42" t="str">
        <f t="shared" si="67"/>
        <v>7082323217905</v>
      </c>
      <c r="H2809" s="4" t="s">
        <v>7360</v>
      </c>
      <c r="I2809" s="45">
        <v>23217905</v>
      </c>
      <c r="J2809" s="4" t="s">
        <v>7361</v>
      </c>
      <c r="K2809" s="44" t="s">
        <v>230</v>
      </c>
      <c r="L2809" s="44" t="s">
        <v>45</v>
      </c>
      <c r="M2809" s="7" t="s">
        <v>45</v>
      </c>
      <c r="N2809" s="12" t="s">
        <v>46</v>
      </c>
      <c r="O2809" s="12" t="s">
        <v>47</v>
      </c>
      <c r="P2809" s="4" t="s">
        <v>48</v>
      </c>
      <c r="Q2809" s="69">
        <v>44673</v>
      </c>
      <c r="R2809" s="79">
        <v>0.66</v>
      </c>
      <c r="S2809" s="4" t="s">
        <v>49</v>
      </c>
      <c r="T2809" s="14"/>
      <c r="U2809" s="14"/>
      <c r="V2809" s="70"/>
      <c r="W2809" s="14"/>
      <c r="X2809" s="42"/>
      <c r="Y2809" s="14"/>
      <c r="Z2809" s="14"/>
      <c r="AA2809" s="14"/>
      <c r="AC2809" s="14"/>
      <c r="AD2809" s="14"/>
      <c r="AE2809" s="14"/>
      <c r="AF2809" s="20"/>
      <c r="AH2809" s="14"/>
      <c r="AI2809" s="14"/>
      <c r="AJ2809" s="14"/>
      <c r="AK2809" s="20"/>
      <c r="AM2809" s="14"/>
      <c r="AN2809" s="14"/>
      <c r="AO2809" s="14"/>
      <c r="AU2809" s="71" t="s">
        <v>53</v>
      </c>
    </row>
    <row r="2810" spans="1:47" s="12" customFormat="1" ht="28.5" hidden="1" customHeight="1" x14ac:dyDescent="0.3">
      <c r="A2810" s="42" t="s">
        <v>505</v>
      </c>
      <c r="B2810" s="42" t="s">
        <v>7306</v>
      </c>
      <c r="C2810" s="42">
        <v>70</v>
      </c>
      <c r="D2810" s="42">
        <v>823</v>
      </c>
      <c r="E2810" s="42"/>
      <c r="F2810" s="43" t="s">
        <v>7362</v>
      </c>
      <c r="G2810" s="42" t="str">
        <f t="shared" si="67"/>
        <v>70823823003530</v>
      </c>
      <c r="H2810" s="4" t="s">
        <v>1104</v>
      </c>
      <c r="I2810" s="45" t="s">
        <v>7297</v>
      </c>
      <c r="J2810" s="4" t="s">
        <v>7363</v>
      </c>
      <c r="K2810" s="44" t="s">
        <v>230</v>
      </c>
      <c r="L2810" s="44">
        <v>3136288578</v>
      </c>
      <c r="M2810" s="8" t="s">
        <v>7364</v>
      </c>
      <c r="N2810" s="12" t="s">
        <v>127</v>
      </c>
      <c r="O2810" s="12" t="s">
        <v>2822</v>
      </c>
      <c r="P2810" s="4" t="s">
        <v>48</v>
      </c>
      <c r="Q2810" s="69">
        <v>45224</v>
      </c>
      <c r="R2810" s="79">
        <v>0.83</v>
      </c>
      <c r="S2810" s="4" t="s">
        <v>49</v>
      </c>
      <c r="T2810" s="14"/>
      <c r="U2810" s="14"/>
      <c r="V2810" s="70"/>
      <c r="W2810" s="14"/>
      <c r="X2810" s="42"/>
      <c r="Y2810" s="14"/>
      <c r="Z2810" s="14"/>
      <c r="AA2810" s="14"/>
      <c r="AC2810" s="14"/>
      <c r="AD2810" s="14"/>
      <c r="AE2810" s="14"/>
      <c r="AF2810" s="20"/>
      <c r="AH2810" s="14"/>
      <c r="AI2810" s="14"/>
      <c r="AJ2810" s="14"/>
      <c r="AK2810" s="20"/>
      <c r="AM2810" s="14"/>
      <c r="AN2810" s="14"/>
      <c r="AO2810" s="14"/>
      <c r="AU2810" s="71" t="s">
        <v>53</v>
      </c>
    </row>
    <row r="2811" spans="1:47" s="12" customFormat="1" ht="31.2" hidden="1" x14ac:dyDescent="0.3">
      <c r="A2811" s="42" t="s">
        <v>505</v>
      </c>
      <c r="B2811" s="42" t="s">
        <v>7306</v>
      </c>
      <c r="C2811" s="42">
        <v>70</v>
      </c>
      <c r="D2811" s="42">
        <v>823</v>
      </c>
      <c r="E2811" s="42"/>
      <c r="F2811" s="43" t="s">
        <v>7365</v>
      </c>
      <c r="G2811" s="42" t="str">
        <f t="shared" si="67"/>
        <v>7082364700951</v>
      </c>
      <c r="H2811" s="4" t="s">
        <v>7366</v>
      </c>
      <c r="I2811" s="45">
        <v>64700951</v>
      </c>
      <c r="J2811" s="4" t="s">
        <v>7367</v>
      </c>
      <c r="K2811" s="44" t="s">
        <v>230</v>
      </c>
      <c r="L2811" s="44">
        <v>3225981897</v>
      </c>
      <c r="M2811" s="6" t="s">
        <v>7368</v>
      </c>
      <c r="N2811" s="12" t="s">
        <v>432</v>
      </c>
      <c r="O2811" s="12" t="s">
        <v>432</v>
      </c>
      <c r="P2811" s="4" t="s">
        <v>261</v>
      </c>
      <c r="Q2811" s="69">
        <v>45434</v>
      </c>
      <c r="R2811" s="79">
        <v>0.76500000000000001</v>
      </c>
      <c r="S2811" s="4" t="s">
        <v>49</v>
      </c>
      <c r="T2811" s="14"/>
      <c r="U2811" s="14"/>
      <c r="V2811" s="70"/>
      <c r="W2811" s="14"/>
      <c r="X2811" s="42"/>
      <c r="Y2811" s="14"/>
      <c r="Z2811" s="14"/>
      <c r="AA2811" s="14"/>
      <c r="AC2811" s="14"/>
      <c r="AD2811" s="14"/>
      <c r="AE2811" s="14"/>
      <c r="AF2811" s="20"/>
      <c r="AH2811" s="14"/>
      <c r="AI2811" s="14"/>
      <c r="AJ2811" s="14"/>
      <c r="AK2811" s="20"/>
      <c r="AM2811" s="14"/>
      <c r="AN2811" s="14"/>
      <c r="AO2811" s="14"/>
      <c r="AU2811" s="71" t="s">
        <v>53</v>
      </c>
    </row>
    <row r="2812" spans="1:47" s="12" customFormat="1" ht="31.2" x14ac:dyDescent="0.3">
      <c r="A2812" s="42" t="s">
        <v>505</v>
      </c>
      <c r="B2812" s="42" t="s">
        <v>7306</v>
      </c>
      <c r="C2812" s="42">
        <v>70</v>
      </c>
      <c r="D2812" s="42">
        <v>823</v>
      </c>
      <c r="E2812" s="42"/>
      <c r="F2812" s="43" t="s">
        <v>7369</v>
      </c>
      <c r="G2812" s="42" t="str">
        <f t="shared" si="67"/>
        <v>708231102878389</v>
      </c>
      <c r="H2812" s="4" t="s">
        <v>7370</v>
      </c>
      <c r="I2812" s="45">
        <v>1102878389</v>
      </c>
      <c r="J2812" s="4" t="s">
        <v>7371</v>
      </c>
      <c r="K2812" s="44" t="s">
        <v>230</v>
      </c>
      <c r="L2812" s="44" t="s">
        <v>45</v>
      </c>
      <c r="M2812" s="7" t="s">
        <v>45</v>
      </c>
      <c r="N2812" s="12" t="s">
        <v>46</v>
      </c>
      <c r="O2812" s="12" t="s">
        <v>47</v>
      </c>
      <c r="P2812" s="4" t="s">
        <v>48</v>
      </c>
      <c r="Q2812" s="69">
        <v>44505</v>
      </c>
      <c r="R2812" s="79">
        <v>0.84</v>
      </c>
      <c r="S2812" s="4" t="s">
        <v>49</v>
      </c>
      <c r="T2812" s="14"/>
      <c r="U2812" s="14"/>
      <c r="V2812" s="70"/>
      <c r="W2812" s="14"/>
      <c r="X2812" s="42"/>
      <c r="Y2812" s="14"/>
      <c r="Z2812" s="14"/>
      <c r="AA2812" s="14"/>
      <c r="AC2812" s="14"/>
      <c r="AD2812" s="14"/>
      <c r="AE2812" s="14"/>
      <c r="AF2812" s="20"/>
      <c r="AH2812" s="14"/>
      <c r="AI2812" s="14"/>
      <c r="AJ2812" s="14"/>
      <c r="AK2812" s="20"/>
      <c r="AM2812" s="14"/>
      <c r="AN2812" s="14"/>
      <c r="AO2812" s="14"/>
      <c r="AU2812" s="71" t="s">
        <v>53</v>
      </c>
    </row>
    <row r="2813" spans="1:47" s="12" customFormat="1" ht="31.2" hidden="1" x14ac:dyDescent="0.3">
      <c r="A2813" s="42" t="s">
        <v>505</v>
      </c>
      <c r="B2813" s="42" t="s">
        <v>7306</v>
      </c>
      <c r="C2813" s="42">
        <v>70</v>
      </c>
      <c r="D2813" s="42">
        <v>823</v>
      </c>
      <c r="E2813" s="42"/>
      <c r="F2813" s="43" t="s">
        <v>7372</v>
      </c>
      <c r="G2813" s="42" t="str">
        <f t="shared" si="67"/>
        <v>7082323223475</v>
      </c>
      <c r="H2813" s="4" t="s">
        <v>7373</v>
      </c>
      <c r="I2813" s="45">
        <v>23223475</v>
      </c>
      <c r="J2813" s="4" t="s">
        <v>7374</v>
      </c>
      <c r="K2813" s="44" t="s">
        <v>230</v>
      </c>
      <c r="L2813" s="44" t="s">
        <v>45</v>
      </c>
      <c r="M2813" s="7" t="s">
        <v>45</v>
      </c>
      <c r="N2813" s="12" t="s">
        <v>432</v>
      </c>
      <c r="O2813" s="12" t="s">
        <v>432</v>
      </c>
      <c r="P2813" s="4" t="s">
        <v>261</v>
      </c>
      <c r="Q2813" s="69">
        <v>44672</v>
      </c>
      <c r="R2813" s="79">
        <v>0.745</v>
      </c>
      <c r="S2813" s="4" t="s">
        <v>49</v>
      </c>
      <c r="T2813" s="14"/>
      <c r="U2813" s="14"/>
      <c r="V2813" s="70"/>
      <c r="W2813" s="14"/>
      <c r="X2813" s="42"/>
      <c r="Y2813" s="14"/>
      <c r="Z2813" s="14"/>
      <c r="AA2813" s="14"/>
      <c r="AC2813" s="14"/>
      <c r="AD2813" s="14"/>
      <c r="AE2813" s="14"/>
      <c r="AF2813" s="20"/>
      <c r="AH2813" s="14"/>
      <c r="AI2813" s="14"/>
      <c r="AJ2813" s="14"/>
      <c r="AK2813" s="20"/>
      <c r="AM2813" s="14"/>
      <c r="AN2813" s="14"/>
      <c r="AO2813" s="14"/>
      <c r="AU2813" s="71" t="s">
        <v>53</v>
      </c>
    </row>
    <row r="2814" spans="1:47" s="12" customFormat="1" ht="31.2" hidden="1" x14ac:dyDescent="0.3">
      <c r="A2814" s="42" t="s">
        <v>505</v>
      </c>
      <c r="B2814" s="42" t="s">
        <v>7306</v>
      </c>
      <c r="C2814" s="42">
        <v>70</v>
      </c>
      <c r="D2814" s="42">
        <v>823</v>
      </c>
      <c r="E2814" s="42"/>
      <c r="F2814" s="43" t="s">
        <v>7375</v>
      </c>
      <c r="G2814" s="42" t="str">
        <f t="shared" si="67"/>
        <v>708231108759709</v>
      </c>
      <c r="H2814" s="4" t="s">
        <v>7376</v>
      </c>
      <c r="I2814" s="45">
        <v>1108759709</v>
      </c>
      <c r="J2814" s="4" t="s">
        <v>7377</v>
      </c>
      <c r="K2814" s="44" t="s">
        <v>230</v>
      </c>
      <c r="L2814" s="44" t="s">
        <v>45</v>
      </c>
      <c r="M2814" s="7" t="s">
        <v>45</v>
      </c>
      <c r="N2814" s="12" t="s">
        <v>432</v>
      </c>
      <c r="O2814" s="12" t="s">
        <v>432</v>
      </c>
      <c r="P2814" s="4" t="s">
        <v>261</v>
      </c>
      <c r="Q2814" s="69">
        <v>45496</v>
      </c>
      <c r="R2814" s="79">
        <v>0.71499999999999997</v>
      </c>
      <c r="S2814" s="4" t="s">
        <v>49</v>
      </c>
      <c r="T2814" s="14"/>
      <c r="U2814" s="14"/>
      <c r="V2814" s="70"/>
      <c r="W2814" s="14"/>
      <c r="X2814" s="42"/>
      <c r="Y2814" s="14"/>
      <c r="Z2814" s="14"/>
      <c r="AA2814" s="14"/>
      <c r="AC2814" s="14"/>
      <c r="AD2814" s="14"/>
      <c r="AE2814" s="14"/>
      <c r="AF2814" s="20"/>
      <c r="AH2814" s="14"/>
      <c r="AI2814" s="14"/>
      <c r="AJ2814" s="14"/>
      <c r="AK2814" s="20"/>
      <c r="AM2814" s="14"/>
      <c r="AN2814" s="14"/>
      <c r="AO2814" s="14"/>
      <c r="AU2814" s="71" t="s">
        <v>53</v>
      </c>
    </row>
    <row r="2815" spans="1:47" s="12" customFormat="1" ht="31.2" hidden="1" x14ac:dyDescent="0.3">
      <c r="A2815" s="42" t="s">
        <v>505</v>
      </c>
      <c r="B2815" s="42" t="s">
        <v>7306</v>
      </c>
      <c r="C2815" s="42">
        <v>70</v>
      </c>
      <c r="D2815" s="42">
        <v>823</v>
      </c>
      <c r="E2815" s="42"/>
      <c r="F2815" s="43" t="s">
        <v>7378</v>
      </c>
      <c r="G2815" s="42" t="str">
        <f t="shared" si="67"/>
        <v>708231102887026</v>
      </c>
      <c r="H2815" s="4" t="s">
        <v>7379</v>
      </c>
      <c r="I2815" s="45">
        <v>1102887026</v>
      </c>
      <c r="J2815" s="4" t="s">
        <v>7380</v>
      </c>
      <c r="K2815" s="44" t="s">
        <v>230</v>
      </c>
      <c r="L2815" s="44">
        <v>3155599508</v>
      </c>
      <c r="M2815" s="7" t="s">
        <v>45</v>
      </c>
      <c r="N2815" s="12" t="s">
        <v>259</v>
      </c>
      <c r="O2815" s="12" t="s">
        <v>260</v>
      </c>
      <c r="P2815" s="4" t="s">
        <v>261</v>
      </c>
      <c r="Q2815" s="69">
        <v>45604</v>
      </c>
      <c r="R2815" s="79">
        <v>0.875</v>
      </c>
      <c r="S2815" s="4" t="s">
        <v>49</v>
      </c>
      <c r="T2815" s="14"/>
      <c r="U2815" s="14"/>
      <c r="V2815" s="70"/>
      <c r="W2815" s="14"/>
      <c r="X2815" s="42"/>
      <c r="Y2815" s="14"/>
      <c r="Z2815" s="14"/>
      <c r="AA2815" s="14"/>
      <c r="AC2815" s="14"/>
      <c r="AD2815" s="14"/>
      <c r="AE2815" s="14"/>
      <c r="AF2815" s="20"/>
      <c r="AH2815" s="14"/>
      <c r="AI2815" s="14"/>
      <c r="AJ2815" s="14"/>
      <c r="AK2815" s="20"/>
      <c r="AM2815" s="14"/>
      <c r="AN2815" s="14"/>
      <c r="AO2815" s="14"/>
      <c r="AU2815" s="71" t="s">
        <v>53</v>
      </c>
    </row>
    <row r="2816" spans="1:47" s="12" customFormat="1" ht="31.2" x14ac:dyDescent="0.3">
      <c r="A2816" s="42" t="s">
        <v>505</v>
      </c>
      <c r="B2816" s="42" t="s">
        <v>7306</v>
      </c>
      <c r="C2816" s="42">
        <v>70</v>
      </c>
      <c r="D2816" s="42">
        <v>823</v>
      </c>
      <c r="E2816" s="42"/>
      <c r="F2816" s="43" t="s">
        <v>7381</v>
      </c>
      <c r="G2816" s="42" t="str">
        <f t="shared" si="67"/>
        <v>70823331062146</v>
      </c>
      <c r="H2816" s="4" t="s">
        <v>7382</v>
      </c>
      <c r="I2816" s="45" t="s">
        <v>7383</v>
      </c>
      <c r="J2816" s="4" t="s">
        <v>7384</v>
      </c>
      <c r="K2816" s="44" t="s">
        <v>230</v>
      </c>
      <c r="L2816" s="44" t="s">
        <v>45</v>
      </c>
      <c r="M2816" s="7" t="s">
        <v>45</v>
      </c>
      <c r="N2816" s="12" t="s">
        <v>46</v>
      </c>
      <c r="O2816" s="12" t="s">
        <v>47</v>
      </c>
      <c r="P2816" s="4" t="s">
        <v>48</v>
      </c>
      <c r="Q2816" s="69">
        <v>44567</v>
      </c>
      <c r="R2816" s="79">
        <v>0.625</v>
      </c>
      <c r="S2816" s="4" t="s">
        <v>49</v>
      </c>
      <c r="T2816" s="14"/>
      <c r="U2816" s="14"/>
      <c r="V2816" s="70"/>
      <c r="W2816" s="14"/>
      <c r="X2816" s="42"/>
      <c r="Y2816" s="14"/>
      <c r="Z2816" s="14"/>
      <c r="AA2816" s="14"/>
      <c r="AC2816" s="14"/>
      <c r="AD2816" s="14"/>
      <c r="AE2816" s="14"/>
      <c r="AF2816" s="20"/>
      <c r="AH2816" s="14"/>
      <c r="AI2816" s="14"/>
      <c r="AJ2816" s="14"/>
      <c r="AK2816" s="20"/>
      <c r="AM2816" s="14"/>
      <c r="AN2816" s="14"/>
      <c r="AO2816" s="14"/>
      <c r="AU2816" s="71" t="s">
        <v>53</v>
      </c>
    </row>
    <row r="2817" spans="1:47" s="12" customFormat="1" ht="28.5" hidden="1" customHeight="1" x14ac:dyDescent="0.3">
      <c r="A2817" s="42" t="s">
        <v>505</v>
      </c>
      <c r="B2817" s="42" t="s">
        <v>7306</v>
      </c>
      <c r="C2817" s="42">
        <v>70</v>
      </c>
      <c r="D2817" s="42">
        <v>823</v>
      </c>
      <c r="E2817" s="42"/>
      <c r="F2817" s="43" t="s">
        <v>7385</v>
      </c>
      <c r="G2817" s="42" t="str">
        <f t="shared" si="67"/>
        <v>70823823003530</v>
      </c>
      <c r="H2817" s="4" t="s">
        <v>1104</v>
      </c>
      <c r="I2817" s="45" t="s">
        <v>7297</v>
      </c>
      <c r="J2817" s="4" t="s">
        <v>7386</v>
      </c>
      <c r="K2817" s="44" t="s">
        <v>230</v>
      </c>
      <c r="L2817" s="44" t="s">
        <v>45</v>
      </c>
      <c r="M2817" s="7" t="s">
        <v>45</v>
      </c>
      <c r="N2817" s="12" t="s">
        <v>127</v>
      </c>
      <c r="O2817" s="12" t="s">
        <v>2822</v>
      </c>
      <c r="P2817" s="4" t="s">
        <v>48</v>
      </c>
      <c r="Q2817" s="69">
        <v>45266</v>
      </c>
      <c r="R2817" s="79">
        <v>0.93</v>
      </c>
      <c r="S2817" s="42" t="s">
        <v>210</v>
      </c>
      <c r="T2817" s="14"/>
      <c r="U2817" s="14"/>
      <c r="V2817" s="70"/>
      <c r="W2817" s="14"/>
      <c r="X2817" s="42"/>
      <c r="Y2817" s="14"/>
      <c r="Z2817" s="14"/>
      <c r="AA2817" s="14"/>
      <c r="AC2817" s="14"/>
      <c r="AD2817" s="14"/>
      <c r="AE2817" s="14"/>
      <c r="AF2817" s="20"/>
      <c r="AH2817" s="14"/>
      <c r="AI2817" s="14"/>
      <c r="AJ2817" s="14"/>
      <c r="AK2817" s="20"/>
      <c r="AM2817" s="14"/>
      <c r="AN2817" s="14"/>
      <c r="AO2817" s="14"/>
      <c r="AU2817" s="71" t="s">
        <v>53</v>
      </c>
    </row>
    <row r="2818" spans="1:47" s="12" customFormat="1" ht="28.5" hidden="1" customHeight="1" x14ac:dyDescent="0.3">
      <c r="A2818" s="42" t="s">
        <v>505</v>
      </c>
      <c r="B2818" s="42" t="s">
        <v>7306</v>
      </c>
      <c r="C2818" s="42">
        <v>70</v>
      </c>
      <c r="D2818" s="42">
        <v>823</v>
      </c>
      <c r="E2818" s="42"/>
      <c r="F2818" s="43" t="s">
        <v>7387</v>
      </c>
      <c r="G2818" s="42" t="str">
        <f t="shared" si="67"/>
        <v>70823823003530</v>
      </c>
      <c r="H2818" s="4" t="s">
        <v>7296</v>
      </c>
      <c r="I2818" s="45" t="s">
        <v>7297</v>
      </c>
      <c r="J2818" s="4" t="s">
        <v>7388</v>
      </c>
      <c r="K2818" s="44" t="s">
        <v>230</v>
      </c>
      <c r="L2818" s="44" t="s">
        <v>45</v>
      </c>
      <c r="M2818" s="7" t="s">
        <v>45</v>
      </c>
      <c r="N2818" s="12" t="s">
        <v>127</v>
      </c>
      <c r="O2818" s="12" t="s">
        <v>2822</v>
      </c>
      <c r="P2818" s="4" t="s">
        <v>48</v>
      </c>
      <c r="Q2818" s="69">
        <v>45265</v>
      </c>
      <c r="R2818" s="79">
        <v>0.83</v>
      </c>
      <c r="S2818" s="4" t="s">
        <v>49</v>
      </c>
      <c r="T2818" s="14"/>
      <c r="U2818" s="14"/>
      <c r="V2818" s="70"/>
      <c r="W2818" s="14"/>
      <c r="X2818" s="42"/>
      <c r="Y2818" s="14"/>
      <c r="Z2818" s="14"/>
      <c r="AA2818" s="14"/>
      <c r="AC2818" s="14"/>
      <c r="AD2818" s="14"/>
      <c r="AE2818" s="14"/>
      <c r="AF2818" s="20"/>
      <c r="AH2818" s="14"/>
      <c r="AI2818" s="14"/>
      <c r="AJ2818" s="14"/>
      <c r="AK2818" s="20"/>
      <c r="AM2818" s="14"/>
      <c r="AN2818" s="14"/>
      <c r="AO2818" s="14"/>
      <c r="AU2818" s="71" t="s">
        <v>53</v>
      </c>
    </row>
    <row r="2819" spans="1:47" s="12" customFormat="1" ht="31.2" hidden="1" x14ac:dyDescent="0.3">
      <c r="A2819" s="42" t="s">
        <v>505</v>
      </c>
      <c r="B2819" s="42" t="s">
        <v>7306</v>
      </c>
      <c r="C2819" s="42">
        <v>70</v>
      </c>
      <c r="D2819" s="42">
        <v>823</v>
      </c>
      <c r="E2819" s="42"/>
      <c r="F2819" s="43" t="s">
        <v>7389</v>
      </c>
      <c r="G2819" s="42" t="str">
        <f t="shared" si="67"/>
        <v>7082311087637258</v>
      </c>
      <c r="H2819" s="4" t="s">
        <v>7390</v>
      </c>
      <c r="I2819" s="45" t="s">
        <v>7391</v>
      </c>
      <c r="J2819" s="4" t="s">
        <v>7392</v>
      </c>
      <c r="K2819" s="44" t="s">
        <v>230</v>
      </c>
      <c r="L2819" s="44" t="s">
        <v>45</v>
      </c>
      <c r="M2819" s="7" t="s">
        <v>45</v>
      </c>
      <c r="N2819" s="12" t="s">
        <v>432</v>
      </c>
      <c r="O2819" s="12" t="s">
        <v>432</v>
      </c>
      <c r="P2819" s="4" t="s">
        <v>261</v>
      </c>
      <c r="Q2819" s="69">
        <v>45259</v>
      </c>
      <c r="R2819" s="79">
        <v>0.82</v>
      </c>
      <c r="S2819" s="4" t="s">
        <v>49</v>
      </c>
      <c r="T2819" s="14"/>
      <c r="U2819" s="14"/>
      <c r="V2819" s="70"/>
      <c r="W2819" s="14"/>
      <c r="X2819" s="42"/>
      <c r="Y2819" s="14"/>
      <c r="Z2819" s="14"/>
      <c r="AA2819" s="14"/>
      <c r="AC2819" s="14"/>
      <c r="AD2819" s="14"/>
      <c r="AE2819" s="14"/>
      <c r="AF2819" s="20"/>
      <c r="AH2819" s="14"/>
      <c r="AI2819" s="14"/>
      <c r="AJ2819" s="14"/>
      <c r="AK2819" s="20"/>
      <c r="AM2819" s="14"/>
      <c r="AN2819" s="14"/>
      <c r="AO2819" s="14"/>
      <c r="AU2819" s="71" t="s">
        <v>53</v>
      </c>
    </row>
    <row r="2820" spans="1:47" s="12" customFormat="1" ht="31.2" hidden="1" x14ac:dyDescent="0.3">
      <c r="A2820" s="42" t="s">
        <v>505</v>
      </c>
      <c r="B2820" s="42" t="s">
        <v>7306</v>
      </c>
      <c r="C2820" s="42">
        <v>70</v>
      </c>
      <c r="D2820" s="42">
        <v>823</v>
      </c>
      <c r="E2820" s="42"/>
      <c r="F2820" s="43" t="s">
        <v>7393</v>
      </c>
      <c r="G2820" s="42" t="str">
        <f t="shared" si="67"/>
        <v>708231005417322</v>
      </c>
      <c r="H2820" s="4" t="s">
        <v>7394</v>
      </c>
      <c r="I2820" s="45">
        <v>1005417322</v>
      </c>
      <c r="J2820" s="4" t="s">
        <v>7395</v>
      </c>
      <c r="K2820" s="44" t="s">
        <v>230</v>
      </c>
      <c r="L2820" s="44" t="s">
        <v>45</v>
      </c>
      <c r="M2820" s="7" t="s">
        <v>45</v>
      </c>
      <c r="N2820" s="12" t="s">
        <v>259</v>
      </c>
      <c r="O2820" s="12" t="s">
        <v>260</v>
      </c>
      <c r="P2820" s="4" t="s">
        <v>261</v>
      </c>
      <c r="Q2820" s="69">
        <v>44617</v>
      </c>
      <c r="R2820" s="79">
        <v>0.77</v>
      </c>
      <c r="S2820" s="4" t="s">
        <v>49</v>
      </c>
      <c r="T2820" s="14"/>
      <c r="U2820" s="14"/>
      <c r="V2820" s="70"/>
      <c r="W2820" s="14"/>
      <c r="X2820" s="42"/>
      <c r="Y2820" s="14"/>
      <c r="Z2820" s="14"/>
      <c r="AA2820" s="14"/>
      <c r="AC2820" s="14"/>
      <c r="AD2820" s="14"/>
      <c r="AE2820" s="14"/>
      <c r="AF2820" s="20"/>
      <c r="AH2820" s="14"/>
      <c r="AI2820" s="14"/>
      <c r="AJ2820" s="14"/>
      <c r="AK2820" s="20"/>
      <c r="AM2820" s="14"/>
      <c r="AN2820" s="14"/>
      <c r="AO2820" s="14"/>
      <c r="AU2820" s="71" t="s">
        <v>53</v>
      </c>
    </row>
    <row r="2821" spans="1:47" s="12" customFormat="1" ht="31.2" hidden="1" x14ac:dyDescent="0.3">
      <c r="A2821" s="42" t="s">
        <v>505</v>
      </c>
      <c r="B2821" s="42" t="s">
        <v>7306</v>
      </c>
      <c r="C2821" s="42">
        <v>70</v>
      </c>
      <c r="D2821" s="42">
        <v>823</v>
      </c>
      <c r="E2821" s="42"/>
      <c r="F2821" s="43" t="s">
        <v>7396</v>
      </c>
      <c r="G2821" s="42" t="str">
        <f t="shared" si="67"/>
        <v>7082370692858</v>
      </c>
      <c r="H2821" s="4" t="s">
        <v>7397</v>
      </c>
      <c r="I2821" s="45">
        <v>70692858</v>
      </c>
      <c r="J2821" s="4" t="s">
        <v>181</v>
      </c>
      <c r="K2821" s="44" t="s">
        <v>230</v>
      </c>
      <c r="L2821" s="44" t="s">
        <v>45</v>
      </c>
      <c r="M2821" s="7" t="s">
        <v>45</v>
      </c>
      <c r="N2821" s="12" t="s">
        <v>259</v>
      </c>
      <c r="O2821" s="12" t="s">
        <v>260</v>
      </c>
      <c r="P2821" s="4" t="s">
        <v>261</v>
      </c>
      <c r="Q2821" s="69">
        <v>44484</v>
      </c>
      <c r="R2821" s="79">
        <v>0.87</v>
      </c>
      <c r="S2821" s="4" t="s">
        <v>49</v>
      </c>
      <c r="T2821" s="14"/>
      <c r="U2821" s="14"/>
      <c r="V2821" s="70"/>
      <c r="W2821" s="14"/>
      <c r="X2821" s="42"/>
      <c r="Y2821" s="14"/>
      <c r="Z2821" s="14"/>
      <c r="AA2821" s="14"/>
      <c r="AC2821" s="14"/>
      <c r="AD2821" s="14"/>
      <c r="AE2821" s="14"/>
      <c r="AF2821" s="20"/>
      <c r="AH2821" s="14"/>
      <c r="AI2821" s="14"/>
      <c r="AJ2821" s="14"/>
      <c r="AK2821" s="20"/>
      <c r="AM2821" s="14"/>
      <c r="AN2821" s="14"/>
      <c r="AO2821" s="14"/>
      <c r="AU2821" s="71" t="s">
        <v>53</v>
      </c>
    </row>
    <row r="2822" spans="1:47" s="12" customFormat="1" ht="31.2" hidden="1" x14ac:dyDescent="0.3">
      <c r="A2822" s="42" t="s">
        <v>505</v>
      </c>
      <c r="B2822" s="42" t="s">
        <v>7306</v>
      </c>
      <c r="C2822" s="42">
        <v>70</v>
      </c>
      <c r="D2822" s="42">
        <v>823</v>
      </c>
      <c r="E2822" s="42"/>
      <c r="F2822" s="43" t="s">
        <v>7398</v>
      </c>
      <c r="G2822" s="42" t="str">
        <f t="shared" si="67"/>
        <v>7082352389593</v>
      </c>
      <c r="H2822" s="4" t="s">
        <v>7399</v>
      </c>
      <c r="I2822" s="45">
        <v>52389593</v>
      </c>
      <c r="J2822" s="4" t="s">
        <v>7400</v>
      </c>
      <c r="K2822" s="44" t="s">
        <v>230</v>
      </c>
      <c r="L2822" s="44">
        <v>3205678156</v>
      </c>
      <c r="M2822" s="7" t="s">
        <v>1110</v>
      </c>
      <c r="N2822" s="12" t="s">
        <v>432</v>
      </c>
      <c r="O2822" s="12" t="s">
        <v>432</v>
      </c>
      <c r="P2822" s="4" t="s">
        <v>261</v>
      </c>
      <c r="Q2822" s="69">
        <v>45517</v>
      </c>
      <c r="R2822" s="79">
        <v>0.77500000000000002</v>
      </c>
      <c r="S2822" s="4" t="s">
        <v>49</v>
      </c>
      <c r="T2822" s="14"/>
      <c r="U2822" s="14"/>
      <c r="V2822" s="70"/>
      <c r="W2822" s="14"/>
      <c r="X2822" s="42"/>
      <c r="Y2822" s="14"/>
      <c r="Z2822" s="14"/>
      <c r="AA2822" s="14"/>
      <c r="AC2822" s="14"/>
      <c r="AD2822" s="14"/>
      <c r="AE2822" s="14"/>
      <c r="AF2822" s="20"/>
      <c r="AH2822" s="14"/>
      <c r="AI2822" s="14"/>
      <c r="AJ2822" s="14"/>
      <c r="AK2822" s="20"/>
      <c r="AM2822" s="14"/>
      <c r="AN2822" s="14"/>
      <c r="AO2822" s="14"/>
      <c r="AU2822" s="71" t="s">
        <v>53</v>
      </c>
    </row>
    <row r="2823" spans="1:47" s="12" customFormat="1" ht="23.25" hidden="1" customHeight="1" x14ac:dyDescent="0.3">
      <c r="A2823" s="42" t="s">
        <v>505</v>
      </c>
      <c r="B2823" s="42" t="s">
        <v>7306</v>
      </c>
      <c r="C2823" s="42">
        <v>70</v>
      </c>
      <c r="D2823" s="42">
        <v>823</v>
      </c>
      <c r="E2823" s="42"/>
      <c r="F2823" s="43" t="s">
        <v>7401</v>
      </c>
      <c r="G2823" s="42" t="str">
        <f t="shared" si="67"/>
        <v>70823900873867</v>
      </c>
      <c r="H2823" s="4" t="s">
        <v>7402</v>
      </c>
      <c r="I2823" s="45">
        <v>900873867</v>
      </c>
      <c r="J2823" s="4" t="s">
        <v>7403</v>
      </c>
      <c r="K2823" s="44" t="s">
        <v>230</v>
      </c>
      <c r="L2823" s="44" t="s">
        <v>45</v>
      </c>
      <c r="M2823" s="7" t="s">
        <v>45</v>
      </c>
      <c r="N2823" s="12" t="s">
        <v>46</v>
      </c>
      <c r="O2823" s="12" t="s">
        <v>2797</v>
      </c>
      <c r="P2823" s="4" t="s">
        <v>8022</v>
      </c>
      <c r="Q2823" s="69" t="s">
        <v>4025</v>
      </c>
      <c r="R2823" s="79">
        <v>0.91500000000000004</v>
      </c>
      <c r="S2823" s="4" t="s">
        <v>210</v>
      </c>
      <c r="T2823" s="14"/>
      <c r="U2823" s="14"/>
      <c r="V2823" s="70"/>
      <c r="W2823" s="14"/>
      <c r="X2823" s="42"/>
      <c r="Y2823" s="14"/>
      <c r="Z2823" s="14"/>
      <c r="AA2823" s="14"/>
      <c r="AC2823" s="14"/>
      <c r="AD2823" s="14"/>
      <c r="AE2823" s="14"/>
      <c r="AF2823" s="20"/>
      <c r="AH2823" s="14"/>
      <c r="AI2823" s="14"/>
      <c r="AJ2823" s="14"/>
      <c r="AK2823" s="20"/>
      <c r="AM2823" s="14"/>
      <c r="AN2823" s="14"/>
      <c r="AO2823" s="14"/>
      <c r="AU2823" s="71" t="s">
        <v>53</v>
      </c>
    </row>
    <row r="2824" spans="1:47" s="12" customFormat="1" ht="31.2" hidden="1" x14ac:dyDescent="0.3">
      <c r="A2824" s="42" t="s">
        <v>505</v>
      </c>
      <c r="B2824" s="42" t="s">
        <v>7306</v>
      </c>
      <c r="C2824" s="42">
        <v>70</v>
      </c>
      <c r="D2824" s="42">
        <v>823</v>
      </c>
      <c r="E2824" s="42"/>
      <c r="F2824" s="43" t="s">
        <v>7404</v>
      </c>
      <c r="G2824" s="42" t="str">
        <f t="shared" si="67"/>
        <v>7082311087637258</v>
      </c>
      <c r="H2824" s="4" t="s">
        <v>7405</v>
      </c>
      <c r="I2824" s="45" t="s">
        <v>7391</v>
      </c>
      <c r="J2824" s="4" t="s">
        <v>7406</v>
      </c>
      <c r="K2824" s="44" t="s">
        <v>230</v>
      </c>
      <c r="L2824" s="44">
        <v>3004231969</v>
      </c>
      <c r="M2824" s="7" t="s">
        <v>7407</v>
      </c>
      <c r="N2824" s="12" t="s">
        <v>432</v>
      </c>
      <c r="O2824" s="12" t="s">
        <v>432</v>
      </c>
      <c r="P2824" s="4" t="s">
        <v>261</v>
      </c>
      <c r="Q2824" s="69">
        <v>45070</v>
      </c>
      <c r="R2824" s="79">
        <v>0.81</v>
      </c>
      <c r="S2824" s="4" t="s">
        <v>49</v>
      </c>
      <c r="T2824" s="14"/>
      <c r="U2824" s="14"/>
      <c r="V2824" s="70"/>
      <c r="W2824" s="14"/>
      <c r="X2824" s="42"/>
      <c r="Y2824" s="14"/>
      <c r="Z2824" s="14"/>
      <c r="AA2824" s="14"/>
      <c r="AC2824" s="14"/>
      <c r="AD2824" s="14"/>
      <c r="AE2824" s="14"/>
      <c r="AF2824" s="20"/>
      <c r="AH2824" s="14"/>
      <c r="AI2824" s="14"/>
      <c r="AJ2824" s="14"/>
      <c r="AK2824" s="20"/>
      <c r="AM2824" s="14"/>
      <c r="AN2824" s="14"/>
      <c r="AO2824" s="14"/>
      <c r="AU2824" s="71" t="s">
        <v>53</v>
      </c>
    </row>
    <row r="2825" spans="1:47" s="12" customFormat="1" hidden="1" x14ac:dyDescent="0.3">
      <c r="A2825" s="42" t="s">
        <v>505</v>
      </c>
      <c r="B2825" s="42" t="s">
        <v>7306</v>
      </c>
      <c r="C2825" s="42">
        <v>70</v>
      </c>
      <c r="D2825" s="42">
        <v>823</v>
      </c>
      <c r="E2825" s="42"/>
      <c r="F2825" s="43" t="s">
        <v>7408</v>
      </c>
      <c r="G2825" s="42" t="str">
        <f t="shared" si="67"/>
        <v>7082392277525</v>
      </c>
      <c r="H2825" s="4" t="s">
        <v>7409</v>
      </c>
      <c r="I2825" s="45">
        <v>92277525</v>
      </c>
      <c r="J2825" s="4" t="s">
        <v>181</v>
      </c>
      <c r="K2825" s="44" t="s">
        <v>230</v>
      </c>
      <c r="L2825" s="44" t="s">
        <v>45</v>
      </c>
      <c r="M2825" s="7" t="s">
        <v>45</v>
      </c>
      <c r="N2825" s="12" t="s">
        <v>432</v>
      </c>
      <c r="O2825" s="12" t="s">
        <v>432</v>
      </c>
      <c r="P2825" s="4" t="s">
        <v>261</v>
      </c>
      <c r="Q2825" s="4"/>
      <c r="R2825" s="79"/>
      <c r="S2825" s="4"/>
      <c r="T2825" s="14"/>
      <c r="U2825" s="14"/>
      <c r="V2825" s="70"/>
      <c r="W2825" s="14"/>
      <c r="X2825" s="42"/>
      <c r="Y2825" s="14"/>
      <c r="Z2825" s="14"/>
      <c r="AA2825" s="14"/>
      <c r="AC2825" s="14"/>
      <c r="AD2825" s="14"/>
      <c r="AE2825" s="14"/>
      <c r="AF2825" s="20"/>
      <c r="AH2825" s="14"/>
      <c r="AI2825" s="14"/>
      <c r="AJ2825" s="14"/>
      <c r="AK2825" s="20"/>
      <c r="AM2825" s="14"/>
      <c r="AN2825" s="14"/>
      <c r="AO2825" s="14"/>
      <c r="AU2825" s="71" t="s">
        <v>53</v>
      </c>
    </row>
    <row r="2826" spans="1:47" s="12" customFormat="1" ht="31.2" hidden="1" x14ac:dyDescent="0.3">
      <c r="A2826" s="42" t="s">
        <v>505</v>
      </c>
      <c r="B2826" s="42" t="s">
        <v>7306</v>
      </c>
      <c r="C2826" s="42">
        <v>70</v>
      </c>
      <c r="D2826" s="42">
        <v>823</v>
      </c>
      <c r="E2826" s="42"/>
      <c r="F2826" s="43" t="s">
        <v>7410</v>
      </c>
      <c r="G2826" s="42" t="str">
        <f t="shared" si="67"/>
        <v>708231108761065</v>
      </c>
      <c r="H2826" s="4" t="s">
        <v>7411</v>
      </c>
      <c r="I2826" s="45">
        <v>1108761065</v>
      </c>
      <c r="J2826" s="4" t="s">
        <v>7412</v>
      </c>
      <c r="K2826" s="44" t="s">
        <v>230</v>
      </c>
      <c r="L2826" s="44">
        <v>3137625199</v>
      </c>
      <c r="M2826" s="7" t="s">
        <v>7413</v>
      </c>
      <c r="N2826" s="12" t="s">
        <v>432</v>
      </c>
      <c r="O2826" s="12" t="s">
        <v>432</v>
      </c>
      <c r="P2826" s="4" t="s">
        <v>261</v>
      </c>
      <c r="Q2826" s="69">
        <v>45118</v>
      </c>
      <c r="R2826" s="79">
        <v>0.80500000000000005</v>
      </c>
      <c r="S2826" s="4" t="s">
        <v>49</v>
      </c>
      <c r="T2826" s="14"/>
      <c r="U2826" s="14"/>
      <c r="V2826" s="70"/>
      <c r="W2826" s="14"/>
      <c r="X2826" s="42"/>
      <c r="Y2826" s="14"/>
      <c r="Z2826" s="14"/>
      <c r="AA2826" s="14"/>
      <c r="AC2826" s="14"/>
      <c r="AD2826" s="14"/>
      <c r="AE2826" s="14"/>
      <c r="AF2826" s="20"/>
      <c r="AH2826" s="14"/>
      <c r="AI2826" s="14"/>
      <c r="AJ2826" s="14"/>
      <c r="AK2826" s="20"/>
      <c r="AM2826" s="14"/>
      <c r="AN2826" s="14"/>
      <c r="AO2826" s="14"/>
      <c r="AU2826" s="71" t="s">
        <v>53</v>
      </c>
    </row>
    <row r="2827" spans="1:47" s="12" customFormat="1" ht="31.2" hidden="1" x14ac:dyDescent="0.3">
      <c r="A2827" s="42" t="s">
        <v>505</v>
      </c>
      <c r="B2827" s="42" t="s">
        <v>7306</v>
      </c>
      <c r="C2827" s="42">
        <v>70</v>
      </c>
      <c r="D2827" s="42">
        <v>823</v>
      </c>
      <c r="E2827" s="42"/>
      <c r="F2827" s="43" t="s">
        <v>7414</v>
      </c>
      <c r="G2827" s="42" t="str">
        <f t="shared" si="67"/>
        <v>70823232216019</v>
      </c>
      <c r="H2827" s="4" t="s">
        <v>7415</v>
      </c>
      <c r="I2827" s="45" t="s">
        <v>7416</v>
      </c>
      <c r="J2827" s="4" t="s">
        <v>7417</v>
      </c>
      <c r="K2827" s="44" t="s">
        <v>230</v>
      </c>
      <c r="L2827" s="44">
        <v>3146119186</v>
      </c>
      <c r="M2827" s="8" t="s">
        <v>7418</v>
      </c>
      <c r="N2827" s="12" t="s">
        <v>432</v>
      </c>
      <c r="O2827" s="12" t="s">
        <v>432</v>
      </c>
      <c r="P2827" s="4" t="s">
        <v>261</v>
      </c>
      <c r="Q2827" s="69">
        <v>45593</v>
      </c>
      <c r="R2827" s="79">
        <v>0.84</v>
      </c>
      <c r="S2827" s="4" t="s">
        <v>49</v>
      </c>
      <c r="T2827" s="14"/>
      <c r="U2827" s="14"/>
      <c r="V2827" s="70"/>
      <c r="W2827" s="14"/>
      <c r="X2827" s="42"/>
      <c r="Y2827" s="14"/>
      <c r="Z2827" s="14"/>
      <c r="AA2827" s="14"/>
      <c r="AC2827" s="14"/>
      <c r="AD2827" s="14"/>
      <c r="AE2827" s="14"/>
      <c r="AF2827" s="20"/>
      <c r="AH2827" s="14"/>
      <c r="AI2827" s="14"/>
      <c r="AJ2827" s="14"/>
      <c r="AK2827" s="20"/>
      <c r="AM2827" s="14"/>
      <c r="AN2827" s="14"/>
      <c r="AO2827" s="14"/>
      <c r="AU2827" s="71" t="s">
        <v>53</v>
      </c>
    </row>
    <row r="2828" spans="1:47" s="12" customFormat="1" hidden="1" x14ac:dyDescent="0.3">
      <c r="A2828" s="42" t="s">
        <v>505</v>
      </c>
      <c r="B2828" s="42" t="s">
        <v>7306</v>
      </c>
      <c r="C2828" s="42">
        <v>70</v>
      </c>
      <c r="D2828" s="42">
        <v>823</v>
      </c>
      <c r="E2828" s="42"/>
      <c r="F2828" s="43" t="s">
        <v>7419</v>
      </c>
      <c r="G2828" s="42" t="str">
        <f t="shared" si="67"/>
        <v>70823922765856</v>
      </c>
      <c r="H2828" s="4" t="s">
        <v>7420</v>
      </c>
      <c r="I2828" s="45" t="s">
        <v>7421</v>
      </c>
      <c r="J2828" s="4" t="s">
        <v>7422</v>
      </c>
      <c r="K2828" s="44" t="s">
        <v>230</v>
      </c>
      <c r="L2828" s="44" t="s">
        <v>45</v>
      </c>
      <c r="M2828" s="7" t="s">
        <v>45</v>
      </c>
      <c r="N2828" s="12" t="s">
        <v>432</v>
      </c>
      <c r="O2828" s="12" t="s">
        <v>432</v>
      </c>
      <c r="P2828" s="4" t="s">
        <v>261</v>
      </c>
      <c r="Q2828" s="69">
        <v>44690</v>
      </c>
      <c r="R2828" s="79">
        <v>0.91</v>
      </c>
      <c r="S2828" s="4" t="s">
        <v>210</v>
      </c>
      <c r="T2828" s="14"/>
      <c r="U2828" s="14"/>
      <c r="V2828" s="70"/>
      <c r="W2828" s="14"/>
      <c r="X2828" s="42"/>
      <c r="Y2828" s="14"/>
      <c r="Z2828" s="14"/>
      <c r="AA2828" s="14"/>
      <c r="AC2828" s="14"/>
      <c r="AD2828" s="14"/>
      <c r="AE2828" s="14"/>
      <c r="AF2828" s="20"/>
      <c r="AH2828" s="14"/>
      <c r="AI2828" s="14"/>
      <c r="AJ2828" s="14"/>
      <c r="AK2828" s="20"/>
      <c r="AM2828" s="14"/>
      <c r="AN2828" s="14"/>
      <c r="AO2828" s="14"/>
      <c r="AU2828" s="71" t="s">
        <v>53</v>
      </c>
    </row>
    <row r="2829" spans="1:47" s="12" customFormat="1" ht="31.2" hidden="1" x14ac:dyDescent="0.3">
      <c r="A2829" s="42" t="s">
        <v>505</v>
      </c>
      <c r="B2829" s="42" t="s">
        <v>7306</v>
      </c>
      <c r="C2829" s="42">
        <v>70</v>
      </c>
      <c r="D2829" s="42">
        <v>823</v>
      </c>
      <c r="E2829" s="42"/>
      <c r="F2829" s="43" t="s">
        <v>7423</v>
      </c>
      <c r="G2829" s="42" t="str">
        <f t="shared" si="67"/>
        <v>7082313167523</v>
      </c>
      <c r="H2829" s="4" t="s">
        <v>7424</v>
      </c>
      <c r="I2829" s="45">
        <v>13167523</v>
      </c>
      <c r="J2829" s="4" t="s">
        <v>7425</v>
      </c>
      <c r="K2829" s="44" t="s">
        <v>230</v>
      </c>
      <c r="L2829" s="44" t="s">
        <v>45</v>
      </c>
      <c r="M2829" s="7" t="s">
        <v>45</v>
      </c>
      <c r="N2829" s="12" t="s">
        <v>259</v>
      </c>
      <c r="O2829" s="12" t="s">
        <v>260</v>
      </c>
      <c r="P2829" s="4" t="s">
        <v>261</v>
      </c>
      <c r="Q2829" s="69">
        <v>44616</v>
      </c>
      <c r="R2829" s="79">
        <v>0.76</v>
      </c>
      <c r="S2829" s="4" t="s">
        <v>49</v>
      </c>
      <c r="T2829" s="14"/>
      <c r="U2829" s="14"/>
      <c r="V2829" s="70"/>
      <c r="W2829" s="14"/>
      <c r="X2829" s="42"/>
      <c r="Y2829" s="14"/>
      <c r="Z2829" s="14"/>
      <c r="AA2829" s="14"/>
      <c r="AC2829" s="14"/>
      <c r="AD2829" s="14"/>
      <c r="AE2829" s="14"/>
      <c r="AF2829" s="20"/>
      <c r="AH2829" s="14"/>
      <c r="AI2829" s="14"/>
      <c r="AJ2829" s="14"/>
      <c r="AK2829" s="20"/>
      <c r="AM2829" s="14"/>
      <c r="AN2829" s="14"/>
      <c r="AO2829" s="14"/>
      <c r="AU2829" s="71" t="s">
        <v>53</v>
      </c>
    </row>
    <row r="2830" spans="1:47" s="12" customFormat="1" hidden="1" x14ac:dyDescent="0.3">
      <c r="A2830" s="42" t="s">
        <v>505</v>
      </c>
      <c r="B2830" s="42" t="s">
        <v>7306</v>
      </c>
      <c r="C2830" s="42">
        <v>70</v>
      </c>
      <c r="D2830" s="42">
        <v>823</v>
      </c>
      <c r="E2830" s="42"/>
      <c r="F2830" s="43" t="s">
        <v>7426</v>
      </c>
      <c r="G2830" s="42" t="str">
        <f t="shared" si="67"/>
        <v>708238001977123</v>
      </c>
      <c r="H2830" s="4" t="s">
        <v>7427</v>
      </c>
      <c r="I2830" s="45" t="s">
        <v>7428</v>
      </c>
      <c r="J2830" s="4" t="s">
        <v>7429</v>
      </c>
      <c r="K2830" s="44" t="s">
        <v>230</v>
      </c>
      <c r="L2830" s="44" t="s">
        <v>45</v>
      </c>
      <c r="M2830" s="7" t="s">
        <v>45</v>
      </c>
      <c r="N2830" s="12" t="s">
        <v>259</v>
      </c>
      <c r="O2830" s="12" t="s">
        <v>260</v>
      </c>
      <c r="P2830" s="4" t="s">
        <v>261</v>
      </c>
      <c r="Q2830" s="69" t="s">
        <v>614</v>
      </c>
      <c r="R2830" s="79">
        <v>0.9</v>
      </c>
      <c r="S2830" s="4" t="s">
        <v>210</v>
      </c>
      <c r="T2830" s="14"/>
      <c r="U2830" s="14"/>
      <c r="V2830" s="70"/>
      <c r="W2830" s="14"/>
      <c r="X2830" s="42"/>
      <c r="Y2830" s="14"/>
      <c r="Z2830" s="14"/>
      <c r="AA2830" s="14"/>
      <c r="AC2830" s="14"/>
      <c r="AD2830" s="14"/>
      <c r="AE2830" s="14"/>
      <c r="AF2830" s="20"/>
      <c r="AH2830" s="14"/>
      <c r="AI2830" s="14"/>
      <c r="AJ2830" s="14"/>
      <c r="AK2830" s="20"/>
      <c r="AM2830" s="14"/>
      <c r="AN2830" s="14"/>
      <c r="AO2830" s="14"/>
      <c r="AU2830" s="71" t="s">
        <v>53</v>
      </c>
    </row>
    <row r="2831" spans="1:47" s="12" customFormat="1" ht="31.2" hidden="1" x14ac:dyDescent="0.3">
      <c r="A2831" s="42" t="s">
        <v>505</v>
      </c>
      <c r="B2831" s="42" t="s">
        <v>7306</v>
      </c>
      <c r="C2831" s="42">
        <v>70</v>
      </c>
      <c r="D2831" s="42">
        <v>823</v>
      </c>
      <c r="E2831" s="42"/>
      <c r="F2831" s="43" t="s">
        <v>7430</v>
      </c>
      <c r="G2831" s="42" t="str">
        <f t="shared" si="67"/>
        <v>708231108761266</v>
      </c>
      <c r="H2831" s="4" t="s">
        <v>7431</v>
      </c>
      <c r="I2831" s="45">
        <v>1108761266</v>
      </c>
      <c r="J2831" s="4" t="s">
        <v>7432</v>
      </c>
      <c r="K2831" s="44" t="s">
        <v>230</v>
      </c>
      <c r="L2831" s="44" t="s">
        <v>45</v>
      </c>
      <c r="M2831" s="7" t="s">
        <v>45</v>
      </c>
      <c r="N2831" s="12" t="s">
        <v>259</v>
      </c>
      <c r="O2831" s="12" t="s">
        <v>260</v>
      </c>
      <c r="P2831" s="4" t="s">
        <v>261</v>
      </c>
      <c r="Q2831" s="69">
        <v>44453</v>
      </c>
      <c r="R2831" s="79">
        <v>0.76</v>
      </c>
      <c r="S2831" s="4" t="s">
        <v>49</v>
      </c>
      <c r="T2831" s="14"/>
      <c r="U2831" s="14"/>
      <c r="V2831" s="70"/>
      <c r="W2831" s="14"/>
      <c r="X2831" s="42"/>
      <c r="Y2831" s="14"/>
      <c r="Z2831" s="14"/>
      <c r="AA2831" s="14"/>
      <c r="AC2831" s="14"/>
      <c r="AD2831" s="14"/>
      <c r="AE2831" s="14"/>
      <c r="AF2831" s="20"/>
      <c r="AH2831" s="14"/>
      <c r="AI2831" s="14"/>
      <c r="AJ2831" s="14"/>
      <c r="AK2831" s="20"/>
      <c r="AM2831" s="14"/>
      <c r="AN2831" s="14"/>
      <c r="AO2831" s="14"/>
      <c r="AU2831" s="71" t="s">
        <v>53</v>
      </c>
    </row>
    <row r="2832" spans="1:47" s="12" customFormat="1" ht="31.2" hidden="1" x14ac:dyDescent="0.3">
      <c r="A2832" s="42" t="s">
        <v>505</v>
      </c>
      <c r="B2832" s="42" t="s">
        <v>7306</v>
      </c>
      <c r="C2832" s="42">
        <v>70</v>
      </c>
      <c r="D2832" s="42">
        <v>823</v>
      </c>
      <c r="E2832" s="42"/>
      <c r="F2832" s="43" t="s">
        <v>7433</v>
      </c>
      <c r="G2832" s="42" t="str">
        <f t="shared" si="67"/>
        <v>7082370693595</v>
      </c>
      <c r="H2832" s="4" t="s">
        <v>7434</v>
      </c>
      <c r="I2832" s="45">
        <v>70693595</v>
      </c>
      <c r="J2832" s="4" t="s">
        <v>7435</v>
      </c>
      <c r="K2832" s="44" t="s">
        <v>230</v>
      </c>
      <c r="L2832" s="44" t="s">
        <v>45</v>
      </c>
      <c r="M2832" s="7" t="s">
        <v>45</v>
      </c>
      <c r="N2832" s="12" t="s">
        <v>259</v>
      </c>
      <c r="O2832" s="12" t="s">
        <v>260</v>
      </c>
      <c r="P2832" s="4" t="s">
        <v>261</v>
      </c>
      <c r="Q2832" s="4" t="s">
        <v>4025</v>
      </c>
      <c r="R2832" s="79">
        <v>0.85</v>
      </c>
      <c r="S2832" s="4" t="s">
        <v>49</v>
      </c>
      <c r="T2832" s="14"/>
      <c r="U2832" s="14"/>
      <c r="V2832" s="70"/>
      <c r="W2832" s="14"/>
      <c r="X2832" s="42"/>
      <c r="Y2832" s="14"/>
      <c r="Z2832" s="14"/>
      <c r="AA2832" s="14"/>
      <c r="AC2832" s="14"/>
      <c r="AD2832" s="14"/>
      <c r="AE2832" s="14"/>
      <c r="AF2832" s="20"/>
      <c r="AH2832" s="14"/>
      <c r="AI2832" s="14"/>
      <c r="AJ2832" s="14"/>
      <c r="AK2832" s="20"/>
      <c r="AM2832" s="14"/>
      <c r="AN2832" s="14"/>
      <c r="AO2832" s="14"/>
      <c r="AU2832" s="71" t="s">
        <v>53</v>
      </c>
    </row>
    <row r="2833" spans="1:47" s="12" customFormat="1" ht="31.2" hidden="1" x14ac:dyDescent="0.3">
      <c r="A2833" s="42" t="s">
        <v>505</v>
      </c>
      <c r="B2833" s="42" t="s">
        <v>7306</v>
      </c>
      <c r="C2833" s="42">
        <v>70</v>
      </c>
      <c r="D2833" s="42">
        <v>823</v>
      </c>
      <c r="E2833" s="42"/>
      <c r="F2833" s="43" t="s">
        <v>7436</v>
      </c>
      <c r="G2833" s="42" t="str">
        <f t="shared" si="67"/>
        <v>708231102230363</v>
      </c>
      <c r="H2833" s="4" t="s">
        <v>7437</v>
      </c>
      <c r="I2833" s="45">
        <v>1102230363</v>
      </c>
      <c r="J2833" s="4" t="s">
        <v>7438</v>
      </c>
      <c r="K2833" s="44" t="s">
        <v>230</v>
      </c>
      <c r="L2833" s="44">
        <v>3004261806</v>
      </c>
      <c r="M2833" s="8" t="s">
        <v>7439</v>
      </c>
      <c r="N2833" s="12" t="s">
        <v>432</v>
      </c>
      <c r="O2833" s="12" t="s">
        <v>432</v>
      </c>
      <c r="P2833" s="4" t="s">
        <v>261</v>
      </c>
      <c r="Q2833" s="69">
        <v>45245</v>
      </c>
      <c r="R2833" s="79">
        <v>0.81499999999999995</v>
      </c>
      <c r="S2833" s="4" t="s">
        <v>49</v>
      </c>
      <c r="T2833" s="14"/>
      <c r="U2833" s="14"/>
      <c r="V2833" s="70"/>
      <c r="W2833" s="14"/>
      <c r="X2833" s="42"/>
      <c r="Y2833" s="14"/>
      <c r="Z2833" s="14"/>
      <c r="AA2833" s="14"/>
      <c r="AC2833" s="14"/>
      <c r="AD2833" s="14"/>
      <c r="AE2833" s="14"/>
      <c r="AF2833" s="20"/>
      <c r="AH2833" s="14"/>
      <c r="AI2833" s="14"/>
      <c r="AJ2833" s="14"/>
      <c r="AK2833" s="20"/>
      <c r="AM2833" s="14"/>
      <c r="AN2833" s="14"/>
      <c r="AO2833" s="14"/>
      <c r="AU2833" s="71" t="s">
        <v>53</v>
      </c>
    </row>
    <row r="2834" spans="1:47" s="12" customFormat="1" ht="31.2" hidden="1" x14ac:dyDescent="0.3">
      <c r="A2834" s="42" t="s">
        <v>505</v>
      </c>
      <c r="B2834" s="42" t="s">
        <v>7306</v>
      </c>
      <c r="C2834" s="42">
        <v>70</v>
      </c>
      <c r="D2834" s="42">
        <v>823</v>
      </c>
      <c r="E2834" s="42"/>
      <c r="F2834" s="43" t="s">
        <v>7440</v>
      </c>
      <c r="G2834" s="42" t="str">
        <f t="shared" si="67"/>
        <v>7082392277604</v>
      </c>
      <c r="H2834" s="4" t="s">
        <v>7441</v>
      </c>
      <c r="I2834" s="45">
        <v>92277604</v>
      </c>
      <c r="J2834" s="4" t="s">
        <v>7442</v>
      </c>
      <c r="K2834" s="44" t="s">
        <v>230</v>
      </c>
      <c r="L2834" s="44" t="s">
        <v>45</v>
      </c>
      <c r="M2834" s="7" t="s">
        <v>45</v>
      </c>
      <c r="N2834" s="12" t="s">
        <v>259</v>
      </c>
      <c r="O2834" s="12" t="s">
        <v>260</v>
      </c>
      <c r="P2834" s="4" t="s">
        <v>261</v>
      </c>
      <c r="Q2834" s="69">
        <v>44418</v>
      </c>
      <c r="R2834" s="79">
        <v>0.87</v>
      </c>
      <c r="S2834" s="4" t="s">
        <v>49</v>
      </c>
      <c r="T2834" s="14"/>
      <c r="U2834" s="14"/>
      <c r="V2834" s="70"/>
      <c r="W2834" s="14"/>
      <c r="X2834" s="42"/>
      <c r="Y2834" s="14"/>
      <c r="Z2834" s="14"/>
      <c r="AA2834" s="14"/>
      <c r="AC2834" s="14"/>
      <c r="AD2834" s="14"/>
      <c r="AE2834" s="14"/>
      <c r="AF2834" s="20"/>
      <c r="AH2834" s="14"/>
      <c r="AI2834" s="14"/>
      <c r="AJ2834" s="14"/>
      <c r="AK2834" s="20"/>
      <c r="AM2834" s="14"/>
      <c r="AN2834" s="14"/>
      <c r="AO2834" s="14"/>
      <c r="AU2834" s="71" t="s">
        <v>53</v>
      </c>
    </row>
    <row r="2835" spans="1:47" s="12" customFormat="1" ht="31.2" hidden="1" x14ac:dyDescent="0.3">
      <c r="A2835" s="42" t="s">
        <v>505</v>
      </c>
      <c r="B2835" s="42" t="s">
        <v>7306</v>
      </c>
      <c r="C2835" s="42">
        <v>70</v>
      </c>
      <c r="D2835" s="42">
        <v>823</v>
      </c>
      <c r="E2835" s="42"/>
      <c r="F2835" s="43" t="s">
        <v>4370</v>
      </c>
      <c r="G2835" s="42" t="str">
        <f t="shared" si="67"/>
        <v>7082323220728</v>
      </c>
      <c r="H2835" s="4" t="s">
        <v>7443</v>
      </c>
      <c r="I2835" s="45">
        <v>23220728</v>
      </c>
      <c r="J2835" s="4" t="s">
        <v>7444</v>
      </c>
      <c r="K2835" s="44" t="s">
        <v>230</v>
      </c>
      <c r="L2835" s="44" t="s">
        <v>45</v>
      </c>
      <c r="M2835" s="7" t="s">
        <v>45</v>
      </c>
      <c r="N2835" s="12" t="s">
        <v>259</v>
      </c>
      <c r="O2835" s="12" t="s">
        <v>260</v>
      </c>
      <c r="P2835" s="4" t="s">
        <v>261</v>
      </c>
      <c r="Q2835" s="69">
        <v>44643</v>
      </c>
      <c r="R2835" s="79">
        <v>0.83750000000000002</v>
      </c>
      <c r="S2835" s="4" t="s">
        <v>49</v>
      </c>
      <c r="T2835" s="14"/>
      <c r="U2835" s="14"/>
      <c r="V2835" s="70"/>
      <c r="W2835" s="14"/>
      <c r="X2835" s="42"/>
      <c r="Y2835" s="14"/>
      <c r="Z2835" s="14"/>
      <c r="AA2835" s="14"/>
      <c r="AC2835" s="14"/>
      <c r="AD2835" s="14"/>
      <c r="AE2835" s="14"/>
      <c r="AF2835" s="20"/>
      <c r="AH2835" s="14"/>
      <c r="AI2835" s="14"/>
      <c r="AJ2835" s="14"/>
      <c r="AK2835" s="20"/>
      <c r="AM2835" s="14"/>
      <c r="AN2835" s="14"/>
      <c r="AO2835" s="14"/>
      <c r="AU2835" s="71" t="s">
        <v>53</v>
      </c>
    </row>
    <row r="2836" spans="1:47" s="12" customFormat="1" ht="31.2" hidden="1" x14ac:dyDescent="0.3">
      <c r="A2836" s="42" t="s">
        <v>505</v>
      </c>
      <c r="B2836" s="42" t="s">
        <v>7306</v>
      </c>
      <c r="C2836" s="42">
        <v>70</v>
      </c>
      <c r="D2836" s="42">
        <v>823</v>
      </c>
      <c r="E2836" s="42"/>
      <c r="F2836" s="43" t="s">
        <v>7445</v>
      </c>
      <c r="G2836" s="42" t="str">
        <f t="shared" si="67"/>
        <v>70823703851417</v>
      </c>
      <c r="H2836" s="4" t="s">
        <v>7446</v>
      </c>
      <c r="I2836" s="45" t="s">
        <v>7447</v>
      </c>
      <c r="J2836" s="4" t="s">
        <v>7448</v>
      </c>
      <c r="K2836" s="44" t="s">
        <v>230</v>
      </c>
      <c r="L2836" s="44" t="s">
        <v>45</v>
      </c>
      <c r="M2836" s="7" t="s">
        <v>45</v>
      </c>
      <c r="N2836" s="12" t="s">
        <v>259</v>
      </c>
      <c r="O2836" s="12" t="s">
        <v>260</v>
      </c>
      <c r="P2836" s="4" t="s">
        <v>261</v>
      </c>
      <c r="Q2836" s="69" t="s">
        <v>600</v>
      </c>
      <c r="R2836" s="79">
        <v>0.72750000000000004</v>
      </c>
      <c r="S2836" s="4" t="s">
        <v>49</v>
      </c>
      <c r="T2836" s="14"/>
      <c r="U2836" s="14"/>
      <c r="V2836" s="70"/>
      <c r="W2836" s="14"/>
      <c r="X2836" s="42"/>
      <c r="Y2836" s="14"/>
      <c r="Z2836" s="14"/>
      <c r="AA2836" s="14"/>
      <c r="AC2836" s="14"/>
      <c r="AD2836" s="14"/>
      <c r="AE2836" s="14"/>
      <c r="AF2836" s="20"/>
      <c r="AH2836" s="14"/>
      <c r="AI2836" s="14"/>
      <c r="AJ2836" s="14"/>
      <c r="AK2836" s="20"/>
      <c r="AM2836" s="14"/>
      <c r="AN2836" s="14"/>
      <c r="AO2836" s="14"/>
      <c r="AU2836" s="71" t="s">
        <v>53</v>
      </c>
    </row>
    <row r="2837" spans="1:47" s="12" customFormat="1" ht="31.2" hidden="1" x14ac:dyDescent="0.3">
      <c r="A2837" s="42" t="s">
        <v>505</v>
      </c>
      <c r="B2837" s="42" t="s">
        <v>7306</v>
      </c>
      <c r="C2837" s="42">
        <v>70</v>
      </c>
      <c r="D2837" s="42">
        <v>823</v>
      </c>
      <c r="E2837" s="42"/>
      <c r="F2837" s="43" t="s">
        <v>7449</v>
      </c>
      <c r="G2837" s="42" t="str">
        <f t="shared" si="67"/>
        <v>70823922776042</v>
      </c>
      <c r="H2837" s="4" t="s">
        <v>7441</v>
      </c>
      <c r="I2837" s="45" t="s">
        <v>7450</v>
      </c>
      <c r="J2837" s="4" t="s">
        <v>181</v>
      </c>
      <c r="K2837" s="44" t="s">
        <v>230</v>
      </c>
      <c r="L2837" s="44">
        <v>3114251113</v>
      </c>
      <c r="M2837" s="7" t="s">
        <v>7451</v>
      </c>
      <c r="N2837" s="12" t="s">
        <v>259</v>
      </c>
      <c r="O2837" s="12" t="s">
        <v>260</v>
      </c>
      <c r="P2837" s="4" t="s">
        <v>261</v>
      </c>
      <c r="Q2837" s="69">
        <v>45154</v>
      </c>
      <c r="R2837" s="79">
        <v>0.875</v>
      </c>
      <c r="S2837" s="4" t="s">
        <v>49</v>
      </c>
      <c r="T2837" s="14"/>
      <c r="U2837" s="14"/>
      <c r="V2837" s="70"/>
      <c r="W2837" s="14"/>
      <c r="X2837" s="42"/>
      <c r="Y2837" s="14"/>
      <c r="Z2837" s="14"/>
      <c r="AA2837" s="14"/>
      <c r="AC2837" s="14"/>
      <c r="AD2837" s="14"/>
      <c r="AE2837" s="14"/>
      <c r="AF2837" s="20"/>
      <c r="AH2837" s="14"/>
      <c r="AI2837" s="14"/>
      <c r="AJ2837" s="14"/>
      <c r="AK2837" s="20"/>
      <c r="AM2837" s="14"/>
      <c r="AN2837" s="14"/>
      <c r="AO2837" s="14"/>
      <c r="AU2837" s="71" t="s">
        <v>53</v>
      </c>
    </row>
    <row r="2838" spans="1:47" s="12" customFormat="1" ht="31.2" hidden="1" x14ac:dyDescent="0.3">
      <c r="A2838" s="42" t="s">
        <v>505</v>
      </c>
      <c r="B2838" s="42" t="s">
        <v>7306</v>
      </c>
      <c r="C2838" s="42">
        <v>70</v>
      </c>
      <c r="D2838" s="42">
        <v>823</v>
      </c>
      <c r="E2838" s="42"/>
      <c r="F2838" s="43" t="s">
        <v>7452</v>
      </c>
      <c r="G2838" s="42" t="str">
        <f t="shared" si="67"/>
        <v>7082392501085</v>
      </c>
      <c r="H2838" s="4" t="s">
        <v>7453</v>
      </c>
      <c r="I2838" s="45">
        <v>92501085</v>
      </c>
      <c r="J2838" s="4" t="s">
        <v>7454</v>
      </c>
      <c r="K2838" s="44" t="s">
        <v>230</v>
      </c>
      <c r="L2838" s="44">
        <v>3044950327</v>
      </c>
      <c r="M2838" s="7" t="s">
        <v>45</v>
      </c>
      <c r="N2838" s="12" t="s">
        <v>259</v>
      </c>
      <c r="O2838" s="12" t="s">
        <v>260</v>
      </c>
      <c r="P2838" s="4" t="s">
        <v>261</v>
      </c>
      <c r="Q2838" s="69">
        <v>45588</v>
      </c>
      <c r="R2838" s="79">
        <v>0.82499999999999996</v>
      </c>
      <c r="S2838" s="4" t="s">
        <v>49</v>
      </c>
      <c r="T2838" s="14"/>
      <c r="U2838" s="14"/>
      <c r="V2838" s="70"/>
      <c r="W2838" s="14"/>
      <c r="X2838" s="42"/>
      <c r="Y2838" s="14"/>
      <c r="Z2838" s="14"/>
      <c r="AA2838" s="14"/>
      <c r="AC2838" s="14"/>
      <c r="AD2838" s="14"/>
      <c r="AE2838" s="14"/>
      <c r="AF2838" s="20"/>
      <c r="AH2838" s="14"/>
      <c r="AI2838" s="14"/>
      <c r="AJ2838" s="14"/>
      <c r="AK2838" s="20"/>
      <c r="AM2838" s="14"/>
      <c r="AN2838" s="14"/>
      <c r="AO2838" s="14"/>
      <c r="AU2838" s="71" t="s">
        <v>53</v>
      </c>
    </row>
    <row r="2839" spans="1:47" s="12" customFormat="1" ht="31.2" x14ac:dyDescent="0.3">
      <c r="A2839" s="42" t="s">
        <v>505</v>
      </c>
      <c r="B2839" s="42" t="s">
        <v>7306</v>
      </c>
      <c r="C2839" s="42">
        <v>70</v>
      </c>
      <c r="D2839" s="42">
        <v>823</v>
      </c>
      <c r="E2839" s="42"/>
      <c r="F2839" s="283" t="s">
        <v>7455</v>
      </c>
      <c r="G2839" s="42" t="str">
        <f t="shared" si="67"/>
        <v>70823230283951</v>
      </c>
      <c r="H2839" s="4" t="s">
        <v>7456</v>
      </c>
      <c r="I2839" s="4">
        <v>230283951</v>
      </c>
      <c r="J2839" s="4" t="s">
        <v>7457</v>
      </c>
      <c r="K2839" s="44" t="s">
        <v>230</v>
      </c>
      <c r="L2839" s="44">
        <v>3114075996</v>
      </c>
      <c r="M2839" s="8" t="s">
        <v>7458</v>
      </c>
      <c r="N2839" s="12" t="s">
        <v>46</v>
      </c>
      <c r="O2839" s="12" t="s">
        <v>47</v>
      </c>
      <c r="P2839" s="4" t="s">
        <v>48</v>
      </c>
      <c r="Q2839" s="13">
        <v>46217</v>
      </c>
      <c r="R2839" s="12" t="s">
        <v>8587</v>
      </c>
      <c r="S2839" s="4" t="s">
        <v>49</v>
      </c>
      <c r="U2839" s="12" t="s">
        <v>50</v>
      </c>
      <c r="V2839" s="69">
        <v>45874</v>
      </c>
      <c r="W2839" s="79">
        <v>0.9</v>
      </c>
      <c r="X2839" s="42" t="s">
        <v>210</v>
      </c>
      <c r="Y2839" s="14"/>
      <c r="Z2839" s="14" t="s">
        <v>60</v>
      </c>
      <c r="AA2839" s="14" t="s">
        <v>51</v>
      </c>
      <c r="AB2839" s="12" t="s">
        <v>51</v>
      </c>
      <c r="AC2839" s="69">
        <v>45216</v>
      </c>
      <c r="AD2839" s="79">
        <v>0.86</v>
      </c>
      <c r="AE2839" s="4" t="s">
        <v>49</v>
      </c>
      <c r="AF2839" s="20" t="s">
        <v>60</v>
      </c>
      <c r="AG2839" s="12" t="s">
        <v>51</v>
      </c>
      <c r="AH2839" s="14" t="s">
        <v>51</v>
      </c>
      <c r="AI2839" s="69">
        <v>44420</v>
      </c>
      <c r="AJ2839" s="84">
        <v>0.84</v>
      </c>
      <c r="AK2839" s="4" t="s">
        <v>49</v>
      </c>
      <c r="AL2839" s="12" t="s">
        <v>60</v>
      </c>
      <c r="AM2839" s="14" t="s">
        <v>51</v>
      </c>
      <c r="AN2839" s="14" t="s">
        <v>51</v>
      </c>
      <c r="AO2839" s="14"/>
      <c r="AU2839" s="71" t="s">
        <v>53</v>
      </c>
    </row>
    <row r="2840" spans="1:47" s="12" customFormat="1" ht="31.2" hidden="1" x14ac:dyDescent="0.3">
      <c r="A2840" s="42" t="s">
        <v>505</v>
      </c>
      <c r="B2840" s="42" t="s">
        <v>7306</v>
      </c>
      <c r="C2840" s="42">
        <v>70</v>
      </c>
      <c r="D2840" s="42">
        <v>823</v>
      </c>
      <c r="E2840" s="42"/>
      <c r="F2840" s="43" t="s">
        <v>7459</v>
      </c>
      <c r="G2840" s="42" t="str">
        <f t="shared" si="67"/>
        <v>708234022578</v>
      </c>
      <c r="H2840" s="4" t="s">
        <v>7460</v>
      </c>
      <c r="I2840" s="45">
        <v>4022578</v>
      </c>
      <c r="J2840" s="4" t="s">
        <v>7461</v>
      </c>
      <c r="K2840" s="44" t="s">
        <v>230</v>
      </c>
      <c r="L2840" s="44" t="s">
        <v>45</v>
      </c>
      <c r="M2840" s="7" t="s">
        <v>45</v>
      </c>
      <c r="N2840" s="12" t="s">
        <v>259</v>
      </c>
      <c r="O2840" s="12" t="s">
        <v>260</v>
      </c>
      <c r="P2840" s="4" t="s">
        <v>261</v>
      </c>
      <c r="Q2840" s="69">
        <v>44398</v>
      </c>
      <c r="R2840" s="79">
        <v>0.73499999999999999</v>
      </c>
      <c r="S2840" s="4" t="s">
        <v>49</v>
      </c>
      <c r="T2840" s="14"/>
      <c r="U2840" s="14"/>
      <c r="V2840" s="70"/>
      <c r="W2840" s="14"/>
      <c r="X2840" s="42"/>
      <c r="Y2840" s="14"/>
      <c r="Z2840" s="14"/>
      <c r="AA2840" s="14"/>
      <c r="AC2840" s="14"/>
      <c r="AD2840" s="14"/>
      <c r="AE2840" s="14"/>
      <c r="AF2840" s="20"/>
      <c r="AH2840" s="14"/>
      <c r="AI2840" s="14"/>
      <c r="AJ2840" s="14"/>
      <c r="AK2840" s="20"/>
      <c r="AM2840" s="14"/>
      <c r="AN2840" s="14"/>
      <c r="AO2840" s="14"/>
      <c r="AU2840" s="71" t="s">
        <v>53</v>
      </c>
    </row>
    <row r="2841" spans="1:47" s="12" customFormat="1" ht="31.2" hidden="1" x14ac:dyDescent="0.3">
      <c r="A2841" s="42" t="s">
        <v>505</v>
      </c>
      <c r="B2841" s="42" t="s">
        <v>7306</v>
      </c>
      <c r="C2841" s="42">
        <v>70</v>
      </c>
      <c r="D2841" s="42">
        <v>823</v>
      </c>
      <c r="E2841" s="42"/>
      <c r="F2841" s="43" t="s">
        <v>7462</v>
      </c>
      <c r="G2841" s="42" t="str">
        <f t="shared" si="67"/>
        <v>708231104871032</v>
      </c>
      <c r="H2841" s="4" t="s">
        <v>7463</v>
      </c>
      <c r="I2841" s="45">
        <v>1104871032</v>
      </c>
      <c r="J2841" s="4" t="s">
        <v>7464</v>
      </c>
      <c r="K2841" s="44" t="s">
        <v>230</v>
      </c>
      <c r="L2841" s="44" t="s">
        <v>45</v>
      </c>
      <c r="M2841" s="7" t="s">
        <v>45</v>
      </c>
      <c r="N2841" s="12" t="s">
        <v>46</v>
      </c>
      <c r="O2841" s="68" t="s">
        <v>521</v>
      </c>
      <c r="P2841" s="4" t="s">
        <v>48</v>
      </c>
      <c r="Q2841" s="69">
        <v>44390</v>
      </c>
      <c r="R2841" s="79">
        <v>0.86499999999999999</v>
      </c>
      <c r="S2841" s="4" t="s">
        <v>49</v>
      </c>
      <c r="T2841" s="14"/>
      <c r="U2841" s="14"/>
      <c r="V2841" s="70"/>
      <c r="W2841" s="14"/>
      <c r="X2841" s="42"/>
      <c r="Y2841" s="14"/>
      <c r="Z2841" s="14"/>
      <c r="AA2841" s="14"/>
      <c r="AC2841" s="14"/>
      <c r="AD2841" s="14"/>
      <c r="AE2841" s="14"/>
      <c r="AF2841" s="20"/>
      <c r="AH2841" s="14"/>
      <c r="AI2841" s="14"/>
      <c r="AJ2841" s="14"/>
      <c r="AK2841" s="20"/>
      <c r="AM2841" s="14"/>
      <c r="AN2841" s="14"/>
      <c r="AO2841" s="14"/>
      <c r="AU2841" s="71" t="s">
        <v>53</v>
      </c>
    </row>
    <row r="2842" spans="1:47" s="12" customFormat="1" ht="31.2" hidden="1" x14ac:dyDescent="0.3">
      <c r="A2842" s="42" t="s">
        <v>505</v>
      </c>
      <c r="B2842" s="42" t="s">
        <v>7306</v>
      </c>
      <c r="C2842" s="42">
        <v>70</v>
      </c>
      <c r="D2842" s="42">
        <v>823</v>
      </c>
      <c r="E2842" s="42"/>
      <c r="F2842" s="43" t="s">
        <v>7465</v>
      </c>
      <c r="G2842" s="42" t="str">
        <f t="shared" si="67"/>
        <v>7082390439179</v>
      </c>
      <c r="H2842" s="4" t="s">
        <v>7466</v>
      </c>
      <c r="I2842" s="45" t="s">
        <v>7467</v>
      </c>
      <c r="J2842" s="4" t="s">
        <v>7468</v>
      </c>
      <c r="K2842" s="44" t="s">
        <v>230</v>
      </c>
      <c r="L2842" s="44">
        <v>3106861867</v>
      </c>
      <c r="M2842" s="7" t="s">
        <v>7469</v>
      </c>
      <c r="N2842" s="12" t="s">
        <v>432</v>
      </c>
      <c r="O2842" s="12" t="s">
        <v>432</v>
      </c>
      <c r="P2842" s="4" t="s">
        <v>261</v>
      </c>
      <c r="Q2842" s="69">
        <v>45383</v>
      </c>
      <c r="R2842" s="79">
        <v>0.84</v>
      </c>
      <c r="S2842" s="4" t="s">
        <v>49</v>
      </c>
      <c r="T2842" s="14"/>
      <c r="U2842" s="14"/>
      <c r="V2842" s="70"/>
      <c r="W2842" s="14"/>
      <c r="X2842" s="42"/>
      <c r="Y2842" s="14"/>
      <c r="Z2842" s="14"/>
      <c r="AA2842" s="14"/>
      <c r="AC2842" s="14"/>
      <c r="AD2842" s="14"/>
      <c r="AE2842" s="14"/>
      <c r="AF2842" s="20"/>
      <c r="AH2842" s="14"/>
      <c r="AI2842" s="14"/>
      <c r="AJ2842" s="14"/>
      <c r="AK2842" s="20"/>
      <c r="AM2842" s="14"/>
      <c r="AN2842" s="14"/>
      <c r="AO2842" s="14"/>
      <c r="AU2842" s="71" t="s">
        <v>53</v>
      </c>
    </row>
    <row r="2843" spans="1:47" s="12" customFormat="1" ht="31.2" hidden="1" x14ac:dyDescent="0.3">
      <c r="A2843" s="42" t="s">
        <v>505</v>
      </c>
      <c r="B2843" s="42" t="s">
        <v>7306</v>
      </c>
      <c r="C2843" s="42">
        <v>70</v>
      </c>
      <c r="D2843" s="42">
        <v>823</v>
      </c>
      <c r="E2843" s="42"/>
      <c r="F2843" s="43" t="s">
        <v>3550</v>
      </c>
      <c r="G2843" s="42" t="str">
        <f t="shared" si="67"/>
        <v>70823232204587</v>
      </c>
      <c r="H2843" s="4" t="s">
        <v>7470</v>
      </c>
      <c r="I2843" s="45" t="s">
        <v>7471</v>
      </c>
      <c r="J2843" s="4" t="s">
        <v>7472</v>
      </c>
      <c r="K2843" s="44" t="s">
        <v>230</v>
      </c>
      <c r="L2843" s="44">
        <v>3017867528</v>
      </c>
      <c r="M2843" s="7" t="s">
        <v>7473</v>
      </c>
      <c r="N2843" s="12" t="s">
        <v>432</v>
      </c>
      <c r="O2843" s="12" t="s">
        <v>432</v>
      </c>
      <c r="P2843" s="4" t="s">
        <v>261</v>
      </c>
      <c r="Q2843" s="69">
        <v>45594</v>
      </c>
      <c r="R2843" s="79">
        <v>0.83</v>
      </c>
      <c r="S2843" s="4" t="s">
        <v>49</v>
      </c>
      <c r="T2843" s="14"/>
      <c r="U2843" s="14"/>
      <c r="V2843" s="70"/>
      <c r="W2843" s="14"/>
      <c r="X2843" s="42"/>
      <c r="Y2843" s="14"/>
      <c r="Z2843" s="14"/>
      <c r="AA2843" s="14"/>
      <c r="AC2843" s="14"/>
      <c r="AD2843" s="14"/>
      <c r="AE2843" s="14"/>
      <c r="AF2843" s="20"/>
      <c r="AH2843" s="14"/>
      <c r="AI2843" s="14"/>
      <c r="AJ2843" s="14"/>
      <c r="AK2843" s="20"/>
      <c r="AM2843" s="14"/>
      <c r="AN2843" s="14"/>
      <c r="AO2843" s="14"/>
      <c r="AU2843" s="71" t="s">
        <v>53</v>
      </c>
    </row>
    <row r="2844" spans="1:47" s="12" customFormat="1" ht="31.2" hidden="1" x14ac:dyDescent="0.3">
      <c r="A2844" s="42" t="s">
        <v>505</v>
      </c>
      <c r="B2844" s="42" t="s">
        <v>7306</v>
      </c>
      <c r="C2844" s="42">
        <v>70</v>
      </c>
      <c r="D2844" s="42">
        <v>823</v>
      </c>
      <c r="E2844" s="42"/>
      <c r="F2844" s="43" t="s">
        <v>7474</v>
      </c>
      <c r="G2844" s="42" t="str">
        <f t="shared" si="67"/>
        <v>708231108758722</v>
      </c>
      <c r="H2844" s="44" t="s">
        <v>7475</v>
      </c>
      <c r="I2844" s="72">
        <v>1108758722</v>
      </c>
      <c r="J2844" s="44" t="s">
        <v>7476</v>
      </c>
      <c r="K2844" s="44" t="s">
        <v>230</v>
      </c>
      <c r="L2844" s="44" t="s">
        <v>45</v>
      </c>
      <c r="M2844" s="7" t="s">
        <v>45</v>
      </c>
      <c r="N2844" s="12" t="s">
        <v>259</v>
      </c>
      <c r="O2844" s="12" t="s">
        <v>260</v>
      </c>
      <c r="P2844" s="4" t="s">
        <v>261</v>
      </c>
      <c r="Q2844" s="69">
        <v>44340</v>
      </c>
      <c r="R2844" s="79">
        <v>0.73250000000000004</v>
      </c>
      <c r="S2844" s="4" t="s">
        <v>49</v>
      </c>
      <c r="T2844" s="14"/>
      <c r="U2844" s="14"/>
      <c r="V2844" s="70"/>
      <c r="W2844" s="14"/>
      <c r="X2844" s="42"/>
      <c r="Y2844" s="14"/>
      <c r="Z2844" s="14"/>
      <c r="AA2844" s="14"/>
      <c r="AC2844" s="14"/>
      <c r="AD2844" s="14"/>
      <c r="AE2844" s="14"/>
      <c r="AF2844" s="20"/>
      <c r="AH2844" s="14"/>
      <c r="AI2844" s="14"/>
      <c r="AJ2844" s="14"/>
      <c r="AK2844" s="20"/>
      <c r="AM2844" s="14"/>
      <c r="AN2844" s="14"/>
      <c r="AO2844" s="14"/>
      <c r="AU2844" s="71" t="s">
        <v>53</v>
      </c>
    </row>
    <row r="2845" spans="1:47" s="12" customFormat="1" ht="28.5" hidden="1" customHeight="1" x14ac:dyDescent="0.3">
      <c r="A2845" s="42" t="s">
        <v>505</v>
      </c>
      <c r="B2845" s="42" t="s">
        <v>7306</v>
      </c>
      <c r="C2845" s="42">
        <v>70</v>
      </c>
      <c r="D2845" s="42">
        <v>823</v>
      </c>
      <c r="E2845" s="42" t="s">
        <v>7477</v>
      </c>
      <c r="F2845" s="43" t="s">
        <v>7478</v>
      </c>
      <c r="G2845" s="80">
        <v>708239001937934</v>
      </c>
      <c r="H2845" s="44" t="s">
        <v>7479</v>
      </c>
      <c r="I2845" s="72" t="s">
        <v>7480</v>
      </c>
      <c r="J2845" s="44" t="s">
        <v>7481</v>
      </c>
      <c r="K2845" s="44" t="s">
        <v>230</v>
      </c>
      <c r="L2845" s="44">
        <v>3014238067</v>
      </c>
      <c r="M2845" s="7" t="s">
        <v>7482</v>
      </c>
      <c r="N2845" s="12" t="s">
        <v>127</v>
      </c>
      <c r="O2845" s="12" t="s">
        <v>2822</v>
      </c>
      <c r="P2845" s="4" t="s">
        <v>48</v>
      </c>
      <c r="Q2845" s="13">
        <v>46008</v>
      </c>
      <c r="R2845" s="16">
        <v>0.67</v>
      </c>
      <c r="S2845" s="12" t="s">
        <v>74</v>
      </c>
      <c r="U2845" s="14" t="s">
        <v>2456</v>
      </c>
      <c r="V2845" s="69">
        <v>45608</v>
      </c>
      <c r="W2845" s="79" t="s">
        <v>201</v>
      </c>
      <c r="X2845" s="4" t="s">
        <v>6910</v>
      </c>
      <c r="Y2845" s="14" t="s">
        <v>2829</v>
      </c>
      <c r="Z2845" s="14" t="s">
        <v>2456</v>
      </c>
      <c r="AA2845" s="14" t="s">
        <v>51</v>
      </c>
      <c r="AB2845" s="12" t="s">
        <v>51</v>
      </c>
      <c r="AC2845" s="70">
        <v>43807</v>
      </c>
      <c r="AD2845" s="14" t="s">
        <v>1090</v>
      </c>
      <c r="AE2845" s="42" t="s">
        <v>49</v>
      </c>
      <c r="AF2845" s="20"/>
      <c r="AH2845" s="14"/>
      <c r="AI2845" s="14"/>
      <c r="AJ2845" s="14"/>
      <c r="AK2845" s="20"/>
      <c r="AM2845" s="14"/>
      <c r="AN2845" s="14"/>
      <c r="AO2845" s="14"/>
      <c r="AU2845" s="71" t="s">
        <v>53</v>
      </c>
    </row>
    <row r="2846" spans="1:47" s="12" customFormat="1" hidden="1" x14ac:dyDescent="0.3">
      <c r="A2846" s="42" t="s">
        <v>505</v>
      </c>
      <c r="B2846" s="42" t="s">
        <v>7306</v>
      </c>
      <c r="C2846" s="42">
        <v>70</v>
      </c>
      <c r="D2846" s="42">
        <v>823</v>
      </c>
      <c r="E2846" s="42"/>
      <c r="F2846" s="283" t="s">
        <v>7483</v>
      </c>
      <c r="G2846" s="42" t="str">
        <f t="shared" ref="G2846:G2885" si="68">C2846 &amp; D2846 &amp; SUBSTITUTE(I2846, "-", "")</f>
        <v>70823925492919</v>
      </c>
      <c r="H2846" s="4" t="s">
        <v>9682</v>
      </c>
      <c r="I2846" s="45">
        <v>925492919</v>
      </c>
      <c r="J2846" s="4" t="s">
        <v>9683</v>
      </c>
      <c r="K2846" s="44" t="s">
        <v>133</v>
      </c>
      <c r="L2846" s="44">
        <v>3023559387</v>
      </c>
      <c r="M2846" s="7" t="s">
        <v>8462</v>
      </c>
      <c r="N2846" s="12" t="s">
        <v>259</v>
      </c>
      <c r="O2846" s="12" t="s">
        <v>260</v>
      </c>
      <c r="P2846" s="4" t="s">
        <v>261</v>
      </c>
      <c r="Q2846" s="13">
        <v>46183</v>
      </c>
      <c r="R2846" s="12">
        <v>90</v>
      </c>
      <c r="S2846" s="12" t="s">
        <v>210</v>
      </c>
      <c r="T2846" s="14"/>
      <c r="U2846" s="14" t="s">
        <v>2456</v>
      </c>
      <c r="V2846" s="69">
        <v>44370</v>
      </c>
      <c r="W2846" s="79">
        <v>0.93500000000000005</v>
      </c>
      <c r="X2846" s="42" t="s">
        <v>210</v>
      </c>
      <c r="Y2846" s="14"/>
      <c r="Z2846" s="14" t="s">
        <v>60</v>
      </c>
      <c r="AA2846" s="14"/>
      <c r="AC2846" s="14"/>
      <c r="AD2846" s="14"/>
      <c r="AE2846" s="14"/>
      <c r="AF2846" s="20"/>
      <c r="AH2846" s="14"/>
      <c r="AI2846" s="14"/>
      <c r="AJ2846" s="14"/>
      <c r="AK2846" s="20"/>
      <c r="AM2846" s="14"/>
      <c r="AN2846" s="14"/>
      <c r="AO2846" s="14"/>
      <c r="AU2846" s="71" t="s">
        <v>53</v>
      </c>
    </row>
    <row r="2847" spans="1:47" s="12" customFormat="1" ht="28.5" hidden="1" customHeight="1" x14ac:dyDescent="0.3">
      <c r="A2847" s="42" t="s">
        <v>505</v>
      </c>
      <c r="B2847" s="42" t="s">
        <v>7306</v>
      </c>
      <c r="C2847" s="42">
        <v>70</v>
      </c>
      <c r="D2847" s="42">
        <v>823</v>
      </c>
      <c r="E2847" s="42"/>
      <c r="F2847" s="43" t="s">
        <v>7484</v>
      </c>
      <c r="G2847" s="42" t="str">
        <f t="shared" si="68"/>
        <v>70823823003530</v>
      </c>
      <c r="H2847" s="4" t="s">
        <v>1104</v>
      </c>
      <c r="I2847" s="45" t="s">
        <v>7297</v>
      </c>
      <c r="J2847" s="4" t="s">
        <v>7485</v>
      </c>
      <c r="K2847" s="44" t="s">
        <v>230</v>
      </c>
      <c r="L2847" s="44" t="s">
        <v>45</v>
      </c>
      <c r="M2847" s="7" t="s">
        <v>45</v>
      </c>
      <c r="N2847" s="12" t="s">
        <v>127</v>
      </c>
      <c r="O2847" s="12" t="s">
        <v>2822</v>
      </c>
      <c r="P2847" s="4" t="s">
        <v>48</v>
      </c>
      <c r="Q2847" s="69">
        <v>45254</v>
      </c>
      <c r="R2847" s="79">
        <v>0.86499999999999999</v>
      </c>
      <c r="S2847" s="4" t="s">
        <v>49</v>
      </c>
      <c r="T2847" s="14"/>
      <c r="U2847" s="14"/>
      <c r="V2847" s="70"/>
      <c r="W2847" s="14"/>
      <c r="X2847" s="42"/>
      <c r="Y2847" s="14"/>
      <c r="Z2847" s="14"/>
      <c r="AA2847" s="14"/>
      <c r="AC2847" s="14"/>
      <c r="AD2847" s="14"/>
      <c r="AE2847" s="14"/>
      <c r="AF2847" s="20"/>
      <c r="AH2847" s="14"/>
      <c r="AI2847" s="14"/>
      <c r="AJ2847" s="14"/>
      <c r="AK2847" s="20"/>
      <c r="AM2847" s="14"/>
      <c r="AN2847" s="14"/>
      <c r="AO2847" s="14"/>
      <c r="AU2847" s="71" t="s">
        <v>53</v>
      </c>
    </row>
    <row r="2848" spans="1:47" s="12" customFormat="1" ht="28.5" hidden="1" customHeight="1" x14ac:dyDescent="0.3">
      <c r="A2848" s="42" t="s">
        <v>505</v>
      </c>
      <c r="B2848" s="42" t="s">
        <v>7306</v>
      </c>
      <c r="C2848" s="42">
        <v>70</v>
      </c>
      <c r="D2848" s="42">
        <v>823</v>
      </c>
      <c r="E2848" s="42"/>
      <c r="F2848" s="43" t="s">
        <v>7486</v>
      </c>
      <c r="G2848" s="42" t="str">
        <f t="shared" si="68"/>
        <v>70823823003530</v>
      </c>
      <c r="H2848" s="4" t="s">
        <v>1104</v>
      </c>
      <c r="I2848" s="45" t="s">
        <v>7297</v>
      </c>
      <c r="J2848" s="4" t="s">
        <v>7487</v>
      </c>
      <c r="K2848" s="44" t="s">
        <v>230</v>
      </c>
      <c r="L2848" s="44" t="s">
        <v>45</v>
      </c>
      <c r="M2848" s="7" t="s">
        <v>45</v>
      </c>
      <c r="N2848" s="12" t="s">
        <v>127</v>
      </c>
      <c r="O2848" s="12" t="s">
        <v>2822</v>
      </c>
      <c r="P2848" s="4" t="s">
        <v>48</v>
      </c>
      <c r="Q2848" s="69">
        <v>45265</v>
      </c>
      <c r="R2848" s="79">
        <v>0.90500000000000003</v>
      </c>
      <c r="S2848" s="42" t="s">
        <v>210</v>
      </c>
      <c r="T2848" s="14"/>
      <c r="U2848" s="14"/>
      <c r="V2848" s="70"/>
      <c r="W2848" s="14"/>
      <c r="X2848" s="42"/>
      <c r="Y2848" s="14"/>
      <c r="Z2848" s="14"/>
      <c r="AA2848" s="14"/>
      <c r="AC2848" s="14"/>
      <c r="AD2848" s="14"/>
      <c r="AE2848" s="14"/>
      <c r="AF2848" s="20"/>
      <c r="AH2848" s="14"/>
      <c r="AI2848" s="14"/>
      <c r="AJ2848" s="14"/>
      <c r="AK2848" s="20"/>
      <c r="AM2848" s="14"/>
      <c r="AN2848" s="14"/>
      <c r="AO2848" s="14"/>
      <c r="AU2848" s="71" t="s">
        <v>53</v>
      </c>
    </row>
    <row r="2849" spans="1:47" s="12" customFormat="1" ht="31.2" x14ac:dyDescent="0.3">
      <c r="A2849" s="42" t="s">
        <v>505</v>
      </c>
      <c r="B2849" s="42" t="s">
        <v>7306</v>
      </c>
      <c r="C2849" s="42">
        <v>70</v>
      </c>
      <c r="D2849" s="42">
        <v>823</v>
      </c>
      <c r="E2849" s="42"/>
      <c r="F2849" s="283" t="s">
        <v>7488</v>
      </c>
      <c r="G2849" s="42" t="str">
        <f t="shared" si="68"/>
        <v>7082392276132</v>
      </c>
      <c r="H2849" s="4" t="s">
        <v>7489</v>
      </c>
      <c r="I2849" s="45">
        <v>92276132</v>
      </c>
      <c r="J2849" s="4" t="s">
        <v>7490</v>
      </c>
      <c r="K2849" s="44" t="s">
        <v>230</v>
      </c>
      <c r="L2849" s="44">
        <v>3215202057</v>
      </c>
      <c r="M2849" s="8" t="s">
        <v>7491</v>
      </c>
      <c r="N2849" s="12" t="s">
        <v>46</v>
      </c>
      <c r="O2849" s="12" t="s">
        <v>47</v>
      </c>
      <c r="P2849" s="4" t="s">
        <v>48</v>
      </c>
      <c r="Q2849" s="69">
        <v>45418</v>
      </c>
      <c r="R2849" s="79">
        <v>0.8</v>
      </c>
      <c r="S2849" s="4" t="s">
        <v>49</v>
      </c>
      <c r="T2849" s="14"/>
      <c r="U2849" s="14"/>
      <c r="V2849" s="70"/>
      <c r="W2849" s="14"/>
      <c r="X2849" s="42"/>
      <c r="Y2849" s="14"/>
      <c r="Z2849" s="14"/>
      <c r="AA2849" s="14"/>
      <c r="AC2849" s="14"/>
      <c r="AD2849" s="14"/>
      <c r="AE2849" s="14"/>
      <c r="AF2849" s="20"/>
      <c r="AH2849" s="14"/>
      <c r="AI2849" s="14"/>
      <c r="AJ2849" s="14"/>
      <c r="AK2849" s="20"/>
      <c r="AM2849" s="14"/>
      <c r="AN2849" s="14"/>
      <c r="AO2849" s="14"/>
      <c r="AU2849" s="71" t="s">
        <v>53</v>
      </c>
    </row>
    <row r="2850" spans="1:47" s="12" customFormat="1" ht="31.2" hidden="1" x14ac:dyDescent="0.3">
      <c r="A2850" s="42" t="s">
        <v>505</v>
      </c>
      <c r="B2850" s="42" t="s">
        <v>7306</v>
      </c>
      <c r="C2850" s="42">
        <v>70</v>
      </c>
      <c r="D2850" s="42">
        <v>823</v>
      </c>
      <c r="E2850" s="42"/>
      <c r="F2850" s="43" t="s">
        <v>7492</v>
      </c>
      <c r="G2850" s="42" t="str">
        <f t="shared" si="68"/>
        <v>7082392277126</v>
      </c>
      <c r="H2850" s="4" t="s">
        <v>7493</v>
      </c>
      <c r="I2850" s="45">
        <v>92277126</v>
      </c>
      <c r="J2850" s="4" t="s">
        <v>7494</v>
      </c>
      <c r="K2850" s="44" t="s">
        <v>230</v>
      </c>
      <c r="L2850" s="44" t="s">
        <v>45</v>
      </c>
      <c r="M2850" s="7" t="s">
        <v>45</v>
      </c>
      <c r="N2850" s="12" t="s">
        <v>259</v>
      </c>
      <c r="O2850" s="12" t="s">
        <v>260</v>
      </c>
      <c r="P2850" s="4" t="s">
        <v>261</v>
      </c>
      <c r="Q2850" s="69">
        <v>44328</v>
      </c>
      <c r="R2850" s="79">
        <v>0.8075</v>
      </c>
      <c r="S2850" s="4" t="s">
        <v>49</v>
      </c>
      <c r="T2850" s="14"/>
      <c r="U2850" s="14"/>
      <c r="V2850" s="70"/>
      <c r="W2850" s="14"/>
      <c r="X2850" s="42"/>
      <c r="Y2850" s="14"/>
      <c r="Z2850" s="14"/>
      <c r="AA2850" s="14"/>
      <c r="AC2850" s="14"/>
      <c r="AD2850" s="14"/>
      <c r="AE2850" s="14"/>
      <c r="AF2850" s="20"/>
      <c r="AH2850" s="14"/>
      <c r="AI2850" s="14"/>
      <c r="AJ2850" s="14"/>
      <c r="AK2850" s="20"/>
      <c r="AM2850" s="14"/>
      <c r="AN2850" s="14"/>
      <c r="AO2850" s="14"/>
      <c r="AU2850" s="71" t="s">
        <v>53</v>
      </c>
    </row>
    <row r="2851" spans="1:47" s="12" customFormat="1" hidden="1" x14ac:dyDescent="0.3">
      <c r="A2851" s="42" t="s">
        <v>505</v>
      </c>
      <c r="B2851" s="42" t="s">
        <v>7306</v>
      </c>
      <c r="C2851" s="42">
        <v>70</v>
      </c>
      <c r="D2851" s="42">
        <v>823</v>
      </c>
      <c r="E2851" s="42"/>
      <c r="F2851" s="43" t="s">
        <v>7495</v>
      </c>
      <c r="G2851" s="42" t="str">
        <f t="shared" si="68"/>
        <v>708231102853325</v>
      </c>
      <c r="H2851" s="4" t="s">
        <v>7496</v>
      </c>
      <c r="I2851" s="45">
        <v>1102853325</v>
      </c>
      <c r="J2851" s="4" t="s">
        <v>7497</v>
      </c>
      <c r="K2851" s="44" t="s">
        <v>230</v>
      </c>
      <c r="L2851" s="44" t="s">
        <v>45</v>
      </c>
      <c r="M2851" s="7" t="s">
        <v>45</v>
      </c>
      <c r="N2851" s="12" t="s">
        <v>259</v>
      </c>
      <c r="O2851" s="12" t="s">
        <v>260</v>
      </c>
      <c r="P2851" s="4" t="s">
        <v>261</v>
      </c>
      <c r="Q2851" s="69">
        <v>44327</v>
      </c>
      <c r="R2851" s="79">
        <v>0.95</v>
      </c>
      <c r="S2851" s="4" t="s">
        <v>210</v>
      </c>
      <c r="T2851" s="14"/>
      <c r="U2851" s="14"/>
      <c r="V2851" s="70"/>
      <c r="W2851" s="14"/>
      <c r="X2851" s="42"/>
      <c r="Y2851" s="14"/>
      <c r="Z2851" s="14"/>
      <c r="AA2851" s="14"/>
      <c r="AC2851" s="14"/>
      <c r="AD2851" s="14"/>
      <c r="AE2851" s="14"/>
      <c r="AF2851" s="20"/>
      <c r="AH2851" s="14"/>
      <c r="AI2851" s="14"/>
      <c r="AJ2851" s="14"/>
      <c r="AK2851" s="20"/>
      <c r="AM2851" s="14"/>
      <c r="AN2851" s="14"/>
      <c r="AO2851" s="14"/>
      <c r="AU2851" s="71" t="s">
        <v>53</v>
      </c>
    </row>
    <row r="2852" spans="1:47" s="12" customFormat="1" ht="31.2" x14ac:dyDescent="0.3">
      <c r="A2852" s="42" t="s">
        <v>505</v>
      </c>
      <c r="B2852" s="42" t="s">
        <v>7306</v>
      </c>
      <c r="C2852" s="42">
        <v>70</v>
      </c>
      <c r="D2852" s="42">
        <v>823</v>
      </c>
      <c r="E2852" s="42"/>
      <c r="F2852" s="43" t="s">
        <v>7498</v>
      </c>
      <c r="G2852" s="42" t="str">
        <f t="shared" si="68"/>
        <v>70823223557645</v>
      </c>
      <c r="H2852" s="4" t="s">
        <v>7499</v>
      </c>
      <c r="I2852" s="45">
        <v>223557645</v>
      </c>
      <c r="J2852" s="4" t="s">
        <v>7500</v>
      </c>
      <c r="K2852" s="44" t="s">
        <v>230</v>
      </c>
      <c r="L2852" s="44" t="s">
        <v>45</v>
      </c>
      <c r="M2852" s="7" t="s">
        <v>45</v>
      </c>
      <c r="N2852" s="12" t="s">
        <v>46</v>
      </c>
      <c r="O2852" s="12" t="s">
        <v>47</v>
      </c>
      <c r="P2852" s="4" t="s">
        <v>48</v>
      </c>
      <c r="Q2852" s="69">
        <v>44292</v>
      </c>
      <c r="R2852" s="79">
        <v>0.88</v>
      </c>
      <c r="S2852" s="4" t="s">
        <v>49</v>
      </c>
      <c r="T2852" s="14"/>
      <c r="U2852" s="14"/>
      <c r="V2852" s="70"/>
      <c r="W2852" s="14"/>
      <c r="X2852" s="42"/>
      <c r="Y2852" s="14"/>
      <c r="Z2852" s="14"/>
      <c r="AA2852" s="14"/>
      <c r="AC2852" s="14"/>
      <c r="AD2852" s="14"/>
      <c r="AE2852" s="14"/>
      <c r="AF2852" s="20"/>
      <c r="AH2852" s="14"/>
      <c r="AI2852" s="14"/>
      <c r="AJ2852" s="14"/>
      <c r="AK2852" s="20"/>
      <c r="AM2852" s="14"/>
      <c r="AN2852" s="14"/>
      <c r="AO2852" s="14"/>
      <c r="AU2852" s="71" t="s">
        <v>53</v>
      </c>
    </row>
    <row r="2853" spans="1:47" s="12" customFormat="1" ht="28.5" hidden="1" customHeight="1" x14ac:dyDescent="0.3">
      <c r="A2853" s="42" t="s">
        <v>505</v>
      </c>
      <c r="B2853" s="42" t="s">
        <v>7306</v>
      </c>
      <c r="C2853" s="42">
        <v>70</v>
      </c>
      <c r="D2853" s="42">
        <v>823</v>
      </c>
      <c r="E2853" s="42"/>
      <c r="F2853" s="43" t="s">
        <v>7501</v>
      </c>
      <c r="G2853" s="42" t="str">
        <f t="shared" si="68"/>
        <v>708239004141238</v>
      </c>
      <c r="H2853" s="4" t="s">
        <v>7502</v>
      </c>
      <c r="I2853" s="4" t="s">
        <v>7503</v>
      </c>
      <c r="J2853" s="4" t="s">
        <v>7504</v>
      </c>
      <c r="K2853" s="4" t="s">
        <v>230</v>
      </c>
      <c r="L2853" s="4">
        <v>3135998409</v>
      </c>
      <c r="M2853" s="6" t="s">
        <v>7505</v>
      </c>
      <c r="N2853" s="12" t="s">
        <v>127</v>
      </c>
      <c r="O2853" s="12" t="s">
        <v>2822</v>
      </c>
      <c r="P2853" s="4" t="s">
        <v>48</v>
      </c>
      <c r="Q2853" s="4"/>
      <c r="R2853" s="79"/>
      <c r="S2853" s="4"/>
      <c r="T2853" s="14"/>
      <c r="U2853" s="14"/>
      <c r="V2853" s="70"/>
      <c r="W2853" s="14"/>
      <c r="X2853" s="42"/>
      <c r="Y2853" s="14"/>
      <c r="Z2853" s="14"/>
      <c r="AA2853" s="14"/>
      <c r="AC2853" s="14"/>
      <c r="AD2853" s="14"/>
      <c r="AE2853" s="14"/>
      <c r="AF2853" s="20"/>
      <c r="AH2853" s="14"/>
      <c r="AI2853" s="14"/>
      <c r="AJ2853" s="14"/>
      <c r="AK2853" s="20"/>
      <c r="AM2853" s="14"/>
      <c r="AN2853" s="14"/>
      <c r="AO2853" s="14"/>
      <c r="AU2853" s="71" t="s">
        <v>53</v>
      </c>
    </row>
    <row r="2854" spans="1:47" s="12" customFormat="1" ht="28.5" hidden="1" customHeight="1" x14ac:dyDescent="0.3">
      <c r="A2854" s="42" t="s">
        <v>505</v>
      </c>
      <c r="B2854" s="42" t="s">
        <v>7306</v>
      </c>
      <c r="C2854" s="42">
        <v>70</v>
      </c>
      <c r="D2854" s="42">
        <v>823</v>
      </c>
      <c r="E2854" s="42"/>
      <c r="F2854" s="43" t="s">
        <v>7506</v>
      </c>
      <c r="G2854" s="42" t="str">
        <f t="shared" si="68"/>
        <v>708238001698960</v>
      </c>
      <c r="H2854" s="4" t="s">
        <v>7507</v>
      </c>
      <c r="I2854" s="4" t="s">
        <v>7508</v>
      </c>
      <c r="J2854" s="4" t="s">
        <v>7509</v>
      </c>
      <c r="K2854" s="4" t="s">
        <v>230</v>
      </c>
      <c r="L2854" s="4">
        <v>3126570963</v>
      </c>
      <c r="M2854" s="6" t="s">
        <v>7510</v>
      </c>
      <c r="N2854" s="12" t="s">
        <v>127</v>
      </c>
      <c r="O2854" s="12" t="s">
        <v>2822</v>
      </c>
      <c r="P2854" s="4" t="s">
        <v>48</v>
      </c>
      <c r="Q2854" s="4"/>
      <c r="R2854" s="79"/>
      <c r="S2854" s="4"/>
      <c r="T2854" s="14"/>
      <c r="U2854" s="14"/>
      <c r="V2854" s="70"/>
      <c r="W2854" s="14"/>
      <c r="X2854" s="42"/>
      <c r="Y2854" s="14"/>
      <c r="Z2854" s="14"/>
      <c r="AA2854" s="14"/>
      <c r="AC2854" s="14"/>
      <c r="AD2854" s="14"/>
      <c r="AE2854" s="14"/>
      <c r="AF2854" s="20"/>
      <c r="AH2854" s="14"/>
      <c r="AI2854" s="14"/>
      <c r="AJ2854" s="14"/>
      <c r="AK2854" s="20"/>
      <c r="AM2854" s="14"/>
      <c r="AN2854" s="14"/>
      <c r="AO2854" s="14"/>
      <c r="AU2854" s="71" t="s">
        <v>53</v>
      </c>
    </row>
    <row r="2855" spans="1:47" s="12" customFormat="1" hidden="1" x14ac:dyDescent="0.3">
      <c r="A2855" s="42" t="s">
        <v>505</v>
      </c>
      <c r="B2855" s="42" t="s">
        <v>7306</v>
      </c>
      <c r="C2855" s="42">
        <v>70</v>
      </c>
      <c r="D2855" s="42">
        <v>823</v>
      </c>
      <c r="E2855" s="42"/>
      <c r="F2855" s="43" t="s">
        <v>7511</v>
      </c>
      <c r="G2855" s="42" t="str">
        <f t="shared" si="68"/>
        <v>708231108761065</v>
      </c>
      <c r="H2855" s="4" t="s">
        <v>7512</v>
      </c>
      <c r="I2855" s="4">
        <v>1108761065</v>
      </c>
      <c r="J2855" s="4" t="s">
        <v>7513</v>
      </c>
      <c r="K2855" s="4" t="s">
        <v>230</v>
      </c>
      <c r="L2855" s="4">
        <v>3205049424</v>
      </c>
      <c r="M2855" s="6" t="s">
        <v>7514</v>
      </c>
      <c r="N2855" s="12" t="s">
        <v>432</v>
      </c>
      <c r="O2855" s="12" t="s">
        <v>432</v>
      </c>
      <c r="P2855" s="4" t="s">
        <v>261</v>
      </c>
      <c r="Q2855" s="4"/>
      <c r="R2855" s="79"/>
      <c r="S2855" s="4"/>
      <c r="T2855" s="14"/>
      <c r="U2855" s="14"/>
      <c r="V2855" s="70"/>
      <c r="W2855" s="14"/>
      <c r="X2855" s="42"/>
      <c r="Y2855" s="14"/>
      <c r="Z2855" s="14"/>
      <c r="AA2855" s="14"/>
      <c r="AC2855" s="14"/>
      <c r="AD2855" s="14"/>
      <c r="AE2855" s="14"/>
      <c r="AF2855" s="20"/>
      <c r="AH2855" s="14"/>
      <c r="AI2855" s="14"/>
      <c r="AJ2855" s="14"/>
      <c r="AK2855" s="20"/>
      <c r="AM2855" s="14"/>
      <c r="AN2855" s="14"/>
      <c r="AO2855" s="14"/>
      <c r="AU2855" s="71" t="s">
        <v>53</v>
      </c>
    </row>
    <row r="2856" spans="1:47" s="12" customFormat="1" hidden="1" x14ac:dyDescent="0.3">
      <c r="A2856" s="42" t="s">
        <v>505</v>
      </c>
      <c r="B2856" s="42" t="s">
        <v>7306</v>
      </c>
      <c r="C2856" s="42">
        <v>70</v>
      </c>
      <c r="D2856" s="42">
        <v>823</v>
      </c>
      <c r="E2856" s="42"/>
      <c r="F2856" s="43" t="s">
        <v>7515</v>
      </c>
      <c r="G2856" s="42" t="str">
        <f t="shared" si="68"/>
        <v>7082314684136001</v>
      </c>
      <c r="H2856" s="4" t="s">
        <v>7516</v>
      </c>
      <c r="I2856" s="4" t="s">
        <v>7517</v>
      </c>
      <c r="J2856" s="4" t="s">
        <v>7518</v>
      </c>
      <c r="K2856" s="4" t="s">
        <v>230</v>
      </c>
      <c r="L2856" s="4">
        <v>3018049805</v>
      </c>
      <c r="M2856" s="6" t="s">
        <v>7519</v>
      </c>
      <c r="N2856" s="12" t="s">
        <v>432</v>
      </c>
      <c r="O2856" s="12" t="s">
        <v>432</v>
      </c>
      <c r="P2856" s="4" t="s">
        <v>261</v>
      </c>
      <c r="Q2856" s="4"/>
      <c r="R2856" s="79"/>
      <c r="S2856" s="4"/>
      <c r="T2856" s="14"/>
      <c r="U2856" s="14"/>
      <c r="V2856" s="70"/>
      <c r="W2856" s="14"/>
      <c r="X2856" s="42"/>
      <c r="Y2856" s="14"/>
      <c r="Z2856" s="14"/>
      <c r="AA2856" s="14"/>
      <c r="AC2856" s="14"/>
      <c r="AD2856" s="14"/>
      <c r="AE2856" s="14"/>
      <c r="AF2856" s="20"/>
      <c r="AH2856" s="14"/>
      <c r="AI2856" s="14"/>
      <c r="AJ2856" s="14"/>
      <c r="AK2856" s="20"/>
      <c r="AM2856" s="14"/>
      <c r="AN2856" s="14"/>
      <c r="AO2856" s="14"/>
      <c r="AU2856" s="71" t="s">
        <v>53</v>
      </c>
    </row>
    <row r="2857" spans="1:47" s="12" customFormat="1" hidden="1" x14ac:dyDescent="0.3">
      <c r="A2857" s="42" t="s">
        <v>505</v>
      </c>
      <c r="B2857" s="42" t="s">
        <v>7306</v>
      </c>
      <c r="C2857" s="42">
        <v>70</v>
      </c>
      <c r="D2857" s="42">
        <v>823</v>
      </c>
      <c r="E2857" s="42"/>
      <c r="F2857" s="43" t="s">
        <v>7520</v>
      </c>
      <c r="G2857" s="42" t="str">
        <f t="shared" si="68"/>
        <v>7082311087592309</v>
      </c>
      <c r="H2857" s="4" t="s">
        <v>7521</v>
      </c>
      <c r="I2857" s="4" t="s">
        <v>7522</v>
      </c>
      <c r="J2857" s="4" t="s">
        <v>7523</v>
      </c>
      <c r="K2857" s="4" t="s">
        <v>230</v>
      </c>
      <c r="L2857" s="4">
        <v>3226656846</v>
      </c>
      <c r="M2857" s="6" t="s">
        <v>7524</v>
      </c>
      <c r="N2857" s="12" t="s">
        <v>432</v>
      </c>
      <c r="O2857" s="12" t="s">
        <v>432</v>
      </c>
      <c r="P2857" s="4" t="s">
        <v>261</v>
      </c>
      <c r="Q2857" s="4"/>
      <c r="R2857" s="79"/>
      <c r="S2857" s="4"/>
      <c r="T2857" s="14"/>
      <c r="U2857" s="14"/>
      <c r="V2857" s="70"/>
      <c r="W2857" s="14"/>
      <c r="X2857" s="42"/>
      <c r="Y2857" s="14"/>
      <c r="Z2857" s="14"/>
      <c r="AA2857" s="14"/>
      <c r="AC2857" s="14"/>
      <c r="AD2857" s="14"/>
      <c r="AE2857" s="14"/>
      <c r="AF2857" s="20"/>
      <c r="AH2857" s="14"/>
      <c r="AI2857" s="14"/>
      <c r="AJ2857" s="14"/>
      <c r="AK2857" s="20"/>
      <c r="AM2857" s="14"/>
      <c r="AN2857" s="14"/>
      <c r="AO2857" s="14"/>
      <c r="AU2857" s="71" t="s">
        <v>53</v>
      </c>
    </row>
    <row r="2858" spans="1:47" s="12" customFormat="1" hidden="1" x14ac:dyDescent="0.3">
      <c r="A2858" s="42" t="s">
        <v>505</v>
      </c>
      <c r="B2858" s="42" t="s">
        <v>7306</v>
      </c>
      <c r="C2858" s="42">
        <v>70</v>
      </c>
      <c r="D2858" s="42">
        <v>823</v>
      </c>
      <c r="E2858" s="42"/>
      <c r="F2858" s="43" t="s">
        <v>7525</v>
      </c>
      <c r="G2858" s="42" t="str">
        <f t="shared" si="68"/>
        <v>708231108766573</v>
      </c>
      <c r="H2858" s="4" t="s">
        <v>7526</v>
      </c>
      <c r="I2858" s="4" t="s">
        <v>7527</v>
      </c>
      <c r="J2858" s="4" t="s">
        <v>7528</v>
      </c>
      <c r="K2858" s="4" t="s">
        <v>230</v>
      </c>
      <c r="L2858" s="4">
        <v>3013606289</v>
      </c>
      <c r="M2858" s="6" t="s">
        <v>7529</v>
      </c>
      <c r="N2858" s="12" t="s">
        <v>432</v>
      </c>
      <c r="O2858" s="12" t="s">
        <v>432</v>
      </c>
      <c r="P2858" s="4" t="s">
        <v>261</v>
      </c>
      <c r="Q2858" s="4"/>
      <c r="R2858" s="79"/>
      <c r="S2858" s="4"/>
      <c r="T2858" s="14"/>
      <c r="U2858" s="14"/>
      <c r="V2858" s="70"/>
      <c r="W2858" s="14"/>
      <c r="X2858" s="42"/>
      <c r="Y2858" s="14"/>
      <c r="Z2858" s="14"/>
      <c r="AA2858" s="14"/>
      <c r="AC2858" s="14"/>
      <c r="AD2858" s="14"/>
      <c r="AE2858" s="14"/>
      <c r="AF2858" s="20"/>
      <c r="AH2858" s="14"/>
      <c r="AI2858" s="14"/>
      <c r="AJ2858" s="14"/>
      <c r="AK2858" s="20"/>
      <c r="AM2858" s="14"/>
      <c r="AN2858" s="14"/>
      <c r="AO2858" s="14"/>
      <c r="AU2858" s="71" t="s">
        <v>53</v>
      </c>
    </row>
    <row r="2859" spans="1:47" s="12" customFormat="1" hidden="1" x14ac:dyDescent="0.3">
      <c r="A2859" s="42" t="s">
        <v>505</v>
      </c>
      <c r="B2859" s="42" t="s">
        <v>7306</v>
      </c>
      <c r="C2859" s="42">
        <v>70</v>
      </c>
      <c r="D2859" s="42">
        <v>823</v>
      </c>
      <c r="E2859" s="42"/>
      <c r="F2859" s="43" t="s">
        <v>7530</v>
      </c>
      <c r="G2859" s="42" t="str">
        <f t="shared" si="68"/>
        <v>70823645459962</v>
      </c>
      <c r="H2859" s="4" t="s">
        <v>7531</v>
      </c>
      <c r="I2859" s="4" t="s">
        <v>7532</v>
      </c>
      <c r="J2859" s="4" t="s">
        <v>7533</v>
      </c>
      <c r="K2859" s="4" t="s">
        <v>230</v>
      </c>
      <c r="L2859" s="4" t="s">
        <v>7534</v>
      </c>
      <c r="M2859" s="6" t="s">
        <v>7535</v>
      </c>
      <c r="N2859" s="12" t="s">
        <v>46</v>
      </c>
      <c r="O2859" s="68" t="s">
        <v>1773</v>
      </c>
      <c r="P2859" s="4" t="s">
        <v>80</v>
      </c>
      <c r="Q2859" s="4"/>
      <c r="R2859" s="79"/>
      <c r="S2859" s="4"/>
      <c r="T2859" s="14"/>
      <c r="U2859" s="14"/>
      <c r="V2859" s="70"/>
      <c r="W2859" s="14"/>
      <c r="X2859" s="42"/>
      <c r="Y2859" s="14"/>
      <c r="Z2859" s="14"/>
      <c r="AA2859" s="14"/>
      <c r="AC2859" s="14"/>
      <c r="AD2859" s="14"/>
      <c r="AE2859" s="14"/>
      <c r="AF2859" s="20"/>
      <c r="AH2859" s="14"/>
      <c r="AI2859" s="14"/>
      <c r="AJ2859" s="14"/>
      <c r="AK2859" s="20"/>
      <c r="AM2859" s="14"/>
      <c r="AN2859" s="14"/>
      <c r="AO2859" s="14"/>
      <c r="AU2859" s="71" t="s">
        <v>53</v>
      </c>
    </row>
    <row r="2860" spans="1:47" s="12" customFormat="1" ht="31.2" hidden="1" x14ac:dyDescent="0.3">
      <c r="A2860" s="42" t="s">
        <v>505</v>
      </c>
      <c r="B2860" s="42" t="s">
        <v>7306</v>
      </c>
      <c r="C2860" s="42">
        <v>70</v>
      </c>
      <c r="D2860" s="42">
        <v>823</v>
      </c>
      <c r="E2860" s="42"/>
      <c r="F2860" s="43" t="s">
        <v>323</v>
      </c>
      <c r="G2860" s="42" t="str">
        <f t="shared" si="68"/>
        <v>708231102893295</v>
      </c>
      <c r="H2860" s="4" t="s">
        <v>7536</v>
      </c>
      <c r="I2860" s="4">
        <v>1102893295</v>
      </c>
      <c r="J2860" s="4" t="s">
        <v>7537</v>
      </c>
      <c r="K2860" s="4" t="s">
        <v>230</v>
      </c>
      <c r="L2860" s="4">
        <v>3147300312</v>
      </c>
      <c r="M2860" s="12" t="s">
        <v>45</v>
      </c>
      <c r="N2860" s="12" t="s">
        <v>259</v>
      </c>
      <c r="O2860" s="12" t="s">
        <v>260</v>
      </c>
      <c r="P2860" s="4" t="s">
        <v>261</v>
      </c>
      <c r="Q2860" s="69">
        <v>45590</v>
      </c>
      <c r="R2860" s="79">
        <v>0.78500000000000003</v>
      </c>
      <c r="S2860" s="4" t="s">
        <v>49</v>
      </c>
      <c r="T2860" s="14"/>
      <c r="U2860" s="14"/>
      <c r="V2860" s="70"/>
      <c r="W2860" s="14"/>
      <c r="X2860" s="42"/>
      <c r="Y2860" s="14"/>
      <c r="Z2860" s="14"/>
      <c r="AA2860" s="14"/>
      <c r="AC2860" s="14"/>
      <c r="AD2860" s="14"/>
      <c r="AE2860" s="14"/>
      <c r="AF2860" s="20"/>
      <c r="AH2860" s="14"/>
      <c r="AI2860" s="14"/>
      <c r="AJ2860" s="14"/>
      <c r="AK2860" s="20"/>
      <c r="AM2860" s="14"/>
      <c r="AN2860" s="14"/>
      <c r="AO2860" s="14"/>
      <c r="AU2860" s="71" t="s">
        <v>53</v>
      </c>
    </row>
    <row r="2861" spans="1:47" s="12" customFormat="1" ht="28.5" hidden="1" customHeight="1" x14ac:dyDescent="0.3">
      <c r="A2861" s="42" t="s">
        <v>505</v>
      </c>
      <c r="B2861" s="42" t="s">
        <v>7306</v>
      </c>
      <c r="C2861" s="42">
        <v>70</v>
      </c>
      <c r="D2861" s="42">
        <v>823</v>
      </c>
      <c r="E2861" s="42" t="s">
        <v>196</v>
      </c>
      <c r="F2861" s="42" t="s">
        <v>7538</v>
      </c>
      <c r="G2861" s="42" t="str">
        <f t="shared" si="68"/>
        <v>708239017484310</v>
      </c>
      <c r="H2861" s="14" t="s">
        <v>710</v>
      </c>
      <c r="I2861" s="14" t="s">
        <v>198</v>
      </c>
      <c r="J2861" s="14" t="s">
        <v>7539</v>
      </c>
      <c r="K2861" s="4" t="s">
        <v>230</v>
      </c>
      <c r="L2861" s="74">
        <v>3103155698</v>
      </c>
      <c r="M2861" s="17" t="s">
        <v>200</v>
      </c>
      <c r="N2861" s="12" t="s">
        <v>127</v>
      </c>
      <c r="O2861" s="12" t="s">
        <v>2822</v>
      </c>
      <c r="P2861" s="4" t="s">
        <v>48</v>
      </c>
      <c r="Q2861" s="69">
        <v>45723</v>
      </c>
      <c r="R2861" s="85">
        <v>0.875</v>
      </c>
      <c r="S2861" s="4" t="s">
        <v>49</v>
      </c>
      <c r="T2861" s="14"/>
      <c r="U2861" s="14"/>
      <c r="V2861" s="70"/>
      <c r="W2861" s="14"/>
      <c r="X2861" s="42"/>
      <c r="Y2861" s="14"/>
      <c r="Z2861" s="14"/>
      <c r="AA2861" s="14"/>
      <c r="AC2861" s="14"/>
      <c r="AD2861" s="14"/>
      <c r="AE2861" s="14"/>
      <c r="AF2861" s="20"/>
      <c r="AH2861" s="14"/>
      <c r="AI2861" s="14"/>
      <c r="AJ2861" s="14"/>
      <c r="AK2861" s="20"/>
      <c r="AM2861" s="14"/>
      <c r="AN2861" s="14"/>
      <c r="AO2861" s="14"/>
      <c r="AU2861" s="71" t="s">
        <v>53</v>
      </c>
    </row>
    <row r="2862" spans="1:47" s="12" customFormat="1" ht="28.5" hidden="1" customHeight="1" x14ac:dyDescent="0.3">
      <c r="A2862" s="42" t="s">
        <v>505</v>
      </c>
      <c r="B2862" s="42" t="s">
        <v>7306</v>
      </c>
      <c r="C2862" s="42">
        <v>70</v>
      </c>
      <c r="D2862" s="42">
        <v>823</v>
      </c>
      <c r="E2862" s="42" t="s">
        <v>8467</v>
      </c>
      <c r="F2862" s="277" t="s">
        <v>7540</v>
      </c>
      <c r="G2862" s="42" t="str">
        <f t="shared" si="68"/>
        <v>708239020211365</v>
      </c>
      <c r="H2862" s="14" t="s">
        <v>8464</v>
      </c>
      <c r="I2862" s="4">
        <v>9020211365</v>
      </c>
      <c r="J2862" s="4" t="s">
        <v>7541</v>
      </c>
      <c r="K2862" s="4" t="s">
        <v>133</v>
      </c>
      <c r="L2862" s="4">
        <v>3106868292</v>
      </c>
      <c r="M2862" s="17" t="s">
        <v>8413</v>
      </c>
      <c r="N2862" s="12" t="s">
        <v>127</v>
      </c>
      <c r="O2862" s="12" t="s">
        <v>2822</v>
      </c>
      <c r="P2862" s="4" t="s">
        <v>48</v>
      </c>
      <c r="Q2862" s="13">
        <v>46192</v>
      </c>
      <c r="R2862" s="12" t="s">
        <v>2768</v>
      </c>
      <c r="S2862" s="4" t="s">
        <v>49</v>
      </c>
      <c r="U2862" s="12" t="s">
        <v>50</v>
      </c>
      <c r="V2862" s="69">
        <v>45723</v>
      </c>
      <c r="W2862" s="85">
        <v>0.875</v>
      </c>
      <c r="X2862" s="4" t="s">
        <v>49</v>
      </c>
      <c r="Y2862" s="14"/>
      <c r="Z2862" s="14" t="s">
        <v>50</v>
      </c>
      <c r="AA2862" s="14"/>
      <c r="AC2862" s="14"/>
      <c r="AD2862" s="14"/>
      <c r="AE2862" s="14"/>
      <c r="AF2862" s="20"/>
      <c r="AH2862" s="14"/>
      <c r="AI2862" s="14"/>
      <c r="AJ2862" s="14"/>
      <c r="AK2862" s="20"/>
      <c r="AM2862" s="14"/>
      <c r="AN2862" s="14"/>
      <c r="AO2862" s="14"/>
      <c r="AU2862" s="71" t="s">
        <v>53</v>
      </c>
    </row>
    <row r="2863" spans="1:47" s="12" customFormat="1" ht="28.5" hidden="1" customHeight="1" x14ac:dyDescent="0.3">
      <c r="A2863" s="42" t="s">
        <v>505</v>
      </c>
      <c r="B2863" s="42" t="s">
        <v>7306</v>
      </c>
      <c r="C2863" s="42">
        <v>70</v>
      </c>
      <c r="D2863" s="42">
        <v>823</v>
      </c>
      <c r="E2863" s="42" t="s">
        <v>7331</v>
      </c>
      <c r="F2863" s="42" t="s">
        <v>7542</v>
      </c>
      <c r="G2863" s="42" t="str">
        <f t="shared" si="68"/>
        <v>708238001384521</v>
      </c>
      <c r="H2863" s="14" t="s">
        <v>7333</v>
      </c>
      <c r="I2863" s="4" t="s">
        <v>7334</v>
      </c>
      <c r="J2863" s="4" t="s">
        <v>7543</v>
      </c>
      <c r="K2863" s="4" t="s">
        <v>133</v>
      </c>
      <c r="L2863" s="4">
        <v>3103500262</v>
      </c>
      <c r="M2863" s="17" t="s">
        <v>7544</v>
      </c>
      <c r="N2863" s="12" t="s">
        <v>127</v>
      </c>
      <c r="O2863" s="12" t="s">
        <v>2822</v>
      </c>
      <c r="P2863" s="4" t="s">
        <v>48</v>
      </c>
      <c r="Q2863" s="69">
        <v>45742</v>
      </c>
      <c r="R2863" s="79">
        <v>0.92</v>
      </c>
      <c r="S2863" s="4" t="s">
        <v>210</v>
      </c>
      <c r="T2863" s="14"/>
      <c r="U2863" s="14"/>
      <c r="V2863" s="69">
        <v>45421</v>
      </c>
      <c r="W2863" s="11">
        <v>0.88500000000000001</v>
      </c>
      <c r="X2863" s="4" t="s">
        <v>49</v>
      </c>
      <c r="Y2863" s="14"/>
      <c r="Z2863" s="14" t="s">
        <v>50</v>
      </c>
      <c r="AA2863" s="14"/>
      <c r="AC2863" s="14"/>
      <c r="AD2863" s="14"/>
      <c r="AE2863" s="14"/>
      <c r="AF2863" s="20"/>
      <c r="AH2863" s="14"/>
      <c r="AI2863" s="14"/>
      <c r="AJ2863" s="14"/>
      <c r="AK2863" s="20"/>
      <c r="AM2863" s="14"/>
      <c r="AN2863" s="14"/>
      <c r="AO2863" s="14"/>
      <c r="AU2863" s="71" t="s">
        <v>53</v>
      </c>
    </row>
    <row r="2864" spans="1:47" s="12" customFormat="1" ht="28.5" hidden="1" customHeight="1" x14ac:dyDescent="0.3">
      <c r="A2864" s="42" t="s">
        <v>505</v>
      </c>
      <c r="B2864" s="42" t="s">
        <v>7306</v>
      </c>
      <c r="C2864" s="42">
        <v>70</v>
      </c>
      <c r="D2864" s="42">
        <v>823</v>
      </c>
      <c r="E2864" s="42" t="s">
        <v>7331</v>
      </c>
      <c r="F2864" s="42" t="s">
        <v>7545</v>
      </c>
      <c r="G2864" s="42" t="str">
        <f t="shared" si="68"/>
        <v>708238001384521</v>
      </c>
      <c r="H2864" s="14" t="s">
        <v>7333</v>
      </c>
      <c r="I2864" s="4" t="s">
        <v>7334</v>
      </c>
      <c r="J2864" s="4" t="s">
        <v>7546</v>
      </c>
      <c r="K2864" s="4" t="s">
        <v>133</v>
      </c>
      <c r="L2864" s="4">
        <v>3103500262</v>
      </c>
      <c r="M2864" s="17" t="s">
        <v>7544</v>
      </c>
      <c r="N2864" s="12" t="s">
        <v>127</v>
      </c>
      <c r="O2864" s="12" t="s">
        <v>2822</v>
      </c>
      <c r="P2864" s="4" t="s">
        <v>48</v>
      </c>
      <c r="Q2864" s="69">
        <v>45743</v>
      </c>
      <c r="R2864" s="85">
        <v>0.88500000000000001</v>
      </c>
      <c r="S2864" s="4" t="s">
        <v>49</v>
      </c>
      <c r="T2864" s="14"/>
      <c r="U2864" s="14"/>
      <c r="V2864" s="69">
        <v>45422</v>
      </c>
      <c r="W2864" s="11">
        <v>0.90500000000000003</v>
      </c>
      <c r="X2864" s="4" t="s">
        <v>210</v>
      </c>
      <c r="Y2864" s="14"/>
      <c r="Z2864" s="14" t="s">
        <v>50</v>
      </c>
      <c r="AA2864" s="14"/>
      <c r="AC2864" s="14"/>
      <c r="AD2864" s="14"/>
      <c r="AE2864" s="14"/>
      <c r="AF2864" s="20"/>
      <c r="AH2864" s="14"/>
      <c r="AI2864" s="14"/>
      <c r="AJ2864" s="14"/>
      <c r="AK2864" s="20"/>
      <c r="AM2864" s="14"/>
      <c r="AN2864" s="14"/>
      <c r="AO2864" s="14"/>
      <c r="AU2864" s="71" t="s">
        <v>53</v>
      </c>
    </row>
    <row r="2865" spans="1:47" s="12" customFormat="1" ht="28.5" hidden="1" customHeight="1" x14ac:dyDescent="0.3">
      <c r="A2865" s="42" t="s">
        <v>505</v>
      </c>
      <c r="B2865" s="42" t="s">
        <v>7306</v>
      </c>
      <c r="C2865" s="42">
        <v>70</v>
      </c>
      <c r="D2865" s="42">
        <v>823</v>
      </c>
      <c r="E2865" s="42" t="s">
        <v>7331</v>
      </c>
      <c r="F2865" s="42" t="s">
        <v>7547</v>
      </c>
      <c r="G2865" s="42" t="str">
        <f t="shared" si="68"/>
        <v>708238001384521</v>
      </c>
      <c r="H2865" s="14" t="s">
        <v>7333</v>
      </c>
      <c r="I2865" s="4" t="s">
        <v>7334</v>
      </c>
      <c r="J2865" s="4" t="s">
        <v>7548</v>
      </c>
      <c r="K2865" s="4" t="s">
        <v>133</v>
      </c>
      <c r="L2865" s="4">
        <v>3103500262</v>
      </c>
      <c r="M2865" s="17" t="s">
        <v>7544</v>
      </c>
      <c r="N2865" s="12" t="s">
        <v>127</v>
      </c>
      <c r="O2865" s="12" t="s">
        <v>2822</v>
      </c>
      <c r="P2865" s="4" t="s">
        <v>48</v>
      </c>
      <c r="Q2865" s="69">
        <v>45723</v>
      </c>
      <c r="R2865" s="85">
        <v>0.88500000000000001</v>
      </c>
      <c r="S2865" s="4" t="s">
        <v>49</v>
      </c>
      <c r="T2865" s="14"/>
      <c r="U2865" s="14"/>
      <c r="V2865" s="69">
        <v>45420</v>
      </c>
      <c r="W2865" s="11">
        <v>0.89500000000000002</v>
      </c>
      <c r="X2865" s="42" t="s">
        <v>210</v>
      </c>
      <c r="Y2865" s="14"/>
      <c r="Z2865" s="14" t="s">
        <v>50</v>
      </c>
      <c r="AA2865" s="14"/>
      <c r="AC2865" s="14"/>
      <c r="AD2865" s="14"/>
      <c r="AE2865" s="14"/>
      <c r="AF2865" s="20"/>
      <c r="AH2865" s="14"/>
      <c r="AI2865" s="14"/>
      <c r="AJ2865" s="14"/>
      <c r="AK2865" s="20"/>
      <c r="AM2865" s="14"/>
      <c r="AN2865" s="14"/>
      <c r="AO2865" s="14"/>
      <c r="AU2865" s="71" t="s">
        <v>53</v>
      </c>
    </row>
    <row r="2866" spans="1:47" s="12" customFormat="1" ht="28.5" hidden="1" customHeight="1" x14ac:dyDescent="0.3">
      <c r="A2866" s="42" t="s">
        <v>505</v>
      </c>
      <c r="B2866" s="42" t="s">
        <v>7306</v>
      </c>
      <c r="C2866" s="42">
        <v>70</v>
      </c>
      <c r="D2866" s="42">
        <v>823</v>
      </c>
      <c r="E2866" s="42" t="s">
        <v>7331</v>
      </c>
      <c r="F2866" s="42" t="s">
        <v>7549</v>
      </c>
      <c r="G2866" s="42" t="str">
        <f t="shared" si="68"/>
        <v>708238001384521</v>
      </c>
      <c r="H2866" s="14" t="s">
        <v>7333</v>
      </c>
      <c r="I2866" s="4" t="s">
        <v>7334</v>
      </c>
      <c r="J2866" s="4" t="s">
        <v>7550</v>
      </c>
      <c r="K2866" s="4" t="s">
        <v>133</v>
      </c>
      <c r="L2866" s="4">
        <v>3103500262</v>
      </c>
      <c r="M2866" s="17" t="s">
        <v>7544</v>
      </c>
      <c r="N2866" s="12" t="s">
        <v>127</v>
      </c>
      <c r="O2866" s="12" t="s">
        <v>2822</v>
      </c>
      <c r="P2866" s="4" t="s">
        <v>48</v>
      </c>
      <c r="Q2866" s="69">
        <v>45723</v>
      </c>
      <c r="R2866" s="85">
        <v>0.84499999999999997</v>
      </c>
      <c r="S2866" s="4" t="s">
        <v>49</v>
      </c>
      <c r="T2866" s="14"/>
      <c r="U2866" s="14"/>
      <c r="V2866" s="69">
        <v>45422</v>
      </c>
      <c r="W2866" s="11">
        <v>0.83499999999999996</v>
      </c>
      <c r="X2866" s="4" t="s">
        <v>49</v>
      </c>
      <c r="Y2866" s="14"/>
      <c r="Z2866" s="14" t="s">
        <v>50</v>
      </c>
      <c r="AA2866" s="14"/>
      <c r="AC2866" s="14"/>
      <c r="AD2866" s="14"/>
      <c r="AE2866" s="14"/>
      <c r="AF2866" s="20"/>
      <c r="AH2866" s="14"/>
      <c r="AI2866" s="14"/>
      <c r="AJ2866" s="14"/>
      <c r="AK2866" s="20"/>
      <c r="AM2866" s="14"/>
      <c r="AN2866" s="14"/>
      <c r="AO2866" s="14"/>
      <c r="AU2866" s="71" t="s">
        <v>53</v>
      </c>
    </row>
    <row r="2867" spans="1:47" s="12" customFormat="1" ht="28.5" hidden="1" customHeight="1" x14ac:dyDescent="0.3">
      <c r="A2867" s="42" t="s">
        <v>505</v>
      </c>
      <c r="B2867" s="42" t="s">
        <v>7306</v>
      </c>
      <c r="C2867" s="42">
        <v>70</v>
      </c>
      <c r="D2867" s="42">
        <v>823</v>
      </c>
      <c r="E2867" s="42" t="s">
        <v>7331</v>
      </c>
      <c r="F2867" s="42" t="s">
        <v>7551</v>
      </c>
      <c r="G2867" s="42" t="str">
        <f t="shared" si="68"/>
        <v>708238001384521</v>
      </c>
      <c r="H2867" s="14" t="s">
        <v>7333</v>
      </c>
      <c r="I2867" s="4" t="s">
        <v>7334</v>
      </c>
      <c r="J2867" s="4" t="s">
        <v>7552</v>
      </c>
      <c r="K2867" s="4" t="s">
        <v>133</v>
      </c>
      <c r="L2867" s="4">
        <v>3183950029</v>
      </c>
      <c r="M2867" s="17" t="s">
        <v>7544</v>
      </c>
      <c r="N2867" s="12" t="s">
        <v>127</v>
      </c>
      <c r="O2867" s="12" t="s">
        <v>2822</v>
      </c>
      <c r="P2867" s="4" t="s">
        <v>48</v>
      </c>
      <c r="Q2867" s="69">
        <v>45848</v>
      </c>
      <c r="R2867" s="79">
        <v>0.75</v>
      </c>
      <c r="S2867" s="4" t="s">
        <v>49</v>
      </c>
      <c r="T2867" s="14"/>
      <c r="U2867" s="14"/>
      <c r="V2867" s="49">
        <v>45069</v>
      </c>
      <c r="W2867" s="79">
        <v>0.81</v>
      </c>
      <c r="X2867" s="4" t="s">
        <v>49</v>
      </c>
      <c r="Y2867" s="14"/>
      <c r="Z2867" s="14" t="s">
        <v>50</v>
      </c>
      <c r="AA2867" s="14"/>
      <c r="AC2867" s="14"/>
      <c r="AD2867" s="14"/>
      <c r="AE2867" s="14"/>
      <c r="AF2867" s="20"/>
      <c r="AH2867" s="14"/>
      <c r="AI2867" s="14"/>
      <c r="AJ2867" s="14"/>
      <c r="AK2867" s="20"/>
      <c r="AM2867" s="14"/>
      <c r="AN2867" s="14"/>
      <c r="AO2867" s="14"/>
      <c r="AU2867" s="71" t="s">
        <v>53</v>
      </c>
    </row>
    <row r="2868" spans="1:47" s="12" customFormat="1" ht="28.5" hidden="1" customHeight="1" x14ac:dyDescent="0.3">
      <c r="A2868" s="42" t="s">
        <v>505</v>
      </c>
      <c r="B2868" s="42" t="s">
        <v>7306</v>
      </c>
      <c r="C2868" s="42">
        <v>70</v>
      </c>
      <c r="D2868" s="42">
        <v>823</v>
      </c>
      <c r="E2868" s="42" t="s">
        <v>7331</v>
      </c>
      <c r="F2868" s="42" t="s">
        <v>7553</v>
      </c>
      <c r="G2868" s="42" t="str">
        <f t="shared" si="68"/>
        <v>708238001384521</v>
      </c>
      <c r="H2868" s="14" t="s">
        <v>7333</v>
      </c>
      <c r="I2868" s="4" t="s">
        <v>7334</v>
      </c>
      <c r="J2868" s="4" t="s">
        <v>7554</v>
      </c>
      <c r="K2868" s="4" t="s">
        <v>133</v>
      </c>
      <c r="L2868" s="4">
        <v>3168676962</v>
      </c>
      <c r="M2868" s="17" t="s">
        <v>7544</v>
      </c>
      <c r="N2868" s="12" t="s">
        <v>127</v>
      </c>
      <c r="O2868" s="12" t="s">
        <v>2822</v>
      </c>
      <c r="P2868" s="4" t="s">
        <v>48</v>
      </c>
      <c r="Q2868" s="42"/>
      <c r="R2868" s="74"/>
      <c r="S2868" s="14"/>
      <c r="T2868" s="14"/>
      <c r="U2868" s="14"/>
      <c r="V2868" s="70"/>
      <c r="W2868" s="14"/>
      <c r="X2868" s="42"/>
      <c r="Y2868" s="14"/>
      <c r="Z2868" s="14"/>
      <c r="AA2868" s="14"/>
      <c r="AC2868" s="14"/>
      <c r="AD2868" s="14"/>
      <c r="AE2868" s="14"/>
      <c r="AF2868" s="20"/>
      <c r="AH2868" s="14"/>
      <c r="AI2868" s="14"/>
      <c r="AJ2868" s="14"/>
      <c r="AK2868" s="20"/>
      <c r="AM2868" s="14"/>
      <c r="AN2868" s="14"/>
      <c r="AO2868" s="14"/>
      <c r="AU2868" s="71" t="s">
        <v>53</v>
      </c>
    </row>
    <row r="2869" spans="1:47" s="12" customFormat="1" hidden="1" x14ac:dyDescent="0.3">
      <c r="A2869" s="42" t="s">
        <v>505</v>
      </c>
      <c r="B2869" s="42" t="s">
        <v>7306</v>
      </c>
      <c r="C2869" s="42">
        <v>70</v>
      </c>
      <c r="D2869" s="42">
        <v>823</v>
      </c>
      <c r="E2869" s="42"/>
      <c r="F2869" s="42" t="s">
        <v>7555</v>
      </c>
      <c r="G2869" s="42" t="str">
        <f t="shared" si="68"/>
        <v>708239018157960</v>
      </c>
      <c r="H2869" s="14"/>
      <c r="I2869" s="4" t="s">
        <v>7556</v>
      </c>
      <c r="J2869" s="4" t="s">
        <v>7557</v>
      </c>
      <c r="K2869" s="4" t="s">
        <v>230</v>
      </c>
      <c r="L2869" s="4">
        <v>3012053949</v>
      </c>
      <c r="M2869" s="17" t="s">
        <v>7558</v>
      </c>
      <c r="N2869" s="12" t="s">
        <v>259</v>
      </c>
      <c r="O2869" s="12" t="s">
        <v>275</v>
      </c>
      <c r="P2869" s="4" t="s">
        <v>261</v>
      </c>
      <c r="Q2869" s="42"/>
      <c r="R2869" s="74"/>
      <c r="S2869" s="14"/>
      <c r="T2869" s="14"/>
      <c r="U2869" s="14"/>
      <c r="V2869" s="70"/>
      <c r="W2869" s="14"/>
      <c r="X2869" s="42"/>
      <c r="Y2869" s="14"/>
      <c r="Z2869" s="14"/>
      <c r="AA2869" s="14"/>
      <c r="AC2869" s="14"/>
      <c r="AD2869" s="14"/>
      <c r="AE2869" s="14"/>
      <c r="AF2869" s="20"/>
      <c r="AH2869" s="14"/>
      <c r="AI2869" s="14"/>
      <c r="AJ2869" s="14"/>
      <c r="AK2869" s="20"/>
      <c r="AM2869" s="14"/>
      <c r="AN2869" s="14"/>
      <c r="AO2869" s="14"/>
      <c r="AU2869" s="71" t="s">
        <v>53</v>
      </c>
    </row>
    <row r="2870" spans="1:47" s="12" customFormat="1" ht="28.5" hidden="1" customHeight="1" x14ac:dyDescent="0.3">
      <c r="A2870" s="42" t="s">
        <v>505</v>
      </c>
      <c r="B2870" s="42" t="s">
        <v>7306</v>
      </c>
      <c r="C2870" s="42">
        <v>70</v>
      </c>
      <c r="D2870" s="42">
        <v>823</v>
      </c>
      <c r="E2870" s="42" t="s">
        <v>196</v>
      </c>
      <c r="F2870" s="42" t="s">
        <v>7559</v>
      </c>
      <c r="G2870" s="42" t="str">
        <f t="shared" si="68"/>
        <v>708239017484310</v>
      </c>
      <c r="H2870" s="14" t="s">
        <v>710</v>
      </c>
      <c r="I2870" s="4" t="s">
        <v>198</v>
      </c>
      <c r="J2870" s="4" t="s">
        <v>7560</v>
      </c>
      <c r="K2870" s="4" t="s">
        <v>133</v>
      </c>
      <c r="L2870" s="4">
        <v>3103155698</v>
      </c>
      <c r="M2870" s="17" t="s">
        <v>200</v>
      </c>
      <c r="N2870" s="12" t="s">
        <v>127</v>
      </c>
      <c r="O2870" s="12" t="s">
        <v>2822</v>
      </c>
      <c r="P2870" s="4" t="s">
        <v>48</v>
      </c>
      <c r="Q2870" s="69">
        <v>45750</v>
      </c>
      <c r="R2870" s="86">
        <v>0.86499999999999999</v>
      </c>
      <c r="S2870" s="4" t="s">
        <v>49</v>
      </c>
      <c r="T2870" s="14"/>
      <c r="U2870" s="14"/>
      <c r="V2870" s="70"/>
      <c r="W2870" s="14"/>
      <c r="X2870" s="42"/>
      <c r="Y2870" s="14"/>
      <c r="Z2870" s="14"/>
      <c r="AA2870" s="14"/>
      <c r="AC2870" s="14"/>
      <c r="AD2870" s="14"/>
      <c r="AE2870" s="14"/>
      <c r="AF2870" s="20"/>
      <c r="AH2870" s="14"/>
      <c r="AI2870" s="14"/>
      <c r="AJ2870" s="14"/>
      <c r="AK2870" s="20"/>
      <c r="AM2870" s="14"/>
      <c r="AN2870" s="14"/>
      <c r="AO2870" s="14"/>
      <c r="AU2870" s="71" t="s">
        <v>53</v>
      </c>
    </row>
    <row r="2871" spans="1:47" s="12" customFormat="1" ht="28.5" hidden="1" customHeight="1" x14ac:dyDescent="0.3">
      <c r="A2871" s="42" t="s">
        <v>505</v>
      </c>
      <c r="B2871" s="42" t="s">
        <v>7306</v>
      </c>
      <c r="C2871" s="42">
        <v>70</v>
      </c>
      <c r="D2871" s="42">
        <v>823</v>
      </c>
      <c r="E2871" s="42" t="s">
        <v>196</v>
      </c>
      <c r="F2871" s="42" t="s">
        <v>7561</v>
      </c>
      <c r="G2871" s="42" t="str">
        <f t="shared" si="68"/>
        <v>708239017484310</v>
      </c>
      <c r="H2871" s="14" t="s">
        <v>710</v>
      </c>
      <c r="I2871" s="4" t="s">
        <v>198</v>
      </c>
      <c r="J2871" s="14" t="s">
        <v>7562</v>
      </c>
      <c r="K2871" s="4" t="s">
        <v>133</v>
      </c>
      <c r="L2871" s="4">
        <v>3103155698</v>
      </c>
      <c r="M2871" s="17" t="s">
        <v>200</v>
      </c>
      <c r="N2871" s="12" t="s">
        <v>127</v>
      </c>
      <c r="O2871" s="12" t="s">
        <v>2822</v>
      </c>
      <c r="P2871" s="4" t="s">
        <v>48</v>
      </c>
      <c r="Q2871" s="69">
        <v>45749</v>
      </c>
      <c r="R2871" s="86">
        <v>0.81</v>
      </c>
      <c r="S2871" s="4" t="s">
        <v>49</v>
      </c>
      <c r="T2871" s="14"/>
      <c r="U2871" s="14"/>
      <c r="V2871" s="69">
        <v>45540</v>
      </c>
      <c r="W2871" s="55">
        <v>0.77500000000000002</v>
      </c>
      <c r="X2871" s="4" t="s">
        <v>49</v>
      </c>
      <c r="Y2871" s="14"/>
      <c r="Z2871" s="14" t="s">
        <v>50</v>
      </c>
      <c r="AA2871" s="14"/>
      <c r="AC2871" s="14"/>
      <c r="AD2871" s="14"/>
      <c r="AE2871" s="14"/>
      <c r="AF2871" s="20"/>
      <c r="AH2871" s="14"/>
      <c r="AI2871" s="14"/>
      <c r="AJ2871" s="14"/>
      <c r="AK2871" s="20"/>
      <c r="AM2871" s="14"/>
      <c r="AN2871" s="14"/>
      <c r="AO2871" s="14"/>
      <c r="AU2871" s="71" t="s">
        <v>53</v>
      </c>
    </row>
    <row r="2872" spans="1:47" s="12" customFormat="1" ht="28.5" hidden="1" customHeight="1" x14ac:dyDescent="0.3">
      <c r="A2872" s="42" t="s">
        <v>505</v>
      </c>
      <c r="B2872" s="42" t="s">
        <v>7306</v>
      </c>
      <c r="C2872" s="42">
        <v>70</v>
      </c>
      <c r="D2872" s="42">
        <v>823</v>
      </c>
      <c r="E2872" s="42" t="s">
        <v>196</v>
      </c>
      <c r="F2872" s="42" t="s">
        <v>8316</v>
      </c>
      <c r="G2872" s="42" t="str">
        <f t="shared" si="68"/>
        <v>708239017484310</v>
      </c>
      <c r="H2872" s="14" t="s">
        <v>710</v>
      </c>
      <c r="I2872" s="4" t="s">
        <v>198</v>
      </c>
      <c r="J2872" s="14" t="s">
        <v>8318</v>
      </c>
      <c r="K2872" s="4" t="s">
        <v>133</v>
      </c>
      <c r="L2872" s="4">
        <v>3103155698</v>
      </c>
      <c r="M2872" s="17" t="s">
        <v>200</v>
      </c>
      <c r="N2872" s="12" t="s">
        <v>127</v>
      </c>
      <c r="O2872" s="12" t="s">
        <v>2822</v>
      </c>
      <c r="P2872" s="4" t="s">
        <v>48</v>
      </c>
      <c r="Q2872" s="69">
        <v>45723</v>
      </c>
      <c r="R2872" s="86" t="s">
        <v>1071</v>
      </c>
      <c r="S2872" s="4" t="s">
        <v>49</v>
      </c>
      <c r="T2872" s="14"/>
      <c r="U2872" s="14" t="s">
        <v>8317</v>
      </c>
      <c r="V2872" s="69"/>
      <c r="W2872" s="55"/>
      <c r="X2872" s="4"/>
      <c r="Y2872" s="14"/>
      <c r="Z2872" s="14"/>
      <c r="AA2872" s="14"/>
      <c r="AC2872" s="14"/>
      <c r="AD2872" s="14"/>
      <c r="AE2872" s="14"/>
      <c r="AF2872" s="20"/>
      <c r="AH2872" s="14"/>
      <c r="AI2872" s="14"/>
      <c r="AJ2872" s="14"/>
      <c r="AK2872" s="20"/>
      <c r="AM2872" s="14"/>
      <c r="AN2872" s="14"/>
      <c r="AO2872" s="14"/>
      <c r="AU2872" s="71"/>
    </row>
    <row r="2873" spans="1:47" s="12" customFormat="1" ht="28.5" hidden="1" customHeight="1" x14ac:dyDescent="0.3">
      <c r="A2873" s="42" t="s">
        <v>505</v>
      </c>
      <c r="B2873" s="42" t="s">
        <v>7306</v>
      </c>
      <c r="C2873" s="42">
        <v>70</v>
      </c>
      <c r="D2873" s="42">
        <v>823</v>
      </c>
      <c r="E2873" s="42" t="s">
        <v>8337</v>
      </c>
      <c r="F2873" s="277" t="s">
        <v>8320</v>
      </c>
      <c r="G2873" s="42" t="str">
        <f t="shared" si="68"/>
        <v>708239020247794</v>
      </c>
      <c r="H2873" s="14" t="s">
        <v>710</v>
      </c>
      <c r="I2873" s="4">
        <v>9020247794</v>
      </c>
      <c r="J2873" s="14" t="s">
        <v>8319</v>
      </c>
      <c r="K2873" s="4" t="s">
        <v>133</v>
      </c>
      <c r="L2873" s="4">
        <v>3135579651</v>
      </c>
      <c r="M2873" s="17" t="s">
        <v>8335</v>
      </c>
      <c r="N2873" s="12" t="s">
        <v>127</v>
      </c>
      <c r="O2873" s="12" t="s">
        <v>2822</v>
      </c>
      <c r="P2873" s="4" t="s">
        <v>48</v>
      </c>
      <c r="Q2873" s="13">
        <v>46134</v>
      </c>
      <c r="R2873" s="12" t="s">
        <v>4658</v>
      </c>
      <c r="S2873" s="4" t="s">
        <v>49</v>
      </c>
      <c r="U2873" s="12" t="s">
        <v>60</v>
      </c>
      <c r="V2873" s="69">
        <v>45954</v>
      </c>
      <c r="W2873" s="86">
        <v>0.85</v>
      </c>
      <c r="X2873" s="4" t="s">
        <v>49</v>
      </c>
      <c r="Y2873" s="14"/>
      <c r="Z2873" s="14" t="s">
        <v>8317</v>
      </c>
      <c r="AA2873" s="14"/>
      <c r="AC2873" s="14"/>
      <c r="AD2873" s="14"/>
      <c r="AE2873" s="14"/>
      <c r="AF2873" s="20"/>
      <c r="AH2873" s="14"/>
      <c r="AI2873" s="14"/>
      <c r="AJ2873" s="14"/>
      <c r="AK2873" s="20"/>
      <c r="AM2873" s="14"/>
      <c r="AN2873" s="14"/>
      <c r="AO2873" s="14"/>
      <c r="AU2873" s="71"/>
    </row>
    <row r="2874" spans="1:47" s="12" customFormat="1" ht="28.5" hidden="1" customHeight="1" x14ac:dyDescent="0.3">
      <c r="A2874" s="42" t="s">
        <v>505</v>
      </c>
      <c r="B2874" s="42" t="s">
        <v>7306</v>
      </c>
      <c r="C2874" s="42">
        <v>70</v>
      </c>
      <c r="D2874" s="42">
        <v>823</v>
      </c>
      <c r="E2874" s="42" t="s">
        <v>7563</v>
      </c>
      <c r="F2874" s="42" t="s">
        <v>7564</v>
      </c>
      <c r="G2874" s="42" t="str">
        <f t="shared" si="68"/>
        <v>708239000049671</v>
      </c>
      <c r="H2874" s="14"/>
      <c r="I2874" s="12" t="s">
        <v>7565</v>
      </c>
      <c r="J2874" s="14" t="s">
        <v>7566</v>
      </c>
      <c r="K2874" s="4" t="s">
        <v>230</v>
      </c>
      <c r="L2874" s="74">
        <v>3233840494</v>
      </c>
      <c r="M2874" s="17" t="s">
        <v>7567</v>
      </c>
      <c r="N2874" s="12" t="s">
        <v>127</v>
      </c>
      <c r="O2874" s="12" t="s">
        <v>2822</v>
      </c>
      <c r="P2874" s="4" t="s">
        <v>48</v>
      </c>
      <c r="Q2874" s="42"/>
      <c r="R2874" s="74"/>
      <c r="S2874" s="14"/>
      <c r="T2874" s="14"/>
      <c r="U2874" s="14"/>
      <c r="V2874" s="70"/>
      <c r="W2874" s="14"/>
      <c r="X2874" s="42"/>
      <c r="Y2874" s="14"/>
      <c r="Z2874" s="14"/>
      <c r="AA2874" s="14"/>
      <c r="AC2874" s="14"/>
      <c r="AD2874" s="14"/>
      <c r="AE2874" s="14"/>
      <c r="AF2874" s="20"/>
      <c r="AH2874" s="14"/>
      <c r="AI2874" s="14"/>
      <c r="AJ2874" s="14"/>
      <c r="AK2874" s="20"/>
      <c r="AM2874" s="14"/>
      <c r="AN2874" s="14"/>
      <c r="AO2874" s="14"/>
      <c r="AU2874" s="71" t="s">
        <v>53</v>
      </c>
    </row>
    <row r="2875" spans="1:47" s="12" customFormat="1" ht="28.5" hidden="1" customHeight="1" x14ac:dyDescent="0.3">
      <c r="A2875" s="42" t="s">
        <v>505</v>
      </c>
      <c r="B2875" s="42" t="s">
        <v>7306</v>
      </c>
      <c r="C2875" s="42">
        <v>70</v>
      </c>
      <c r="D2875" s="42">
        <v>823</v>
      </c>
      <c r="E2875" s="274" t="s">
        <v>8467</v>
      </c>
      <c r="F2875" s="277" t="s">
        <v>8463</v>
      </c>
      <c r="G2875" s="42" t="str">
        <f t="shared" si="68"/>
        <v>708239020211365</v>
      </c>
      <c r="H2875" s="14" t="s">
        <v>8464</v>
      </c>
      <c r="I2875" s="12">
        <v>9020211365</v>
      </c>
      <c r="J2875" s="14" t="s">
        <v>8465</v>
      </c>
      <c r="K2875" s="4" t="s">
        <v>133</v>
      </c>
      <c r="L2875" s="74">
        <v>3106868292</v>
      </c>
      <c r="M2875" s="17" t="s">
        <v>4899</v>
      </c>
      <c r="N2875" s="12" t="s">
        <v>127</v>
      </c>
      <c r="O2875" s="12" t="s">
        <v>2822</v>
      </c>
      <c r="P2875" s="4" t="s">
        <v>48</v>
      </c>
      <c r="Q2875" s="13">
        <v>46071</v>
      </c>
      <c r="R2875" s="12" t="s">
        <v>4108</v>
      </c>
      <c r="S2875" s="12" t="s">
        <v>49</v>
      </c>
      <c r="T2875" s="14"/>
      <c r="U2875" s="14" t="s">
        <v>50</v>
      </c>
      <c r="V2875" s="69">
        <v>45770</v>
      </c>
      <c r="W2875" s="78">
        <v>0.89500000000000002</v>
      </c>
      <c r="X2875" s="4" t="s">
        <v>49</v>
      </c>
      <c r="Y2875" s="14"/>
      <c r="Z2875" s="14" t="s">
        <v>2881</v>
      </c>
      <c r="AA2875" s="14"/>
      <c r="AC2875" s="69">
        <v>45441</v>
      </c>
      <c r="AD2875" s="21">
        <v>0.86</v>
      </c>
      <c r="AE2875" s="4" t="s">
        <v>49</v>
      </c>
      <c r="AF2875" s="20"/>
      <c r="AH2875" s="14"/>
      <c r="AI2875" s="14"/>
      <c r="AJ2875" s="14"/>
      <c r="AK2875" s="20"/>
      <c r="AM2875" s="14"/>
      <c r="AN2875" s="14"/>
      <c r="AO2875" s="14"/>
      <c r="AU2875" s="71" t="s">
        <v>53</v>
      </c>
    </row>
    <row r="2876" spans="1:47" s="12" customFormat="1" ht="19.5" hidden="1" customHeight="1" x14ac:dyDescent="0.3">
      <c r="A2876" s="42" t="s">
        <v>505</v>
      </c>
      <c r="B2876" s="42" t="s">
        <v>7306</v>
      </c>
      <c r="C2876" s="42">
        <v>70</v>
      </c>
      <c r="D2876" s="42">
        <v>823</v>
      </c>
      <c r="E2876" s="42"/>
      <c r="F2876" s="277" t="s">
        <v>8459</v>
      </c>
      <c r="G2876" s="42" t="str">
        <f t="shared" si="68"/>
        <v>70823925492919</v>
      </c>
      <c r="H2876" s="14" t="s">
        <v>8460</v>
      </c>
      <c r="I2876" s="12">
        <v>925492919</v>
      </c>
      <c r="J2876" s="14" t="s">
        <v>8461</v>
      </c>
      <c r="K2876" s="4" t="s">
        <v>133</v>
      </c>
      <c r="L2876" s="74">
        <v>3043997957</v>
      </c>
      <c r="M2876" s="17" t="s">
        <v>8462</v>
      </c>
      <c r="N2876" s="12" t="s">
        <v>432</v>
      </c>
      <c r="O2876" s="12" t="s">
        <v>432</v>
      </c>
      <c r="P2876" s="4" t="s">
        <v>261</v>
      </c>
      <c r="Q2876" s="69">
        <v>46072</v>
      </c>
      <c r="R2876" s="74" t="s">
        <v>81</v>
      </c>
      <c r="S2876" s="4" t="s">
        <v>49</v>
      </c>
      <c r="T2876" s="14"/>
      <c r="U2876" s="14"/>
      <c r="V2876" s="69"/>
      <c r="W2876" s="21"/>
      <c r="X2876" s="4"/>
      <c r="Y2876" s="14"/>
      <c r="Z2876" s="14"/>
      <c r="AA2876" s="14"/>
      <c r="AC2876" s="14"/>
      <c r="AD2876" s="14"/>
      <c r="AE2876" s="14"/>
      <c r="AF2876" s="20"/>
      <c r="AH2876" s="14"/>
      <c r="AI2876" s="14"/>
      <c r="AJ2876" s="14"/>
      <c r="AK2876" s="20"/>
      <c r="AM2876" s="14"/>
      <c r="AN2876" s="14"/>
      <c r="AO2876" s="14"/>
      <c r="AU2876" s="71" t="s">
        <v>53</v>
      </c>
    </row>
    <row r="2877" spans="1:47" s="12" customFormat="1" ht="17.25" hidden="1" customHeight="1" x14ac:dyDescent="0.3">
      <c r="A2877" s="42" t="s">
        <v>505</v>
      </c>
      <c r="B2877" s="42" t="s">
        <v>7306</v>
      </c>
      <c r="C2877" s="42">
        <v>70</v>
      </c>
      <c r="D2877" s="42">
        <v>823</v>
      </c>
      <c r="E2877" s="42"/>
      <c r="F2877" s="42" t="s">
        <v>7568</v>
      </c>
      <c r="G2877" s="42" t="str">
        <f t="shared" si="68"/>
        <v>70823647043911</v>
      </c>
      <c r="H2877" s="14" t="s">
        <v>7569</v>
      </c>
      <c r="I2877" s="12" t="s">
        <v>7570</v>
      </c>
      <c r="J2877" s="14" t="s">
        <v>7571</v>
      </c>
      <c r="K2877" s="4" t="s">
        <v>230</v>
      </c>
      <c r="L2877" s="74">
        <v>3132081915</v>
      </c>
      <c r="M2877" s="17" t="s">
        <v>7572</v>
      </c>
      <c r="N2877" s="12" t="s">
        <v>432</v>
      </c>
      <c r="O2877" s="12" t="s">
        <v>432</v>
      </c>
      <c r="P2877" s="4" t="s">
        <v>261</v>
      </c>
      <c r="Q2877" s="69">
        <v>45776</v>
      </c>
      <c r="R2877" s="78">
        <v>0.745</v>
      </c>
      <c r="S2877" s="4" t="s">
        <v>49</v>
      </c>
      <c r="T2877" s="14"/>
      <c r="U2877" s="14"/>
      <c r="V2877" s="70"/>
      <c r="W2877" s="14"/>
      <c r="X2877" s="42"/>
      <c r="Y2877" s="14"/>
      <c r="Z2877" s="14"/>
      <c r="AA2877" s="14"/>
      <c r="AC2877" s="14"/>
      <c r="AD2877" s="14"/>
      <c r="AE2877" s="14"/>
      <c r="AF2877" s="20"/>
      <c r="AH2877" s="14"/>
      <c r="AI2877" s="14"/>
      <c r="AJ2877" s="14"/>
      <c r="AK2877" s="20"/>
      <c r="AM2877" s="14"/>
      <c r="AN2877" s="14"/>
      <c r="AO2877" s="14"/>
      <c r="AU2877" s="71" t="s">
        <v>53</v>
      </c>
    </row>
    <row r="2878" spans="1:47" s="12" customFormat="1" ht="28.5" hidden="1" customHeight="1" x14ac:dyDescent="0.3">
      <c r="A2878" s="42" t="s">
        <v>505</v>
      </c>
      <c r="B2878" s="42" t="s">
        <v>7306</v>
      </c>
      <c r="C2878" s="42">
        <v>70</v>
      </c>
      <c r="D2878" s="42">
        <v>823</v>
      </c>
      <c r="E2878" s="42" t="s">
        <v>196</v>
      </c>
      <c r="F2878" s="42" t="s">
        <v>7573</v>
      </c>
      <c r="G2878" s="42" t="str">
        <f t="shared" si="68"/>
        <v>708239017484310</v>
      </c>
      <c r="H2878" s="14" t="s">
        <v>710</v>
      </c>
      <c r="I2878" s="12" t="s">
        <v>198</v>
      </c>
      <c r="J2878" s="14" t="s">
        <v>7574</v>
      </c>
      <c r="K2878" s="4" t="s">
        <v>133</v>
      </c>
      <c r="L2878" s="74">
        <v>3103155698</v>
      </c>
      <c r="M2878" s="17" t="s">
        <v>200</v>
      </c>
      <c r="N2878" s="12" t="s">
        <v>127</v>
      </c>
      <c r="O2878" s="12" t="s">
        <v>2822</v>
      </c>
      <c r="P2878" s="4" t="s">
        <v>48</v>
      </c>
      <c r="Q2878" s="76">
        <v>45812</v>
      </c>
      <c r="R2878" s="78">
        <v>0.86499999999999999</v>
      </c>
      <c r="S2878" s="4" t="s">
        <v>49</v>
      </c>
      <c r="T2878" s="14"/>
      <c r="U2878" s="14"/>
      <c r="V2878" s="70"/>
      <c r="W2878" s="14"/>
      <c r="X2878" s="42"/>
      <c r="Y2878" s="14"/>
      <c r="Z2878" s="14"/>
      <c r="AA2878" s="14"/>
      <c r="AC2878" s="14"/>
      <c r="AD2878" s="14"/>
      <c r="AE2878" s="14"/>
      <c r="AF2878" s="20"/>
      <c r="AH2878" s="14"/>
      <c r="AI2878" s="14"/>
      <c r="AJ2878" s="14"/>
      <c r="AK2878" s="20"/>
      <c r="AM2878" s="14"/>
      <c r="AN2878" s="14"/>
      <c r="AO2878" s="14"/>
      <c r="AU2878" s="71" t="s">
        <v>53</v>
      </c>
    </row>
    <row r="2879" spans="1:47" s="12" customFormat="1" ht="28.5" hidden="1" customHeight="1" x14ac:dyDescent="0.3">
      <c r="A2879" s="42" t="s">
        <v>505</v>
      </c>
      <c r="B2879" s="42" t="s">
        <v>7306</v>
      </c>
      <c r="C2879" s="42">
        <v>70</v>
      </c>
      <c r="D2879" s="42">
        <v>823</v>
      </c>
      <c r="E2879" s="42" t="s">
        <v>8410</v>
      </c>
      <c r="F2879" s="277" t="s">
        <v>8677</v>
      </c>
      <c r="G2879" s="42" t="str">
        <f t="shared" si="68"/>
        <v>708239020211365</v>
      </c>
      <c r="H2879" s="14" t="s">
        <v>8464</v>
      </c>
      <c r="I2879" s="12">
        <v>9020211365</v>
      </c>
      <c r="J2879" s="14" t="s">
        <v>998</v>
      </c>
      <c r="K2879" s="4" t="s">
        <v>133</v>
      </c>
      <c r="L2879" s="74">
        <v>3006868292</v>
      </c>
      <c r="M2879" s="17" t="s">
        <v>8466</v>
      </c>
      <c r="N2879" s="12" t="s">
        <v>127</v>
      </c>
      <c r="O2879" s="12" t="s">
        <v>2822</v>
      </c>
      <c r="P2879" s="4" t="s">
        <v>48</v>
      </c>
      <c r="Q2879" s="13">
        <v>46098</v>
      </c>
      <c r="R2879" s="16">
        <v>0.91</v>
      </c>
      <c r="S2879" s="12" t="s">
        <v>210</v>
      </c>
      <c r="T2879" s="14"/>
      <c r="U2879" s="14" t="s">
        <v>60</v>
      </c>
      <c r="V2879" s="76">
        <v>45811</v>
      </c>
      <c r="W2879" s="77">
        <v>0.83</v>
      </c>
      <c r="X2879" s="4" t="s">
        <v>49</v>
      </c>
      <c r="Y2879" s="14"/>
      <c r="Z2879" s="14" t="s">
        <v>2881</v>
      </c>
      <c r="AA2879" s="14"/>
      <c r="AC2879" s="14"/>
      <c r="AD2879" s="14"/>
      <c r="AE2879" s="14"/>
      <c r="AF2879" s="20"/>
      <c r="AH2879" s="14"/>
      <c r="AI2879" s="14"/>
      <c r="AJ2879" s="14"/>
      <c r="AK2879" s="20"/>
      <c r="AM2879" s="14"/>
      <c r="AN2879" s="14"/>
      <c r="AO2879" s="14"/>
      <c r="AU2879" s="71" t="s">
        <v>53</v>
      </c>
    </row>
    <row r="2880" spans="1:47" s="12" customFormat="1" x14ac:dyDescent="0.3">
      <c r="A2880" s="42" t="s">
        <v>505</v>
      </c>
      <c r="B2880" s="42" t="s">
        <v>7306</v>
      </c>
      <c r="C2880" s="42">
        <v>70</v>
      </c>
      <c r="D2880" s="42">
        <v>823</v>
      </c>
      <c r="E2880" s="42"/>
      <c r="F2880" s="42" t="s">
        <v>7575</v>
      </c>
      <c r="G2880" s="42" t="str">
        <f t="shared" si="68"/>
        <v>7082323220062</v>
      </c>
      <c r="H2880" s="14" t="s">
        <v>7576</v>
      </c>
      <c r="I2880" s="12">
        <v>23220062</v>
      </c>
      <c r="J2880" s="14" t="s">
        <v>7577</v>
      </c>
      <c r="K2880" s="4" t="s">
        <v>230</v>
      </c>
      <c r="L2880" s="74">
        <v>3003406726</v>
      </c>
      <c r="M2880" s="17"/>
      <c r="N2880" s="12" t="s">
        <v>46</v>
      </c>
      <c r="O2880" s="12" t="s">
        <v>47</v>
      </c>
      <c r="P2880" s="4" t="s">
        <v>48</v>
      </c>
      <c r="Q2880" s="76"/>
      <c r="R2880" s="77"/>
      <c r="S2880" s="4"/>
      <c r="T2880" s="14"/>
      <c r="U2880" s="14"/>
      <c r="V2880" s="70"/>
      <c r="W2880" s="14"/>
      <c r="X2880" s="42"/>
      <c r="Y2880" s="14"/>
      <c r="Z2880" s="14"/>
      <c r="AA2880" s="14"/>
      <c r="AC2880" s="14"/>
      <c r="AD2880" s="14"/>
      <c r="AE2880" s="14"/>
      <c r="AF2880" s="20"/>
      <c r="AH2880" s="14"/>
      <c r="AI2880" s="14"/>
      <c r="AJ2880" s="14"/>
      <c r="AK2880" s="20"/>
      <c r="AM2880" s="14"/>
      <c r="AN2880" s="14"/>
      <c r="AO2880" s="14"/>
      <c r="AU2880" s="71" t="s">
        <v>53</v>
      </c>
    </row>
    <row r="2881" spans="1:51" s="12" customFormat="1" x14ac:dyDescent="0.3">
      <c r="A2881" s="42" t="s">
        <v>505</v>
      </c>
      <c r="B2881" s="42" t="s">
        <v>7306</v>
      </c>
      <c r="C2881" s="42">
        <v>70</v>
      </c>
      <c r="D2881" s="42">
        <v>823</v>
      </c>
      <c r="E2881" s="42"/>
      <c r="F2881" s="42" t="s">
        <v>7578</v>
      </c>
      <c r="G2881" s="42" t="str">
        <f t="shared" si="68"/>
        <v>708231108766061</v>
      </c>
      <c r="H2881" s="42" t="s">
        <v>7579</v>
      </c>
      <c r="I2881" s="74">
        <v>1108766061</v>
      </c>
      <c r="J2881" s="42" t="s">
        <v>7580</v>
      </c>
      <c r="K2881" s="4" t="s">
        <v>230</v>
      </c>
      <c r="L2881" s="74">
        <v>3107147251</v>
      </c>
      <c r="M2881" s="74"/>
      <c r="N2881" s="12" t="s">
        <v>46</v>
      </c>
      <c r="O2881" s="12" t="s">
        <v>47</v>
      </c>
      <c r="P2881" s="4" t="s">
        <v>48</v>
      </c>
      <c r="Q2881" s="42"/>
      <c r="R2881" s="74"/>
      <c r="S2881" s="42"/>
      <c r="T2881" s="42"/>
      <c r="U2881" s="42"/>
      <c r="V2881" s="70"/>
      <c r="W2881" s="42"/>
      <c r="X2881" s="42"/>
      <c r="Y2881" s="42"/>
      <c r="Z2881" s="42"/>
      <c r="AA2881" s="42"/>
      <c r="AB2881" s="74"/>
      <c r="AC2881" s="42"/>
      <c r="AD2881" s="42"/>
      <c r="AE2881" s="42"/>
      <c r="AF2881" s="76"/>
      <c r="AG2881" s="74"/>
      <c r="AH2881" s="42"/>
      <c r="AI2881" s="42"/>
      <c r="AJ2881" s="42"/>
      <c r="AK2881" s="76"/>
      <c r="AL2881" s="74"/>
      <c r="AM2881" s="42"/>
      <c r="AN2881" s="42"/>
      <c r="AO2881" s="42"/>
      <c r="AP2881" s="74"/>
      <c r="AQ2881" s="74"/>
      <c r="AR2881" s="74"/>
      <c r="AS2881" s="74"/>
      <c r="AT2881" s="74"/>
      <c r="AU2881" s="71" t="s">
        <v>53</v>
      </c>
      <c r="AV2881" s="74"/>
      <c r="AW2881" s="74"/>
      <c r="AX2881" s="74"/>
      <c r="AY2881" s="74"/>
    </row>
    <row r="2882" spans="1:51" s="12" customFormat="1" x14ac:dyDescent="0.3">
      <c r="A2882" s="42" t="s">
        <v>505</v>
      </c>
      <c r="B2882" s="42" t="s">
        <v>7306</v>
      </c>
      <c r="C2882" s="42">
        <v>70</v>
      </c>
      <c r="D2882" s="42">
        <v>823</v>
      </c>
      <c r="E2882" s="42"/>
      <c r="F2882" s="42" t="s">
        <v>7581</v>
      </c>
      <c r="G2882" s="42" t="str">
        <f t="shared" si="68"/>
        <v>708231108759768</v>
      </c>
      <c r="H2882" s="14" t="s">
        <v>7582</v>
      </c>
      <c r="I2882" s="12">
        <v>1108759768</v>
      </c>
      <c r="J2882" s="14" t="s">
        <v>7583</v>
      </c>
      <c r="K2882" s="4" t="s">
        <v>230</v>
      </c>
      <c r="L2882" s="74">
        <v>3014327145</v>
      </c>
      <c r="N2882" s="12" t="s">
        <v>46</v>
      </c>
      <c r="O2882" s="12" t="s">
        <v>47</v>
      </c>
      <c r="P2882" s="4" t="s">
        <v>48</v>
      </c>
      <c r="Q2882" s="42"/>
      <c r="R2882" s="74"/>
      <c r="S2882" s="14"/>
      <c r="T2882" s="14"/>
      <c r="U2882" s="14"/>
      <c r="V2882" s="70"/>
      <c r="W2882" s="14"/>
      <c r="X2882" s="42"/>
      <c r="Y2882" s="14"/>
      <c r="Z2882" s="14"/>
      <c r="AA2882" s="14"/>
      <c r="AC2882" s="14"/>
      <c r="AD2882" s="14"/>
      <c r="AE2882" s="14"/>
      <c r="AF2882" s="20"/>
      <c r="AH2882" s="14"/>
      <c r="AI2882" s="14"/>
      <c r="AJ2882" s="14"/>
      <c r="AK2882" s="20"/>
      <c r="AM2882" s="14"/>
      <c r="AN2882" s="14"/>
      <c r="AO2882" s="14"/>
      <c r="AU2882" s="71" t="s">
        <v>53</v>
      </c>
    </row>
    <row r="2883" spans="1:51" s="12" customFormat="1" ht="28.5" hidden="1" customHeight="1" x14ac:dyDescent="0.3">
      <c r="A2883" s="42" t="s">
        <v>505</v>
      </c>
      <c r="B2883" s="42" t="s">
        <v>7306</v>
      </c>
      <c r="C2883" s="42">
        <v>70</v>
      </c>
      <c r="D2883" s="42">
        <v>823</v>
      </c>
      <c r="E2883" s="42" t="s">
        <v>8410</v>
      </c>
      <c r="F2883" s="277" t="s">
        <v>8678</v>
      </c>
      <c r="G2883" s="42" t="str">
        <f t="shared" si="68"/>
        <v>708239020211365</v>
      </c>
      <c r="H2883" s="14" t="s">
        <v>8464</v>
      </c>
      <c r="I2883" s="12">
        <v>9020211365</v>
      </c>
      <c r="J2883" s="14" t="s">
        <v>8504</v>
      </c>
      <c r="K2883" s="4" t="s">
        <v>133</v>
      </c>
      <c r="L2883" s="74">
        <v>3106868292</v>
      </c>
      <c r="M2883" s="17" t="s">
        <v>8413</v>
      </c>
      <c r="N2883" s="12" t="s">
        <v>127</v>
      </c>
      <c r="O2883" s="12" t="s">
        <v>2822</v>
      </c>
      <c r="P2883" s="4" t="s">
        <v>48</v>
      </c>
      <c r="Q2883" s="13">
        <v>46086</v>
      </c>
      <c r="R2883" s="12">
        <v>74</v>
      </c>
      <c r="S2883" s="12" t="s">
        <v>139</v>
      </c>
      <c r="T2883" s="14"/>
      <c r="U2883" s="14" t="s">
        <v>50</v>
      </c>
      <c r="V2883" s="76">
        <v>45818</v>
      </c>
      <c r="W2883" s="77">
        <v>0.86</v>
      </c>
      <c r="X2883" s="4" t="s">
        <v>49</v>
      </c>
      <c r="Y2883" s="14"/>
      <c r="Z2883" s="14" t="s">
        <v>8317</v>
      </c>
      <c r="AA2883" s="14"/>
      <c r="AC2883" s="70">
        <v>45442</v>
      </c>
      <c r="AD2883" s="83">
        <v>0.83</v>
      </c>
      <c r="AE2883" s="4" t="s">
        <v>49</v>
      </c>
      <c r="AF2883" s="20" t="s">
        <v>50</v>
      </c>
      <c r="AH2883" s="14"/>
      <c r="AI2883" s="14"/>
      <c r="AJ2883" s="14"/>
      <c r="AK2883" s="20"/>
      <c r="AM2883" s="14"/>
      <c r="AN2883" s="14"/>
      <c r="AO2883" s="14"/>
      <c r="AU2883" s="71" t="s">
        <v>53</v>
      </c>
    </row>
    <row r="2884" spans="1:51" s="12" customFormat="1" ht="28.5" hidden="1" customHeight="1" x14ac:dyDescent="0.3">
      <c r="A2884" s="42" t="s">
        <v>505</v>
      </c>
      <c r="B2884" s="42" t="s">
        <v>7306</v>
      </c>
      <c r="C2884" s="42">
        <v>70</v>
      </c>
      <c r="D2884" s="42">
        <v>823</v>
      </c>
      <c r="E2884" s="42" t="s">
        <v>8410</v>
      </c>
      <c r="F2884" s="277" t="s">
        <v>9678</v>
      </c>
      <c r="G2884" s="42" t="str">
        <f t="shared" si="68"/>
        <v>708239020211365</v>
      </c>
      <c r="H2884" s="14" t="s">
        <v>8464</v>
      </c>
      <c r="I2884" s="12">
        <v>9020211365</v>
      </c>
      <c r="J2884" s="14" t="s">
        <v>9679</v>
      </c>
      <c r="K2884" s="4" t="s">
        <v>133</v>
      </c>
      <c r="L2884" s="74">
        <v>3006868292</v>
      </c>
      <c r="M2884" s="17" t="s">
        <v>8413</v>
      </c>
      <c r="N2884" s="12" t="s">
        <v>127</v>
      </c>
      <c r="O2884" s="12" t="s">
        <v>2822</v>
      </c>
      <c r="P2884" s="4" t="s">
        <v>48</v>
      </c>
      <c r="Q2884" s="13">
        <v>46128</v>
      </c>
      <c r="R2884" s="12">
        <v>93</v>
      </c>
      <c r="S2884" s="12" t="s">
        <v>210</v>
      </c>
      <c r="T2884" s="14"/>
      <c r="U2884" s="14" t="s">
        <v>60</v>
      </c>
      <c r="V2884" s="76"/>
      <c r="W2884" s="77"/>
      <c r="X2884" s="4"/>
      <c r="Y2884" s="14"/>
      <c r="Z2884" s="14"/>
      <c r="AA2884" s="14"/>
      <c r="AC2884" s="70"/>
      <c r="AD2884" s="83"/>
      <c r="AE2884" s="4"/>
      <c r="AF2884" s="20"/>
      <c r="AH2884" s="14"/>
      <c r="AI2884" s="14"/>
      <c r="AJ2884" s="14"/>
      <c r="AK2884" s="20"/>
      <c r="AM2884" s="14"/>
      <c r="AN2884" s="14"/>
      <c r="AO2884" s="14"/>
      <c r="AU2884" s="71" t="s">
        <v>53</v>
      </c>
    </row>
    <row r="2885" spans="1:51" s="12" customFormat="1" ht="28.5" hidden="1" customHeight="1" x14ac:dyDescent="0.3">
      <c r="A2885" s="42" t="s">
        <v>505</v>
      </c>
      <c r="B2885" s="42" t="s">
        <v>7306</v>
      </c>
      <c r="C2885" s="42">
        <v>70</v>
      </c>
      <c r="D2885" s="42">
        <v>823</v>
      </c>
      <c r="E2885" s="42" t="s">
        <v>8410</v>
      </c>
      <c r="F2885" s="277" t="s">
        <v>9680</v>
      </c>
      <c r="G2885" s="42" t="str">
        <f t="shared" si="68"/>
        <v>708239020211365</v>
      </c>
      <c r="H2885" s="14" t="s">
        <v>8464</v>
      </c>
      <c r="I2885" s="12">
        <v>9020211365</v>
      </c>
      <c r="J2885" s="14" t="s">
        <v>9681</v>
      </c>
      <c r="K2885" s="4" t="s">
        <v>133</v>
      </c>
      <c r="L2885" s="74">
        <v>3006868292</v>
      </c>
      <c r="M2885" s="17" t="s">
        <v>8413</v>
      </c>
      <c r="N2885" s="12" t="s">
        <v>127</v>
      </c>
      <c r="O2885" s="12" t="s">
        <v>2822</v>
      </c>
      <c r="P2885" s="4" t="s">
        <v>48</v>
      </c>
      <c r="Q2885" s="13">
        <v>46150</v>
      </c>
      <c r="R2885" s="12" t="s">
        <v>8595</v>
      </c>
      <c r="S2885" s="12" t="s">
        <v>74</v>
      </c>
      <c r="T2885" s="14"/>
      <c r="U2885" s="14" t="s">
        <v>60</v>
      </c>
      <c r="V2885" s="76"/>
      <c r="W2885" s="77"/>
      <c r="X2885" s="4"/>
      <c r="Y2885" s="14"/>
      <c r="Z2885" s="14"/>
      <c r="AA2885" s="14"/>
      <c r="AC2885" s="70"/>
      <c r="AD2885" s="83"/>
      <c r="AE2885" s="4"/>
      <c r="AF2885" s="20"/>
      <c r="AH2885" s="14"/>
      <c r="AI2885" s="14"/>
      <c r="AJ2885" s="14"/>
      <c r="AK2885" s="20"/>
      <c r="AM2885" s="14"/>
      <c r="AN2885" s="14"/>
      <c r="AO2885" s="14"/>
      <c r="AU2885" s="71" t="s">
        <v>53</v>
      </c>
    </row>
    <row r="2886" spans="1:51" s="12" customFormat="1" ht="28.5" hidden="1" customHeight="1" x14ac:dyDescent="0.3">
      <c r="A2886" s="42" t="s">
        <v>505</v>
      </c>
      <c r="B2886" s="42" t="s">
        <v>7306</v>
      </c>
      <c r="C2886" s="42">
        <v>70</v>
      </c>
      <c r="D2886" s="42">
        <v>823</v>
      </c>
      <c r="E2886" s="42" t="s">
        <v>7584</v>
      </c>
      <c r="F2886" s="42" t="s">
        <v>7585</v>
      </c>
      <c r="G2886" s="80">
        <v>708238230005118</v>
      </c>
      <c r="H2886" s="14" t="s">
        <v>7586</v>
      </c>
      <c r="I2886" s="12" t="s">
        <v>7587</v>
      </c>
      <c r="J2886" s="14" t="s">
        <v>7588</v>
      </c>
      <c r="K2886" s="4" t="s">
        <v>230</v>
      </c>
      <c r="L2886" s="74">
        <v>304617688</v>
      </c>
      <c r="M2886" s="17" t="s">
        <v>7589</v>
      </c>
      <c r="N2886" s="12" t="s">
        <v>127</v>
      </c>
      <c r="O2886" s="12" t="s">
        <v>2822</v>
      </c>
      <c r="P2886" s="4" t="s">
        <v>48</v>
      </c>
      <c r="Q2886" s="76">
        <v>45910</v>
      </c>
      <c r="R2886" s="77">
        <v>0.89</v>
      </c>
      <c r="S2886" s="4" t="s">
        <v>6910</v>
      </c>
      <c r="T2886" s="14"/>
      <c r="U2886" s="14" t="s">
        <v>2456</v>
      </c>
      <c r="V2886" s="70">
        <v>45091</v>
      </c>
      <c r="W2886" s="83">
        <v>0.99</v>
      </c>
      <c r="X2886" s="4" t="s">
        <v>210</v>
      </c>
      <c r="Y2886" s="14"/>
      <c r="Z2886" s="14"/>
      <c r="AA2886" s="14"/>
      <c r="AC2886" s="14"/>
      <c r="AD2886" s="14"/>
      <c r="AE2886" s="14"/>
      <c r="AF2886" s="20"/>
      <c r="AH2886" s="14"/>
      <c r="AI2886" s="14"/>
      <c r="AJ2886" s="14"/>
      <c r="AK2886" s="20"/>
      <c r="AM2886" s="14"/>
      <c r="AN2886" s="14"/>
      <c r="AO2886" s="14"/>
      <c r="AU2886" s="71" t="s">
        <v>53</v>
      </c>
    </row>
    <row r="2887" spans="1:51" s="12" customFormat="1" ht="28.5" hidden="1" customHeight="1" x14ac:dyDescent="0.3">
      <c r="A2887" s="42" t="s">
        <v>505</v>
      </c>
      <c r="B2887" s="42" t="s">
        <v>7306</v>
      </c>
      <c r="C2887" s="42">
        <v>70</v>
      </c>
      <c r="D2887" s="42">
        <v>823</v>
      </c>
      <c r="E2887" s="42" t="s">
        <v>7584</v>
      </c>
      <c r="F2887" s="42" t="s">
        <v>7590</v>
      </c>
      <c r="G2887" s="80">
        <v>708238230005118</v>
      </c>
      <c r="H2887" s="14" t="s">
        <v>7586</v>
      </c>
      <c r="I2887" s="12" t="s">
        <v>7587</v>
      </c>
      <c r="J2887" s="14" t="s">
        <v>7591</v>
      </c>
      <c r="K2887" s="4" t="s">
        <v>133</v>
      </c>
      <c r="L2887" s="74">
        <v>304617688</v>
      </c>
      <c r="M2887" s="17" t="s">
        <v>7589</v>
      </c>
      <c r="N2887" s="12" t="s">
        <v>127</v>
      </c>
      <c r="O2887" s="12" t="s">
        <v>2822</v>
      </c>
      <c r="P2887" s="4" t="s">
        <v>48</v>
      </c>
      <c r="Q2887" s="76">
        <v>45911</v>
      </c>
      <c r="R2887" s="77" t="s">
        <v>4998</v>
      </c>
      <c r="S2887" s="4" t="s">
        <v>210</v>
      </c>
      <c r="T2887" s="14"/>
      <c r="U2887" s="14" t="s">
        <v>2456</v>
      </c>
      <c r="V2887" s="70">
        <v>45517</v>
      </c>
      <c r="W2887" s="83">
        <v>0.92</v>
      </c>
      <c r="X2887" s="4" t="s">
        <v>210</v>
      </c>
      <c r="Y2887" s="14"/>
      <c r="Z2887" s="14"/>
      <c r="AA2887" s="14"/>
      <c r="AC2887" s="14"/>
      <c r="AD2887" s="14"/>
      <c r="AE2887" s="14"/>
      <c r="AF2887" s="20"/>
      <c r="AH2887" s="14"/>
      <c r="AI2887" s="14"/>
      <c r="AJ2887" s="14"/>
      <c r="AK2887" s="20"/>
      <c r="AM2887" s="14"/>
      <c r="AN2887" s="14"/>
      <c r="AO2887" s="14"/>
      <c r="AU2887" s="71" t="s">
        <v>53</v>
      </c>
    </row>
    <row r="2888" spans="1:51" s="12" customFormat="1" ht="22.5" hidden="1" customHeight="1" x14ac:dyDescent="0.3">
      <c r="A2888" s="42" t="s">
        <v>505</v>
      </c>
      <c r="B2888" s="42" t="s">
        <v>7306</v>
      </c>
      <c r="C2888" s="42">
        <v>70</v>
      </c>
      <c r="D2888" s="42">
        <v>823</v>
      </c>
      <c r="E2888" s="42" t="s">
        <v>7592</v>
      </c>
      <c r="F2888" s="42" t="s">
        <v>7593</v>
      </c>
      <c r="G2888" s="80">
        <v>708259002769621</v>
      </c>
      <c r="H2888" s="14" t="s">
        <v>7594</v>
      </c>
      <c r="I2888" s="12" t="s">
        <v>1303</v>
      </c>
      <c r="J2888" s="14" t="s">
        <v>7595</v>
      </c>
      <c r="K2888" s="4" t="s">
        <v>230</v>
      </c>
      <c r="L2888" s="74">
        <v>3212298837</v>
      </c>
      <c r="M2888" s="17" t="s">
        <v>7596</v>
      </c>
      <c r="N2888" s="12" t="s">
        <v>259</v>
      </c>
      <c r="O2888" s="12" t="s">
        <v>260</v>
      </c>
      <c r="P2888" s="4" t="s">
        <v>261</v>
      </c>
      <c r="Q2888" s="76">
        <v>45841</v>
      </c>
      <c r="R2888" s="77">
        <v>0.83</v>
      </c>
      <c r="S2888" s="4" t="s">
        <v>6910</v>
      </c>
      <c r="T2888" s="14"/>
      <c r="U2888" s="14" t="s">
        <v>60</v>
      </c>
      <c r="V2888" s="70">
        <v>44811</v>
      </c>
      <c r="W2888" s="83" t="s">
        <v>7597</v>
      </c>
      <c r="X2888" s="4" t="s">
        <v>210</v>
      </c>
      <c r="Y2888" s="14"/>
      <c r="Z2888" s="14"/>
      <c r="AA2888" s="14"/>
      <c r="AC2888" s="14"/>
      <c r="AD2888" s="14"/>
      <c r="AE2888" s="14"/>
      <c r="AF2888" s="20"/>
      <c r="AH2888" s="14"/>
      <c r="AI2888" s="14"/>
      <c r="AJ2888" s="14"/>
      <c r="AK2888" s="20"/>
      <c r="AM2888" s="14"/>
      <c r="AN2888" s="14"/>
      <c r="AO2888" s="14"/>
      <c r="AU2888" s="71" t="s">
        <v>53</v>
      </c>
    </row>
    <row r="2889" spans="1:51" s="12" customFormat="1" ht="28.5" hidden="1" customHeight="1" x14ac:dyDescent="0.3">
      <c r="A2889" s="42" t="s">
        <v>505</v>
      </c>
      <c r="B2889" s="42" t="s">
        <v>7306</v>
      </c>
      <c r="C2889" s="42">
        <v>70</v>
      </c>
      <c r="D2889" s="42">
        <v>823</v>
      </c>
      <c r="E2889" s="42" t="s">
        <v>7501</v>
      </c>
      <c r="F2889" s="42" t="s">
        <v>7951</v>
      </c>
      <c r="G2889" s="80" t="str">
        <f>C2889&amp;D2889&amp;I2889</f>
        <v>708239004141208</v>
      </c>
      <c r="H2889" s="14" t="s">
        <v>7952</v>
      </c>
      <c r="I2889" s="12">
        <v>9004141208</v>
      </c>
      <c r="J2889" s="14" t="s">
        <v>7953</v>
      </c>
      <c r="K2889" s="4" t="s">
        <v>230</v>
      </c>
      <c r="L2889" s="74">
        <v>3135998409</v>
      </c>
      <c r="M2889" s="17" t="s">
        <v>7505</v>
      </c>
      <c r="N2889" s="12" t="s">
        <v>127</v>
      </c>
      <c r="O2889" s="12" t="s">
        <v>2822</v>
      </c>
      <c r="P2889" s="4" t="s">
        <v>48</v>
      </c>
      <c r="Q2889" s="76">
        <v>45987</v>
      </c>
      <c r="R2889" s="77">
        <v>0.97</v>
      </c>
      <c r="S2889" s="4" t="s">
        <v>210</v>
      </c>
      <c r="T2889" s="14" t="s">
        <v>7662</v>
      </c>
      <c r="U2889" s="14" t="s">
        <v>60</v>
      </c>
      <c r="V2889" s="70">
        <v>45800</v>
      </c>
      <c r="W2889" s="83">
        <v>0.98</v>
      </c>
      <c r="X2889" s="4" t="s">
        <v>210</v>
      </c>
      <c r="Y2889" s="14"/>
      <c r="Z2889" s="14"/>
      <c r="AA2889" s="14"/>
      <c r="AC2889" s="14"/>
      <c r="AD2889" s="14"/>
      <c r="AE2889" s="14"/>
      <c r="AF2889" s="20"/>
      <c r="AH2889" s="14"/>
      <c r="AI2889" s="14"/>
      <c r="AJ2889" s="14"/>
      <c r="AK2889" s="20"/>
      <c r="AM2889" s="14"/>
      <c r="AN2889" s="14"/>
      <c r="AO2889" s="14"/>
      <c r="AU2889" s="71" t="s">
        <v>53</v>
      </c>
    </row>
    <row r="2890" spans="1:51" s="12" customFormat="1" ht="28.5" hidden="1" customHeight="1" x14ac:dyDescent="0.3">
      <c r="A2890" s="42" t="s">
        <v>505</v>
      </c>
      <c r="B2890" s="42" t="s">
        <v>7306</v>
      </c>
      <c r="C2890" s="42">
        <v>70</v>
      </c>
      <c r="D2890" s="42">
        <v>823</v>
      </c>
      <c r="E2890" s="42" t="s">
        <v>8672</v>
      </c>
      <c r="F2890" s="277" t="s">
        <v>8468</v>
      </c>
      <c r="G2890" s="80" t="str">
        <f>C2890&amp;D2890&amp;I2890</f>
        <v>708239020247794</v>
      </c>
      <c r="H2890" s="14" t="s">
        <v>8464</v>
      </c>
      <c r="I2890" s="12">
        <v>9020247794</v>
      </c>
      <c r="J2890" s="14" t="s">
        <v>8673</v>
      </c>
      <c r="K2890" s="4" t="s">
        <v>133</v>
      </c>
      <c r="L2890" s="74">
        <v>3103155698</v>
      </c>
      <c r="M2890" s="17" t="s">
        <v>8458</v>
      </c>
      <c r="N2890" s="12" t="s">
        <v>127</v>
      </c>
      <c r="O2890" s="12" t="s">
        <v>2822</v>
      </c>
      <c r="P2890" s="4" t="s">
        <v>48</v>
      </c>
      <c r="Q2890" s="76">
        <v>46078</v>
      </c>
      <c r="R2890" s="74" t="s">
        <v>1085</v>
      </c>
      <c r="S2890" s="4" t="s">
        <v>210</v>
      </c>
      <c r="T2890" s="14"/>
      <c r="U2890" s="14" t="s">
        <v>60</v>
      </c>
      <c r="V2890" s="70">
        <v>45723</v>
      </c>
      <c r="W2890" s="83" t="s">
        <v>1071</v>
      </c>
      <c r="X2890" s="4" t="s">
        <v>49</v>
      </c>
      <c r="Y2890" s="14"/>
      <c r="Z2890" s="14" t="s">
        <v>60</v>
      </c>
      <c r="AA2890" s="14"/>
      <c r="AC2890" s="14"/>
      <c r="AD2890" s="14"/>
      <c r="AE2890" s="14"/>
      <c r="AF2890" s="20"/>
      <c r="AH2890" s="14"/>
      <c r="AI2890" s="14"/>
      <c r="AJ2890" s="14"/>
      <c r="AK2890" s="20"/>
      <c r="AM2890" s="14"/>
      <c r="AN2890" s="14"/>
      <c r="AO2890" s="14"/>
      <c r="AU2890" s="71" t="s">
        <v>53</v>
      </c>
    </row>
    <row r="2891" spans="1:51" s="12" customFormat="1" ht="22.5" hidden="1" customHeight="1" x14ac:dyDescent="0.3">
      <c r="A2891" s="42" t="s">
        <v>505</v>
      </c>
      <c r="B2891" s="42" t="s">
        <v>7306</v>
      </c>
      <c r="C2891" s="42">
        <v>70</v>
      </c>
      <c r="D2891" s="42">
        <v>823</v>
      </c>
      <c r="E2891" s="42" t="s">
        <v>8674</v>
      </c>
      <c r="F2891" s="277" t="s">
        <v>8675</v>
      </c>
      <c r="G2891" s="80" t="str">
        <f>C2891&amp;D2891&amp;I2891</f>
        <v>70823925318997</v>
      </c>
      <c r="H2891" s="14" t="s">
        <v>8674</v>
      </c>
      <c r="I2891" s="12">
        <v>925318997</v>
      </c>
      <c r="J2891" s="14" t="s">
        <v>7497</v>
      </c>
      <c r="K2891" s="4" t="s">
        <v>44</v>
      </c>
      <c r="L2891" s="74">
        <v>3114313120</v>
      </c>
      <c r="M2891" s="17" t="s">
        <v>8676</v>
      </c>
      <c r="N2891" s="12" t="s">
        <v>2901</v>
      </c>
      <c r="O2891" s="12" t="s">
        <v>7683</v>
      </c>
      <c r="P2891" s="4" t="s">
        <v>80</v>
      </c>
      <c r="Q2891" s="76">
        <v>46099</v>
      </c>
      <c r="R2891" s="74" t="s">
        <v>2002</v>
      </c>
      <c r="S2891" s="4" t="s">
        <v>74</v>
      </c>
      <c r="T2891" s="14"/>
      <c r="U2891" s="14"/>
      <c r="V2891" s="70"/>
      <c r="W2891" s="83"/>
      <c r="X2891" s="4"/>
      <c r="Y2891" s="14"/>
      <c r="Z2891" s="14"/>
      <c r="AA2891" s="14"/>
      <c r="AC2891" s="14"/>
      <c r="AD2891" s="14"/>
      <c r="AE2891" s="14"/>
      <c r="AF2891" s="20"/>
      <c r="AH2891" s="14"/>
      <c r="AI2891" s="14"/>
      <c r="AJ2891" s="14"/>
      <c r="AK2891" s="20"/>
      <c r="AM2891" s="14"/>
      <c r="AN2891" s="14"/>
      <c r="AO2891" s="14"/>
      <c r="AU2891" s="71" t="s">
        <v>53</v>
      </c>
    </row>
    <row r="2892" spans="1:51" s="12" customFormat="1" ht="21" hidden="1" customHeight="1" x14ac:dyDescent="0.3">
      <c r="A2892" s="42" t="s">
        <v>505</v>
      </c>
      <c r="B2892" s="42" t="s">
        <v>7306</v>
      </c>
      <c r="C2892" s="42">
        <v>70</v>
      </c>
      <c r="D2892" s="42">
        <v>823</v>
      </c>
      <c r="E2892" s="42" t="s">
        <v>7598</v>
      </c>
      <c r="F2892" s="42" t="s">
        <v>7599</v>
      </c>
      <c r="G2892" s="80" t="str">
        <f>C2892&amp;D2892&amp;I2892</f>
        <v>708239008738679</v>
      </c>
      <c r="H2892" s="14" t="s">
        <v>7600</v>
      </c>
      <c r="I2892" s="12">
        <v>9008738679</v>
      </c>
      <c r="J2892" s="14" t="s">
        <v>7601</v>
      </c>
      <c r="K2892" s="4" t="s">
        <v>230</v>
      </c>
      <c r="L2892" s="74">
        <v>3042070613</v>
      </c>
      <c r="M2892" s="17" t="s">
        <v>7602</v>
      </c>
      <c r="N2892" s="12" t="s">
        <v>46</v>
      </c>
      <c r="O2892" s="12" t="s">
        <v>2797</v>
      </c>
      <c r="P2892" s="4" t="s">
        <v>8022</v>
      </c>
      <c r="Q2892" s="76">
        <v>45874</v>
      </c>
      <c r="R2892" s="78">
        <v>0.96499999999999997</v>
      </c>
      <c r="S2892" s="4" t="s">
        <v>210</v>
      </c>
      <c r="T2892" s="14"/>
      <c r="U2892" s="14"/>
      <c r="V2892" s="70"/>
      <c r="W2892" s="14"/>
      <c r="X2892" s="42"/>
      <c r="Y2892" s="14"/>
      <c r="Z2892" s="14"/>
      <c r="AA2892" s="14"/>
      <c r="AC2892" s="14"/>
      <c r="AD2892" s="14"/>
      <c r="AE2892" s="14"/>
      <c r="AF2892" s="20"/>
      <c r="AH2892" s="14"/>
      <c r="AI2892" s="14"/>
      <c r="AJ2892" s="14"/>
      <c r="AK2892" s="20"/>
      <c r="AM2892" s="14"/>
      <c r="AN2892" s="14"/>
      <c r="AO2892" s="14"/>
      <c r="AU2892" s="71" t="s">
        <v>53</v>
      </c>
    </row>
    <row r="2893" spans="1:51" s="12" customFormat="1" ht="14.4" hidden="1" x14ac:dyDescent="0.3"/>
    <row r="2894" spans="1:51" s="12" customFormat="1" ht="14.4" hidden="1" x14ac:dyDescent="0.3"/>
    <row r="2895" spans="1:51" s="12" customFormat="1" ht="14.4" hidden="1" x14ac:dyDescent="0.3"/>
    <row r="2896" spans="1:51" s="12" customFormat="1" ht="14.4" hidden="1" x14ac:dyDescent="0.3"/>
    <row r="2897" spans="1:52" s="12" customFormat="1" ht="14.4" hidden="1" x14ac:dyDescent="0.3"/>
    <row r="2898" spans="1:52" s="12" customFormat="1" ht="14.4" hidden="1" x14ac:dyDescent="0.3"/>
    <row r="2899" spans="1:52" s="12" customFormat="1" ht="14.4" hidden="1" x14ac:dyDescent="0.3"/>
    <row r="2900" spans="1:52" s="373" customFormat="1" hidden="1" x14ac:dyDescent="0.3">
      <c r="A2900" s="373" t="s">
        <v>39</v>
      </c>
      <c r="B2900" s="372" t="s">
        <v>6661</v>
      </c>
      <c r="C2900" s="373">
        <v>70</v>
      </c>
      <c r="D2900" s="373">
        <v>429</v>
      </c>
      <c r="E2900" s="373" t="s">
        <v>2434</v>
      </c>
      <c r="F2900" s="373" t="s">
        <v>7621</v>
      </c>
      <c r="G2900" s="373" t="str">
        <f>C2900&amp;D2900&amp;I2900</f>
        <v>704299004805691</v>
      </c>
      <c r="H2900" s="373" t="s">
        <v>7622</v>
      </c>
      <c r="I2900" s="383">
        <v>9004805691</v>
      </c>
      <c r="J2900" s="373" t="s">
        <v>7623</v>
      </c>
      <c r="K2900" s="373" t="s">
        <v>230</v>
      </c>
      <c r="L2900" s="373">
        <v>3222109175</v>
      </c>
      <c r="M2900" s="374" t="s">
        <v>7624</v>
      </c>
      <c r="N2900" s="373" t="s">
        <v>2914</v>
      </c>
      <c r="O2900" s="373" t="s">
        <v>2915</v>
      </c>
      <c r="P2900" s="375" t="s">
        <v>48</v>
      </c>
      <c r="Q2900" s="376">
        <v>45972</v>
      </c>
      <c r="R2900" s="377">
        <v>0.97499999999999998</v>
      </c>
      <c r="S2900" s="373" t="s">
        <v>319</v>
      </c>
      <c r="T2900" s="373" t="s">
        <v>1198</v>
      </c>
      <c r="U2900" s="373" t="s">
        <v>60</v>
      </c>
      <c r="V2900" s="376">
        <v>45389</v>
      </c>
      <c r="W2900" s="377">
        <v>0.95499999999999996</v>
      </c>
      <c r="X2900" s="373" t="s">
        <v>319</v>
      </c>
      <c r="Z2900" s="373" t="s">
        <v>50</v>
      </c>
    </row>
    <row r="2901" spans="1:52" s="373" customFormat="1" hidden="1" x14ac:dyDescent="0.3">
      <c r="A2901" s="373" t="s">
        <v>39</v>
      </c>
      <c r="B2901" s="372" t="s">
        <v>6661</v>
      </c>
      <c r="C2901" s="372">
        <v>70</v>
      </c>
      <c r="D2901" s="372">
        <v>717</v>
      </c>
      <c r="E2901" s="373" t="s">
        <v>7625</v>
      </c>
      <c r="F2901" s="373" t="s">
        <v>7626</v>
      </c>
      <c r="G2901" s="373" t="str">
        <f>C2901&amp;D2901&amp;I2901</f>
        <v>707179002769621</v>
      </c>
      <c r="H2901" s="378" t="s">
        <v>7627</v>
      </c>
      <c r="I2901" s="384">
        <v>9002769621</v>
      </c>
      <c r="J2901" s="378" t="s">
        <v>7628</v>
      </c>
      <c r="K2901" s="373" t="s">
        <v>230</v>
      </c>
      <c r="L2901" s="378" t="s">
        <v>7629</v>
      </c>
      <c r="M2901" s="379" t="s">
        <v>7630</v>
      </c>
      <c r="N2901" s="373" t="s">
        <v>259</v>
      </c>
      <c r="O2901" s="373" t="s">
        <v>260</v>
      </c>
      <c r="P2901" s="375" t="s">
        <v>80</v>
      </c>
      <c r="Q2901" s="376">
        <v>46218</v>
      </c>
      <c r="R2901" s="373" t="s">
        <v>9508</v>
      </c>
      <c r="S2901" s="373" t="s">
        <v>210</v>
      </c>
      <c r="T2901" s="373" t="s">
        <v>9509</v>
      </c>
      <c r="U2901" s="373" t="s">
        <v>60</v>
      </c>
      <c r="V2901" s="376" t="s">
        <v>7631</v>
      </c>
      <c r="W2901" s="377" t="s">
        <v>2543</v>
      </c>
      <c r="X2901" s="373" t="s">
        <v>7632</v>
      </c>
      <c r="Y2901" s="373" t="s">
        <v>7633</v>
      </c>
      <c r="Z2901" s="373" t="s">
        <v>408</v>
      </c>
      <c r="AA2901" s="373" t="s">
        <v>51</v>
      </c>
      <c r="AB2901" s="373" t="s">
        <v>51</v>
      </c>
      <c r="AU2901" s="373" t="s">
        <v>53</v>
      </c>
      <c r="AX2901" s="373" t="s">
        <v>1920</v>
      </c>
      <c r="AY2901" s="373" t="s">
        <v>7634</v>
      </c>
      <c r="AZ2901" s="373" t="s">
        <v>1922</v>
      </c>
    </row>
    <row r="2902" spans="1:52" s="12" customFormat="1" ht="14.4" hidden="1" x14ac:dyDescent="0.3"/>
    <row r="2903" spans="1:52" s="12" customFormat="1" ht="14.4" hidden="1" x14ac:dyDescent="0.3"/>
    <row r="2904" spans="1:52" s="12" customFormat="1" ht="14.4" hidden="1" x14ac:dyDescent="0.3"/>
    <row r="2905" spans="1:52" s="12" customFormat="1" ht="14.4" hidden="1" x14ac:dyDescent="0.3"/>
    <row r="2906" spans="1:52" s="12" customFormat="1" ht="14.4" hidden="1" x14ac:dyDescent="0.3"/>
    <row r="2907" spans="1:52" s="12" customFormat="1" ht="14.4" hidden="1" x14ac:dyDescent="0.3"/>
    <row r="2908" spans="1:52" s="12" customFormat="1" ht="14.4" hidden="1" x14ac:dyDescent="0.3"/>
    <row r="2909" spans="1:52" s="12" customFormat="1" ht="14.4" hidden="1" x14ac:dyDescent="0.3"/>
    <row r="2910" spans="1:52" s="12" customFormat="1" ht="14.4" hidden="1" x14ac:dyDescent="0.3"/>
    <row r="2911" spans="1:52" s="12" customFormat="1" ht="14.4" hidden="1" x14ac:dyDescent="0.3"/>
    <row r="2912" spans="1:52" s="12" customFormat="1" ht="12.75" hidden="1" customHeight="1" x14ac:dyDescent="0.3"/>
    <row r="2913" spans="6:47" s="12" customFormat="1" ht="28.5" customHeight="1" x14ac:dyDescent="0.3">
      <c r="F2913" s="74"/>
      <c r="Q2913" s="74"/>
    </row>
    <row r="2914" spans="6:47" s="12" customFormat="1" ht="28.5" customHeight="1" x14ac:dyDescent="0.3">
      <c r="F2914" s="74"/>
      <c r="Q2914" s="74"/>
    </row>
    <row r="2915" spans="6:47" s="12" customFormat="1" ht="28.5" customHeight="1" x14ac:dyDescent="0.3">
      <c r="F2915" s="74"/>
      <c r="G2915" s="12" t="str">
        <f t="shared" ref="G2915:G2916" si="69">C2915&amp;D2915&amp;I2915</f>
        <v/>
      </c>
      <c r="P2915" s="88"/>
      <c r="Q2915" s="74"/>
      <c r="AU2915" s="235"/>
    </row>
    <row r="2916" spans="6:47" s="12" customFormat="1" ht="28.5" customHeight="1" x14ac:dyDescent="0.3">
      <c r="F2916" s="74"/>
      <c r="G2916" s="12" t="str">
        <f t="shared" si="69"/>
        <v/>
      </c>
      <c r="Q2916" s="74"/>
      <c r="AU2916" s="235"/>
    </row>
    <row r="2917" spans="6:47" s="12" customFormat="1" ht="28.5" customHeight="1" x14ac:dyDescent="0.3">
      <c r="F2917" s="74"/>
      <c r="Q2917" s="74"/>
      <c r="AU2917" s="235"/>
    </row>
    <row r="2918" spans="6:47" s="12" customFormat="1" ht="28.5" customHeight="1" x14ac:dyDescent="0.3">
      <c r="F2918" s="74"/>
      <c r="Q2918" s="74"/>
      <c r="AU2918" s="235"/>
    </row>
    <row r="2919" spans="6:47" s="12" customFormat="1" ht="28.5" customHeight="1" x14ac:dyDescent="0.3">
      <c r="F2919" s="74"/>
      <c r="Q2919" s="74"/>
      <c r="AU2919" s="235"/>
    </row>
    <row r="2920" spans="6:47" s="12" customFormat="1" ht="28.5" customHeight="1" x14ac:dyDescent="0.3">
      <c r="F2920" s="74"/>
      <c r="Q2920" s="74"/>
      <c r="AU2920" s="235"/>
    </row>
    <row r="2921" spans="6:47" s="12" customFormat="1" ht="28.5" customHeight="1" x14ac:dyDescent="0.3">
      <c r="F2921" s="74"/>
      <c r="Q2921" s="74"/>
      <c r="AU2921" s="235"/>
    </row>
    <row r="2922" spans="6:47" s="12" customFormat="1" ht="28.5" customHeight="1" x14ac:dyDescent="0.3">
      <c r="F2922" s="74"/>
      <c r="Q2922" s="74"/>
      <c r="AU2922" s="235"/>
    </row>
    <row r="2923" spans="6:47" s="12" customFormat="1" ht="28.5" customHeight="1" x14ac:dyDescent="0.3">
      <c r="F2923" s="74"/>
      <c r="Q2923" s="74"/>
      <c r="AU2923" s="235"/>
    </row>
    <row r="2924" spans="6:47" s="12" customFormat="1" ht="28.5" customHeight="1" x14ac:dyDescent="0.3">
      <c r="F2924" s="74"/>
      <c r="Q2924" s="74"/>
      <c r="AU2924" s="235"/>
    </row>
    <row r="2925" spans="6:47" s="12" customFormat="1" ht="28.5" customHeight="1" x14ac:dyDescent="0.3">
      <c r="F2925" s="74"/>
      <c r="Q2925" s="74"/>
      <c r="AU2925" s="235"/>
    </row>
    <row r="2926" spans="6:47" s="12" customFormat="1" ht="28.5" customHeight="1" x14ac:dyDescent="0.3">
      <c r="F2926" s="74"/>
      <c r="Q2926" s="74"/>
      <c r="AU2926" s="235"/>
    </row>
    <row r="2927" spans="6:47" s="12" customFormat="1" ht="28.5" customHeight="1" x14ac:dyDescent="0.3">
      <c r="F2927" s="74"/>
      <c r="Q2927" s="74"/>
      <c r="AU2927" s="235"/>
    </row>
    <row r="2928" spans="6:47" s="12" customFormat="1" ht="28.5" customHeight="1" x14ac:dyDescent="0.3">
      <c r="F2928" s="74"/>
      <c r="Q2928" s="74"/>
      <c r="AU2928" s="235"/>
    </row>
    <row r="2929" spans="6:47 16384:16384" s="12" customFormat="1" ht="28.5" customHeight="1" x14ac:dyDescent="0.3">
      <c r="F2929" s="74"/>
      <c r="Q2929" s="74"/>
      <c r="AU2929" s="235"/>
    </row>
    <row r="2930" spans="6:47 16384:16384" s="12" customFormat="1" ht="28.5" customHeight="1" x14ac:dyDescent="0.3">
      <c r="F2930" s="74"/>
      <c r="Q2930" s="74"/>
      <c r="AU2930" s="235"/>
    </row>
    <row r="2931" spans="6:47 16384:16384" s="12" customFormat="1" ht="28.5" customHeight="1" x14ac:dyDescent="0.3">
      <c r="F2931" s="74"/>
      <c r="Q2931" s="74"/>
      <c r="AU2931" s="235"/>
    </row>
    <row r="2932" spans="6:47 16384:16384" s="12" customFormat="1" ht="28.5" customHeight="1" x14ac:dyDescent="0.3">
      <c r="F2932" s="74"/>
      <c r="Q2932" s="74"/>
      <c r="AU2932" s="235"/>
    </row>
    <row r="2933" spans="6:47 16384:16384" s="12" customFormat="1" ht="28.5" customHeight="1" x14ac:dyDescent="0.3">
      <c r="F2933" s="74"/>
      <c r="Q2933" s="74"/>
      <c r="AU2933" s="235"/>
    </row>
    <row r="2934" spans="6:47 16384:16384" s="12" customFormat="1" ht="28.5" customHeight="1" x14ac:dyDescent="0.3">
      <c r="F2934" s="74"/>
      <c r="Q2934" s="74"/>
      <c r="AU2934" s="235"/>
    </row>
    <row r="2935" spans="6:47 16384:16384" s="12" customFormat="1" ht="28.5" customHeight="1" x14ac:dyDescent="0.3">
      <c r="F2935" s="74"/>
      <c r="Q2935" s="74"/>
      <c r="AU2935" s="235"/>
    </row>
    <row r="2936" spans="6:47 16384:16384" s="12" customFormat="1" ht="28.5" customHeight="1" x14ac:dyDescent="0.3">
      <c r="F2936" s="74"/>
      <c r="Q2936" s="74"/>
      <c r="AU2936" s="235"/>
    </row>
    <row r="2937" spans="6:47 16384:16384" s="12" customFormat="1" ht="28.5" customHeight="1" x14ac:dyDescent="0.3">
      <c r="F2937" s="74"/>
      <c r="Q2937" s="74"/>
      <c r="AU2937" s="235"/>
    </row>
    <row r="2938" spans="6:47 16384:16384" s="12" customFormat="1" ht="28.5" customHeight="1" x14ac:dyDescent="0.3">
      <c r="F2938" s="74"/>
      <c r="Q2938" s="74"/>
      <c r="AU2938" s="235"/>
    </row>
    <row r="2939" spans="6:47 16384:16384" s="12" customFormat="1" ht="28.5" customHeight="1" x14ac:dyDescent="0.3">
      <c r="F2939" s="74"/>
      <c r="Q2939" s="74"/>
      <c r="AU2939" s="235"/>
    </row>
    <row r="2940" spans="6:47 16384:16384" s="12" customFormat="1" ht="28.5" customHeight="1" x14ac:dyDescent="0.3">
      <c r="F2940" s="74"/>
      <c r="Q2940" s="74"/>
      <c r="AU2940" s="235"/>
    </row>
    <row r="2941" spans="6:47 16384:16384" s="12" customFormat="1" ht="28.5" customHeight="1" x14ac:dyDescent="0.3">
      <c r="F2941" s="74"/>
      <c r="Q2941" s="74"/>
      <c r="AU2941" s="235"/>
    </row>
    <row r="2942" spans="6:47 16384:16384" s="12" customFormat="1" ht="28.5" customHeight="1" x14ac:dyDescent="0.3">
      <c r="F2942" s="74"/>
      <c r="Q2942" s="74"/>
      <c r="AU2942" s="235"/>
      <c r="XFD2942" s="146"/>
    </row>
  </sheetData>
  <autoFilter ref="A1:BG2912" xr:uid="{00000000-0001-0000-0000-000000000000}">
    <filterColumn colId="13">
      <filters>
        <filter val="PREPARACION DE ALIMENTOS"/>
      </filters>
    </filterColumn>
    <filterColumn colId="14">
      <filters>
        <filter val="RESTAURANTE"/>
      </filters>
    </filterColumn>
  </autoFilter>
  <sortState xmlns:xlrd2="http://schemas.microsoft.com/office/spreadsheetml/2017/richdata2" ref="A2:BA1982">
    <sortCondition ref="B1:B1982"/>
  </sortState>
  <conditionalFormatting sqref="P2:P596 P602:P2892 P2900:P2901 P2915">
    <cfRule type="containsText" dxfId="31" priority="4" operator="containsText" text="BAJO">
      <formula>NOT(ISERROR(SEARCH("BAJO",P2)))</formula>
    </cfRule>
    <cfRule type="containsText" dxfId="30" priority="5" operator="containsText" text="MEDIO">
      <formula>NOT(ISERROR(SEARCH("MEDIO",P2)))</formula>
    </cfRule>
    <cfRule type="containsText" dxfId="29" priority="6" operator="containsText" text="ALTO">
      <formula>NOT(ISERROR(SEARCH("ALTO",P2)))</formula>
    </cfRule>
  </conditionalFormatting>
  <conditionalFormatting sqref="R2107">
    <cfRule type="colorScale" priority="3">
      <colorScale>
        <cfvo type="percent" val="&quot;&gt;=95&quot;"/>
        <cfvo type="num" val="100"/>
        <color theme="9"/>
        <color theme="9"/>
      </colorScale>
    </cfRule>
  </conditionalFormatting>
  <conditionalFormatting sqref="R2108:R2109">
    <cfRule type="colorScale" priority="2">
      <colorScale>
        <cfvo type="percent" val="&quot;&gt;=95&quot;"/>
        <cfvo type="num" val="100"/>
        <color theme="9"/>
        <color theme="9"/>
      </colorScale>
    </cfRule>
  </conditionalFormatting>
  <conditionalFormatting sqref="S1 S2426:S2483 X2484 S2485:S2532 X2533 S2534:S2539 X2540:X2544 S2545:S2549 X2550 S2557:S2558 X2559 S2560 X2561 S2562 S2564:S2566 S2568:S2580 X2581 S2582:S2585 X2586 S2587:S2625 X2626:X2627 S2628:S2644 X2645 S2646:S2683 X2780 S2781:S2844 X2784 X2839 X2845:X2846 S2847:S2867 S2870:S2873 AE2875 X2875:X2876 S2876:S2878 X2879 S2880 AE2883:AE2885 X2883:X2891 S2886:S2892">
    <cfRule type="containsText" dxfId="28" priority="76" operator="containsText" text="DESFAVORABLE">
      <formula>NOT(ISERROR(SEARCH("DESFAVORABLE",S1)))</formula>
    </cfRule>
  </conditionalFormatting>
  <conditionalFormatting sqref="X1 AE1:AH1 AQ1:AT1">
    <cfRule type="containsText" dxfId="27" priority="77" operator="containsText" text="DESFAVORABLE">
      <formula>NOT(ISERROR(SEARCH("DESFAVORABLE",X1)))</formula>
    </cfRule>
  </conditionalFormatting>
  <conditionalFormatting sqref="X2460">
    <cfRule type="containsText" dxfId="26" priority="43" operator="containsText" text="DESFAVORABLE">
      <formula>NOT(ISERROR(SEARCH("DESFAVORABLE",X2460)))</formula>
    </cfRule>
  </conditionalFormatting>
  <conditionalFormatting sqref="X2474">
    <cfRule type="containsText" dxfId="25" priority="44" operator="containsText" text="DESFAVORABLE">
      <formula>NOT(ISERROR(SEARCH("DESFAVORABLE",X2474)))</formula>
    </cfRule>
  </conditionalFormatting>
  <conditionalFormatting sqref="X2476">
    <cfRule type="containsText" dxfId="24" priority="42" operator="containsText" text="DESFAVORABLE">
      <formula>NOT(ISERROR(SEARCH("DESFAVORABLE",X2476)))</formula>
    </cfRule>
  </conditionalFormatting>
  <conditionalFormatting sqref="X2565:X2567">
    <cfRule type="containsText" dxfId="23" priority="33" operator="containsText" text="DESFAVORABLE">
      <formula>NOT(ISERROR(SEARCH("DESFAVORABLE",X2565)))</formula>
    </cfRule>
  </conditionalFormatting>
  <conditionalFormatting sqref="X2608">
    <cfRule type="containsText" dxfId="22" priority="27" operator="containsText" text="DESFAVORABLE">
      <formula>NOT(ISERROR(SEARCH("DESFAVORABLE",X2608)))</formula>
    </cfRule>
  </conditionalFormatting>
  <conditionalFormatting sqref="X2624">
    <cfRule type="containsText" dxfId="21" priority="31" operator="containsText" text="DESFAVORABLE">
      <formula>NOT(ISERROR(SEARCH("DESFAVORABLE",X2624)))</formula>
    </cfRule>
  </conditionalFormatting>
  <conditionalFormatting sqref="X2639">
    <cfRule type="containsText" dxfId="20" priority="29" operator="containsText" text="DESFAVORABLE">
      <formula>NOT(ISERROR(SEARCH("DESFAVORABLE",X2639)))</formula>
    </cfRule>
  </conditionalFormatting>
  <conditionalFormatting sqref="X2801">
    <cfRule type="containsText" dxfId="19" priority="14" operator="containsText" text="DESFAVORABLE">
      <formula>NOT(ISERROR(SEARCH("DESFAVORABLE",X2801)))</formula>
    </cfRule>
  </conditionalFormatting>
  <conditionalFormatting sqref="X2803">
    <cfRule type="containsText" dxfId="18" priority="15" operator="containsText" text="DESFAVORABLE">
      <formula>NOT(ISERROR(SEARCH("DESFAVORABLE",X2803)))</formula>
    </cfRule>
  </conditionalFormatting>
  <conditionalFormatting sqref="X2862:X2867">
    <cfRule type="containsText" dxfId="17" priority="17" operator="containsText" text="DESFAVORABLE">
      <formula>NOT(ISERROR(SEARCH("DESFAVORABLE",X2862)))</formula>
    </cfRule>
  </conditionalFormatting>
  <conditionalFormatting sqref="X2871:X2873">
    <cfRule type="containsText" dxfId="16" priority="20" operator="containsText" text="DESFAVORABLE">
      <formula>NOT(ISERROR(SEARCH("DESFAVORABLE",X2871)))</formula>
    </cfRule>
  </conditionalFormatting>
  <conditionalFormatting sqref="AE915">
    <cfRule type="containsText" dxfId="15" priority="49" operator="containsText" text="DESFAVORABLE">
      <formula>NOT(ISERROR(SEARCH("DESFAVORABLE",AE915)))</formula>
    </cfRule>
  </conditionalFormatting>
  <conditionalFormatting sqref="AE2559">
    <cfRule type="containsText" dxfId="14" priority="32" operator="containsText" text="DESFAVORABLE">
      <formula>NOT(ISERROR(SEARCH("DESFAVORABLE",AE2559)))</formula>
    </cfRule>
  </conditionalFormatting>
  <conditionalFormatting sqref="AE2561 X2563">
    <cfRule type="containsText" dxfId="13" priority="39" operator="containsText" text="DESFAVORABLE">
      <formula>NOT(ISERROR(SEARCH("DESFAVORABLE",X2561)))</formula>
    </cfRule>
  </conditionalFormatting>
  <conditionalFormatting sqref="AE2608">
    <cfRule type="containsText" dxfId="12" priority="28" operator="containsText" text="DESFAVORABLE">
      <formula>NOT(ISERROR(SEARCH("DESFAVORABLE",AE2608)))</formula>
    </cfRule>
  </conditionalFormatting>
  <conditionalFormatting sqref="AE2626">
    <cfRule type="containsText" dxfId="11" priority="34" operator="containsText" text="DESFAVORABLE">
      <formula>NOT(ISERROR(SEARCH("DESFAVORABLE",AE2626)))</formula>
    </cfRule>
  </conditionalFormatting>
  <conditionalFormatting sqref="AE2629:AE2635">
    <cfRule type="containsText" dxfId="10" priority="30" operator="containsText" text="DESFAVORABLE">
      <formula>NOT(ISERROR(SEARCH("DESFAVORABLE",AE2629)))</formula>
    </cfRule>
  </conditionalFormatting>
  <conditionalFormatting sqref="AE2780">
    <cfRule type="containsText" dxfId="9" priority="12" operator="containsText" text="DESFAVORABLE">
      <formula>NOT(ISERROR(SEARCH("DESFAVORABLE",AE2780)))</formula>
    </cfRule>
  </conditionalFormatting>
  <conditionalFormatting sqref="AE2839">
    <cfRule type="containsText" dxfId="8" priority="11" operator="containsText" text="DESFAVORABLE">
      <formula>NOT(ISERROR(SEARCH("DESFAVORABLE",AE2839)))</formula>
    </cfRule>
  </conditionalFormatting>
  <conditionalFormatting sqref="AK2561">
    <cfRule type="containsText" dxfId="7" priority="36" operator="containsText" text="DESFAVORABLE">
      <formula>NOT(ISERROR(SEARCH("DESFAVORABLE",AK2561)))</formula>
    </cfRule>
  </conditionalFormatting>
  <conditionalFormatting sqref="AK2839">
    <cfRule type="containsText" dxfId="6" priority="10" operator="containsText" text="DESFAVORABLE">
      <formula>NOT(ISERROR(SEARCH("DESFAVORABLE",AK2839)))</formula>
    </cfRule>
  </conditionalFormatting>
  <conditionalFormatting sqref="AU1655:AU1785 AU2426:AU2574 AU2579:AU2698 AU2780:AU2892">
    <cfRule type="containsText" dxfId="5" priority="47" operator="containsText" text="INACTIVO">
      <formula>NOT(ISERROR(SEARCH("INACTIVO",AU1655)))</formula>
    </cfRule>
    <cfRule type="containsText" dxfId="4" priority="48" operator="containsText" text="ACTIVO">
      <formula>NOT(ISERROR(SEARCH("ACTIVO",AU1655)))</formula>
    </cfRule>
  </conditionalFormatting>
  <conditionalFormatting sqref="AU2576:AU2577">
    <cfRule type="containsText" dxfId="3" priority="25" operator="containsText" text="INACTIVO">
      <formula>NOT(ISERROR(SEARCH("INACTIVO",AU2576)))</formula>
    </cfRule>
    <cfRule type="containsText" dxfId="2" priority="26" operator="containsText" text="ACTIVO">
      <formula>NOT(ISERROR(SEARCH("ACTIVO",AU2576)))</formula>
    </cfRule>
  </conditionalFormatting>
  <conditionalFormatting sqref="AX1">
    <cfRule type="containsText" priority="79" operator="containsText" text="NO">
      <formula>NOT(ISERROR(SEARCH("NO",AX1)))</formula>
    </cfRule>
    <cfRule type="containsText" dxfId="1" priority="78" operator="containsText" text="NO">
      <formula>NOT(ISERROR(SEARCH("NO",AX1)))</formula>
    </cfRule>
  </conditionalFormatting>
  <conditionalFormatting sqref="BD1:BG1">
    <cfRule type="containsText" dxfId="0" priority="1" operator="containsText" text="DESFAVORABLE">
      <formula>NOT(ISERROR(SEARCH("DESFAVORABLE",BD1)))</formula>
    </cfRule>
  </conditionalFormatting>
  <hyperlinks>
    <hyperlink ref="M4" r:id="rId1" xr:uid="{00000000-0004-0000-0000-000000000000}"/>
    <hyperlink ref="M19" r:id="rId2" xr:uid="{00000000-0004-0000-0000-000001000000}"/>
    <hyperlink ref="M23" r:id="rId3" xr:uid="{00000000-0004-0000-0000-000002000000}"/>
    <hyperlink ref="M25" r:id="rId4" xr:uid="{00000000-0004-0000-0000-000003000000}"/>
    <hyperlink ref="M21" r:id="rId5" xr:uid="{00000000-0004-0000-0000-000004000000}"/>
    <hyperlink ref="M20" r:id="rId6" xr:uid="{00000000-0004-0000-0000-000007000000}"/>
    <hyperlink ref="M17" r:id="rId7" xr:uid="{00000000-0004-0000-0000-000008000000}"/>
    <hyperlink ref="M45" r:id="rId8" xr:uid="{00000000-0004-0000-0000-000009000000}"/>
    <hyperlink ref="M27" r:id="rId9" xr:uid="{00000000-0004-0000-0000-00000A000000}"/>
    <hyperlink ref="M26" r:id="rId10" xr:uid="{00000000-0004-0000-0000-00000B000000}"/>
    <hyperlink ref="M30" r:id="rId11" xr:uid="{00000000-0004-0000-0000-00000C000000}"/>
    <hyperlink ref="M28" r:id="rId12" xr:uid="{00000000-0004-0000-0000-00000D000000}"/>
    <hyperlink ref="M69" r:id="rId13" xr:uid="{00000000-0004-0000-0000-00000E000000}"/>
    <hyperlink ref="M50" r:id="rId14" display="FUNREGIONCARIBE@GMAIL.COM" xr:uid="{00000000-0004-0000-0000-00000F000000}"/>
    <hyperlink ref="M881" r:id="rId15" xr:uid="{00000000-0004-0000-0000-000010000000}"/>
    <hyperlink ref="M853" r:id="rId16" xr:uid="{00000000-0004-0000-0000-000011000000}"/>
    <hyperlink ref="M896" r:id="rId17" display="FRANSICOJOSEVERGARA2@GMAIL.COM" xr:uid="{00000000-0004-0000-0000-000012000000}"/>
    <hyperlink ref="M877" r:id="rId18" display="ASOPALOALTO@HOTMAIL.COM" xr:uid="{00000000-0004-0000-0000-000013000000}"/>
    <hyperlink ref="M876" r:id="rId19" display="ASOPALOALTO@HOTMAIL.COM" xr:uid="{00000000-0004-0000-0000-000014000000}"/>
    <hyperlink ref="M887" r:id="rId20" xr:uid="{00000000-0004-0000-0000-000015000000}"/>
    <hyperlink ref="M868" r:id="rId21" display="ASOPALOALTO@HOTMAIL.COM" xr:uid="{00000000-0004-0000-0000-000016000000}"/>
    <hyperlink ref="M880" r:id="rId22" xr:uid="{00000000-0004-0000-0000-000017000000}"/>
    <hyperlink ref="M1065" r:id="rId23" xr:uid="{00000000-0004-0000-0000-000018000000}"/>
    <hyperlink ref="M1074" r:id="rId24" xr:uid="{00000000-0004-0000-0000-000019000000}"/>
    <hyperlink ref="M1055" r:id="rId25" display="LOGISTICAYGESTIONESBENITO@GMAIL.COM" xr:uid="{00000000-0004-0000-0000-00001A000000}"/>
    <hyperlink ref="M1068" r:id="rId26" display="CENTENOSEVERICHEDIANAMARIA@HOTMAIL.COM" xr:uid="{00000000-0004-0000-0000-00001B000000}"/>
    <hyperlink ref="M1235" r:id="rId27" xr:uid="{00000000-0004-0000-0000-00001C000000}"/>
    <hyperlink ref="M1061" r:id="rId28" xr:uid="{00000000-0004-0000-0000-00001D000000}"/>
    <hyperlink ref="M1062" r:id="rId29" display="LISEMILINA@OUTLOOK.ES" xr:uid="{00000000-0004-0000-0000-00001E000000}"/>
    <hyperlink ref="M1197" r:id="rId30" xr:uid="{00000000-0004-0000-0000-00001F000000}"/>
    <hyperlink ref="M282" r:id="rId31" xr:uid="{00000000-0004-0000-0000-000020000000}"/>
    <hyperlink ref="M278" r:id="rId32" xr:uid="{00000000-0004-0000-0000-000021000000}"/>
    <hyperlink ref="M277" r:id="rId33" xr:uid="{00000000-0004-0000-0000-000022000000}"/>
    <hyperlink ref="M272" r:id="rId34" xr:uid="{00000000-0004-0000-0000-000023000000}"/>
    <hyperlink ref="M1593" r:id="rId35" xr:uid="{00000000-0004-0000-0000-000024000000}"/>
    <hyperlink ref="M1075" r:id="rId36" display="CASAMIJASMUJESCO@GMAIL.COM" xr:uid="{00000000-0004-0000-0000-000025000000}"/>
    <hyperlink ref="M1069" r:id="rId37" display="CASAMIJASMUJESCO@GMAIL.COM" xr:uid="{00000000-0004-0000-0000-000026000000}"/>
    <hyperlink ref="M1590" r:id="rId38" xr:uid="{00000000-0004-0000-0000-000027000000}"/>
    <hyperlink ref="M1589" r:id="rId39" xr:uid="{00000000-0004-0000-0000-000028000000}"/>
    <hyperlink ref="M844" r:id="rId40" xr:uid="{00000000-0004-0000-0000-000029000000}"/>
    <hyperlink ref="M845" r:id="rId41" xr:uid="{00000000-0004-0000-0000-00002A000000}"/>
    <hyperlink ref="M905" r:id="rId42" xr:uid="{00000000-0004-0000-0000-000038000000}"/>
    <hyperlink ref="M921" r:id="rId43" xr:uid="{00000000-0004-0000-0000-000039000000}"/>
    <hyperlink ref="M923" r:id="rId44" xr:uid="{00000000-0004-0000-0000-00003A000000}"/>
    <hyperlink ref="M940" r:id="rId45" xr:uid="{00000000-0004-0000-0000-00003B000000}"/>
    <hyperlink ref="M936" r:id="rId46" display="CHIRLYLEONES1506@GMAIL.COM" xr:uid="{00000000-0004-0000-0000-00003C000000}"/>
    <hyperlink ref="M930" r:id="rId47" display="DIAZSUAREZMONICA7@GMAIL.COM" xr:uid="{00000000-0004-0000-0000-00003D000000}"/>
    <hyperlink ref="M934" r:id="rId48" xr:uid="{00000000-0004-0000-0000-00003E000000}"/>
    <hyperlink ref="M933" r:id="rId49" xr:uid="{00000000-0004-0000-0000-00003F000000}"/>
    <hyperlink ref="M929" r:id="rId50" xr:uid="{00000000-0004-0000-0000-000040000000}"/>
    <hyperlink ref="M927" r:id="rId51" xr:uid="{00000000-0004-0000-0000-000041000000}"/>
    <hyperlink ref="M925" r:id="rId52" xr:uid="{00000000-0004-0000-0000-000042000000}"/>
    <hyperlink ref="M951" r:id="rId53" xr:uid="{00000000-0004-0000-0000-000043000000}"/>
    <hyperlink ref="M952" r:id="rId54" xr:uid="{00000000-0004-0000-0000-000044000000}"/>
    <hyperlink ref="M954" r:id="rId55" xr:uid="{00000000-0004-0000-0000-000046000000}"/>
    <hyperlink ref="M956" r:id="rId56" xr:uid="{00000000-0004-0000-0000-000047000000}"/>
    <hyperlink ref="M992" r:id="rId57" xr:uid="{00000000-0004-0000-0000-000048000000}"/>
    <hyperlink ref="M1349" r:id="rId58" xr:uid="{00000000-0004-0000-0000-000049000000}"/>
    <hyperlink ref="M1350" r:id="rId59" xr:uid="{00000000-0004-0000-0000-00004A000000}"/>
    <hyperlink ref="M1353" r:id="rId60" display="ANALOBO30@GMAIL.COM" xr:uid="{00000000-0004-0000-0000-00004B000000}"/>
    <hyperlink ref="M1370" r:id="rId61" display="LOGISTICAYGESTIONESBENITO@GMAL.COM" xr:uid="{00000000-0004-0000-0000-00004C000000}"/>
    <hyperlink ref="M1375:M1383" r:id="rId62" display="LOGISTICAYGESTIONESBENITO@GMAL.COM" xr:uid="{00000000-0004-0000-0000-00004D000000}"/>
    <hyperlink ref="M1453" r:id="rId63" xr:uid="{00000000-0004-0000-0000-00004E000000}"/>
    <hyperlink ref="M1454" r:id="rId64" xr:uid="{00000000-0004-0000-0000-00004F000000}"/>
    <hyperlink ref="M1472" r:id="rId65" xr:uid="{00000000-0004-0000-0000-000050000000}"/>
    <hyperlink ref="M1485" r:id="rId66" xr:uid="{00000000-0004-0000-0000-000051000000}"/>
    <hyperlink ref="M1520" r:id="rId67" display="LOGISTICAYGESTIONESBENITO@GMAIL.COM" xr:uid="{00000000-0004-0000-0000-000052000000}"/>
    <hyperlink ref="M1510" r:id="rId68" xr:uid="{00000000-0004-0000-0000-000053000000}"/>
    <hyperlink ref="M1515" r:id="rId69" display="ASOMIRAFLORESPUERTODAJER@GMAIL.COM" xr:uid="{00000000-0004-0000-0000-000054000000}"/>
    <hyperlink ref="M1547" r:id="rId70" xr:uid="{00000000-0004-0000-0000-000055000000}"/>
    <hyperlink ref="M1581" r:id="rId71" xr:uid="{00000000-0004-0000-0000-000057000000}"/>
    <hyperlink ref="M1588" r:id="rId72" display="FUNDACOL261@HOTMAIL.COM" xr:uid="{00000000-0004-0000-0000-000058000000}"/>
    <hyperlink ref="M1626" r:id="rId73" xr:uid="{00000000-0004-0000-0000-000059000000}"/>
    <hyperlink ref="M1636" r:id="rId74" display="EDYSIERRA@GMAIL.COM" xr:uid="{00000000-0004-0000-0000-00005A000000}"/>
    <hyperlink ref="M1637" r:id="rId75" xr:uid="{00000000-0004-0000-0000-00005B000000}"/>
    <hyperlink ref="M1638" r:id="rId76" xr:uid="{00000000-0004-0000-0000-00005C000000}"/>
    <hyperlink ref="M1639" r:id="rId77" xr:uid="{00000000-0004-0000-0000-00005D000000}"/>
    <hyperlink ref="M1640" r:id="rId78" xr:uid="{00000000-0004-0000-0000-00005E000000}"/>
    <hyperlink ref="M1642" r:id="rId79" display="VEDADOMINGUEZ@GMAIL.COM" xr:uid="{00000000-0004-0000-0000-00005F000000}"/>
    <hyperlink ref="M1645" r:id="rId80" xr:uid="{00000000-0004-0000-0000-000060000000}"/>
    <hyperlink ref="M1601" r:id="rId81" xr:uid="{00000000-0004-0000-0000-000061000000}"/>
    <hyperlink ref="M1598" r:id="rId82" display="HECTORCAMACHOEN@GMAIL.COM" xr:uid="{00000000-0004-0000-0000-000062000000}"/>
    <hyperlink ref="M1649" r:id="rId83" xr:uid="{00000000-0004-0000-0000-000063000000}"/>
    <hyperlink ref="M1650" r:id="rId84" xr:uid="{00000000-0004-0000-0000-000064000000}"/>
    <hyperlink ref="M1651" r:id="rId85" xr:uid="{00000000-0004-0000-0000-000065000000}"/>
    <hyperlink ref="M1711" r:id="rId86" display="UNIONTEMPORALINDIGENAPANZENU@GMAIL.COM" xr:uid="{00000000-0004-0000-0000-000066000000}"/>
    <hyperlink ref="M1712" r:id="rId87" display="UNIONTEMPORALINDIGENAPANZENU@GMAIL.COM" xr:uid="{00000000-0004-0000-0000-000067000000}"/>
    <hyperlink ref="M1710" r:id="rId88" xr:uid="{00000000-0004-0000-0000-000068000000}"/>
    <hyperlink ref="M1657" r:id="rId89" xr:uid="{00000000-0004-0000-0000-000069000000}"/>
    <hyperlink ref="M1654" r:id="rId90" xr:uid="{00000000-0004-0000-0000-00006A000000}"/>
    <hyperlink ref="M1715" r:id="rId91" xr:uid="{00000000-0004-0000-0000-00006B000000}"/>
    <hyperlink ref="M1714" r:id="rId92" xr:uid="{00000000-0004-0000-0000-00006C000000}"/>
    <hyperlink ref="M1713" r:id="rId93" xr:uid="{00000000-0004-0000-0000-00006D000000}"/>
    <hyperlink ref="M1717" r:id="rId94" xr:uid="{00000000-0004-0000-0000-00006E000000}"/>
    <hyperlink ref="M1718" r:id="rId95" xr:uid="{00000000-0004-0000-0000-00006F000000}"/>
    <hyperlink ref="M1724" r:id="rId96" display="UNIONTEMPORALINDIGENAPANZENU@GMAIL.COM" xr:uid="{00000000-0004-0000-0000-000071000000}"/>
    <hyperlink ref="M1722" r:id="rId97" display="UNIONTEMPORALINDIGENAPANZENU@GMAIL.COM" xr:uid="{00000000-0004-0000-0000-000072000000}"/>
    <hyperlink ref="M1721" r:id="rId98" display="UNIONTEMPORALINDIGENAPANZENU@GMAIL.COM" xr:uid="{00000000-0004-0000-0000-000073000000}"/>
    <hyperlink ref="M1727" r:id="rId99" display="UNIONTEMPORALINDIGENAPANZENU@GMAIL.COM" xr:uid="{00000000-0004-0000-0000-000074000000}"/>
    <hyperlink ref="M1728" r:id="rId100" xr:uid="{00000000-0004-0000-0000-000075000000}"/>
    <hyperlink ref="M1729" r:id="rId101" display="UNIONTEMPORALINDIGENAPANZENU@GMAIL.COM" xr:uid="{00000000-0004-0000-0000-000076000000}"/>
    <hyperlink ref="M1730" r:id="rId102" xr:uid="{00000000-0004-0000-0000-000077000000}"/>
    <hyperlink ref="M1745" r:id="rId103" xr:uid="{00000000-0004-0000-0000-000078000000}"/>
    <hyperlink ref="M1749" r:id="rId104" xr:uid="{00000000-0004-0000-0000-000079000000}"/>
    <hyperlink ref="M1746" r:id="rId105" xr:uid="{00000000-0004-0000-0000-00007A000000}"/>
    <hyperlink ref="M1747" r:id="rId106" xr:uid="{00000000-0004-0000-0000-00007B000000}"/>
    <hyperlink ref="M1750" r:id="rId107" xr:uid="{00000000-0004-0000-0000-00007C000000}"/>
    <hyperlink ref="M1754" r:id="rId108" xr:uid="{00000000-0004-0000-0000-00007D000000}"/>
    <hyperlink ref="M1755" r:id="rId109" xr:uid="{00000000-0004-0000-0000-00007E000000}"/>
    <hyperlink ref="M1761" r:id="rId110" xr:uid="{00000000-0004-0000-0000-00007F000000}"/>
    <hyperlink ref="M1764" r:id="rId111" xr:uid="{00000000-0004-0000-0000-000080000000}"/>
    <hyperlink ref="M1765" r:id="rId112" display="UNIONTEMPORALINDIGENAPANZENU@GMAIL.COM" xr:uid="{00000000-0004-0000-0000-000081000000}"/>
    <hyperlink ref="M1767" r:id="rId113" xr:uid="{00000000-0004-0000-0000-000082000000}"/>
    <hyperlink ref="M1768" r:id="rId114" display="UNIONTEMPORALINDIGENAPANZENU@GMAIL.COM" xr:uid="{00000000-0004-0000-0000-000083000000}"/>
    <hyperlink ref="M1769" r:id="rId115" display="UNIONTEMPORALINDIGENAPANZENU@GMAIL.COM" xr:uid="{00000000-0004-0000-0000-000084000000}"/>
    <hyperlink ref="M1770" r:id="rId116" xr:uid="{00000000-0004-0000-0000-000085000000}"/>
    <hyperlink ref="M1775" r:id="rId117" display="UNIONTEMPORALINDIGENAPANZENU@GMAIL.COM" xr:uid="{00000000-0004-0000-0000-000086000000}"/>
    <hyperlink ref="M2212" r:id="rId118" xr:uid="{00000000-0004-0000-0000-000087000000}"/>
    <hyperlink ref="M2213" r:id="rId119" xr:uid="{00000000-0004-0000-0000-000088000000}"/>
    <hyperlink ref="M2214" r:id="rId120" xr:uid="{00000000-0004-0000-0000-000089000000}"/>
    <hyperlink ref="M2216" r:id="rId121" display="FRASSERROBINSON@GMAIL.COM " xr:uid="{00000000-0004-0000-0000-00008A000000}"/>
    <hyperlink ref="M2219" r:id="rId122" xr:uid="{00000000-0004-0000-0000-00008B000000}"/>
    <hyperlink ref="M2221" r:id="rId123" xr:uid="{00000000-0004-0000-0000-00008C000000}"/>
    <hyperlink ref="M2222" r:id="rId124" display="ZENURDA27@HOTMAIL.COM " xr:uid="{00000000-0004-0000-0000-00008D000000}"/>
    <hyperlink ref="M2228" r:id="rId125" xr:uid="{00000000-0004-0000-0000-00008E000000}"/>
    <hyperlink ref="M2232" r:id="rId126" xr:uid="{00000000-0004-0000-0000-000090000000}"/>
    <hyperlink ref="M2245" r:id="rId127" xr:uid="{00000000-0004-0000-0000-000091000000}"/>
    <hyperlink ref="M2246" r:id="rId128" xr:uid="{00000000-0004-0000-0000-000092000000}"/>
    <hyperlink ref="M2247" r:id="rId129" xr:uid="{00000000-0004-0000-0000-000093000000}"/>
    <hyperlink ref="M2257" r:id="rId130" xr:uid="{00000000-0004-0000-0000-000094000000}"/>
    <hyperlink ref="M2270" r:id="rId131" xr:uid="{00000000-0004-0000-0000-000095000000}"/>
    <hyperlink ref="M2271" r:id="rId132" display="J.VERGARABARRETO@GMAIL.COM " xr:uid="{00000000-0004-0000-0000-000096000000}"/>
    <hyperlink ref="M2273" r:id="rId133" xr:uid="{00000000-0004-0000-0000-000097000000}"/>
    <hyperlink ref="M2275" r:id="rId134" xr:uid="{00000000-0004-0000-0000-000098000000}"/>
    <hyperlink ref="M2276" r:id="rId135" xr:uid="{00000000-0004-0000-0000-000099000000}"/>
    <hyperlink ref="M2280" r:id="rId136" xr:uid="{00000000-0004-0000-0000-00009A000000}"/>
    <hyperlink ref="M2281" r:id="rId137" xr:uid="{00000000-0004-0000-0000-00009B000000}"/>
    <hyperlink ref="M2282" r:id="rId138" xr:uid="{00000000-0004-0000-0000-00009C000000}"/>
    <hyperlink ref="M2284" r:id="rId139" xr:uid="{00000000-0004-0000-0000-00009D000000}"/>
    <hyperlink ref="M2286" r:id="rId140" xr:uid="{00000000-0004-0000-0000-00009E000000}"/>
    <hyperlink ref="M2292" r:id="rId141" display="ALEXANDERCASTILLO.29@HOTMAIL.COM" xr:uid="{00000000-0004-0000-0000-00009F000000}"/>
    <hyperlink ref="M2303" r:id="rId142" xr:uid="{00000000-0004-0000-0000-0000A0000000}"/>
    <hyperlink ref="M2304" r:id="rId143" display="FREDISMIELES1969@GMAIL.COM " xr:uid="{00000000-0004-0000-0000-0000A1000000}"/>
    <hyperlink ref="M2315" r:id="rId144" xr:uid="{00000000-0004-0000-0000-0000A2000000}"/>
    <hyperlink ref="M2317" r:id="rId145" xr:uid="{00000000-0004-0000-0000-0000A3000000}"/>
    <hyperlink ref="M2323" r:id="rId146" xr:uid="{00000000-0004-0000-0000-0000A4000000}"/>
    <hyperlink ref="M2327" r:id="rId147" xr:uid="{00000000-0004-0000-0000-0000A5000000}"/>
    <hyperlink ref="M2330" r:id="rId148" xr:uid="{00000000-0004-0000-0000-0000A6000000}"/>
    <hyperlink ref="M2291" r:id="rId149" xr:uid="{00000000-0004-0000-0000-0000A7000000}"/>
    <hyperlink ref="M2267" r:id="rId150" xr:uid="{00000000-0004-0000-0000-0000A8000000}"/>
    <hyperlink ref="M2269" r:id="rId151" xr:uid="{00000000-0004-0000-0000-0000A9000000}"/>
    <hyperlink ref="M2268" r:id="rId152" xr:uid="{00000000-0004-0000-0000-0000AA000000}"/>
    <hyperlink ref="M2263" r:id="rId153" xr:uid="{00000000-0004-0000-0000-0000AB000000}"/>
    <hyperlink ref="M2405" r:id="rId154" xr:uid="{00000000-0004-0000-0000-0000AC000000}"/>
    <hyperlink ref="M2406" r:id="rId155" xr:uid="{00000000-0004-0000-0000-0000AD000000}"/>
    <hyperlink ref="M2407" r:id="rId156" xr:uid="{00000000-0004-0000-0000-0000AE000000}"/>
    <hyperlink ref="M2408" r:id="rId157" xr:uid="{00000000-0004-0000-0000-0000AF000000}"/>
    <hyperlink ref="M2409" r:id="rId158" xr:uid="{00000000-0004-0000-0000-0000B0000000}"/>
    <hyperlink ref="M2410" r:id="rId159" xr:uid="{00000000-0004-0000-0000-0000B1000000}"/>
    <hyperlink ref="M2411" r:id="rId160" xr:uid="{00000000-0004-0000-0000-0000B2000000}"/>
    <hyperlink ref="M2412" r:id="rId161" xr:uid="{00000000-0004-0000-0000-0000B3000000}"/>
    <hyperlink ref="M2418" r:id="rId162" xr:uid="{00000000-0004-0000-0000-0000B4000000}"/>
    <hyperlink ref="M2403" r:id="rId163" display="LOGISTICAYGESTIONESBENITO@GMAIL.COM" xr:uid="{00000000-0004-0000-0000-0000B5000000}"/>
    <hyperlink ref="M2361" r:id="rId164" display="LOGISTICAYGESTIONESBENITO@GMAIL.COM" xr:uid="{00000000-0004-0000-0000-0000B6000000}"/>
    <hyperlink ref="M2404" r:id="rId165" xr:uid="{00000000-0004-0000-0000-0000B7000000}"/>
    <hyperlink ref="M2392" r:id="rId166" xr:uid="{00000000-0004-0000-0000-0000B8000000}"/>
    <hyperlink ref="M2390" r:id="rId167" display="DADRYHAHA23@GAMIL.COM" xr:uid="{00000000-0004-0000-0000-0000B9000000}"/>
    <hyperlink ref="M2420" r:id="rId168" xr:uid="{00000000-0004-0000-0000-0000BA000000}"/>
    <hyperlink ref="M2421" r:id="rId169" xr:uid="{00000000-0004-0000-0000-0000BB000000}"/>
    <hyperlink ref="M2368" r:id="rId170" xr:uid="{00000000-0004-0000-0000-0000BC000000}"/>
    <hyperlink ref="M2394" r:id="rId171" xr:uid="{00000000-0004-0000-0000-0000BD000000}"/>
    <hyperlink ref="M2365" r:id="rId172" xr:uid="{00000000-0004-0000-0000-0000BE000000}"/>
    <hyperlink ref="M2388" r:id="rId173" xr:uid="{00000000-0004-0000-0000-0000BF000000}"/>
    <hyperlink ref="M2369" r:id="rId174" xr:uid="{00000000-0004-0000-0000-0000C0000000}"/>
    <hyperlink ref="M2366" r:id="rId175" xr:uid="{00000000-0004-0000-0000-0000C1000000}"/>
    <hyperlink ref="M2370" r:id="rId176" xr:uid="{00000000-0004-0000-0000-0000C2000000}"/>
    <hyperlink ref="M2532" r:id="rId177" xr:uid="{00000000-0004-0000-0000-0000C3000000}"/>
    <hyperlink ref="M2533" r:id="rId178" xr:uid="{00000000-0004-0000-0000-0000C4000000}"/>
    <hyperlink ref="M2534" r:id="rId179" xr:uid="{00000000-0004-0000-0000-0000C5000000}"/>
    <hyperlink ref="M2535" r:id="rId180" xr:uid="{00000000-0004-0000-0000-0000C6000000}"/>
    <hyperlink ref="M2536" r:id="rId181" xr:uid="{00000000-0004-0000-0000-0000C7000000}"/>
    <hyperlink ref="M2537" r:id="rId182" xr:uid="{00000000-0004-0000-0000-0000C8000000}"/>
    <hyperlink ref="M2538" r:id="rId183" xr:uid="{00000000-0004-0000-0000-0000C9000000}"/>
    <hyperlink ref="M2545" r:id="rId184" xr:uid="{00000000-0004-0000-0000-0000CF000000}"/>
    <hyperlink ref="M2546" r:id="rId185" xr:uid="{00000000-0004-0000-0000-0000D0000000}"/>
    <hyperlink ref="M2547" r:id="rId186" xr:uid="{00000000-0004-0000-0000-0000D1000000}"/>
    <hyperlink ref="M2548" r:id="rId187" xr:uid="{00000000-0004-0000-0000-0000D2000000}"/>
    <hyperlink ref="M2549" r:id="rId188" xr:uid="{00000000-0004-0000-0000-0000D3000000}"/>
    <hyperlink ref="M2550" r:id="rId189" display="NELIDACASTELLANO476@GMAIL.COM" xr:uid="{00000000-0004-0000-0000-0000D4000000}"/>
    <hyperlink ref="M2551" r:id="rId190" xr:uid="{00000000-0004-0000-0000-0000D5000000}"/>
    <hyperlink ref="M2552" r:id="rId191" xr:uid="{00000000-0004-0000-0000-0000D6000000}"/>
    <hyperlink ref="M2556" r:id="rId192" xr:uid="{00000000-0004-0000-0000-0000D7000000}"/>
    <hyperlink ref="M2557" r:id="rId193" xr:uid="{00000000-0004-0000-0000-0000D8000000}"/>
    <hyperlink ref="M2558" r:id="rId194" xr:uid="{00000000-0004-0000-0000-0000D9000000}"/>
    <hyperlink ref="M2484" r:id="rId195" xr:uid="{00000000-0004-0000-0000-0000DA000000}"/>
    <hyperlink ref="M2436" r:id="rId196" xr:uid="{00000000-0004-0000-0000-0000DB000000}"/>
    <hyperlink ref="M2460" r:id="rId197" xr:uid="{00000000-0004-0000-0000-0000DC000000}"/>
    <hyperlink ref="M2490" r:id="rId198" xr:uid="{00000000-0004-0000-0000-0000DD000000}"/>
    <hyperlink ref="M2474" r:id="rId199" xr:uid="{00000000-0004-0000-0000-0000DF000000}"/>
    <hyperlink ref="M2427" r:id="rId200" xr:uid="{00000000-0004-0000-0000-0000E0000000}"/>
    <hyperlink ref="M2455" r:id="rId201" xr:uid="{00000000-0004-0000-0000-0000E1000000}"/>
    <hyperlink ref="M2426" r:id="rId202" xr:uid="{00000000-0004-0000-0000-0000E2000000}"/>
    <hyperlink ref="M2444" r:id="rId203" xr:uid="{00000000-0004-0000-0000-0000E3000000}"/>
    <hyperlink ref="M2434" r:id="rId204" xr:uid="{00000000-0004-0000-0000-0000E4000000}"/>
    <hyperlink ref="M2653" r:id="rId205" xr:uid="{00000000-0004-0000-0000-0000E5000000}"/>
    <hyperlink ref="M2583" r:id="rId206" xr:uid="{00000000-0004-0000-0000-0000E6000000}"/>
    <hyperlink ref="M2605" r:id="rId207" xr:uid="{00000000-0004-0000-0000-0000E7000000}"/>
    <hyperlink ref="M2621" r:id="rId208" xr:uid="{00000000-0004-0000-0000-0000E8000000}"/>
    <hyperlink ref="M2675" r:id="rId209" xr:uid="{00000000-0004-0000-0000-0000E9000000}"/>
    <hyperlink ref="M2684" r:id="rId210" display="LOGISTICAYGESTIONESBENITO@GMAIL.COM" xr:uid="{00000000-0004-0000-0000-0000EA000000}"/>
    <hyperlink ref="M2685" r:id="rId211" display="LOGISTICAYGESTIONESBENITO@GMAIL.COM" xr:uid="{00000000-0004-0000-0000-0000EB000000}"/>
    <hyperlink ref="M2686" r:id="rId212" xr:uid="{00000000-0004-0000-0000-0000EC000000}"/>
    <hyperlink ref="M2688" r:id="rId213" display="LOGISTICAYGESTIONESBENITO@GMAIL.COM" xr:uid="{00000000-0004-0000-0000-0000ED000000}"/>
    <hyperlink ref="M2689" r:id="rId214" display="LOGISTICAYGESTIONESBENITO@GMAIL.COM" xr:uid="{00000000-0004-0000-0000-0000EE000000}"/>
    <hyperlink ref="M2627" r:id="rId215" xr:uid="{00000000-0004-0000-0000-0000EF000000}"/>
    <hyperlink ref="M2629" r:id="rId216" xr:uid="{00000000-0004-0000-0000-0000F0000000}"/>
    <hyperlink ref="M2561" r:id="rId217" display="FRANKGALINDOR@HOTMAIL.COM" xr:uid="{00000000-0004-0000-0000-0000F1000000}"/>
    <hyperlink ref="M2563" r:id="rId218" xr:uid="{00000000-0004-0000-0000-0000F2000000}"/>
    <hyperlink ref="M2645" r:id="rId219" xr:uid="{00000000-0004-0000-0000-0000F3000000}"/>
    <hyperlink ref="M2691" r:id="rId220" xr:uid="{00000000-0004-0000-0000-0000F4000000}"/>
    <hyperlink ref="M2690" r:id="rId221" xr:uid="{00000000-0004-0000-0000-0000F5000000}"/>
    <hyperlink ref="M2692" r:id="rId222" xr:uid="{00000000-0004-0000-0000-0000F6000000}"/>
    <hyperlink ref="M2626" r:id="rId223" xr:uid="{00000000-0004-0000-0000-0000F7000000}"/>
    <hyperlink ref="M2565" r:id="rId224" xr:uid="{00000000-0004-0000-0000-0000F8000000}"/>
    <hyperlink ref="M2559" r:id="rId225" display="FRANKGALINDOR@HOTMAIL.COM" xr:uid="{00000000-0004-0000-0000-0000F9000000}"/>
    <hyperlink ref="M2693" r:id="rId226" xr:uid="{00000000-0004-0000-0000-0000FA000000}"/>
    <hyperlink ref="M2624" r:id="rId227" xr:uid="{00000000-0004-0000-0000-0000FB000000}"/>
    <hyperlink ref="M2695" r:id="rId228" xr:uid="{00000000-0004-0000-0000-0000FC000000}"/>
    <hyperlink ref="M2696" r:id="rId229" xr:uid="{00000000-0004-0000-0000-0000FD000000}"/>
    <hyperlink ref="M2639" r:id="rId230" xr:uid="{00000000-0004-0000-0000-0000FE000000}"/>
    <hyperlink ref="M2697" r:id="rId231" xr:uid="{00000000-0004-0000-0000-0000FF000000}"/>
    <hyperlink ref="M2608" r:id="rId232" xr:uid="{00000000-0004-0000-0000-000000010000}"/>
    <hyperlink ref="M2698" r:id="rId233" xr:uid="{00000000-0004-0000-0000-000002010000}"/>
    <hyperlink ref="M2869" r:id="rId234" xr:uid="{00000000-0004-0000-0000-000003010000}"/>
    <hyperlink ref="M2870" r:id="rId235" xr:uid="{00000000-0004-0000-0000-000004010000}"/>
    <hyperlink ref="M2871" r:id="rId236" xr:uid="{00000000-0004-0000-0000-000005010000}"/>
    <hyperlink ref="M2874" r:id="rId237" xr:uid="{00000000-0004-0000-0000-000006010000}"/>
    <hyperlink ref="M2877" r:id="rId238" xr:uid="{00000000-0004-0000-0000-000008010000}"/>
    <hyperlink ref="M2878" r:id="rId239" xr:uid="{00000000-0004-0000-0000-000009010000}"/>
    <hyperlink ref="M2879" r:id="rId240" xr:uid="{00000000-0004-0000-0000-00000A010000}"/>
    <hyperlink ref="M2883" r:id="rId241" display="UNIONTEMPORALINDIGENAPANZENU@GMAIL.COM" xr:uid="{00000000-0004-0000-0000-00000B010000}"/>
    <hyperlink ref="M2886" r:id="rId242" xr:uid="{00000000-0004-0000-0000-00000C010000}"/>
    <hyperlink ref="M2887" r:id="rId243" xr:uid="{00000000-0004-0000-0000-00000D010000}"/>
    <hyperlink ref="M2888" r:id="rId244" xr:uid="{00000000-0004-0000-0000-00000E010000}"/>
    <hyperlink ref="M2892" r:id="rId245" xr:uid="{00000000-0004-0000-0000-00000F010000}"/>
    <hyperlink ref="M2868" r:id="rId246" xr:uid="{00000000-0004-0000-0000-000010010000}"/>
    <hyperlink ref="M2867" r:id="rId247" xr:uid="{00000000-0004-0000-0000-000011010000}"/>
    <hyperlink ref="M2866" r:id="rId248" xr:uid="{00000000-0004-0000-0000-000012010000}"/>
    <hyperlink ref="M2865" r:id="rId249" xr:uid="{00000000-0004-0000-0000-000013010000}"/>
    <hyperlink ref="M2864" r:id="rId250" xr:uid="{00000000-0004-0000-0000-000014010000}"/>
    <hyperlink ref="M2863" r:id="rId251" xr:uid="{00000000-0004-0000-0000-000015010000}"/>
    <hyperlink ref="M2862" r:id="rId252" display="LOGISTICAYGESTIONESBENITO@GMAIL.COM" xr:uid="{00000000-0004-0000-0000-000016010000}"/>
    <hyperlink ref="M2861" r:id="rId253" xr:uid="{00000000-0004-0000-0000-000017010000}"/>
    <hyperlink ref="M2783" r:id="rId254" xr:uid="{00000000-0004-0000-0000-000018010000}"/>
    <hyperlink ref="M2785" r:id="rId255" xr:uid="{00000000-0004-0000-0000-000019010000}"/>
    <hyperlink ref="M2789" r:id="rId256" xr:uid="{00000000-0004-0000-0000-00001A010000}"/>
    <hyperlink ref="M2791" r:id="rId257" xr:uid="{00000000-0004-0000-0000-00001B010000}"/>
    <hyperlink ref="M2806" r:id="rId258" xr:uid="{00000000-0004-0000-0000-00001C010000}"/>
    <hyperlink ref="M2804" r:id="rId259" xr:uid="{00000000-0004-0000-0000-00001D010000}"/>
    <hyperlink ref="M2802" r:id="rId260" xr:uid="{00000000-0004-0000-0000-00001E010000}"/>
    <hyperlink ref="M2800" r:id="rId261" xr:uid="{00000000-0004-0000-0000-00001F010000}"/>
    <hyperlink ref="M2799" r:id="rId262" xr:uid="{00000000-0004-0000-0000-000020010000}"/>
    <hyperlink ref="M2798" r:id="rId263" xr:uid="{00000000-0004-0000-0000-000021010000}"/>
    <hyperlink ref="M2797" r:id="rId264" xr:uid="{00000000-0004-0000-0000-000022010000}"/>
    <hyperlink ref="M2796" r:id="rId265" xr:uid="{00000000-0004-0000-0000-000023010000}"/>
    <hyperlink ref="M2795" r:id="rId266" xr:uid="{00000000-0004-0000-0000-000024010000}"/>
    <hyperlink ref="M2792" r:id="rId267" xr:uid="{00000000-0004-0000-0000-000025010000}"/>
    <hyperlink ref="M2807" r:id="rId268" xr:uid="{00000000-0004-0000-0000-000026010000}"/>
    <hyperlink ref="M2808" r:id="rId269" xr:uid="{00000000-0004-0000-0000-000027010000}"/>
    <hyperlink ref="M2810" r:id="rId270" xr:uid="{00000000-0004-0000-0000-000028010000}"/>
    <hyperlink ref="M2811" r:id="rId271" xr:uid="{00000000-0004-0000-0000-000029010000}"/>
    <hyperlink ref="M2839" r:id="rId272" xr:uid="{00000000-0004-0000-0000-00002A010000}"/>
    <hyperlink ref="M2826" r:id="rId273" xr:uid="{00000000-0004-0000-0000-00002B010000}"/>
    <hyperlink ref="M2837" r:id="rId274" xr:uid="{00000000-0004-0000-0000-00002C010000}"/>
    <hyperlink ref="M2822" r:id="rId275" xr:uid="{00000000-0004-0000-0000-00002D010000}"/>
    <hyperlink ref="M2824" r:id="rId276" xr:uid="{00000000-0004-0000-0000-00002E010000}"/>
    <hyperlink ref="M2842" r:id="rId277" xr:uid="{00000000-0004-0000-0000-00002F010000}"/>
    <hyperlink ref="M2827" r:id="rId278" xr:uid="{00000000-0004-0000-0000-000030010000}"/>
    <hyperlink ref="M2833" r:id="rId279" xr:uid="{00000000-0004-0000-0000-000031010000}"/>
    <hyperlink ref="M2849" r:id="rId280" xr:uid="{00000000-0004-0000-0000-000032010000}"/>
    <hyperlink ref="M2853" r:id="rId281" xr:uid="{00000000-0004-0000-0000-000033010000}"/>
    <hyperlink ref="M2854" r:id="rId282" xr:uid="{00000000-0004-0000-0000-000034010000}"/>
    <hyperlink ref="M2857" r:id="rId283" xr:uid="{00000000-0004-0000-0000-000035010000}"/>
    <hyperlink ref="M2856" r:id="rId284" xr:uid="{00000000-0004-0000-0000-000036010000}"/>
    <hyperlink ref="M2858" r:id="rId285" xr:uid="{00000000-0004-0000-0000-000037010000}"/>
    <hyperlink ref="M2855" r:id="rId286" xr:uid="{00000000-0004-0000-0000-000038010000}"/>
    <hyperlink ref="M2859" r:id="rId287" xr:uid="{00000000-0004-0000-0000-000039010000}"/>
    <hyperlink ref="M2803" r:id="rId288" xr:uid="{00000000-0004-0000-0000-00003A010000}"/>
    <hyperlink ref="M2801" r:id="rId289" xr:uid="{00000000-0004-0000-0000-00003B010000}"/>
    <hyperlink ref="M2845" r:id="rId290" xr:uid="{00000000-0004-0000-0000-00003C010000}"/>
    <hyperlink ref="M326" r:id="rId291" display="LOGISTICAYGESTIONESBENITO@GMAL.COM" xr:uid="{00000000-0004-0000-0000-00003E010000}"/>
    <hyperlink ref="M501" r:id="rId292" xr:uid="{00000000-0004-0000-0000-00003F010000}"/>
    <hyperlink ref="M506" r:id="rId293" xr:uid="{00000000-0004-0000-0000-000040010000}"/>
    <hyperlink ref="M507" r:id="rId294" xr:uid="{00000000-0004-0000-0000-000041010000}"/>
    <hyperlink ref="M593" r:id="rId295" xr:uid="{60003266-CA10-4464-9C0F-9EB4FA98561E}"/>
    <hyperlink ref="M151" r:id="rId296" xr:uid="{F7BB4EAB-E2E9-4A38-820F-D58A85A335C6}"/>
    <hyperlink ref="M159" r:id="rId297" display="YISETH@HOTMAIL.COM" xr:uid="{E8484D75-27E5-4C02-AE56-2CB81D892ECA}"/>
    <hyperlink ref="M162" r:id="rId298" xr:uid="{5A290D05-4F85-4362-950F-DD0E16D82983}"/>
    <hyperlink ref="M173" r:id="rId299" xr:uid="{05C144C5-7A21-4A8B-8B57-F4040D8C5E9C}"/>
    <hyperlink ref="M176" r:id="rId300" xr:uid="{A685F2CB-206F-4717-BC24-40291A3D1AC9}"/>
    <hyperlink ref="M177" r:id="rId301" xr:uid="{62E7520C-0ADE-4A55-88B9-4E67655A91ED}"/>
    <hyperlink ref="M178" r:id="rId302" xr:uid="{FA624BC7-0EB5-4530-8A77-4E24872800B6}"/>
    <hyperlink ref="M179" r:id="rId303" xr:uid="{0D98E5BA-04D7-4E76-BE11-3F6A75BEC882}"/>
    <hyperlink ref="M180" r:id="rId304" xr:uid="{96C1EC93-2D35-4DC2-9F76-30C8F5942961}"/>
    <hyperlink ref="M187" r:id="rId305" xr:uid="{229ACB27-7C50-4BE3-BD2F-70C515B3F889}"/>
    <hyperlink ref="M189" r:id="rId306" xr:uid="{916F2BF0-526E-4236-8CDA-D2F8C8F19F09}"/>
    <hyperlink ref="M190" r:id="rId307" xr:uid="{36D14319-A463-473B-8F2C-65EEA8EC26E8}"/>
    <hyperlink ref="M191" r:id="rId308" xr:uid="{F2FC786C-7F78-4D9B-BBD1-0F60D89A3EAA}"/>
    <hyperlink ref="M2739" r:id="rId309" xr:uid="{98C61247-4CF9-4F5C-85E5-06A907F565A1}"/>
    <hyperlink ref="M510" r:id="rId310" display="ANGELPARRA875@GMAIL.COM" xr:uid="{B09819F3-1459-4DC8-BEFE-40F532A835B3}"/>
    <hyperlink ref="M484" r:id="rId311" xr:uid="{7C053A9E-BB11-4864-A6AD-6391AA6B006B}"/>
    <hyperlink ref="M512" r:id="rId312" xr:uid="{DCD629AD-8423-4F5C-839B-F6930B1E3F98}"/>
    <hyperlink ref="M471" r:id="rId313" display="ROSACAZES2000@GMAIL.COM" xr:uid="{C7E2A4BE-11B3-4797-B2EF-26ED78A672B2}"/>
    <hyperlink ref="M495" r:id="rId314" xr:uid="{B61CF282-298A-4231-8740-922B825132EA}"/>
    <hyperlink ref="M310" r:id="rId315" xr:uid="{331A1A0D-A55A-4BD6-A79D-E6CD77CB920C}"/>
    <hyperlink ref="M355" r:id="rId316" xr:uid="{0FBD9E68-2925-4BA4-9045-479B1E1153AA}"/>
    <hyperlink ref="M365" r:id="rId317" xr:uid="{E4699790-5CC8-4585-82F4-66906B24FEB8}"/>
    <hyperlink ref="M332" r:id="rId318" display="LOGISTICAYGESTIONESBENITO@GMAIL.COM" xr:uid="{E09B0E4B-79D3-4125-BB24-E6443E03B936}"/>
    <hyperlink ref="M344" r:id="rId319" display="LOGISTICAYGESTIONESBENITO@GMAL.COM" xr:uid="{6A065215-CDA8-4491-B6B7-55FC750B4485}"/>
    <hyperlink ref="M320" r:id="rId320" xr:uid="{8560DA32-5C18-4197-A863-96156349AB1C}"/>
    <hyperlink ref="M315" r:id="rId321" display="ASOCIACIONCREAMOSFUTURO2023@GMAIL.COM" xr:uid="{01640F06-5619-480C-92AA-5EA251E1BB3B}"/>
    <hyperlink ref="M323" r:id="rId322" xr:uid="{6A10DDDB-6DFC-4C5B-975E-2690B8E38F89}"/>
    <hyperlink ref="M318" r:id="rId323" xr:uid="{FF18E507-6F6C-47BE-A325-D7C7BD650B7A}"/>
    <hyperlink ref="M312" r:id="rId324" display="ASOCIACIONCREAMOSFUTURO2023@GMAIL.OM" xr:uid="{3B1A9C8E-9707-4F15-98B5-C53A7FCF41DB}"/>
    <hyperlink ref="M357" r:id="rId325" xr:uid="{31EFA33A-DC74-4830-BC30-0527CD40FFDE}"/>
    <hyperlink ref="M499" r:id="rId326" xr:uid="{A0CBEE47-4D46-4A38-8F2B-C9CD4A0437B6}"/>
    <hyperlink ref="M428" r:id="rId327" xr:uid="{147DDE51-C57E-4C1D-8FE3-7DFD57293B4B}"/>
    <hyperlink ref="M616" r:id="rId328" xr:uid="{2F5E4E95-C5DB-4506-999C-822A4E19D8C1}"/>
    <hyperlink ref="M2425" r:id="rId329" xr:uid="{B46445E9-CDF3-46E7-BE8D-6C7967F841E8}"/>
    <hyperlink ref="M791" r:id="rId330" xr:uid="{0467CFD6-81A2-45FB-9F93-0C62641FB658}"/>
    <hyperlink ref="M792" r:id="rId331" xr:uid="{A6701F68-4049-4B0A-9865-81233D0A8337}"/>
    <hyperlink ref="M793" r:id="rId332" xr:uid="{D62520BB-69C8-4512-858B-FDD3CD2439EB}"/>
    <hyperlink ref="M131" r:id="rId333" xr:uid="{CBA2C88F-EDDC-43B6-B127-FB657947BCCC}"/>
    <hyperlink ref="M794" r:id="rId334" xr:uid="{71638829-E18A-4D17-975B-48024E34F67C}"/>
    <hyperlink ref="M795" r:id="rId335" xr:uid="{CCFFECEF-DCE7-4DE0-BFCD-93181341F450}"/>
    <hyperlink ref="M1245" r:id="rId336" xr:uid="{2EA73F28-DF01-4AE8-A4CD-F543B9F38DEF}"/>
    <hyperlink ref="M1248" r:id="rId337" xr:uid="{99A2C3D6-5EAC-4CC2-82B5-C2957B95C50F}"/>
    <hyperlink ref="M1249" r:id="rId338" xr:uid="{1053736F-00D9-40B4-97F6-99274C138F94}"/>
    <hyperlink ref="M1250" r:id="rId339" display="MARIO.GARNICA@ARMADA.MIL.CO" xr:uid="{661E7382-7D95-49D1-AF6D-DD732D692430}"/>
    <hyperlink ref="M1251" r:id="rId340" xr:uid="{4F3A317D-C699-4AC2-8D69-A89DAF684E58}"/>
    <hyperlink ref="M1776" r:id="rId341" xr:uid="{B8C03C12-6542-4F6D-8763-89BD25F808EE}"/>
    <hyperlink ref="M1777" r:id="rId342" xr:uid="{F7BBF6D5-7C5E-4741-8CBD-1B6F39DB4580}"/>
    <hyperlink ref="M1778" r:id="rId343" xr:uid="{83377D6F-3F1D-4204-B2FD-38733CD79D2E}"/>
    <hyperlink ref="M1780" r:id="rId344" xr:uid="{E1D209C1-D624-4635-B423-32AAB3B17AF5}"/>
    <hyperlink ref="M1781" r:id="rId345" xr:uid="{085CE17F-C2A3-4A1D-8B39-2C7BF3F557C6}"/>
    <hyperlink ref="M2431" r:id="rId346" xr:uid="{8DA7BEA5-7B3D-4D4D-B746-D1FDD7046CDA}"/>
    <hyperlink ref="M1983" r:id="rId347" xr:uid="{1B102BF2-87B7-4782-9617-753CF38B36A6}"/>
    <hyperlink ref="M1984" r:id="rId348" xr:uid="{A83D2CA7-5DA3-43F6-9773-509C5DC5666B}"/>
    <hyperlink ref="M1985" r:id="rId349" xr:uid="{7A03CB22-81D3-452E-9717-F84E221CE54E}"/>
    <hyperlink ref="M1987" r:id="rId350" xr:uid="{16D06611-60A5-4477-8A32-ED6CA7699DD8}"/>
    <hyperlink ref="M1988" r:id="rId351" xr:uid="{0C1A31A0-08C7-4DC6-B306-D32F103AA6EA}"/>
    <hyperlink ref="M1990" r:id="rId352" xr:uid="{70BFBE58-3515-4EC6-9D89-C5EF14A5975D}"/>
    <hyperlink ref="M1991" r:id="rId353" xr:uid="{7DF0166F-D57A-42C6-9D22-9723495ED0C2}"/>
    <hyperlink ref="M1992" r:id="rId354" xr:uid="{374DB45D-940F-44CF-A378-575B701E68C9}"/>
    <hyperlink ref="M1993" r:id="rId355" xr:uid="{A6935831-12DE-4A4B-ACFA-6FE5138029E8}"/>
    <hyperlink ref="M1998" r:id="rId356" display="FGENEYCHIMA@GMAIL.COM" xr:uid="{CDB34A31-9B34-4D51-BF63-334F200C0D62}"/>
    <hyperlink ref="M2008" r:id="rId357" xr:uid="{B9D48E72-4202-4AA8-B8DF-9E34734AD271}"/>
    <hyperlink ref="M2009" r:id="rId358" xr:uid="{83422FA7-8613-4554-82F4-9716CFEBA5DB}"/>
    <hyperlink ref="M2010" r:id="rId359" xr:uid="{434BD843-1B35-4AA3-8D5C-E30CBEB3E774}"/>
    <hyperlink ref="M2011" r:id="rId360" xr:uid="{E44D1C6F-5A87-4144-89D3-0070308454AE}"/>
    <hyperlink ref="M2013" r:id="rId361" xr:uid="{52654405-8A03-491B-9007-2BDF426B9EF8}"/>
    <hyperlink ref="M2015" r:id="rId362" xr:uid="{2D8C1280-4A1B-483F-A559-B649BC1AE116}"/>
    <hyperlink ref="M2016" r:id="rId363" xr:uid="{35B1A16F-7618-4A09-AB49-221B2D0A70D2}"/>
    <hyperlink ref="M2017" r:id="rId364" xr:uid="{2C64206B-CC1F-460F-BFAA-30AF8388CEAF}"/>
    <hyperlink ref="M2019" r:id="rId365" xr:uid="{D863CFC7-0BE3-4AE0-B4A6-01144E88627D}"/>
    <hyperlink ref="M2020" r:id="rId366" xr:uid="{6E8C21E8-8361-4AEB-A8AE-631252D45925}"/>
    <hyperlink ref="M2021" r:id="rId367" xr:uid="{CD8B88FC-A8AB-4A4B-B6E4-018B11CA19C5}"/>
    <hyperlink ref="M2023" r:id="rId368" xr:uid="{DD24C63E-310A-4806-B7AD-9F694CACEFE1}"/>
    <hyperlink ref="M2024" r:id="rId369" display="ASOSINCE1@HOTMAIL.COM" xr:uid="{7CA6C417-9913-431A-B8A9-5D180104559E}"/>
    <hyperlink ref="M2025" r:id="rId370" xr:uid="{FC99F7AF-711B-4B49-B29C-554A8CCE46A3}"/>
    <hyperlink ref="M2026" r:id="rId371" xr:uid="{5957EB68-92F9-4B3F-A9BA-02BDE1BD2EBB}"/>
    <hyperlink ref="M2027" r:id="rId372" xr:uid="{F5CC8C4B-32F8-495F-861C-351FA4D8E2F1}"/>
    <hyperlink ref="M2028" r:id="rId373" xr:uid="{7FD4D0A2-0838-444F-8F8F-0A24E3A65E14}"/>
    <hyperlink ref="M2029" r:id="rId374" xr:uid="{BB9B7974-612F-44EA-B7E6-D7E7D424A77E}"/>
    <hyperlink ref="M2033" r:id="rId375" xr:uid="{52EEC62B-FCAC-4EE0-BF4A-593F016E7824}"/>
    <hyperlink ref="M2034" r:id="rId376" xr:uid="{D1272DA2-F84A-4B4A-ACA5-03F559720081}"/>
    <hyperlink ref="M2035" r:id="rId377" xr:uid="{4B9C1E46-950D-41AB-B520-2F3300D1E3D3}"/>
    <hyperlink ref="M2037" r:id="rId378" xr:uid="{1DA02C25-9064-490D-A3DC-E41F26FD1B04}"/>
    <hyperlink ref="M2039" r:id="rId379" xr:uid="{EF70E312-590D-4B20-8F57-E57CAAC3C3C7}"/>
    <hyperlink ref="M2041" r:id="rId380" xr:uid="{52FAA269-0D2D-42E6-98D2-795333BD71B1}"/>
    <hyperlink ref="M2042" r:id="rId381" xr:uid="{D7F2DF72-3684-4640-8D3E-35AC75D9CDAB}"/>
    <hyperlink ref="M2052" r:id="rId382" xr:uid="{EF112714-BCC9-4957-967B-0BC40C681FF3}"/>
    <hyperlink ref="M2055" r:id="rId383" xr:uid="{9CD8CDDE-C893-418B-A653-CAB891835BC2}"/>
    <hyperlink ref="M2057" r:id="rId384" xr:uid="{AC185435-953F-4BD2-AEB2-A5126D174BF7}"/>
    <hyperlink ref="M2060" r:id="rId385" xr:uid="{E3164109-1879-476F-84C2-0A2CABDA0FDE}"/>
    <hyperlink ref="M2061" r:id="rId386" xr:uid="{5D5A7844-112B-4228-9339-54F246DE23FC}"/>
    <hyperlink ref="M2067" r:id="rId387" xr:uid="{6B95DAA9-CC9F-4DD6-BE3F-9708684698E2}"/>
    <hyperlink ref="M2068" r:id="rId388" xr:uid="{95232A1E-C860-4645-BA9C-8FAACD84F3AE}"/>
    <hyperlink ref="M2069" r:id="rId389" xr:uid="{E4F3C3FC-39FC-4CE1-899D-B43000AFBB23}"/>
    <hyperlink ref="M2070" r:id="rId390" xr:uid="{A565B035-FD5A-450D-BA41-43FA4322A780}"/>
    <hyperlink ref="M2071" r:id="rId391" xr:uid="{5E0A9A5C-9B8D-48D7-82BB-DD8D64023A5A}"/>
    <hyperlink ref="M2072" r:id="rId392" xr:uid="{845F293E-4854-4318-A924-64B2776F97AC}"/>
    <hyperlink ref="M2073" r:id="rId393" xr:uid="{1F869E92-4481-43C0-8879-256F72792BB7}"/>
    <hyperlink ref="M2075" r:id="rId394" xr:uid="{C4AD9D5E-6E85-4F13-B46B-93767EC29CC7}"/>
    <hyperlink ref="M2079" r:id="rId395" xr:uid="{9E2BBA54-0E55-4415-88A4-322FBDE9A27A}"/>
    <hyperlink ref="M2080" r:id="rId396" xr:uid="{03602716-18CC-4254-B1C7-DB29E2B52398}"/>
    <hyperlink ref="M2082" r:id="rId397" xr:uid="{0C192983-CEE1-4FDE-9365-40961FAB8D88}"/>
    <hyperlink ref="M2083" r:id="rId398" xr:uid="{82C1E298-9A8E-43F5-889E-93FA3C202A5E}"/>
    <hyperlink ref="M2084" r:id="rId399" xr:uid="{09B8DD00-0266-4E7B-A316-6D1E919EAD66}"/>
    <hyperlink ref="M2085" r:id="rId400" xr:uid="{A8E01769-9BF8-436F-A31D-DC4FDB7866CF}"/>
    <hyperlink ref="M2087" r:id="rId401" xr:uid="{2757FF12-FF8B-461E-A70D-A53E52C20966}"/>
    <hyperlink ref="M2012" r:id="rId402" xr:uid="{F055277B-1AFF-4715-8E6C-4E71EFD1A775}"/>
    <hyperlink ref="M586" r:id="rId403" display="MALUVAME211@HOTMAIL.COM" xr:uid="{469196FF-2A6C-42E2-B65B-85387DD1AADE}"/>
    <hyperlink ref="M564" r:id="rId404" xr:uid="{88593574-6BB5-4E1A-B84C-388E6EEB92E0}"/>
    <hyperlink ref="M513" r:id="rId405" xr:uid="{4E1A61D6-61F2-4A12-878F-9F9AFB0476FD}"/>
    <hyperlink ref="M2900" r:id="rId406" xr:uid="{B09A1334-B056-42C0-A995-CD71DC8DD7B8}"/>
    <hyperlink ref="M1184" r:id="rId407" xr:uid="{BB0FCFBE-68E1-4657-8B22-1EDF847B37CD}"/>
    <hyperlink ref="M533" r:id="rId408" xr:uid="{4EF353CD-5F9F-46CC-BA47-66C33B121834}"/>
    <hyperlink ref="M478" r:id="rId409" xr:uid="{15A21199-B8E5-4E45-8FD4-33FC3BE81E93}"/>
    <hyperlink ref="M511" r:id="rId410" xr:uid="{012F3501-4ECC-46D7-88A7-374350DFB88A}"/>
    <hyperlink ref="M193" r:id="rId411" display="ASOCIACIONMICOLOMBIA@GMAIL.COM" xr:uid="{124B07A6-96DA-467A-969F-F9825BDA30A7}"/>
    <hyperlink ref="M226" r:id="rId412" xr:uid="{6E3F96D9-288E-437E-B547-06A47EE4206F}"/>
    <hyperlink ref="M208" r:id="rId413" xr:uid="{222E5D27-4B51-455D-8E0A-AC2C86863779}"/>
    <hyperlink ref="L211" r:id="rId414" display="VALLE719@HOTMAIL.OM" xr:uid="{1D85380F-CE6B-4B19-AE77-83B17B00E961}"/>
    <hyperlink ref="M211" r:id="rId415" xr:uid="{D69A32EA-28C9-46FF-A60E-ACAAE002295E}"/>
    <hyperlink ref="M204" r:id="rId416" display="ASOMICOLOMBIA@HOTMAIL.COM" xr:uid="{E9F0BD27-1ABF-4D09-A772-AF56833C8782}"/>
    <hyperlink ref="M214" r:id="rId417" xr:uid="{1AFC77A0-0DAB-476B-BEB3-0CBD23F88FEE}"/>
    <hyperlink ref="M213" r:id="rId418" xr:uid="{A5239F35-5A91-4FE5-9E17-2F954AB2338F}"/>
    <hyperlink ref="M200" r:id="rId419" display="LOGISTICAYGESTIONESBENITO@GMAL.COM" xr:uid="{7B5A9271-25DC-4B30-905E-8DEA888EF2DB}"/>
    <hyperlink ref="M209" r:id="rId420" xr:uid="{F4A8FA7C-68E1-468D-A986-D3EA5C41A15A}"/>
    <hyperlink ref="M1652" r:id="rId421" xr:uid="{F2601769-5964-4A1C-9B94-F9314DD2C305}"/>
    <hyperlink ref="M1653" r:id="rId422" display="AIME020455@GMAIL.COM" xr:uid="{E40E39FC-A72F-45F6-805B-FB6E61A636CA}"/>
    <hyperlink ref="M1760" r:id="rId423" xr:uid="{213B920D-228A-4007-8511-F9A1080BA678}"/>
    <hyperlink ref="M1751" r:id="rId424" xr:uid="{3CF00798-FB75-44DA-890E-3CD37E3AF9B7}"/>
    <hyperlink ref="M1759" r:id="rId425" display="PEDRO.OCAMPO07@GMAIL.COM" xr:uid="{4EEE7AD4-BBD7-4E89-B7D8-DC68B6F3778F}"/>
    <hyperlink ref="M1752" r:id="rId426" xr:uid="{A37527DB-55FB-479B-846B-98424BD5DC53}"/>
    <hyperlink ref="M2386" r:id="rId427" xr:uid="{85A306C6-EC89-4965-809A-B7329D405844}"/>
    <hyperlink ref="M1325" r:id="rId428" xr:uid="{42499482-CA5C-40D3-9BA1-A5753A2F740F}"/>
    <hyperlink ref="M1268" r:id="rId429" xr:uid="{97EEA202-ED28-461A-941C-51B817BCE0B3}"/>
    <hyperlink ref="M2570" r:id="rId430" xr:uid="{E858340F-A364-41BD-B12D-EC47ABF67100}"/>
    <hyperlink ref="M2628" r:id="rId431" xr:uid="{637FA8FC-C522-4BA1-BFA7-968408DAFB45}"/>
    <hyperlink ref="M742" r:id="rId432" xr:uid="{E55E33CE-4F30-4C47-8A73-56F4FCD20BE8}"/>
    <hyperlink ref="M741" r:id="rId433" xr:uid="{88498333-CDD2-48CA-ACFC-EBC7DE7DEDDC}"/>
    <hyperlink ref="M515" r:id="rId434" xr:uid="{14087E2C-DA21-4091-8C1B-E3ACA8FC0C37}"/>
    <hyperlink ref="M516" r:id="rId435" xr:uid="{78C7597D-A4B1-42B7-9D57-EF13CF981BA1}"/>
    <hyperlink ref="M604" r:id="rId436" xr:uid="{DB6965DC-220B-44CE-BBD1-0C1C6B514A71}"/>
    <hyperlink ref="M612" r:id="rId437" xr:uid="{38AE0DE0-091E-4E15-8B7A-474E4F0CA0C8}"/>
    <hyperlink ref="M2901" r:id="rId438" xr:uid="{5FDDF3A7-F835-4B9C-882A-1A3B31D07549}"/>
    <hyperlink ref="M2788" r:id="rId439" xr:uid="{0921E7C7-DD91-479C-BDF8-77CED5AA3366}"/>
    <hyperlink ref="M403" r:id="rId440" xr:uid="{397BAD5F-9100-441D-9148-DED5A65681A7}"/>
    <hyperlink ref="M514" r:id="rId441" xr:uid="{9E41D4A1-1D5C-43BA-8F44-5B8A5472E012}"/>
    <hyperlink ref="M404" r:id="rId442" xr:uid="{7CD6BF08-E164-45EE-A66F-6DDA3081348D}"/>
    <hyperlink ref="M442" r:id="rId443" xr:uid="{60C8D9A0-7241-4F35-B90B-EB7428002E7B}"/>
    <hyperlink ref="M41" r:id="rId444" xr:uid="{DA49C47C-0B5A-43C8-AF68-0D8B3AB4077E}"/>
    <hyperlink ref="M125" r:id="rId445" xr:uid="{2FFE75A3-45A4-48B8-8595-52CA9E43FEE3}"/>
    <hyperlink ref="M82" r:id="rId446" xr:uid="{82305EF4-FB38-46D2-A4E8-E9E42BBE7ED6}"/>
    <hyperlink ref="M126" r:id="rId447" xr:uid="{887FEEAA-65BE-429B-83C2-7EEFB92A565E}"/>
    <hyperlink ref="M594" r:id="rId448" xr:uid="{FC4D7317-5F71-4CCD-AE0C-749B831B707E}"/>
    <hyperlink ref="M596" r:id="rId449" xr:uid="{CF4676FC-FE80-4C84-8AAF-85684AFF22C0}"/>
    <hyperlink ref="M597" r:id="rId450" xr:uid="{C72B00CF-8E4C-4879-836F-30BEDB4FFEDF}"/>
    <hyperlink ref="M598" r:id="rId451" xr:uid="{5D172CA1-B54C-4F3A-BABB-535032D2573F}"/>
    <hyperlink ref="M517" r:id="rId452" xr:uid="{F0085C9A-6DF0-43AE-BCD2-306F23D31034}"/>
    <hyperlink ref="M324" r:id="rId453" xr:uid="{E592A5DB-A10B-4780-8122-725D5393EFCE}"/>
    <hyperlink ref="M601" r:id="rId454" xr:uid="{47A3889F-9585-48B8-B0E6-11E3297A6EBA}"/>
    <hyperlink ref="M608" r:id="rId455" xr:uid="{A1695469-8E9D-4C7F-A6E7-B526BCAC3A56}"/>
    <hyperlink ref="M605" r:id="rId456" display="SHALONYAH@OUTLOOK.ES" xr:uid="{5DACA788-E7F7-4AE4-86C0-76271A45B6B1}"/>
    <hyperlink ref="M203" r:id="rId457" xr:uid="{0B59F799-EF07-48A8-9088-8038EC61AA1C}"/>
    <hyperlink ref="M607" r:id="rId458" xr:uid="{97DA3E49-8D86-49FB-A1B6-B54D1B11C58A}"/>
    <hyperlink ref="M1648" r:id="rId459" xr:uid="{1026C363-D939-48E2-825C-A1C19CFA5832}"/>
    <hyperlink ref="M1646" r:id="rId460" xr:uid="{344889EE-408B-4A9A-9D3F-E3500BA9ADAA}"/>
    <hyperlink ref="M869" r:id="rId461" xr:uid="{AB85B6DE-ECB6-461B-B6D8-69150751E366}"/>
    <hyperlink ref="M2036" r:id="rId462" xr:uid="{17B57BF7-F427-4058-9B42-C59D53B51355}"/>
    <hyperlink ref="M790" r:id="rId463" xr:uid="{DC3B5864-208F-48AE-9D93-297ADCFA4657}"/>
    <hyperlink ref="M2740" r:id="rId464" xr:uid="{518172AA-FD20-461B-AB65-298B203CB6B5}"/>
    <hyperlink ref="M2743" r:id="rId465" xr:uid="{A7F6A6A7-A052-4DD5-BA8E-54D8C1038B98}"/>
    <hyperlink ref="M2744" r:id="rId466" xr:uid="{15BD9E80-25A8-4000-8DB7-B5BA046FA036}"/>
    <hyperlink ref="M1742" r:id="rId467" xr:uid="{1B6D0A07-4EA3-4F53-B011-CBC4D1954BA6}"/>
    <hyperlink ref="M1762" r:id="rId468" xr:uid="{8104298A-4938-4CB5-AB31-CC9FB3E40021}"/>
    <hyperlink ref="M1743" r:id="rId469" xr:uid="{D0C5BB6D-1AE3-446B-B8D9-F75BAC4E67D1}"/>
    <hyperlink ref="M1744" r:id="rId470" xr:uid="{976B2003-4A9C-4ED0-AC1B-3B94B0D7B55B}"/>
    <hyperlink ref="M426" r:id="rId471" xr:uid="{C7D7D1DF-E829-4BAD-B341-576BC82391CF}"/>
    <hyperlink ref="M610" r:id="rId472" xr:uid="{986E3014-22B4-470B-87FD-723F2C796479}"/>
    <hyperlink ref="M2000" r:id="rId473" xr:uid="{D4CC3BC6-0B54-46AD-A1CD-1E7C9B75D14F}"/>
    <hyperlink ref="M2001" r:id="rId474" xr:uid="{C1C5265F-B8F1-45DA-A1CC-7A550A824F0B}"/>
    <hyperlink ref="M52" r:id="rId475" xr:uid="{8E75E18D-A1BF-40BA-8161-82790ABB992A}"/>
    <hyperlink ref="M1582" r:id="rId476" xr:uid="{6D40B944-1280-4AC1-B190-D0F6065BF1F7}"/>
    <hyperlink ref="M1243" r:id="rId477" xr:uid="{DFBA19A2-A28D-404F-835A-B04D6CC68903}"/>
    <hyperlink ref="M2398" r:id="rId478" xr:uid="{2174EB92-54EF-4089-8DBF-263515764403}"/>
    <hyperlink ref="M1269" r:id="rId479" display="FUNTEDES@HOTMAIL.COM" xr:uid="{C7AB1685-306E-4EEF-A567-F5E4ED2E0819}"/>
    <hyperlink ref="M1748" r:id="rId480" xr:uid="{496E90B0-8573-4695-B6EE-C8F60825F834}"/>
    <hyperlink ref="M1771" r:id="rId481" xr:uid="{C3BC0783-25B2-49EB-8257-586161D1A7EE}"/>
    <hyperlink ref="M743" r:id="rId482" xr:uid="{7BA9D059-1F92-4674-865E-100A5EC86C67}"/>
    <hyperlink ref="M744" r:id="rId483" xr:uid="{7E48667F-CDE3-4F33-B287-1C39B85BFE88}"/>
    <hyperlink ref="M1246" r:id="rId484" xr:uid="{1669E2E5-FA90-4E89-86A5-4EF5D9129FD0}"/>
    <hyperlink ref="M1861" r:id="rId485" xr:uid="{181D24DC-79B6-4F2A-8B1A-A3D0A9730DA3}"/>
    <hyperlink ref="M2889" r:id="rId486" xr:uid="{B7325731-7E27-4036-A32F-AAC941B2EE19}"/>
    <hyperlink ref="M1674" r:id="rId487" xr:uid="{642AD3B6-ACE4-4D68-9EA1-104109C109AB}"/>
    <hyperlink ref="M1675" r:id="rId488" xr:uid="{8DA72588-B455-452A-82B3-C0D04B3F2A85}"/>
    <hyperlink ref="M882" r:id="rId489" xr:uid="{DA06E135-F8FD-4048-802B-11ACD203729A}"/>
    <hyperlink ref="M886" r:id="rId490" display="LOGISTICAYGESTIONESBENITO@GMAIL.COM" xr:uid="{52437A87-727C-4D36-AEA6-FF5A8C0CDE58}"/>
    <hyperlink ref="M883" r:id="rId491" display="LOGISTICAYGESTIONESBENITO@GMAIL.COM" xr:uid="{908B1600-6923-4E00-80A6-06F648B40917}"/>
    <hyperlink ref="M884" r:id="rId492" display="LOGISTICAYGESTIONESBENITO@GMAIL.COM" xr:uid="{2EF1E7EF-C6C0-458D-8A3C-45EFFF01CF98}"/>
    <hyperlink ref="M885" r:id="rId493" display="LOGISTICAYGESTIONESBENITO@GMAIL.COM" xr:uid="{B7B58648-3607-4965-AF1E-1E6140138DA2}"/>
    <hyperlink ref="M274" r:id="rId494" display="LOGISTICA&amp;GESTIONESBENITO@GMAIL.COM" xr:uid="{AD6728DB-AEE7-42CD-AFC4-8E41722D676F}"/>
    <hyperlink ref="M276" r:id="rId495" display="LOGISTICA&amp;GESTIONESBENITO@GMAIL.COM" xr:uid="{4CD08ECF-EE15-4C8C-8993-51599B382BE0}"/>
    <hyperlink ref="M1978" r:id="rId496" display="LOGISTICAYGESTIONESBENITO@GMAIL.COM" xr:uid="{52724F3A-891D-468B-A7F1-51211146A597}"/>
    <hyperlink ref="M1979" r:id="rId497" display="LOGISTICAYGESTIONESBENITO@GMAIL.COM" xr:uid="{464CDD84-E85F-428F-9CE9-B7ADEFB38D5B}"/>
    <hyperlink ref="M1980" r:id="rId498" xr:uid="{C9A5E59F-C71F-4F1E-888F-634DCB28E4CA}"/>
    <hyperlink ref="M1981" r:id="rId499" display="LOGISTICAYGESTIONESBENITO@GMAIL.COM" xr:uid="{B85D660B-4BFD-47E6-93D0-05D960F9C156}"/>
    <hyperlink ref="M2539:M2543" r:id="rId500" display="LOGISTICAYGESTIONESBENITO@GMAIL.COM" xr:uid="{980826D5-B05C-4F7B-A21E-81B9C093B9B5}"/>
    <hyperlink ref="M2128" r:id="rId501" xr:uid="{C3F340B3-754F-42A9-9455-CBCBCE025161}"/>
    <hyperlink ref="M2129" r:id="rId502" xr:uid="{B09DE722-4901-48EE-81F2-591466184CE5}"/>
    <hyperlink ref="M2131" r:id="rId503" xr:uid="{4EEF09DB-EF16-48E2-BEC9-787C88C6903D}"/>
    <hyperlink ref="M2872" r:id="rId504" xr:uid="{1CD8A785-E15F-42EF-AF21-15CA99A4A786}"/>
    <hyperlink ref="M2873" r:id="rId505" display="LOGISTICAYGESTIONESBENITO@GMAIL.COM" xr:uid="{2538B6E1-679E-43D2-84A4-D3D440208430}"/>
    <hyperlink ref="M1831" r:id="rId506" xr:uid="{B94E87B7-B55D-42B7-B2B5-85BFC98B57A1}"/>
    <hyperlink ref="M1832" r:id="rId507" xr:uid="{8255677F-5D41-4FBB-BC1F-63A9CEA4FD72}"/>
    <hyperlink ref="M1833" r:id="rId508" xr:uid="{240BC201-B77B-44BB-B787-5583FCB9223D}"/>
    <hyperlink ref="M1834" r:id="rId509" xr:uid="{E438169E-9109-462E-80DC-BC12FF617268}"/>
    <hyperlink ref="M1835" r:id="rId510" xr:uid="{CB9582B2-ED2C-4666-82DC-9BC6BE9E098A}"/>
    <hyperlink ref="M1836" r:id="rId511" xr:uid="{BB5E957F-A36F-4600-B309-694AA007FB54}"/>
    <hyperlink ref="M1837" r:id="rId512" xr:uid="{729E3F81-69C0-4B6F-B793-AADC1EF302A6}"/>
    <hyperlink ref="M1838" r:id="rId513" xr:uid="{08825EA1-72BF-46D1-935B-990155F14159}"/>
    <hyperlink ref="M1839" r:id="rId514" xr:uid="{6E30A1F7-5AC1-41DF-BEFC-22BFE2C234A6}"/>
    <hyperlink ref="M1840" r:id="rId515" xr:uid="{2F0E0EC2-AE56-490C-BE77-6A4987A14670}"/>
    <hyperlink ref="M1841" r:id="rId516" xr:uid="{B1FBE6DF-7C47-4B82-93E6-A289B640CD79}"/>
    <hyperlink ref="M1825" r:id="rId517" xr:uid="{A20F085E-4A61-498B-9423-F18D7BD3DBC5}"/>
    <hyperlink ref="M1842" r:id="rId518" xr:uid="{06EA21DC-94E1-4084-874F-011AFA355CFF}"/>
    <hyperlink ref="M2694" r:id="rId519" display="LOGISTICAYGESTIONESBENITO@GMAIL.COM" xr:uid="{94D3C126-23FC-4F3F-B260-FE21F8426ECF}"/>
    <hyperlink ref="M22" r:id="rId520" xr:uid="{1A76900D-BB98-4088-A251-E3A413E8CF5D}"/>
    <hyperlink ref="M329" r:id="rId521" xr:uid="{A5A9A747-16D4-45FC-AD77-52BE0A1644E9}"/>
    <hyperlink ref="M339" r:id="rId522" xr:uid="{1218AF07-6005-4AB2-9834-D4D40830DC2C}"/>
    <hyperlink ref="M328" r:id="rId523" xr:uid="{B76E34F6-A75A-45FF-A358-74CFED5E9F52}"/>
    <hyperlink ref="M327" r:id="rId524" xr:uid="{D4F6384F-E6C9-4D6F-8DE8-371B0527303C}"/>
    <hyperlink ref="M342" r:id="rId525" xr:uid="{5220C9E2-D222-4A2D-BAE9-49827975FCCB}"/>
    <hyperlink ref="M325" r:id="rId526" xr:uid="{BF927052-6244-4FA0-AF43-F624E11138D7}"/>
    <hyperlink ref="M341" r:id="rId527" xr:uid="{66F567D3-F6F9-4406-93AD-C3CE3346B848}"/>
    <hyperlink ref="M336" r:id="rId528" xr:uid="{13D40E1E-9A25-4F08-97C0-89AC9EBDFDDD}"/>
    <hyperlink ref="M338" r:id="rId529" xr:uid="{8CED9BC2-DC0A-47B7-AB20-E15E02AD995D}"/>
    <hyperlink ref="M337" r:id="rId530" xr:uid="{3984DDE3-0CEA-4B54-9986-DAFE0C0105B3}"/>
    <hyperlink ref="M322" r:id="rId531" xr:uid="{AC74888C-6B2F-4F7C-9B61-16DEEAE04B6C}"/>
    <hyperlink ref="M335" r:id="rId532" xr:uid="{AC8EB338-AB3D-4890-84F2-2B5FBF8376B1}"/>
    <hyperlink ref="M321" r:id="rId533" xr:uid="{09CB3E4A-DB2E-401E-B2CF-D5F2FDFBF3BB}"/>
    <hyperlink ref="M345" r:id="rId534" display="FUNSALSINCELEJO@GMAIL.COM" xr:uid="{73F3E40C-14F2-4330-BF45-C806E3C5CB19}"/>
    <hyperlink ref="M331" r:id="rId535" xr:uid="{2A2D846D-B094-4F5D-9A0E-E4C50FACD22F}"/>
    <hyperlink ref="M275" r:id="rId536" display="LOGISTICA&amp;GESTIONESBENITO@GMAIL.COM" xr:uid="{0ED42F43-6239-4208-BFD3-19DC9D235808}"/>
    <hyperlink ref="M1067" r:id="rId537" display="LOGISTICAYGESTIONESBENITO@GMAIL.COM" xr:uid="{96138108-3BD4-4F6B-993A-CFD6F803F73E}"/>
    <hyperlink ref="M2875" r:id="rId538" xr:uid="{00000000-0004-0000-0000-000007010000}"/>
    <hyperlink ref="M1694" r:id="rId539" xr:uid="{92EEFE12-9D16-4509-99DD-687023A2521A}"/>
    <hyperlink ref="M1679" r:id="rId540" xr:uid="{7C701F9B-F966-461F-9741-EBA759828AA9}"/>
    <hyperlink ref="M1531" r:id="rId541" xr:uid="{A7E921F6-2BF0-4533-BD98-98D642155DFB}"/>
    <hyperlink ref="M1539" r:id="rId542" xr:uid="{71815C27-C2BA-45AB-9B54-5D952DC5219B}"/>
    <hyperlink ref="M1695" r:id="rId543" xr:uid="{FED9258A-B0D4-4D26-BFEF-9BC97EA8F5D7}"/>
    <hyperlink ref="M33" r:id="rId544" xr:uid="{A74BE42F-1C34-4C2C-BC3B-3107B361A08D}"/>
    <hyperlink ref="M36" r:id="rId545" xr:uid="{00000000-0004-0000-0000-000005000000}"/>
    <hyperlink ref="M32" r:id="rId546" xr:uid="{31383DC4-1537-4AA0-818E-F5D785E91BB6}"/>
    <hyperlink ref="M684" r:id="rId547" xr:uid="{8F60A125-F81F-47FA-ADB4-67FCAC6814CF}"/>
    <hyperlink ref="M198" r:id="rId548" xr:uid="{0B23A466-EDCE-4950-8CD9-3265F8ACC419}"/>
    <hyperlink ref="M330" r:id="rId549" display="LOGISTICAYGESTIONESBENITO@GMAL.COM" xr:uid="{00000000-0004-0000-0000-00003D010000}"/>
    <hyperlink ref="M333" r:id="rId550" display="LOGISTICAYGESTIONESBENITO@GMAIL.COM" xr:uid="{206A8FFE-F6C3-4FBF-9544-7BA53E710E9E}"/>
    <hyperlink ref="M944" r:id="rId551" xr:uid="{709A7D40-6FB1-4A59-AE6B-E5A5DFF367D1}"/>
    <hyperlink ref="M945" r:id="rId552" xr:uid="{CBD026C4-E3E4-4946-B613-DFA6FF43A811}"/>
    <hyperlink ref="M1632" r:id="rId553" xr:uid="{5535CFEB-F829-48EA-9CFC-4F9F16B51606}"/>
    <hyperlink ref="M2133" r:id="rId554" xr:uid="{3AB34DD1-DEF6-491A-9C2E-04D907C8EB4C}"/>
    <hyperlink ref="M2890" r:id="rId555" xr:uid="{19F7056A-D34D-4A3D-A3D9-7EDB4328A136}"/>
    <hyperlink ref="M2891" r:id="rId556" xr:uid="{5F9FB93D-88C5-4EE9-A953-843E7C8CAF54}"/>
    <hyperlink ref="M269" r:id="rId557" xr:uid="{A9C95C86-ECBB-4A8F-96A3-65C9408518F2}"/>
    <hyperlink ref="M181" r:id="rId558" xr:uid="{B011EE00-AB37-4011-AA82-B1B0FFD4E911}"/>
    <hyperlink ref="M182" r:id="rId559" xr:uid="{0ED5666E-4477-449B-B0AC-0EB96D3BE3B4}"/>
    <hyperlink ref="M1779" r:id="rId560" xr:uid="{151D1B36-5708-4882-9DAF-CDDC8B080958}"/>
    <hyperlink ref="M2351" r:id="rId561" xr:uid="{E39C4E9F-5684-4D48-A8C4-E41B51401279}"/>
    <hyperlink ref="M183" r:id="rId562" xr:uid="{69B6CFA8-1E86-4FF0-8A7D-4982DC870BC9}"/>
    <hyperlink ref="M184" r:id="rId563" xr:uid="{1AFBAEF5-6935-4188-9456-B6027EAD0591}"/>
    <hyperlink ref="M215" r:id="rId564" xr:uid="{4B4F94ED-29FE-42A1-A000-6CFBBB9756CB}"/>
    <hyperlink ref="M1680" r:id="rId565" xr:uid="{D5804478-455B-4BF4-B0F5-B5C49781325A}"/>
    <hyperlink ref="M188" r:id="rId566" xr:uid="{EE80EB68-B5D1-48CB-8D50-003C62347E26}"/>
    <hyperlink ref="M286" r:id="rId567" xr:uid="{67DAE609-35AC-4F1C-A48B-C8E2DA8F3463}"/>
    <hyperlink ref="M353" r:id="rId568" xr:uid="{B2AD4A90-2FB2-44C6-AF2B-57DFBE5ACF6E}"/>
    <hyperlink ref="M352" r:id="rId569" xr:uid="{66760DB1-4402-4AFC-AA7D-4BB968217843}"/>
    <hyperlink ref="M350" r:id="rId570" xr:uid="{5F26B189-DBB9-4EAB-966E-691E1B63E3C2}"/>
    <hyperlink ref="M351" r:id="rId571" xr:uid="{A7033EC0-684A-4AFA-A64A-35813B71E151}"/>
    <hyperlink ref="M740" r:id="rId572" xr:uid="{058B1943-5686-4CEF-98F2-70F31B151F1A}"/>
    <hyperlink ref="M670" r:id="rId573" xr:uid="{26103408-A4FD-4763-BAA6-15A17F2EEF9F}"/>
    <hyperlink ref="M745" r:id="rId574" xr:uid="{0942922D-6EC6-45FC-8A06-C536357DCFF6}"/>
    <hyperlink ref="M711" r:id="rId575" xr:uid="{230B4AC7-6428-4BE9-8853-EB1474BD1DFB}"/>
    <hyperlink ref="M781" r:id="rId576" xr:uid="{1E41F128-9DE0-40E0-B887-3939D5BA4448}"/>
    <hyperlink ref="M683" r:id="rId577" xr:uid="{18B2D966-D679-4682-8590-AB242668CA83}"/>
    <hyperlink ref="M705" r:id="rId578" xr:uid="{B7BBA12C-F170-428D-BB09-310800933C5B}"/>
    <hyperlink ref="M676" r:id="rId579" xr:uid="{5294CEAD-F6D0-477A-936D-FC296ADBB352}"/>
    <hyperlink ref="M648" r:id="rId580" xr:uid="{69E6F0BE-6FA9-461F-B2FA-60BF9DEB9EAF}"/>
    <hyperlink ref="M746" r:id="rId581" xr:uid="{2BA1ACC0-FEEA-47AD-ADE0-6F8A02F8A35A}"/>
    <hyperlink ref="M747" r:id="rId582" xr:uid="{431E4AA3-6915-40D4-BFCB-00AA60AD6D8D}"/>
    <hyperlink ref="M690" r:id="rId583" xr:uid="{3CEADADC-515C-437D-BE11-50B38B02CDEA}"/>
    <hyperlink ref="M656" r:id="rId584" xr:uid="{44AF30D0-EF9D-4D93-982E-00210A46C489}"/>
    <hyperlink ref="M950" r:id="rId585" xr:uid="{3BAB22F9-1179-4CA8-BE24-67FE6BE25B34}"/>
    <hyperlink ref="M948" r:id="rId586" xr:uid="{D4F59EA5-BD90-4D17-9B0A-3A2B0E47EBC8}"/>
    <hyperlink ref="M1782" r:id="rId587" xr:uid="{AB171A66-07B1-46CE-B8A2-5A7055522073}"/>
    <hyperlink ref="M1783" r:id="rId588" xr:uid="{5A53C8F3-954B-42BD-B905-4BD8040A121D}"/>
    <hyperlink ref="M1785" r:id="rId589" xr:uid="{D17E08F0-501B-49C6-8793-BDAFF9FDBE83}"/>
    <hyperlink ref="M1784" r:id="rId590" xr:uid="{CC065F41-47C0-4240-AA7C-814732914479}"/>
    <hyperlink ref="M2229" r:id="rId591" display="ARBOLEDASOLANOREMBERTOJOAQUIN@GMAIL.COM" xr:uid="{00000000-0004-0000-0000-00008F000000}"/>
    <hyperlink ref="M2715" r:id="rId592" xr:uid="{ACC8431C-F24C-4261-85FE-7180C519445F}"/>
    <hyperlink ref="M2716" r:id="rId593" xr:uid="{F36BFBC4-FFE2-4CB9-A156-5E03F9DE9673}"/>
    <hyperlink ref="M2731" r:id="rId594" xr:uid="{ACD4307A-20DE-4605-9E6C-BA847D38FD2E}"/>
    <hyperlink ref="M2763" r:id="rId595" xr:uid="{68079E9E-725C-41E9-91D2-EDE694039C56}"/>
    <hyperlink ref="M2745" r:id="rId596" xr:uid="{BAC3567E-429B-42AB-A212-59659C68AED6}"/>
    <hyperlink ref="M575" r:id="rId597" xr:uid="{1B1EAB4A-32A6-46F6-9DDB-BB92501207A5}"/>
    <hyperlink ref="M2401" r:id="rId598" xr:uid="{CD864D15-4B22-4C0B-BCFD-3BD5648F3F06}"/>
    <hyperlink ref="M2417" r:id="rId599" xr:uid="{8AF7C636-9D3B-4151-B47C-6527674B7A58}"/>
  </hyperlinks>
  <pageMargins left="0.7" right="0.7" top="0.75" bottom="0.75" header="0.3" footer="0.3"/>
  <pageSetup orientation="portrait" r:id="rId600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000-000000000000}">
          <x14:formula1>
            <xm:f>'C:\Users\LENOVO\Desktop\hoy\[ESTRUCTURA CENSO ESTABLECIMIENTOS SALUD AMBIENTAL (1).xlsx]Hoja3'!#REF!</xm:f>
          </x14:formula1>
          <xm:sqref>A1770:A1785 A1655:A1767</xm:sqref>
        </x14:dataValidation>
        <x14:dataValidation type="list" allowBlank="1" showInputMessage="1" showErrorMessage="1" xr:uid="{00000000-0002-0000-0000-000001000000}">
          <x14:formula1>
            <xm:f>'C:\Users\EDUARDO VERGARA\Desktop\SALUD AMBIENTAL\CENSO ALIMENTOS Y BEBIDAS\[CENSO ESTABLECIMIENTOS Y PROGRAMADOR ALIMENTOS y BEBIDAS (2) (3) (1) (2).xlsx]Hoja2'!#REF!</xm:f>
          </x14:formula1>
          <xm:sqref>AA1725 AA1665:AA1718 K1660:K1725</xm:sqref>
        </x14:dataValidation>
        <x14:dataValidation type="list" allowBlank="1" showInputMessage="1" showErrorMessage="1" xr:uid="{00000000-0002-0000-0000-000002000000}">
          <x14:formula1>
            <xm:f>'C:\Users\paola\Downloads\[CENSO ALIMENTOS Y BEBIDAS.xlsx]DESPLEGABLES 2'!#REF!</xm:f>
          </x14:formula1>
          <xm:sqref>Q2490 S2490 V2460 S2492 Q2492 K2467:K2529 V2581 AC2629 V2653 V2665 S2587 AE2629 X2653 X2665 K2559:K2672 K2426:K2465 A2426:C2556 K2780:K2852</xm:sqref>
        </x14:dataValidation>
        <x14:dataValidation type="list" allowBlank="1" showInputMessage="1" showErrorMessage="1" xr:uid="{00000000-0002-0000-0000-000003000000}">
          <x14:formula1>
            <xm:f>'C:\Users\paola\Downloads\[CENSO ALIMENTOS Y BEBIDAS.xlsx]DESPLEGABLES'!#REF!</xm:f>
          </x14:formula1>
          <xm:sqref>P2546 P2526:P2527 O2461 P2847:P2848 S2491 S2449 X2474 X2460 X2476 P2853:P2854 O2859 X2803 S2534:S2539 AE2780 P2795:P2804 O2484 P2789 O2430 O2637 E2817:E2818 O2598 X2801 P2861:P2868 S2582:S2585 P2550 P2533 P2447:P2448 P2791 P2484:P2485 O2490:P2490 AK2561 AE2561 X2563 AE2559 X2624 X2695 X2639 S2695:S2697 AE2608 X2608 P2878:P2879 O2653 X2883:X2885 AE2883:AE2885 P2559 P2561:P2566 P2572:P2579 O2841 P2817:P2818 P2845 AE2839 AK2839 O2630 P2636 O2633 P2585:P2592 P2621:P2629 P2695 P2810 S2864:S2867 X2865:X2867 P2870:P2875 O2593:O2596 AE2875 X2875:X2876 X2540:X2544 S2545:S2549 X2879 S2876:S2878 X2533 S2493:S2532 P2539:P2544 X2586 X2561 S2562 P2432 X2484 S2457:S2483 S2485:S2489 X2645 S2646:S2683 S2628:S2644 X2565:X2567 S2564:S2566 AE2626 X2626:X2627 S2560 X2559 S2588:S2625 X2581 S2568:S2580 S2870:S2873 X2871:X2873 P2883:P2885 X2862:X2863 X2845:X2846 S2847:S2862 X2784 X2780 X2839 S2781:S2844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CENSO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Mauricio Guerra</dc:creator>
  <cp:keywords/>
  <dc:description/>
  <cp:lastModifiedBy>Carlos Barragan</cp:lastModifiedBy>
  <cp:revision/>
  <dcterms:created xsi:type="dcterms:W3CDTF">2025-09-19T02:36:11Z</dcterms:created>
  <dcterms:modified xsi:type="dcterms:W3CDTF">2026-10-11T13:58:41Z</dcterms:modified>
  <cp:category/>
  <cp:contentStatus/>
</cp:coreProperties>
</file>